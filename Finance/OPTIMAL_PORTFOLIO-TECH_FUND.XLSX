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 defaultThemeVersion="124226"/>
  <xr:revisionPtr revIDLastSave="0" documentId="13_ncr:1_{1FBB9768-57C7-43D2-99CD-E8D079FEFA51}" xr6:coauthVersionLast="47" xr6:coauthVersionMax="47" xr10:uidLastSave="{00000000-0000-0000-0000-000000000000}"/>
  <workbookProtection workbookAlgorithmName="SHA-512" workbookHashValue="RXU9+xEAt1htMCPtueF+S3M4LTfNvejhMt7xl8ac1Bida1218Z8u5Ge/ooD6gcxjJYH9i4LnE4N6PonEt/Y6nQ==" workbookSaltValue="v7sEf82nSUlX6LG+ZUAYqw==" workbookSpinCount="100000" lockStructure="1"/>
  <bookViews>
    <workbookView xWindow="-120" yWindow="-120" windowWidth="20730" windowHeight="11310" activeTab="1" xr2:uid="{00000000-000D-0000-FFFF-FFFF00000000}"/>
  </bookViews>
  <sheets>
    <sheet name="DATA" sheetId="1" r:id="rId1"/>
    <sheet name="ANALYSIS" sheetId="2" r:id="rId2"/>
    <sheet name="CHART" sheetId="3" r:id="rId3"/>
  </sheets>
  <definedNames>
    <definedName name="_xlchart.v1.0" hidden="1">ANALYSIS!$T$2:$T$1005</definedName>
    <definedName name="A" comment="DATA" localSheetId="0">DATA!$1:$1048576</definedName>
    <definedName name="DATA01">DATA!$AG$3:$AG$26</definedName>
    <definedName name="DATA02">DATA!$AH$3:$AH$26</definedName>
    <definedName name="DATA03">DATA!$AI$3:$AI$26</definedName>
    <definedName name="DATA04">DATA!$AJ$3:$AJ$26</definedName>
    <definedName name="INDEX">DATA!$AK$3:$AK$26</definedName>
    <definedName name="solver_adj" localSheetId="1" hidden="1">ANALYSIS!$B$2:$B$5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ng" localSheetId="0" hidden="1">1</definedName>
    <definedName name="solver_est" localSheetId="1" hidden="1">1</definedName>
    <definedName name="solver_itr" localSheetId="1" hidden="1">2147483647</definedName>
    <definedName name="solver_lhs1" localSheetId="1" hidden="1">ANALYSIS!$B$53</definedName>
    <definedName name="solver_lhs2" localSheetId="1" hidden="1">ANALYSIS!$B$53</definedName>
    <definedName name="solver_lhs3" localSheetId="1" hidden="1">ANALYSIS!$B$53</definedName>
    <definedName name="solver_lhs4" localSheetId="1" hidden="1">ANALYSIS!$B$53</definedName>
    <definedName name="solver_lhs5" localSheetId="1" hidden="1">ANALYSIS!$B$53</definedName>
    <definedName name="solver_lhs6" localSheetId="1" hidden="1">ANALYSIS!$B$5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eg" localSheetId="0" hidden="1">1</definedName>
    <definedName name="solver_nod" localSheetId="1" hidden="1">2147483647</definedName>
    <definedName name="solver_num" localSheetId="1" hidden="1">1</definedName>
    <definedName name="solver_num" localSheetId="0" hidden="1">0</definedName>
    <definedName name="solver_nwt" localSheetId="1" hidden="1">1</definedName>
    <definedName name="solver_opt" localSheetId="1" hidden="1">ANALYSIS!$B$47</definedName>
    <definedName name="solver_opt" localSheetId="0" hidden="1">DATA!$AE$3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el2" localSheetId="1" hidden="1">2</definedName>
    <definedName name="solver_rel3" localSheetId="1" hidden="1">2</definedName>
    <definedName name="solver_rel4" localSheetId="1" hidden="1">2</definedName>
    <definedName name="solver_rel5" localSheetId="1" hidden="1">2</definedName>
    <definedName name="solver_rel6" localSheetId="1" hidden="1">3</definedName>
    <definedName name="solver_rhs1" localSheetId="1" hidden="1">1</definedName>
    <definedName name="solver_rhs2" localSheetId="1" hidden="1">1</definedName>
    <definedName name="solver_rhs3" localSheetId="1" hidden="1">1</definedName>
    <definedName name="solver_rhs4" localSheetId="1" hidden="1">1</definedName>
    <definedName name="solver_rhs5" localSheetId="1" hidden="1">1</definedName>
    <definedName name="solver_rhs6" localSheetId="1" hidden="1">0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typ" localSheetId="0" hidden="1">2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2" i="2" l="1"/>
  <c r="Q33" i="2" s="1"/>
  <c r="Q34" i="2" s="1"/>
  <c r="Q35" i="2" s="1"/>
  <c r="Q36" i="2" s="1"/>
  <c r="Q37" i="2" s="1"/>
  <c r="Q38" i="2" s="1"/>
  <c r="Q39" i="2" s="1"/>
  <c r="Q40" i="2" s="1"/>
  <c r="Q41" i="2" s="1"/>
  <c r="Q42" i="2" s="1"/>
  <c r="Q43" i="2" s="1"/>
  <c r="Q44" i="2" s="1"/>
  <c r="Q45" i="2" s="1"/>
  <c r="Q46" i="2" s="1"/>
  <c r="Q47" i="2" s="1"/>
  <c r="Q48" i="2" s="1"/>
  <c r="Q49" i="2" s="1"/>
  <c r="Q50" i="2" s="1"/>
  <c r="Q51" i="2" s="1"/>
  <c r="Q52" i="2" s="1"/>
  <c r="Q53" i="2" s="1"/>
  <c r="Q54" i="2" s="1"/>
  <c r="Q55" i="2" s="1"/>
  <c r="Q56" i="2" s="1"/>
  <c r="Q57" i="2" s="1"/>
  <c r="Q58" i="2" s="1"/>
  <c r="Q59" i="2" s="1"/>
  <c r="Q60" i="2" s="1"/>
  <c r="Q61" i="2" s="1"/>
  <c r="Q62" i="2" s="1"/>
  <c r="Q63" i="2" s="1"/>
  <c r="Q64" i="2" s="1"/>
  <c r="Q65" i="2" s="1"/>
  <c r="Q66" i="2" s="1"/>
  <c r="Q67" i="2" s="1"/>
  <c r="Q68" i="2" s="1"/>
  <c r="Q69" i="2" s="1"/>
  <c r="Q70" i="2" s="1"/>
  <c r="Q71" i="2" s="1"/>
  <c r="Q72" i="2" s="1"/>
  <c r="Q73" i="2" s="1"/>
  <c r="Q74" i="2" s="1"/>
  <c r="Q75" i="2" s="1"/>
  <c r="Q76" i="2" s="1"/>
  <c r="Q77" i="2" s="1"/>
  <c r="Q78" i="2" s="1"/>
  <c r="Q79" i="2" s="1"/>
  <c r="Q80" i="2" s="1"/>
  <c r="Q81" i="2" s="1"/>
  <c r="Q82" i="2" s="1"/>
  <c r="Q83" i="2" s="1"/>
  <c r="Q84" i="2" s="1"/>
  <c r="Q85" i="2" s="1"/>
  <c r="Q86" i="2" s="1"/>
  <c r="Q87" i="2" s="1"/>
  <c r="Q88" i="2" s="1"/>
  <c r="Q89" i="2" s="1"/>
  <c r="Q90" i="2" s="1"/>
  <c r="Q91" i="2" s="1"/>
  <c r="Q92" i="2" s="1"/>
  <c r="Q93" i="2" s="1"/>
  <c r="Q94" i="2" s="1"/>
  <c r="Q95" i="2" s="1"/>
  <c r="Q96" i="2" s="1"/>
  <c r="Q97" i="2" s="1"/>
  <c r="Q98" i="2" s="1"/>
  <c r="Q99" i="2" s="1"/>
  <c r="Q100" i="2" s="1"/>
  <c r="Q101" i="2" s="1"/>
  <c r="Q102" i="2" s="1"/>
  <c r="Q103" i="2" s="1"/>
  <c r="Q104" i="2" s="1"/>
  <c r="Q105" i="2" s="1"/>
  <c r="Q106" i="2" s="1"/>
  <c r="Q107" i="2" s="1"/>
  <c r="Q108" i="2" s="1"/>
  <c r="Q109" i="2" s="1"/>
  <c r="Q110" i="2" s="1"/>
  <c r="Q111" i="2" s="1"/>
  <c r="Q112" i="2" s="1"/>
  <c r="Q113" i="2" s="1"/>
  <c r="Q114" i="2" s="1"/>
  <c r="Q115" i="2" s="1"/>
  <c r="Q116" i="2" s="1"/>
  <c r="Q117" i="2" s="1"/>
  <c r="Q118" i="2" s="1"/>
  <c r="Q119" i="2" s="1"/>
  <c r="Q120" i="2" s="1"/>
  <c r="Q121" i="2" s="1"/>
  <c r="Q122" i="2" s="1"/>
  <c r="Q123" i="2" s="1"/>
  <c r="Q124" i="2" s="1"/>
  <c r="Q125" i="2" s="1"/>
  <c r="Q126" i="2" s="1"/>
  <c r="Q127" i="2" s="1"/>
  <c r="Q128" i="2" s="1"/>
  <c r="Q129" i="2" s="1"/>
  <c r="Q130" i="2" s="1"/>
  <c r="Q131" i="2" s="1"/>
  <c r="Q132" i="2" s="1"/>
  <c r="Q133" i="2" s="1"/>
  <c r="Q134" i="2" s="1"/>
  <c r="Q135" i="2" s="1"/>
  <c r="Q136" i="2" s="1"/>
  <c r="Q137" i="2" s="1"/>
  <c r="Q138" i="2" s="1"/>
  <c r="Q139" i="2" s="1"/>
  <c r="Q140" i="2" s="1"/>
  <c r="Q141" i="2" s="1"/>
  <c r="Q142" i="2" s="1"/>
  <c r="Q143" i="2" s="1"/>
  <c r="Q144" i="2" s="1"/>
  <c r="Q145" i="2" s="1"/>
  <c r="Q146" i="2" s="1"/>
  <c r="Q147" i="2" s="1"/>
  <c r="Q148" i="2" s="1"/>
  <c r="Q149" i="2" s="1"/>
  <c r="Q150" i="2" s="1"/>
  <c r="Q151" i="2" s="1"/>
  <c r="Q152" i="2" s="1"/>
  <c r="Q153" i="2" s="1"/>
  <c r="Q154" i="2" s="1"/>
  <c r="Q155" i="2" s="1"/>
  <c r="Q156" i="2" s="1"/>
  <c r="Q157" i="2" s="1"/>
  <c r="Q158" i="2" s="1"/>
  <c r="Q159" i="2" s="1"/>
  <c r="Q160" i="2" s="1"/>
  <c r="Q161" i="2" s="1"/>
  <c r="Q162" i="2" s="1"/>
  <c r="Q163" i="2" s="1"/>
  <c r="Q164" i="2" s="1"/>
  <c r="Q165" i="2" s="1"/>
  <c r="Q166" i="2" s="1"/>
  <c r="Q167" i="2" s="1"/>
  <c r="Q168" i="2" s="1"/>
  <c r="Q169" i="2" s="1"/>
  <c r="Q170" i="2" s="1"/>
  <c r="Q171" i="2" s="1"/>
  <c r="Q172" i="2" s="1"/>
  <c r="Q173" i="2" s="1"/>
  <c r="Q174" i="2" s="1"/>
  <c r="Q175" i="2" s="1"/>
  <c r="Q176" i="2" s="1"/>
  <c r="Q177" i="2" s="1"/>
  <c r="Q178" i="2" s="1"/>
  <c r="Q179" i="2" s="1"/>
  <c r="Q180" i="2" s="1"/>
  <c r="Q181" i="2" s="1"/>
  <c r="Q182" i="2" s="1"/>
  <c r="Q183" i="2" s="1"/>
  <c r="Q184" i="2" s="1"/>
  <c r="Q185" i="2" s="1"/>
  <c r="Q186" i="2" s="1"/>
  <c r="Q187" i="2" s="1"/>
  <c r="Q188" i="2" s="1"/>
  <c r="Q189" i="2" s="1"/>
  <c r="Q190" i="2" s="1"/>
  <c r="Q191" i="2" s="1"/>
  <c r="Q192" i="2" s="1"/>
  <c r="Q193" i="2" s="1"/>
  <c r="Q194" i="2" s="1"/>
  <c r="Q195" i="2" s="1"/>
  <c r="Q196" i="2" s="1"/>
  <c r="Q197" i="2" s="1"/>
  <c r="Q198" i="2" s="1"/>
  <c r="Q199" i="2" s="1"/>
  <c r="Q200" i="2" s="1"/>
  <c r="Q201" i="2" s="1"/>
  <c r="Q202" i="2" s="1"/>
  <c r="Q203" i="2" s="1"/>
  <c r="Q204" i="2" s="1"/>
  <c r="Q205" i="2" s="1"/>
  <c r="Q206" i="2" s="1"/>
  <c r="Q207" i="2" s="1"/>
  <c r="Q208" i="2" s="1"/>
  <c r="Q209" i="2" s="1"/>
  <c r="Q210" i="2" s="1"/>
  <c r="Q211" i="2" s="1"/>
  <c r="Q212" i="2" s="1"/>
  <c r="Q213" i="2" s="1"/>
  <c r="Q214" i="2" s="1"/>
  <c r="Q215" i="2" s="1"/>
  <c r="Q216" i="2" s="1"/>
  <c r="Q217" i="2" s="1"/>
  <c r="Q218" i="2" s="1"/>
  <c r="Q219" i="2" s="1"/>
  <c r="Q220" i="2" s="1"/>
  <c r="Q221" i="2" s="1"/>
  <c r="Q222" i="2" s="1"/>
  <c r="Q223" i="2" s="1"/>
  <c r="Q224" i="2" s="1"/>
  <c r="Q225" i="2" s="1"/>
  <c r="Q226" i="2" s="1"/>
  <c r="Q227" i="2" s="1"/>
  <c r="Q228" i="2" s="1"/>
  <c r="Q229" i="2" s="1"/>
  <c r="Q230" i="2" s="1"/>
  <c r="Q231" i="2" s="1"/>
  <c r="Q232" i="2" s="1"/>
  <c r="Q233" i="2" s="1"/>
  <c r="Q234" i="2" s="1"/>
  <c r="Q235" i="2" s="1"/>
  <c r="Q236" i="2" s="1"/>
  <c r="Q237" i="2" s="1"/>
  <c r="Q238" i="2" s="1"/>
  <c r="Q239" i="2" s="1"/>
  <c r="Q240" i="2" s="1"/>
  <c r="Q241" i="2" s="1"/>
  <c r="Q242" i="2" s="1"/>
  <c r="Q243" i="2" s="1"/>
  <c r="Q244" i="2" s="1"/>
  <c r="Q245" i="2" s="1"/>
  <c r="Q246" i="2" s="1"/>
  <c r="Q247" i="2" s="1"/>
  <c r="Q248" i="2" s="1"/>
  <c r="Q249" i="2" s="1"/>
  <c r="Q250" i="2" s="1"/>
  <c r="Q251" i="2" s="1"/>
  <c r="Q252" i="2" s="1"/>
  <c r="Q253" i="2" s="1"/>
  <c r="Q254" i="2" s="1"/>
  <c r="Q255" i="2" s="1"/>
  <c r="Q256" i="2" s="1"/>
  <c r="Q257" i="2" s="1"/>
  <c r="Q258" i="2" s="1"/>
  <c r="Q259" i="2" s="1"/>
  <c r="Q260" i="2" s="1"/>
  <c r="Q261" i="2" s="1"/>
  <c r="Q262" i="2" s="1"/>
  <c r="Q263" i="2" s="1"/>
  <c r="Q264" i="2" s="1"/>
  <c r="Q265" i="2" s="1"/>
  <c r="Q266" i="2" s="1"/>
  <c r="Q267" i="2" s="1"/>
  <c r="Q268" i="2" s="1"/>
  <c r="Q269" i="2" s="1"/>
  <c r="Q270" i="2" s="1"/>
  <c r="Q271" i="2" s="1"/>
  <c r="Q272" i="2" s="1"/>
  <c r="Q273" i="2" s="1"/>
  <c r="Q274" i="2" s="1"/>
  <c r="Q275" i="2" s="1"/>
  <c r="Q276" i="2" s="1"/>
  <c r="Q277" i="2" s="1"/>
  <c r="Q278" i="2" s="1"/>
  <c r="Q279" i="2" s="1"/>
  <c r="Q280" i="2" s="1"/>
  <c r="Q281" i="2" s="1"/>
  <c r="Q282" i="2" s="1"/>
  <c r="Q283" i="2" s="1"/>
  <c r="Q284" i="2" s="1"/>
  <c r="Q285" i="2" s="1"/>
  <c r="Q286" i="2" s="1"/>
  <c r="Q287" i="2" s="1"/>
  <c r="Q288" i="2" s="1"/>
  <c r="Q289" i="2" s="1"/>
  <c r="Q290" i="2" s="1"/>
  <c r="Q291" i="2" s="1"/>
  <c r="Q292" i="2" s="1"/>
  <c r="Q293" i="2" s="1"/>
  <c r="Q294" i="2" s="1"/>
  <c r="Q295" i="2" s="1"/>
  <c r="Q296" i="2" s="1"/>
  <c r="Q297" i="2" s="1"/>
  <c r="Q298" i="2" s="1"/>
  <c r="Q299" i="2" s="1"/>
  <c r="Q300" i="2" s="1"/>
  <c r="Q301" i="2" s="1"/>
  <c r="Q302" i="2" s="1"/>
  <c r="Q303" i="2" s="1"/>
  <c r="Q304" i="2" s="1"/>
  <c r="Q305" i="2" s="1"/>
  <c r="Q306" i="2" s="1"/>
  <c r="Q307" i="2" s="1"/>
  <c r="Q308" i="2" s="1"/>
  <c r="Q309" i="2" s="1"/>
  <c r="Q310" i="2" s="1"/>
  <c r="Q311" i="2" s="1"/>
  <c r="Q312" i="2" s="1"/>
  <c r="Q313" i="2" s="1"/>
  <c r="Q314" i="2" s="1"/>
  <c r="Q315" i="2" s="1"/>
  <c r="Q316" i="2" s="1"/>
  <c r="Q317" i="2" s="1"/>
  <c r="Q318" i="2" s="1"/>
  <c r="Q319" i="2" s="1"/>
  <c r="Q320" i="2" s="1"/>
  <c r="Q321" i="2" s="1"/>
  <c r="Q322" i="2" s="1"/>
  <c r="Q323" i="2" s="1"/>
  <c r="Q324" i="2" s="1"/>
  <c r="Q325" i="2" s="1"/>
  <c r="Q326" i="2" s="1"/>
  <c r="Q327" i="2" s="1"/>
  <c r="Q328" i="2" s="1"/>
  <c r="Q329" i="2" s="1"/>
  <c r="Q330" i="2" s="1"/>
  <c r="Q331" i="2" s="1"/>
  <c r="Q332" i="2" s="1"/>
  <c r="Q333" i="2" s="1"/>
  <c r="Q334" i="2" s="1"/>
  <c r="Q335" i="2" s="1"/>
  <c r="Q336" i="2" s="1"/>
  <c r="Q337" i="2" s="1"/>
  <c r="Q338" i="2" s="1"/>
  <c r="Q339" i="2" s="1"/>
  <c r="Q340" i="2" s="1"/>
  <c r="Q341" i="2" s="1"/>
  <c r="Q342" i="2" s="1"/>
  <c r="Q343" i="2" s="1"/>
  <c r="Q344" i="2" s="1"/>
  <c r="Q345" i="2" s="1"/>
  <c r="Q346" i="2" s="1"/>
  <c r="Q347" i="2" s="1"/>
  <c r="Q348" i="2" s="1"/>
  <c r="Q349" i="2" s="1"/>
  <c r="Q350" i="2" s="1"/>
  <c r="Q351" i="2" s="1"/>
  <c r="Q352" i="2" s="1"/>
  <c r="Q353" i="2" s="1"/>
  <c r="Q354" i="2" s="1"/>
  <c r="Q355" i="2" s="1"/>
  <c r="Q356" i="2" s="1"/>
  <c r="Q357" i="2" s="1"/>
  <c r="Q358" i="2" s="1"/>
  <c r="Q359" i="2" s="1"/>
  <c r="Q360" i="2" s="1"/>
  <c r="Q361" i="2" s="1"/>
  <c r="Q362" i="2" s="1"/>
  <c r="Q363" i="2" s="1"/>
  <c r="Q364" i="2" s="1"/>
  <c r="Q365" i="2" s="1"/>
  <c r="Q366" i="2" s="1"/>
  <c r="Q367" i="2" s="1"/>
  <c r="Q368" i="2" s="1"/>
  <c r="Q369" i="2" s="1"/>
  <c r="Q370" i="2" s="1"/>
  <c r="Q371" i="2" s="1"/>
  <c r="Q372" i="2" s="1"/>
  <c r="Q373" i="2" s="1"/>
  <c r="Q374" i="2" s="1"/>
  <c r="Q375" i="2" s="1"/>
  <c r="Q376" i="2" s="1"/>
  <c r="Q377" i="2" s="1"/>
  <c r="Q378" i="2" s="1"/>
  <c r="Q379" i="2" s="1"/>
  <c r="Q380" i="2" s="1"/>
  <c r="Q381" i="2" s="1"/>
  <c r="Q382" i="2" s="1"/>
  <c r="Q383" i="2" s="1"/>
  <c r="Q384" i="2" s="1"/>
  <c r="Q385" i="2" s="1"/>
  <c r="Q386" i="2" s="1"/>
  <c r="Q387" i="2" s="1"/>
  <c r="Q388" i="2" s="1"/>
  <c r="Q389" i="2" s="1"/>
  <c r="Q390" i="2" s="1"/>
  <c r="Q391" i="2" s="1"/>
  <c r="Q392" i="2" s="1"/>
  <c r="Q393" i="2" s="1"/>
  <c r="Q394" i="2" s="1"/>
  <c r="Q395" i="2" s="1"/>
  <c r="Q396" i="2" s="1"/>
  <c r="Q397" i="2" s="1"/>
  <c r="Q398" i="2" s="1"/>
  <c r="Q399" i="2" s="1"/>
  <c r="Q400" i="2" s="1"/>
  <c r="Q401" i="2" s="1"/>
  <c r="Q402" i="2" s="1"/>
  <c r="Q403" i="2" s="1"/>
  <c r="Q404" i="2" s="1"/>
  <c r="Q405" i="2" s="1"/>
  <c r="Q406" i="2" s="1"/>
  <c r="Q407" i="2" s="1"/>
  <c r="Q408" i="2" s="1"/>
  <c r="Q409" i="2" s="1"/>
  <c r="Q410" i="2" s="1"/>
  <c r="Q411" i="2" s="1"/>
  <c r="Q412" i="2" s="1"/>
  <c r="Q413" i="2" s="1"/>
  <c r="Q414" i="2" s="1"/>
  <c r="Q415" i="2" s="1"/>
  <c r="Q416" i="2" s="1"/>
  <c r="Q417" i="2" s="1"/>
  <c r="Q418" i="2" s="1"/>
  <c r="Q419" i="2" s="1"/>
  <c r="Q420" i="2" s="1"/>
  <c r="Q421" i="2" s="1"/>
  <c r="Q422" i="2" s="1"/>
  <c r="Q423" i="2" s="1"/>
  <c r="Q424" i="2" s="1"/>
  <c r="Q425" i="2" s="1"/>
  <c r="Q426" i="2" s="1"/>
  <c r="Q427" i="2" s="1"/>
  <c r="Q428" i="2" s="1"/>
  <c r="Q429" i="2" s="1"/>
  <c r="Q430" i="2" s="1"/>
  <c r="Q431" i="2" s="1"/>
  <c r="Q432" i="2" s="1"/>
  <c r="Q433" i="2" s="1"/>
  <c r="Q434" i="2" s="1"/>
  <c r="Q435" i="2" s="1"/>
  <c r="Q436" i="2" s="1"/>
  <c r="Q437" i="2" s="1"/>
  <c r="Q438" i="2" s="1"/>
  <c r="Q439" i="2" s="1"/>
  <c r="Q440" i="2" s="1"/>
  <c r="Q441" i="2" s="1"/>
  <c r="Q442" i="2" s="1"/>
  <c r="Q443" i="2" s="1"/>
  <c r="Q444" i="2" s="1"/>
  <c r="Q445" i="2" s="1"/>
  <c r="Q446" i="2" s="1"/>
  <c r="Q447" i="2" s="1"/>
  <c r="Q448" i="2" s="1"/>
  <c r="Q449" i="2" s="1"/>
  <c r="Q450" i="2" s="1"/>
  <c r="Q451" i="2" s="1"/>
  <c r="Q452" i="2" s="1"/>
  <c r="Q453" i="2" s="1"/>
  <c r="Q454" i="2" s="1"/>
  <c r="Q455" i="2" s="1"/>
  <c r="Q456" i="2" s="1"/>
  <c r="Q457" i="2" s="1"/>
  <c r="Q458" i="2" s="1"/>
  <c r="Q459" i="2" s="1"/>
  <c r="Q460" i="2" s="1"/>
  <c r="Q461" i="2" s="1"/>
  <c r="Q462" i="2" s="1"/>
  <c r="Q463" i="2" s="1"/>
  <c r="Q464" i="2" s="1"/>
  <c r="Q465" i="2" s="1"/>
  <c r="Q466" i="2" s="1"/>
  <c r="Q467" i="2" s="1"/>
  <c r="Q468" i="2" s="1"/>
  <c r="Q469" i="2" s="1"/>
  <c r="Q470" i="2" s="1"/>
  <c r="Q471" i="2" s="1"/>
  <c r="Q472" i="2" s="1"/>
  <c r="Q473" i="2" s="1"/>
  <c r="Q474" i="2" s="1"/>
  <c r="Q475" i="2" s="1"/>
  <c r="Q476" i="2" s="1"/>
  <c r="Q477" i="2" s="1"/>
  <c r="Q478" i="2" s="1"/>
  <c r="Q479" i="2" s="1"/>
  <c r="Q480" i="2" s="1"/>
  <c r="Q481" i="2" s="1"/>
  <c r="Q482" i="2" s="1"/>
  <c r="Q483" i="2" s="1"/>
  <c r="Q484" i="2" s="1"/>
  <c r="Q485" i="2" s="1"/>
  <c r="Q486" i="2" s="1"/>
  <c r="Q487" i="2" s="1"/>
  <c r="Q488" i="2" s="1"/>
  <c r="Q489" i="2" s="1"/>
  <c r="Q490" i="2" s="1"/>
  <c r="Q491" i="2" s="1"/>
  <c r="Q492" i="2" s="1"/>
  <c r="Q493" i="2" s="1"/>
  <c r="Q494" i="2" s="1"/>
  <c r="Q495" i="2" s="1"/>
  <c r="Q496" i="2" s="1"/>
  <c r="Q497" i="2" s="1"/>
  <c r="Q498" i="2" s="1"/>
  <c r="Q499" i="2" s="1"/>
  <c r="Q500" i="2" s="1"/>
  <c r="Q501" i="2" s="1"/>
  <c r="Q502" i="2" s="1"/>
  <c r="Q503" i="2" s="1"/>
  <c r="Q504" i="2" s="1"/>
  <c r="Q505" i="2" s="1"/>
  <c r="Q506" i="2" s="1"/>
  <c r="Q507" i="2" s="1"/>
  <c r="Q508" i="2" s="1"/>
  <c r="Q509" i="2" s="1"/>
  <c r="Q510" i="2" s="1"/>
  <c r="Q511" i="2" s="1"/>
  <c r="Q512" i="2" s="1"/>
  <c r="Q513" i="2" s="1"/>
  <c r="Q514" i="2" s="1"/>
  <c r="Q515" i="2" s="1"/>
  <c r="Q516" i="2" s="1"/>
  <c r="Q517" i="2" s="1"/>
  <c r="Q518" i="2" s="1"/>
  <c r="Q519" i="2" s="1"/>
  <c r="Q520" i="2" s="1"/>
  <c r="Q521" i="2" s="1"/>
  <c r="Q522" i="2" s="1"/>
  <c r="Q523" i="2" s="1"/>
  <c r="Q524" i="2" s="1"/>
  <c r="Q525" i="2" s="1"/>
  <c r="Q526" i="2" s="1"/>
  <c r="Q527" i="2" s="1"/>
  <c r="Q528" i="2" s="1"/>
  <c r="Q529" i="2" s="1"/>
  <c r="Q530" i="2" s="1"/>
  <c r="Q531" i="2" s="1"/>
  <c r="Q532" i="2" s="1"/>
  <c r="Q533" i="2" s="1"/>
  <c r="Q534" i="2" s="1"/>
  <c r="Q535" i="2" s="1"/>
  <c r="Q536" i="2" s="1"/>
  <c r="Q537" i="2" s="1"/>
  <c r="Q538" i="2" s="1"/>
  <c r="Q539" i="2" s="1"/>
  <c r="Q540" i="2" s="1"/>
  <c r="Q541" i="2" s="1"/>
  <c r="Q542" i="2" s="1"/>
  <c r="Q543" i="2" s="1"/>
  <c r="Q544" i="2" s="1"/>
  <c r="Q545" i="2" s="1"/>
  <c r="Q546" i="2" s="1"/>
  <c r="Q547" i="2" s="1"/>
  <c r="Q548" i="2" s="1"/>
  <c r="Q549" i="2" s="1"/>
  <c r="Q550" i="2" s="1"/>
  <c r="Q551" i="2" s="1"/>
  <c r="Q552" i="2" s="1"/>
  <c r="Q553" i="2" s="1"/>
  <c r="Q554" i="2" s="1"/>
  <c r="Q555" i="2" s="1"/>
  <c r="Q556" i="2" s="1"/>
  <c r="Q557" i="2" s="1"/>
  <c r="Q558" i="2" s="1"/>
  <c r="Q559" i="2" s="1"/>
  <c r="Q560" i="2" s="1"/>
  <c r="Q561" i="2" s="1"/>
  <c r="Q562" i="2" s="1"/>
  <c r="Q563" i="2" s="1"/>
  <c r="Q564" i="2" s="1"/>
  <c r="Q565" i="2" s="1"/>
  <c r="Q566" i="2" s="1"/>
  <c r="Q567" i="2" s="1"/>
  <c r="Q568" i="2" s="1"/>
  <c r="Q569" i="2" s="1"/>
  <c r="Q570" i="2" s="1"/>
  <c r="Q571" i="2" s="1"/>
  <c r="Q572" i="2" s="1"/>
  <c r="Q573" i="2" s="1"/>
  <c r="Q574" i="2" s="1"/>
  <c r="Q575" i="2" s="1"/>
  <c r="Q576" i="2" s="1"/>
  <c r="Q577" i="2" s="1"/>
  <c r="Q578" i="2" s="1"/>
  <c r="Q579" i="2" s="1"/>
  <c r="Q580" i="2" s="1"/>
  <c r="Q581" i="2" s="1"/>
  <c r="Q582" i="2" s="1"/>
  <c r="Q583" i="2" s="1"/>
  <c r="Q584" i="2" s="1"/>
  <c r="Q585" i="2" s="1"/>
  <c r="Q586" i="2" s="1"/>
  <c r="Q587" i="2" s="1"/>
  <c r="Q588" i="2" s="1"/>
  <c r="Q589" i="2" s="1"/>
  <c r="Q590" i="2" s="1"/>
  <c r="Q591" i="2" s="1"/>
  <c r="Q592" i="2" s="1"/>
  <c r="Q593" i="2" s="1"/>
  <c r="Q594" i="2" s="1"/>
  <c r="Q595" i="2" s="1"/>
  <c r="Q596" i="2" s="1"/>
  <c r="Q597" i="2" s="1"/>
  <c r="Q598" i="2" s="1"/>
  <c r="Q599" i="2" s="1"/>
  <c r="Q600" i="2" s="1"/>
  <c r="Q601" i="2" s="1"/>
  <c r="Q602" i="2" s="1"/>
  <c r="Q603" i="2" s="1"/>
  <c r="Q604" i="2" s="1"/>
  <c r="Q605" i="2" s="1"/>
  <c r="Q606" i="2" s="1"/>
  <c r="Q607" i="2" s="1"/>
  <c r="Q608" i="2" s="1"/>
  <c r="Q609" i="2" s="1"/>
  <c r="Q610" i="2" s="1"/>
  <c r="Q611" i="2" s="1"/>
  <c r="Q612" i="2" s="1"/>
  <c r="Q613" i="2" s="1"/>
  <c r="Q614" i="2" s="1"/>
  <c r="Q615" i="2" s="1"/>
  <c r="Q616" i="2" s="1"/>
  <c r="Q617" i="2" s="1"/>
  <c r="Q618" i="2" s="1"/>
  <c r="Q619" i="2" s="1"/>
  <c r="Q620" i="2" s="1"/>
  <c r="Q621" i="2" s="1"/>
  <c r="Q622" i="2" s="1"/>
  <c r="Q623" i="2" s="1"/>
  <c r="Q624" i="2" s="1"/>
  <c r="Q625" i="2" s="1"/>
  <c r="Q626" i="2" s="1"/>
  <c r="Q627" i="2" s="1"/>
  <c r="Q628" i="2" s="1"/>
  <c r="Q629" i="2" s="1"/>
  <c r="Q630" i="2" s="1"/>
  <c r="Q631" i="2" s="1"/>
  <c r="Q632" i="2" s="1"/>
  <c r="Q633" i="2" s="1"/>
  <c r="Q634" i="2" s="1"/>
  <c r="Q635" i="2" s="1"/>
  <c r="Q636" i="2" s="1"/>
  <c r="Q637" i="2" s="1"/>
  <c r="Q638" i="2" s="1"/>
  <c r="Q639" i="2" s="1"/>
  <c r="Q640" i="2" s="1"/>
  <c r="Q641" i="2" s="1"/>
  <c r="Q642" i="2" s="1"/>
  <c r="Q643" i="2" s="1"/>
  <c r="Q644" i="2" s="1"/>
  <c r="Q645" i="2" s="1"/>
  <c r="Q646" i="2" s="1"/>
  <c r="Q647" i="2" s="1"/>
  <c r="Q648" i="2" s="1"/>
  <c r="Q649" i="2" s="1"/>
  <c r="Q650" i="2" s="1"/>
  <c r="Q651" i="2" s="1"/>
  <c r="Q652" i="2" s="1"/>
  <c r="Q653" i="2" s="1"/>
  <c r="Q654" i="2" s="1"/>
  <c r="Q655" i="2" s="1"/>
  <c r="Q656" i="2" s="1"/>
  <c r="Q657" i="2" s="1"/>
  <c r="Q658" i="2" s="1"/>
  <c r="Q659" i="2" s="1"/>
  <c r="Q660" i="2" s="1"/>
  <c r="Q661" i="2" s="1"/>
  <c r="Q662" i="2" s="1"/>
  <c r="Q663" i="2" s="1"/>
  <c r="Q664" i="2" s="1"/>
  <c r="Q665" i="2" s="1"/>
  <c r="Q666" i="2" s="1"/>
  <c r="Q667" i="2" s="1"/>
  <c r="Q668" i="2" s="1"/>
  <c r="Q669" i="2" s="1"/>
  <c r="Q670" i="2" s="1"/>
  <c r="Q671" i="2" s="1"/>
  <c r="Q672" i="2" s="1"/>
  <c r="Q673" i="2" s="1"/>
  <c r="Q674" i="2" s="1"/>
  <c r="Q675" i="2" s="1"/>
  <c r="Q676" i="2" s="1"/>
  <c r="Q677" i="2" s="1"/>
  <c r="Q678" i="2" s="1"/>
  <c r="Q679" i="2" s="1"/>
  <c r="Q680" i="2" s="1"/>
  <c r="Q681" i="2" s="1"/>
  <c r="Q682" i="2" s="1"/>
  <c r="Q683" i="2" s="1"/>
  <c r="Q684" i="2" s="1"/>
  <c r="Q685" i="2" s="1"/>
  <c r="Q686" i="2" s="1"/>
  <c r="Q687" i="2" s="1"/>
  <c r="Q688" i="2" s="1"/>
  <c r="Q689" i="2" s="1"/>
  <c r="Q690" i="2" s="1"/>
  <c r="Q691" i="2" s="1"/>
  <c r="Q692" i="2" s="1"/>
  <c r="Q693" i="2" s="1"/>
  <c r="Q694" i="2" s="1"/>
  <c r="Q695" i="2" s="1"/>
  <c r="Q696" i="2" s="1"/>
  <c r="Q697" i="2" s="1"/>
  <c r="Q698" i="2" s="1"/>
  <c r="Q699" i="2" s="1"/>
  <c r="Q700" i="2" s="1"/>
  <c r="Q701" i="2" s="1"/>
  <c r="Q702" i="2" s="1"/>
  <c r="Q703" i="2" s="1"/>
  <c r="Q704" i="2" s="1"/>
  <c r="Q705" i="2" s="1"/>
  <c r="Q706" i="2" s="1"/>
  <c r="Q707" i="2" s="1"/>
  <c r="Q708" i="2" s="1"/>
  <c r="Q709" i="2" s="1"/>
  <c r="Q710" i="2" s="1"/>
  <c r="Q711" i="2" s="1"/>
  <c r="Q712" i="2" s="1"/>
  <c r="Q713" i="2" s="1"/>
  <c r="Q714" i="2" s="1"/>
  <c r="Q715" i="2" s="1"/>
  <c r="Q716" i="2" s="1"/>
  <c r="Q717" i="2" s="1"/>
  <c r="Q718" i="2" s="1"/>
  <c r="Q719" i="2" s="1"/>
  <c r="Q720" i="2" s="1"/>
  <c r="Q721" i="2" s="1"/>
  <c r="Q722" i="2" s="1"/>
  <c r="Q723" i="2" s="1"/>
  <c r="Q724" i="2" s="1"/>
  <c r="Q725" i="2" s="1"/>
  <c r="Q726" i="2" s="1"/>
  <c r="Q727" i="2" s="1"/>
  <c r="Q728" i="2" s="1"/>
  <c r="Q729" i="2" s="1"/>
  <c r="Q730" i="2" s="1"/>
  <c r="Q731" i="2" s="1"/>
  <c r="Q732" i="2" s="1"/>
  <c r="Q733" i="2" s="1"/>
  <c r="Q734" i="2" s="1"/>
  <c r="Q735" i="2" s="1"/>
  <c r="Q736" i="2" s="1"/>
  <c r="Q737" i="2" s="1"/>
  <c r="Q738" i="2" s="1"/>
  <c r="Q739" i="2" s="1"/>
  <c r="Q740" i="2" s="1"/>
  <c r="Q741" i="2" s="1"/>
  <c r="Q742" i="2" s="1"/>
  <c r="Q743" i="2" s="1"/>
  <c r="Q744" i="2" s="1"/>
  <c r="Q745" i="2" s="1"/>
  <c r="Q746" i="2" s="1"/>
  <c r="Q747" i="2" s="1"/>
  <c r="Q748" i="2" s="1"/>
  <c r="Q749" i="2" s="1"/>
  <c r="Q750" i="2" s="1"/>
  <c r="Q751" i="2" s="1"/>
  <c r="Q752" i="2" s="1"/>
  <c r="Q753" i="2" s="1"/>
  <c r="Q754" i="2" s="1"/>
  <c r="Q755" i="2" s="1"/>
  <c r="Q756" i="2" s="1"/>
  <c r="Q757" i="2" s="1"/>
  <c r="Q758" i="2" s="1"/>
  <c r="Q759" i="2" s="1"/>
  <c r="Q760" i="2" s="1"/>
  <c r="Q761" i="2" s="1"/>
  <c r="Q762" i="2" s="1"/>
  <c r="Q763" i="2" s="1"/>
  <c r="Q764" i="2" s="1"/>
  <c r="Q765" i="2" s="1"/>
  <c r="Q766" i="2" s="1"/>
  <c r="Q767" i="2" s="1"/>
  <c r="Q768" i="2" s="1"/>
  <c r="Q769" i="2" s="1"/>
  <c r="Q770" i="2" s="1"/>
  <c r="Q771" i="2" s="1"/>
  <c r="Q772" i="2" s="1"/>
  <c r="Q773" i="2" s="1"/>
  <c r="Q774" i="2" s="1"/>
  <c r="Q775" i="2" s="1"/>
  <c r="Q776" i="2" s="1"/>
  <c r="Q777" i="2" s="1"/>
  <c r="Q778" i="2" s="1"/>
  <c r="Q779" i="2" s="1"/>
  <c r="Q780" i="2" s="1"/>
  <c r="Q781" i="2" s="1"/>
  <c r="Q782" i="2" s="1"/>
  <c r="Q783" i="2" s="1"/>
  <c r="Q784" i="2" s="1"/>
  <c r="Q785" i="2" s="1"/>
  <c r="Q786" i="2" s="1"/>
  <c r="Q787" i="2" s="1"/>
  <c r="Q788" i="2" s="1"/>
  <c r="Q789" i="2" s="1"/>
  <c r="Q790" i="2" s="1"/>
  <c r="Q791" i="2" s="1"/>
  <c r="Q792" i="2" s="1"/>
  <c r="Q793" i="2" s="1"/>
  <c r="Q794" i="2" s="1"/>
  <c r="Q795" i="2" s="1"/>
  <c r="Q796" i="2" s="1"/>
  <c r="Q797" i="2" s="1"/>
  <c r="Q798" i="2" s="1"/>
  <c r="Q799" i="2" s="1"/>
  <c r="Q800" i="2" s="1"/>
  <c r="Q801" i="2" s="1"/>
  <c r="Q802" i="2" s="1"/>
  <c r="Q803" i="2" s="1"/>
  <c r="Q804" i="2" s="1"/>
  <c r="Q805" i="2" s="1"/>
  <c r="Q806" i="2" s="1"/>
  <c r="Q807" i="2" s="1"/>
  <c r="Q808" i="2" s="1"/>
  <c r="Q809" i="2" s="1"/>
  <c r="Q810" i="2" s="1"/>
  <c r="Q811" i="2" s="1"/>
  <c r="Q812" i="2" s="1"/>
  <c r="Q813" i="2" s="1"/>
  <c r="Q814" i="2" s="1"/>
  <c r="Q815" i="2" s="1"/>
  <c r="Q816" i="2" s="1"/>
  <c r="Q817" i="2" s="1"/>
  <c r="Q818" i="2" s="1"/>
  <c r="Q819" i="2" s="1"/>
  <c r="Q820" i="2" s="1"/>
  <c r="Q821" i="2" s="1"/>
  <c r="Q822" i="2" s="1"/>
  <c r="Q823" i="2" s="1"/>
  <c r="Q824" i="2" s="1"/>
  <c r="Q825" i="2" s="1"/>
  <c r="Q826" i="2" s="1"/>
  <c r="Q827" i="2" s="1"/>
  <c r="Q828" i="2" s="1"/>
  <c r="Q829" i="2" s="1"/>
  <c r="Q830" i="2" s="1"/>
  <c r="Q831" i="2" s="1"/>
  <c r="Q832" i="2" s="1"/>
  <c r="Q833" i="2" s="1"/>
  <c r="Q834" i="2" s="1"/>
  <c r="Q835" i="2" s="1"/>
  <c r="Q836" i="2" s="1"/>
  <c r="Q837" i="2" s="1"/>
  <c r="Q838" i="2" s="1"/>
  <c r="Q839" i="2" s="1"/>
  <c r="Q840" i="2" s="1"/>
  <c r="Q841" i="2" s="1"/>
  <c r="Q842" i="2" s="1"/>
  <c r="Q843" i="2" s="1"/>
  <c r="Q844" i="2" s="1"/>
  <c r="Q845" i="2" s="1"/>
  <c r="Q846" i="2" s="1"/>
  <c r="Q847" i="2" s="1"/>
  <c r="Q848" i="2" s="1"/>
  <c r="Q849" i="2" s="1"/>
  <c r="Q850" i="2" s="1"/>
  <c r="Q851" i="2" s="1"/>
  <c r="Q852" i="2" s="1"/>
  <c r="Q853" i="2" s="1"/>
  <c r="Q854" i="2" s="1"/>
  <c r="Q855" i="2" s="1"/>
  <c r="Q856" i="2" s="1"/>
  <c r="Q857" i="2" s="1"/>
  <c r="Q858" i="2" s="1"/>
  <c r="Q859" i="2" s="1"/>
  <c r="Q860" i="2" s="1"/>
  <c r="Q861" i="2" s="1"/>
  <c r="Q862" i="2" s="1"/>
  <c r="Q863" i="2" s="1"/>
  <c r="Q864" i="2" s="1"/>
  <c r="Q865" i="2" s="1"/>
  <c r="Q866" i="2" s="1"/>
  <c r="Q867" i="2" s="1"/>
  <c r="Q868" i="2" s="1"/>
  <c r="Q869" i="2" s="1"/>
  <c r="Q870" i="2" s="1"/>
  <c r="Q871" i="2" s="1"/>
  <c r="Q872" i="2" s="1"/>
  <c r="Q873" i="2" s="1"/>
  <c r="Q874" i="2" s="1"/>
  <c r="Q875" i="2" s="1"/>
  <c r="Q876" i="2" s="1"/>
  <c r="Q877" i="2" s="1"/>
  <c r="Q878" i="2" s="1"/>
  <c r="Q879" i="2" s="1"/>
  <c r="Q880" i="2" s="1"/>
  <c r="Q881" i="2" s="1"/>
  <c r="Q882" i="2" s="1"/>
  <c r="Q883" i="2" s="1"/>
  <c r="Q884" i="2" s="1"/>
  <c r="Q885" i="2" s="1"/>
  <c r="Q886" i="2" s="1"/>
  <c r="Q887" i="2" s="1"/>
  <c r="Q888" i="2" s="1"/>
  <c r="Q889" i="2" s="1"/>
  <c r="Q890" i="2" s="1"/>
  <c r="Q891" i="2" s="1"/>
  <c r="Q892" i="2" s="1"/>
  <c r="Q893" i="2" s="1"/>
  <c r="Q894" i="2" s="1"/>
  <c r="Q895" i="2" s="1"/>
  <c r="Q896" i="2" s="1"/>
  <c r="Q897" i="2" s="1"/>
  <c r="Q898" i="2" s="1"/>
  <c r="Q899" i="2" s="1"/>
  <c r="Q900" i="2" s="1"/>
  <c r="Q901" i="2" s="1"/>
  <c r="Q902" i="2" s="1"/>
  <c r="Q903" i="2" s="1"/>
  <c r="Q904" i="2" s="1"/>
  <c r="Q905" i="2" s="1"/>
  <c r="Q906" i="2" s="1"/>
  <c r="Q907" i="2" s="1"/>
  <c r="Q908" i="2" s="1"/>
  <c r="Q909" i="2" s="1"/>
  <c r="Q910" i="2" s="1"/>
  <c r="Q911" i="2" s="1"/>
  <c r="Q912" i="2" s="1"/>
  <c r="Q913" i="2" s="1"/>
  <c r="Q914" i="2" s="1"/>
  <c r="Q915" i="2" s="1"/>
  <c r="Q916" i="2" s="1"/>
  <c r="Q917" i="2" s="1"/>
  <c r="Q918" i="2" s="1"/>
  <c r="Q919" i="2" s="1"/>
  <c r="Q920" i="2" s="1"/>
  <c r="Q921" i="2" s="1"/>
  <c r="Q922" i="2" s="1"/>
  <c r="Q923" i="2" s="1"/>
  <c r="Q924" i="2" s="1"/>
  <c r="Q925" i="2" s="1"/>
  <c r="Q926" i="2" s="1"/>
  <c r="Q927" i="2" s="1"/>
  <c r="Q928" i="2" s="1"/>
  <c r="Q929" i="2" s="1"/>
  <c r="Q930" i="2" s="1"/>
  <c r="Q931" i="2" s="1"/>
  <c r="Q932" i="2" s="1"/>
  <c r="Q933" i="2" s="1"/>
  <c r="Q934" i="2" s="1"/>
  <c r="Q935" i="2" s="1"/>
  <c r="Q936" i="2" s="1"/>
  <c r="Q937" i="2" s="1"/>
  <c r="Q938" i="2" s="1"/>
  <c r="Q939" i="2" s="1"/>
  <c r="Q940" i="2" s="1"/>
  <c r="Q941" i="2" s="1"/>
  <c r="Q942" i="2" s="1"/>
  <c r="Q943" i="2" s="1"/>
  <c r="Q944" i="2" s="1"/>
  <c r="Q945" i="2" s="1"/>
  <c r="Q946" i="2" s="1"/>
  <c r="Q947" i="2" s="1"/>
  <c r="Q948" i="2" s="1"/>
  <c r="Q949" i="2" s="1"/>
  <c r="Q950" i="2" s="1"/>
  <c r="Q951" i="2" s="1"/>
  <c r="Q952" i="2" s="1"/>
  <c r="Q953" i="2" s="1"/>
  <c r="Q954" i="2" s="1"/>
  <c r="Q955" i="2" s="1"/>
  <c r="Q956" i="2" s="1"/>
  <c r="Q957" i="2" s="1"/>
  <c r="Q958" i="2" s="1"/>
  <c r="Q959" i="2" s="1"/>
  <c r="Q960" i="2" s="1"/>
  <c r="Q961" i="2" s="1"/>
  <c r="Q962" i="2" s="1"/>
  <c r="Q963" i="2" s="1"/>
  <c r="Q964" i="2" s="1"/>
  <c r="Q965" i="2" s="1"/>
  <c r="Q966" i="2" s="1"/>
  <c r="Q967" i="2" s="1"/>
  <c r="Q968" i="2" s="1"/>
  <c r="Q969" i="2" s="1"/>
  <c r="Q970" i="2" s="1"/>
  <c r="Q971" i="2" s="1"/>
  <c r="Q972" i="2" s="1"/>
  <c r="Q973" i="2" s="1"/>
  <c r="Q974" i="2" s="1"/>
  <c r="Q975" i="2" s="1"/>
  <c r="Q976" i="2" s="1"/>
  <c r="Q977" i="2" s="1"/>
  <c r="Q978" i="2" s="1"/>
  <c r="Q979" i="2" s="1"/>
  <c r="Q980" i="2" s="1"/>
  <c r="Q981" i="2" s="1"/>
  <c r="Q982" i="2" s="1"/>
  <c r="Q983" i="2" s="1"/>
  <c r="Q984" i="2" s="1"/>
  <c r="Q985" i="2" s="1"/>
  <c r="Q986" i="2" s="1"/>
  <c r="Q987" i="2" s="1"/>
  <c r="Q988" i="2" s="1"/>
  <c r="Q989" i="2" s="1"/>
  <c r="Q990" i="2" s="1"/>
  <c r="Q991" i="2" s="1"/>
  <c r="Q992" i="2" s="1"/>
  <c r="Q993" i="2" s="1"/>
  <c r="Q994" i="2" s="1"/>
  <c r="Q995" i="2" s="1"/>
  <c r="Q996" i="2" s="1"/>
  <c r="Q997" i="2" s="1"/>
  <c r="Q998" i="2" s="1"/>
  <c r="Q999" i="2" s="1"/>
  <c r="Q1000" i="2" s="1"/>
  <c r="Q1001" i="2" s="1"/>
  <c r="Q1002" i="2" s="1"/>
  <c r="Q1003" i="2" s="1"/>
  <c r="Q1004" i="2" s="1"/>
  <c r="Q1005" i="2" s="1"/>
  <c r="Q1006" i="2" s="1"/>
  <c r="Q1007" i="2" s="1"/>
  <c r="Q1008" i="2" s="1"/>
  <c r="Q1009" i="2" s="1"/>
  <c r="Q1010" i="2" s="1"/>
  <c r="Q1011" i="2" s="1"/>
  <c r="Q1012" i="2" s="1"/>
  <c r="Q1013" i="2" s="1"/>
  <c r="Q1014" i="2" s="1"/>
  <c r="Q1015" i="2" s="1"/>
  <c r="Q1016" i="2" s="1"/>
  <c r="Q1017" i="2" s="1"/>
  <c r="Q1018" i="2" s="1"/>
  <c r="Q1019" i="2" s="1"/>
  <c r="Q1020" i="2" s="1"/>
  <c r="Q1021" i="2" s="1"/>
  <c r="Q1022" i="2" s="1"/>
  <c r="Q1023" i="2" s="1"/>
  <c r="Q1024" i="2" s="1"/>
  <c r="Q1025" i="2" s="1"/>
  <c r="Q1026" i="2" s="1"/>
  <c r="Q1027" i="2" s="1"/>
  <c r="Q1028" i="2" s="1"/>
  <c r="Q1029" i="2" s="1"/>
  <c r="Q1030" i="2" s="1"/>
  <c r="Q1031" i="2" s="1"/>
  <c r="Q1032" i="2" s="1"/>
  <c r="Q1033" i="2" s="1"/>
  <c r="Q1034" i="2" s="1"/>
  <c r="Q1035" i="2" s="1"/>
  <c r="Q31" i="2"/>
  <c r="P31" i="2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P492" i="2" s="1"/>
  <c r="P493" i="2" s="1"/>
  <c r="P494" i="2" s="1"/>
  <c r="P495" i="2" s="1"/>
  <c r="P496" i="2" s="1"/>
  <c r="P497" i="2" s="1"/>
  <c r="P498" i="2" s="1"/>
  <c r="P499" i="2" s="1"/>
  <c r="P500" i="2" s="1"/>
  <c r="P501" i="2" s="1"/>
  <c r="P502" i="2" s="1"/>
  <c r="P503" i="2" s="1"/>
  <c r="P504" i="2" s="1"/>
  <c r="P505" i="2" s="1"/>
  <c r="P506" i="2" s="1"/>
  <c r="P507" i="2" s="1"/>
  <c r="P508" i="2" s="1"/>
  <c r="P509" i="2" s="1"/>
  <c r="P510" i="2" s="1"/>
  <c r="P511" i="2" s="1"/>
  <c r="P512" i="2" s="1"/>
  <c r="P513" i="2" s="1"/>
  <c r="P514" i="2" s="1"/>
  <c r="P515" i="2" s="1"/>
  <c r="P516" i="2" s="1"/>
  <c r="P517" i="2" s="1"/>
  <c r="P518" i="2" s="1"/>
  <c r="P519" i="2" s="1"/>
  <c r="P520" i="2" s="1"/>
  <c r="P521" i="2" s="1"/>
  <c r="P522" i="2" s="1"/>
  <c r="P523" i="2" s="1"/>
  <c r="P524" i="2" s="1"/>
  <c r="P525" i="2" s="1"/>
  <c r="P526" i="2" s="1"/>
  <c r="P527" i="2" s="1"/>
  <c r="P528" i="2" s="1"/>
  <c r="P529" i="2" s="1"/>
  <c r="P530" i="2" s="1"/>
  <c r="P531" i="2" s="1"/>
  <c r="P532" i="2" s="1"/>
  <c r="P533" i="2" s="1"/>
  <c r="P534" i="2" s="1"/>
  <c r="P535" i="2" s="1"/>
  <c r="P536" i="2" s="1"/>
  <c r="P537" i="2" s="1"/>
  <c r="P538" i="2" s="1"/>
  <c r="P539" i="2" s="1"/>
  <c r="P540" i="2" s="1"/>
  <c r="P541" i="2" s="1"/>
  <c r="P542" i="2" s="1"/>
  <c r="P543" i="2" s="1"/>
  <c r="P544" i="2" s="1"/>
  <c r="P545" i="2" s="1"/>
  <c r="P546" i="2" s="1"/>
  <c r="P547" i="2" s="1"/>
  <c r="P548" i="2" s="1"/>
  <c r="P549" i="2" s="1"/>
  <c r="P550" i="2" s="1"/>
  <c r="P551" i="2" s="1"/>
  <c r="P552" i="2" s="1"/>
  <c r="P553" i="2" s="1"/>
  <c r="P554" i="2" s="1"/>
  <c r="P555" i="2" s="1"/>
  <c r="P556" i="2" s="1"/>
  <c r="P557" i="2" s="1"/>
  <c r="P558" i="2" s="1"/>
  <c r="P559" i="2" s="1"/>
  <c r="P560" i="2" s="1"/>
  <c r="P561" i="2" s="1"/>
  <c r="P562" i="2" s="1"/>
  <c r="P563" i="2" s="1"/>
  <c r="P564" i="2" s="1"/>
  <c r="P565" i="2" s="1"/>
  <c r="P566" i="2" s="1"/>
  <c r="P567" i="2" s="1"/>
  <c r="P568" i="2" s="1"/>
  <c r="P569" i="2" s="1"/>
  <c r="P570" i="2" s="1"/>
  <c r="P571" i="2" s="1"/>
  <c r="P572" i="2" s="1"/>
  <c r="P573" i="2" s="1"/>
  <c r="P574" i="2" s="1"/>
  <c r="P575" i="2" s="1"/>
  <c r="P576" i="2" s="1"/>
  <c r="P577" i="2" s="1"/>
  <c r="P578" i="2" s="1"/>
  <c r="P579" i="2" s="1"/>
  <c r="P580" i="2" s="1"/>
  <c r="P581" i="2" s="1"/>
  <c r="P582" i="2" s="1"/>
  <c r="P583" i="2" s="1"/>
  <c r="P584" i="2" s="1"/>
  <c r="P585" i="2" s="1"/>
  <c r="P586" i="2" s="1"/>
  <c r="P587" i="2" s="1"/>
  <c r="P588" i="2" s="1"/>
  <c r="P589" i="2" s="1"/>
  <c r="P590" i="2" s="1"/>
  <c r="P591" i="2" s="1"/>
  <c r="P592" i="2" s="1"/>
  <c r="P593" i="2" s="1"/>
  <c r="P594" i="2" s="1"/>
  <c r="P595" i="2" s="1"/>
  <c r="P596" i="2" s="1"/>
  <c r="P597" i="2" s="1"/>
  <c r="P598" i="2" s="1"/>
  <c r="P599" i="2" s="1"/>
  <c r="P600" i="2" s="1"/>
  <c r="P601" i="2" s="1"/>
  <c r="P602" i="2" s="1"/>
  <c r="P603" i="2" s="1"/>
  <c r="P604" i="2" s="1"/>
  <c r="P605" i="2" s="1"/>
  <c r="P606" i="2" s="1"/>
  <c r="P607" i="2" s="1"/>
  <c r="P608" i="2" s="1"/>
  <c r="P609" i="2" s="1"/>
  <c r="P610" i="2" s="1"/>
  <c r="P611" i="2" s="1"/>
  <c r="P612" i="2" s="1"/>
  <c r="P613" i="2" s="1"/>
  <c r="P614" i="2" s="1"/>
  <c r="P615" i="2" s="1"/>
  <c r="P616" i="2" s="1"/>
  <c r="P617" i="2" s="1"/>
  <c r="P618" i="2" s="1"/>
  <c r="P619" i="2" s="1"/>
  <c r="P620" i="2" s="1"/>
  <c r="P621" i="2" s="1"/>
  <c r="P622" i="2" s="1"/>
  <c r="P623" i="2" s="1"/>
  <c r="P624" i="2" s="1"/>
  <c r="P625" i="2" s="1"/>
  <c r="P626" i="2" s="1"/>
  <c r="P627" i="2" s="1"/>
  <c r="P628" i="2" s="1"/>
  <c r="P629" i="2" s="1"/>
  <c r="P630" i="2" s="1"/>
  <c r="P631" i="2" s="1"/>
  <c r="P632" i="2" s="1"/>
  <c r="P633" i="2" s="1"/>
  <c r="P634" i="2" s="1"/>
  <c r="P635" i="2" s="1"/>
  <c r="P636" i="2" s="1"/>
  <c r="P637" i="2" s="1"/>
  <c r="P638" i="2" s="1"/>
  <c r="P639" i="2" s="1"/>
  <c r="P640" i="2" s="1"/>
  <c r="P641" i="2" s="1"/>
  <c r="P642" i="2" s="1"/>
  <c r="P643" i="2" s="1"/>
  <c r="P644" i="2" s="1"/>
  <c r="P645" i="2" s="1"/>
  <c r="P646" i="2" s="1"/>
  <c r="P647" i="2" s="1"/>
  <c r="P648" i="2" s="1"/>
  <c r="P649" i="2" s="1"/>
  <c r="P650" i="2" s="1"/>
  <c r="P651" i="2" s="1"/>
  <c r="P652" i="2" s="1"/>
  <c r="P653" i="2" s="1"/>
  <c r="P654" i="2" s="1"/>
  <c r="P655" i="2" s="1"/>
  <c r="P656" i="2" s="1"/>
  <c r="P657" i="2" s="1"/>
  <c r="P658" i="2" s="1"/>
  <c r="P659" i="2" s="1"/>
  <c r="P660" i="2" s="1"/>
  <c r="P661" i="2" s="1"/>
  <c r="P662" i="2" s="1"/>
  <c r="P663" i="2" s="1"/>
  <c r="P664" i="2" s="1"/>
  <c r="P665" i="2" s="1"/>
  <c r="P666" i="2" s="1"/>
  <c r="P667" i="2" s="1"/>
  <c r="P668" i="2" s="1"/>
  <c r="P669" i="2" s="1"/>
  <c r="P670" i="2" s="1"/>
  <c r="P671" i="2" s="1"/>
  <c r="P672" i="2" s="1"/>
  <c r="P673" i="2" s="1"/>
  <c r="P674" i="2" s="1"/>
  <c r="P675" i="2" s="1"/>
  <c r="P676" i="2" s="1"/>
  <c r="P677" i="2" s="1"/>
  <c r="P678" i="2" s="1"/>
  <c r="P679" i="2" s="1"/>
  <c r="P680" i="2" s="1"/>
  <c r="P681" i="2" s="1"/>
  <c r="P682" i="2" s="1"/>
  <c r="P683" i="2" s="1"/>
  <c r="P684" i="2" s="1"/>
  <c r="P685" i="2" s="1"/>
  <c r="P686" i="2" s="1"/>
  <c r="P687" i="2" s="1"/>
  <c r="P688" i="2" s="1"/>
  <c r="P689" i="2" s="1"/>
  <c r="P690" i="2" s="1"/>
  <c r="P691" i="2" s="1"/>
  <c r="P692" i="2" s="1"/>
  <c r="P693" i="2" s="1"/>
  <c r="P694" i="2" s="1"/>
  <c r="P695" i="2" s="1"/>
  <c r="P696" i="2" s="1"/>
  <c r="P697" i="2" s="1"/>
  <c r="P698" i="2" s="1"/>
  <c r="P699" i="2" s="1"/>
  <c r="P700" i="2" s="1"/>
  <c r="P701" i="2" s="1"/>
  <c r="P702" i="2" s="1"/>
  <c r="P703" i="2" s="1"/>
  <c r="P704" i="2" s="1"/>
  <c r="P705" i="2" s="1"/>
  <c r="P706" i="2" s="1"/>
  <c r="P707" i="2" s="1"/>
  <c r="P708" i="2" s="1"/>
  <c r="P709" i="2" s="1"/>
  <c r="P710" i="2" s="1"/>
  <c r="P711" i="2" s="1"/>
  <c r="P712" i="2" s="1"/>
  <c r="P713" i="2" s="1"/>
  <c r="P714" i="2" s="1"/>
  <c r="P715" i="2" s="1"/>
  <c r="P716" i="2" s="1"/>
  <c r="P717" i="2" s="1"/>
  <c r="P718" i="2" s="1"/>
  <c r="P719" i="2" s="1"/>
  <c r="P720" i="2" s="1"/>
  <c r="P721" i="2" s="1"/>
  <c r="P722" i="2" s="1"/>
  <c r="P723" i="2" s="1"/>
  <c r="P724" i="2" s="1"/>
  <c r="P725" i="2" s="1"/>
  <c r="P726" i="2" s="1"/>
  <c r="P727" i="2" s="1"/>
  <c r="P728" i="2" s="1"/>
  <c r="P729" i="2" s="1"/>
  <c r="P730" i="2" s="1"/>
  <c r="P731" i="2" s="1"/>
  <c r="P732" i="2" s="1"/>
  <c r="P733" i="2" s="1"/>
  <c r="P734" i="2" s="1"/>
  <c r="P735" i="2" s="1"/>
  <c r="P736" i="2" s="1"/>
  <c r="P737" i="2" s="1"/>
  <c r="P738" i="2" s="1"/>
  <c r="P739" i="2" s="1"/>
  <c r="P740" i="2" s="1"/>
  <c r="P741" i="2" s="1"/>
  <c r="P742" i="2" s="1"/>
  <c r="P743" i="2" s="1"/>
  <c r="P744" i="2" s="1"/>
  <c r="P745" i="2" s="1"/>
  <c r="P746" i="2" s="1"/>
  <c r="P747" i="2" s="1"/>
  <c r="P748" i="2" s="1"/>
  <c r="P749" i="2" s="1"/>
  <c r="P750" i="2" s="1"/>
  <c r="P751" i="2" s="1"/>
  <c r="P752" i="2" s="1"/>
  <c r="P753" i="2" s="1"/>
  <c r="P754" i="2" s="1"/>
  <c r="P755" i="2" s="1"/>
  <c r="P756" i="2" s="1"/>
  <c r="P757" i="2" s="1"/>
  <c r="P758" i="2" s="1"/>
  <c r="P759" i="2" s="1"/>
  <c r="P760" i="2" s="1"/>
  <c r="P761" i="2" s="1"/>
  <c r="P762" i="2" s="1"/>
  <c r="P763" i="2" s="1"/>
  <c r="P764" i="2" s="1"/>
  <c r="P765" i="2" s="1"/>
  <c r="P766" i="2" s="1"/>
  <c r="P767" i="2" s="1"/>
  <c r="P768" i="2" s="1"/>
  <c r="P769" i="2" s="1"/>
  <c r="P770" i="2" s="1"/>
  <c r="P771" i="2" s="1"/>
  <c r="P772" i="2" s="1"/>
  <c r="P773" i="2" s="1"/>
  <c r="P774" i="2" s="1"/>
  <c r="P775" i="2" s="1"/>
  <c r="P776" i="2" s="1"/>
  <c r="P777" i="2" s="1"/>
  <c r="P778" i="2" s="1"/>
  <c r="P779" i="2" s="1"/>
  <c r="P780" i="2" s="1"/>
  <c r="P781" i="2" s="1"/>
  <c r="P782" i="2" s="1"/>
  <c r="P783" i="2" s="1"/>
  <c r="P784" i="2" s="1"/>
  <c r="P785" i="2" s="1"/>
  <c r="P786" i="2" s="1"/>
  <c r="P787" i="2" s="1"/>
  <c r="P788" i="2" s="1"/>
  <c r="P789" i="2" s="1"/>
  <c r="P790" i="2" s="1"/>
  <c r="P791" i="2" s="1"/>
  <c r="P792" i="2" s="1"/>
  <c r="P793" i="2" s="1"/>
  <c r="P794" i="2" s="1"/>
  <c r="P795" i="2" s="1"/>
  <c r="P796" i="2" s="1"/>
  <c r="P797" i="2" s="1"/>
  <c r="P798" i="2" s="1"/>
  <c r="P799" i="2" s="1"/>
  <c r="P800" i="2" s="1"/>
  <c r="P801" i="2" s="1"/>
  <c r="P802" i="2" s="1"/>
  <c r="P803" i="2" s="1"/>
  <c r="P804" i="2" s="1"/>
  <c r="P805" i="2" s="1"/>
  <c r="P806" i="2" s="1"/>
  <c r="P807" i="2" s="1"/>
  <c r="P808" i="2" s="1"/>
  <c r="P809" i="2" s="1"/>
  <c r="P810" i="2" s="1"/>
  <c r="P811" i="2" s="1"/>
  <c r="P812" i="2" s="1"/>
  <c r="P813" i="2" s="1"/>
  <c r="P814" i="2" s="1"/>
  <c r="P815" i="2" s="1"/>
  <c r="P816" i="2" s="1"/>
  <c r="P817" i="2" s="1"/>
  <c r="P818" i="2" s="1"/>
  <c r="P819" i="2" s="1"/>
  <c r="P820" i="2" s="1"/>
  <c r="P821" i="2" s="1"/>
  <c r="P822" i="2" s="1"/>
  <c r="P823" i="2" s="1"/>
  <c r="P824" i="2" s="1"/>
  <c r="P825" i="2" s="1"/>
  <c r="P826" i="2" s="1"/>
  <c r="P827" i="2" s="1"/>
  <c r="P828" i="2" s="1"/>
  <c r="P829" i="2" s="1"/>
  <c r="P830" i="2" s="1"/>
  <c r="P831" i="2" s="1"/>
  <c r="P832" i="2" s="1"/>
  <c r="P833" i="2" s="1"/>
  <c r="P834" i="2" s="1"/>
  <c r="P835" i="2" s="1"/>
  <c r="P836" i="2" s="1"/>
  <c r="P837" i="2" s="1"/>
  <c r="P838" i="2" s="1"/>
  <c r="P839" i="2" s="1"/>
  <c r="P840" i="2" s="1"/>
  <c r="P841" i="2" s="1"/>
  <c r="P842" i="2" s="1"/>
  <c r="P843" i="2" s="1"/>
  <c r="P844" i="2" s="1"/>
  <c r="P845" i="2" s="1"/>
  <c r="P846" i="2" s="1"/>
  <c r="P847" i="2" s="1"/>
  <c r="P848" i="2" s="1"/>
  <c r="P849" i="2" s="1"/>
  <c r="P850" i="2" s="1"/>
  <c r="P851" i="2" s="1"/>
  <c r="P852" i="2" s="1"/>
  <c r="P853" i="2" s="1"/>
  <c r="P854" i="2" s="1"/>
  <c r="P855" i="2" s="1"/>
  <c r="P856" i="2" s="1"/>
  <c r="P857" i="2" s="1"/>
  <c r="P858" i="2" s="1"/>
  <c r="P859" i="2" s="1"/>
  <c r="P860" i="2" s="1"/>
  <c r="P861" i="2" s="1"/>
  <c r="P862" i="2" s="1"/>
  <c r="P863" i="2" s="1"/>
  <c r="P864" i="2" s="1"/>
  <c r="P865" i="2" s="1"/>
  <c r="P866" i="2" s="1"/>
  <c r="P867" i="2" s="1"/>
  <c r="P868" i="2" s="1"/>
  <c r="P869" i="2" s="1"/>
  <c r="P870" i="2" s="1"/>
  <c r="P871" i="2" s="1"/>
  <c r="P872" i="2" s="1"/>
  <c r="P873" i="2" s="1"/>
  <c r="P874" i="2" s="1"/>
  <c r="P875" i="2" s="1"/>
  <c r="P876" i="2" s="1"/>
  <c r="P877" i="2" s="1"/>
  <c r="P878" i="2" s="1"/>
  <c r="P879" i="2" s="1"/>
  <c r="P880" i="2" s="1"/>
  <c r="P881" i="2" s="1"/>
  <c r="P882" i="2" s="1"/>
  <c r="P883" i="2" s="1"/>
  <c r="P884" i="2" s="1"/>
  <c r="P885" i="2" s="1"/>
  <c r="P886" i="2" s="1"/>
  <c r="P887" i="2" s="1"/>
  <c r="P888" i="2" s="1"/>
  <c r="P889" i="2" s="1"/>
  <c r="P890" i="2" s="1"/>
  <c r="P891" i="2" s="1"/>
  <c r="P892" i="2" s="1"/>
  <c r="P893" i="2" s="1"/>
  <c r="P894" i="2" s="1"/>
  <c r="P895" i="2" s="1"/>
  <c r="P896" i="2" s="1"/>
  <c r="P897" i="2" s="1"/>
  <c r="P898" i="2" s="1"/>
  <c r="P899" i="2" s="1"/>
  <c r="P900" i="2" s="1"/>
  <c r="P901" i="2" s="1"/>
  <c r="P902" i="2" s="1"/>
  <c r="P903" i="2" s="1"/>
  <c r="P904" i="2" s="1"/>
  <c r="P905" i="2" s="1"/>
  <c r="P906" i="2" s="1"/>
  <c r="P907" i="2" s="1"/>
  <c r="P908" i="2" s="1"/>
  <c r="P909" i="2" s="1"/>
  <c r="P910" i="2" s="1"/>
  <c r="P911" i="2" s="1"/>
  <c r="P912" i="2" s="1"/>
  <c r="P913" i="2" s="1"/>
  <c r="P914" i="2" s="1"/>
  <c r="P915" i="2" s="1"/>
  <c r="P916" i="2" s="1"/>
  <c r="P917" i="2" s="1"/>
  <c r="P918" i="2" s="1"/>
  <c r="P919" i="2" s="1"/>
  <c r="P920" i="2" s="1"/>
  <c r="P921" i="2" s="1"/>
  <c r="P922" i="2" s="1"/>
  <c r="P923" i="2" s="1"/>
  <c r="P924" i="2" s="1"/>
  <c r="P925" i="2" s="1"/>
  <c r="P926" i="2" s="1"/>
  <c r="P927" i="2" s="1"/>
  <c r="P928" i="2" s="1"/>
  <c r="P929" i="2" s="1"/>
  <c r="P930" i="2" s="1"/>
  <c r="P931" i="2" s="1"/>
  <c r="P932" i="2" s="1"/>
  <c r="P933" i="2" s="1"/>
  <c r="P934" i="2" s="1"/>
  <c r="P935" i="2" s="1"/>
  <c r="P936" i="2" s="1"/>
  <c r="P937" i="2" s="1"/>
  <c r="P938" i="2" s="1"/>
  <c r="P939" i="2" s="1"/>
  <c r="P940" i="2" s="1"/>
  <c r="P941" i="2" s="1"/>
  <c r="P942" i="2" s="1"/>
  <c r="P943" i="2" s="1"/>
  <c r="P944" i="2" s="1"/>
  <c r="P945" i="2" s="1"/>
  <c r="P946" i="2" s="1"/>
  <c r="P947" i="2" s="1"/>
  <c r="P948" i="2" s="1"/>
  <c r="P949" i="2" s="1"/>
  <c r="P950" i="2" s="1"/>
  <c r="P951" i="2" s="1"/>
  <c r="P952" i="2" s="1"/>
  <c r="P953" i="2" s="1"/>
  <c r="P954" i="2" s="1"/>
  <c r="P955" i="2" s="1"/>
  <c r="P956" i="2" s="1"/>
  <c r="P957" i="2" s="1"/>
  <c r="P958" i="2" s="1"/>
  <c r="P959" i="2" s="1"/>
  <c r="P960" i="2" s="1"/>
  <c r="P961" i="2" s="1"/>
  <c r="P962" i="2" s="1"/>
  <c r="P963" i="2" s="1"/>
  <c r="P964" i="2" s="1"/>
  <c r="P965" i="2" s="1"/>
  <c r="P966" i="2" s="1"/>
  <c r="P967" i="2" s="1"/>
  <c r="P968" i="2" s="1"/>
  <c r="P969" i="2" s="1"/>
  <c r="P970" i="2" s="1"/>
  <c r="P971" i="2" s="1"/>
  <c r="P972" i="2" s="1"/>
  <c r="P973" i="2" s="1"/>
  <c r="P974" i="2" s="1"/>
  <c r="P975" i="2" s="1"/>
  <c r="P976" i="2" s="1"/>
  <c r="P977" i="2" s="1"/>
  <c r="P978" i="2" s="1"/>
  <c r="P979" i="2" s="1"/>
  <c r="P980" i="2" s="1"/>
  <c r="P981" i="2" s="1"/>
  <c r="P982" i="2" s="1"/>
  <c r="P983" i="2" s="1"/>
  <c r="P984" i="2" s="1"/>
  <c r="P985" i="2" s="1"/>
  <c r="P986" i="2" s="1"/>
  <c r="P987" i="2" s="1"/>
  <c r="P988" i="2" s="1"/>
  <c r="P989" i="2" s="1"/>
  <c r="P990" i="2" s="1"/>
  <c r="P991" i="2" s="1"/>
  <c r="P992" i="2" s="1"/>
  <c r="P993" i="2" s="1"/>
  <c r="P994" i="2" s="1"/>
  <c r="P995" i="2" s="1"/>
  <c r="P996" i="2" s="1"/>
  <c r="P997" i="2" s="1"/>
  <c r="P998" i="2" s="1"/>
  <c r="P999" i="2" s="1"/>
  <c r="P1000" i="2" s="1"/>
  <c r="P1001" i="2" s="1"/>
  <c r="P1002" i="2" s="1"/>
  <c r="P1003" i="2" s="1"/>
  <c r="P1004" i="2" s="1"/>
  <c r="P1005" i="2" s="1"/>
  <c r="P1006" i="2" s="1"/>
  <c r="P1007" i="2" s="1"/>
  <c r="P1008" i="2" s="1"/>
  <c r="P1009" i="2" s="1"/>
  <c r="P1010" i="2" s="1"/>
  <c r="P1011" i="2" s="1"/>
  <c r="P1012" i="2" s="1"/>
  <c r="P1013" i="2" s="1"/>
  <c r="P1014" i="2" s="1"/>
  <c r="P1015" i="2" s="1"/>
  <c r="P1016" i="2" s="1"/>
  <c r="P1017" i="2" s="1"/>
  <c r="P1018" i="2" s="1"/>
  <c r="P1019" i="2" s="1"/>
  <c r="P1020" i="2" s="1"/>
  <c r="P1021" i="2" s="1"/>
  <c r="P1022" i="2" s="1"/>
  <c r="P1023" i="2" s="1"/>
  <c r="P1024" i="2" s="1"/>
  <c r="P1025" i="2" s="1"/>
  <c r="P1026" i="2" s="1"/>
  <c r="P1027" i="2" s="1"/>
  <c r="P1028" i="2" s="1"/>
  <c r="P1029" i="2" s="1"/>
  <c r="P1030" i="2" s="1"/>
  <c r="P1031" i="2" s="1"/>
  <c r="P1032" i="2" s="1"/>
  <c r="P1033" i="2" s="1"/>
  <c r="P1034" i="2" s="1"/>
  <c r="P1035" i="2" s="1"/>
  <c r="B57" i="2" l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B52" i="2" l="1"/>
  <c r="B53" i="2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L475" i="1" s="1"/>
  <c r="L476" i="1" s="1"/>
  <c r="L477" i="1" s="1"/>
  <c r="L478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L502" i="1" s="1"/>
  <c r="L503" i="1" s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1" i="1" s="1"/>
  <c r="L522" i="1" s="1"/>
  <c r="L523" i="1" s="1"/>
  <c r="L524" i="1" s="1"/>
  <c r="L525" i="1" s="1"/>
  <c r="L526" i="1" s="1"/>
  <c r="L527" i="1" s="1"/>
  <c r="L528" i="1" s="1"/>
  <c r="L529" i="1" s="1"/>
  <c r="L530" i="1" s="1"/>
  <c r="L531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L551" i="1" s="1"/>
  <c r="L552" i="1" s="1"/>
  <c r="L553" i="1" s="1"/>
  <c r="L554" i="1" s="1"/>
  <c r="L555" i="1" s="1"/>
  <c r="L556" i="1" s="1"/>
  <c r="L557" i="1" s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5" i="1" s="1"/>
  <c r="L576" i="1" s="1"/>
  <c r="L577" i="1" s="1"/>
  <c r="L578" i="1" s="1"/>
  <c r="L579" i="1" s="1"/>
  <c r="L580" i="1" s="1"/>
  <c r="L581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5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L640" i="1" s="1"/>
  <c r="L641" i="1" s="1"/>
  <c r="L642" i="1" s="1"/>
  <c r="L643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1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L689" i="1" s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1" i="1" s="1"/>
  <c r="L722" i="1" s="1"/>
  <c r="L723" i="1" s="1"/>
  <c r="L724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6" i="1" s="1"/>
  <c r="L737" i="1" s="1"/>
  <c r="L738" i="1" s="1"/>
  <c r="L739" i="1" s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4" i="1" s="1"/>
  <c r="L755" i="1" s="1"/>
  <c r="L756" i="1" s="1"/>
  <c r="L757" i="1" s="1"/>
  <c r="L758" i="1" s="1"/>
  <c r="L759" i="1" s="1"/>
  <c r="L760" i="1" s="1"/>
  <c r="L761" i="1" s="1"/>
  <c r="L762" i="1" s="1"/>
  <c r="L763" i="1" s="1"/>
  <c r="L764" i="1" s="1"/>
  <c r="L765" i="1" s="1"/>
  <c r="L766" i="1" s="1"/>
  <c r="L767" i="1" s="1"/>
  <c r="L768" i="1" s="1"/>
  <c r="L769" i="1" s="1"/>
  <c r="L770" i="1" s="1"/>
  <c r="L771" i="1" s="1"/>
  <c r="L772" i="1" s="1"/>
  <c r="L773" i="1" s="1"/>
  <c r="L774" i="1" s="1"/>
  <c r="L775" i="1" s="1"/>
  <c r="L776" i="1" s="1"/>
  <c r="L777" i="1" s="1"/>
  <c r="L778" i="1" s="1"/>
  <c r="L779" i="1" s="1"/>
  <c r="L780" i="1" s="1"/>
  <c r="L781" i="1" s="1"/>
  <c r="L782" i="1" s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6" i="1" s="1"/>
  <c r="L817" i="1" s="1"/>
  <c r="L818" i="1" s="1"/>
  <c r="L819" i="1" s="1"/>
  <c r="L820" i="1" s="1"/>
  <c r="L821" i="1" s="1"/>
  <c r="L822" i="1" s="1"/>
  <c r="L823" i="1" s="1"/>
  <c r="L824" i="1" s="1"/>
  <c r="L825" i="1" s="1"/>
  <c r="L826" i="1" s="1"/>
  <c r="L827" i="1" s="1"/>
  <c r="L828" i="1" s="1"/>
  <c r="L829" i="1" s="1"/>
  <c r="L830" i="1" s="1"/>
  <c r="L831" i="1" s="1"/>
  <c r="L832" i="1" s="1"/>
  <c r="L833" i="1" s="1"/>
  <c r="L834" i="1" s="1"/>
  <c r="L835" i="1" s="1"/>
  <c r="L836" i="1" s="1"/>
  <c r="L837" i="1" s="1"/>
  <c r="L838" i="1" s="1"/>
  <c r="L839" i="1" s="1"/>
  <c r="L840" i="1" s="1"/>
  <c r="L841" i="1" s="1"/>
  <c r="L842" i="1" s="1"/>
  <c r="L843" i="1" s="1"/>
  <c r="L844" i="1" s="1"/>
  <c r="L845" i="1" s="1"/>
  <c r="L846" i="1" s="1"/>
  <c r="L847" i="1" s="1"/>
  <c r="L848" i="1" s="1"/>
  <c r="L849" i="1" s="1"/>
  <c r="L850" i="1" s="1"/>
  <c r="L851" i="1" s="1"/>
  <c r="L852" i="1" s="1"/>
  <c r="L853" i="1" s="1"/>
  <c r="L854" i="1" s="1"/>
  <c r="L855" i="1" s="1"/>
  <c r="L856" i="1" s="1"/>
  <c r="L857" i="1" s="1"/>
  <c r="L858" i="1" s="1"/>
  <c r="L859" i="1" s="1"/>
  <c r="L860" i="1" s="1"/>
  <c r="L861" i="1" s="1"/>
  <c r="L862" i="1" s="1"/>
  <c r="L863" i="1" s="1"/>
  <c r="L864" i="1" s="1"/>
  <c r="L865" i="1" s="1"/>
  <c r="L866" i="1" s="1"/>
  <c r="L867" i="1" s="1"/>
  <c r="L868" i="1" s="1"/>
  <c r="L869" i="1" s="1"/>
  <c r="L870" i="1" s="1"/>
  <c r="L871" i="1" s="1"/>
  <c r="L872" i="1" s="1"/>
  <c r="L873" i="1" s="1"/>
  <c r="L874" i="1" s="1"/>
  <c r="L875" i="1" s="1"/>
  <c r="L876" i="1" s="1"/>
  <c r="L877" i="1" s="1"/>
  <c r="L878" i="1" s="1"/>
  <c r="L879" i="1" s="1"/>
  <c r="L880" i="1" s="1"/>
  <c r="L881" i="1" s="1"/>
  <c r="L882" i="1" s="1"/>
  <c r="L883" i="1" s="1"/>
  <c r="L884" i="1" s="1"/>
  <c r="L885" i="1" s="1"/>
  <c r="L886" i="1" s="1"/>
  <c r="L887" i="1" s="1"/>
  <c r="L888" i="1" s="1"/>
  <c r="L889" i="1" s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L907" i="1" s="1"/>
  <c r="L908" i="1" s="1"/>
  <c r="L909" i="1" s="1"/>
  <c r="L910" i="1" s="1"/>
  <c r="L911" i="1" s="1"/>
  <c r="L912" i="1" s="1"/>
  <c r="L913" i="1" s="1"/>
  <c r="L914" i="1" s="1"/>
  <c r="L915" i="1" s="1"/>
  <c r="L916" i="1" s="1"/>
  <c r="L917" i="1" s="1"/>
  <c r="L918" i="1" s="1"/>
  <c r="L919" i="1" s="1"/>
  <c r="L920" i="1" s="1"/>
  <c r="L921" i="1" s="1"/>
  <c r="L922" i="1" s="1"/>
  <c r="L923" i="1" s="1"/>
  <c r="L924" i="1" s="1"/>
  <c r="L925" i="1" s="1"/>
  <c r="L926" i="1" s="1"/>
  <c r="L927" i="1" s="1"/>
  <c r="L928" i="1" s="1"/>
  <c r="L929" i="1" s="1"/>
  <c r="L930" i="1" s="1"/>
  <c r="L931" i="1" s="1"/>
  <c r="L932" i="1" s="1"/>
  <c r="L933" i="1" s="1"/>
  <c r="L934" i="1" s="1"/>
  <c r="L935" i="1" s="1"/>
  <c r="L936" i="1" s="1"/>
  <c r="L937" i="1" s="1"/>
  <c r="L938" i="1" s="1"/>
  <c r="L939" i="1" s="1"/>
  <c r="L940" i="1" s="1"/>
  <c r="L941" i="1" s="1"/>
  <c r="L942" i="1" s="1"/>
  <c r="L943" i="1" s="1"/>
  <c r="L944" i="1" s="1"/>
  <c r="L945" i="1" s="1"/>
  <c r="L946" i="1" s="1"/>
  <c r="L947" i="1" s="1"/>
  <c r="L948" i="1" s="1"/>
  <c r="L949" i="1" s="1"/>
  <c r="L950" i="1" s="1"/>
  <c r="L951" i="1" s="1"/>
  <c r="L952" i="1" s="1"/>
  <c r="L953" i="1" s="1"/>
  <c r="L954" i="1" s="1"/>
  <c r="L955" i="1" s="1"/>
  <c r="L956" i="1" s="1"/>
  <c r="L957" i="1" s="1"/>
  <c r="L958" i="1" s="1"/>
  <c r="L959" i="1" s="1"/>
  <c r="L960" i="1" s="1"/>
  <c r="L961" i="1" s="1"/>
  <c r="L962" i="1" s="1"/>
  <c r="L963" i="1" s="1"/>
  <c r="L964" i="1" s="1"/>
  <c r="L965" i="1" s="1"/>
  <c r="L966" i="1" s="1"/>
  <c r="L967" i="1" s="1"/>
  <c r="L968" i="1" s="1"/>
  <c r="L969" i="1" s="1"/>
  <c r="L970" i="1" s="1"/>
  <c r="L971" i="1" s="1"/>
  <c r="L972" i="1" s="1"/>
  <c r="L973" i="1" s="1"/>
  <c r="L974" i="1" s="1"/>
  <c r="L975" i="1" s="1"/>
  <c r="L976" i="1" s="1"/>
  <c r="L977" i="1" s="1"/>
  <c r="L978" i="1" s="1"/>
  <c r="L979" i="1" s="1"/>
  <c r="L980" i="1" s="1"/>
  <c r="L981" i="1" s="1"/>
  <c r="L982" i="1" s="1"/>
  <c r="L983" i="1" s="1"/>
  <c r="L984" i="1" s="1"/>
  <c r="L985" i="1" s="1"/>
  <c r="L986" i="1" s="1"/>
  <c r="L987" i="1" s="1"/>
  <c r="L988" i="1" s="1"/>
  <c r="L989" i="1" s="1"/>
  <c r="L990" i="1" s="1"/>
  <c r="L991" i="1" s="1"/>
  <c r="L992" i="1" s="1"/>
  <c r="L993" i="1" s="1"/>
  <c r="L994" i="1" s="1"/>
  <c r="L995" i="1" s="1"/>
  <c r="L996" i="1" s="1"/>
  <c r="L997" i="1" s="1"/>
  <c r="L998" i="1" s="1"/>
  <c r="L999" i="1" s="1"/>
  <c r="L1000" i="1" s="1"/>
  <c r="L1001" i="1" s="1"/>
  <c r="L1002" i="1" s="1"/>
  <c r="V3" i="1"/>
  <c r="V4" i="1" s="1"/>
  <c r="V5" i="1" s="1"/>
  <c r="V6" i="1" s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V100" i="1" s="1"/>
  <c r="V101" i="1" s="1"/>
  <c r="V102" i="1" s="1"/>
  <c r="V103" i="1" s="1"/>
  <c r="V104" i="1" s="1"/>
  <c r="V105" i="1" s="1"/>
  <c r="V106" i="1" s="1"/>
  <c r="V107" i="1" s="1"/>
  <c r="V108" i="1" s="1"/>
  <c r="V109" i="1" s="1"/>
  <c r="V110" i="1" s="1"/>
  <c r="V111" i="1" s="1"/>
  <c r="V112" i="1" s="1"/>
  <c r="V113" i="1" s="1"/>
  <c r="V114" i="1" s="1"/>
  <c r="V115" i="1" s="1"/>
  <c r="V116" i="1" s="1"/>
  <c r="V117" i="1" s="1"/>
  <c r="V118" i="1" s="1"/>
  <c r="V119" i="1" s="1"/>
  <c r="V120" i="1" s="1"/>
  <c r="V121" i="1" s="1"/>
  <c r="V122" i="1" s="1"/>
  <c r="V123" i="1" s="1"/>
  <c r="V124" i="1" s="1"/>
  <c r="V125" i="1" s="1"/>
  <c r="V126" i="1" s="1"/>
  <c r="V127" i="1" s="1"/>
  <c r="V128" i="1" s="1"/>
  <c r="V129" i="1" s="1"/>
  <c r="V130" i="1" s="1"/>
  <c r="V131" i="1" s="1"/>
  <c r="V132" i="1" s="1"/>
  <c r="V133" i="1" s="1"/>
  <c r="V134" i="1" s="1"/>
  <c r="V135" i="1" s="1"/>
  <c r="V136" i="1" s="1"/>
  <c r="V137" i="1" s="1"/>
  <c r="V138" i="1" s="1"/>
  <c r="V139" i="1" s="1"/>
  <c r="V140" i="1" s="1"/>
  <c r="V141" i="1" s="1"/>
  <c r="V142" i="1" s="1"/>
  <c r="V143" i="1" s="1"/>
  <c r="V144" i="1" s="1"/>
  <c r="V145" i="1" s="1"/>
  <c r="V146" i="1" s="1"/>
  <c r="V147" i="1" s="1"/>
  <c r="V148" i="1" s="1"/>
  <c r="V149" i="1" s="1"/>
  <c r="V150" i="1" s="1"/>
  <c r="V151" i="1" s="1"/>
  <c r="V152" i="1" s="1"/>
  <c r="V153" i="1" s="1"/>
  <c r="V154" i="1" s="1"/>
  <c r="V155" i="1" s="1"/>
  <c r="V156" i="1" s="1"/>
  <c r="V157" i="1" s="1"/>
  <c r="V158" i="1" s="1"/>
  <c r="V159" i="1" s="1"/>
  <c r="V160" i="1" s="1"/>
  <c r="V161" i="1" s="1"/>
  <c r="V162" i="1" s="1"/>
  <c r="V163" i="1" s="1"/>
  <c r="V164" i="1" s="1"/>
  <c r="V165" i="1" s="1"/>
  <c r="V166" i="1" s="1"/>
  <c r="V167" i="1" s="1"/>
  <c r="V168" i="1" s="1"/>
  <c r="V169" i="1" s="1"/>
  <c r="V170" i="1" s="1"/>
  <c r="V171" i="1" s="1"/>
  <c r="V172" i="1" s="1"/>
  <c r="V173" i="1" s="1"/>
  <c r="V174" i="1" s="1"/>
  <c r="V175" i="1" s="1"/>
  <c r="V176" i="1" s="1"/>
  <c r="V177" i="1" s="1"/>
  <c r="V178" i="1" s="1"/>
  <c r="V179" i="1" s="1"/>
  <c r="V180" i="1" s="1"/>
  <c r="V181" i="1" s="1"/>
  <c r="V182" i="1" s="1"/>
  <c r="V183" i="1" s="1"/>
  <c r="V184" i="1" s="1"/>
  <c r="V185" i="1" s="1"/>
  <c r="V186" i="1" s="1"/>
  <c r="V187" i="1" s="1"/>
  <c r="V188" i="1" s="1"/>
  <c r="V189" i="1" s="1"/>
  <c r="V190" i="1" s="1"/>
  <c r="V191" i="1" s="1"/>
  <c r="V192" i="1" s="1"/>
  <c r="V193" i="1" s="1"/>
  <c r="V194" i="1" s="1"/>
  <c r="V195" i="1" s="1"/>
  <c r="V196" i="1" s="1"/>
  <c r="V197" i="1" s="1"/>
  <c r="V198" i="1" s="1"/>
  <c r="V199" i="1" s="1"/>
  <c r="V200" i="1" s="1"/>
  <c r="V201" i="1" s="1"/>
  <c r="V202" i="1" s="1"/>
  <c r="V203" i="1" s="1"/>
  <c r="V204" i="1" s="1"/>
  <c r="V205" i="1" s="1"/>
  <c r="V206" i="1" s="1"/>
  <c r="V207" i="1" s="1"/>
  <c r="V208" i="1" s="1"/>
  <c r="V209" i="1" s="1"/>
  <c r="V210" i="1" s="1"/>
  <c r="V211" i="1" s="1"/>
  <c r="V212" i="1" s="1"/>
  <c r="V213" i="1" s="1"/>
  <c r="V214" i="1" s="1"/>
  <c r="V215" i="1" s="1"/>
  <c r="V216" i="1" s="1"/>
  <c r="V217" i="1" s="1"/>
  <c r="V218" i="1" s="1"/>
  <c r="V219" i="1" s="1"/>
  <c r="V220" i="1" s="1"/>
  <c r="V221" i="1" s="1"/>
  <c r="V222" i="1" s="1"/>
  <c r="V223" i="1" s="1"/>
  <c r="V224" i="1" s="1"/>
  <c r="V225" i="1" s="1"/>
  <c r="V226" i="1" s="1"/>
  <c r="V227" i="1" s="1"/>
  <c r="V228" i="1" s="1"/>
  <c r="V229" i="1" s="1"/>
  <c r="V230" i="1" s="1"/>
  <c r="V231" i="1" s="1"/>
  <c r="V232" i="1" s="1"/>
  <c r="V233" i="1" s="1"/>
  <c r="V234" i="1" s="1"/>
  <c r="V235" i="1" s="1"/>
  <c r="V236" i="1" s="1"/>
  <c r="V237" i="1" s="1"/>
  <c r="V238" i="1" s="1"/>
  <c r="V239" i="1" s="1"/>
  <c r="V240" i="1" s="1"/>
  <c r="V241" i="1" s="1"/>
  <c r="V242" i="1" s="1"/>
  <c r="V243" i="1" s="1"/>
  <c r="V244" i="1" s="1"/>
  <c r="V245" i="1" s="1"/>
  <c r="V246" i="1" s="1"/>
  <c r="V247" i="1" s="1"/>
  <c r="V248" i="1" s="1"/>
  <c r="V249" i="1" s="1"/>
  <c r="V250" i="1" s="1"/>
  <c r="V251" i="1" s="1"/>
  <c r="V252" i="1" s="1"/>
  <c r="V253" i="1" s="1"/>
  <c r="V254" i="1" s="1"/>
  <c r="V255" i="1" s="1"/>
  <c r="V256" i="1" s="1"/>
  <c r="V257" i="1" s="1"/>
  <c r="V258" i="1" s="1"/>
  <c r="V259" i="1" s="1"/>
  <c r="V260" i="1" s="1"/>
  <c r="V261" i="1" s="1"/>
  <c r="V262" i="1" s="1"/>
  <c r="V263" i="1" s="1"/>
  <c r="V264" i="1" s="1"/>
  <c r="V265" i="1" s="1"/>
  <c r="V266" i="1" s="1"/>
  <c r="V267" i="1" s="1"/>
  <c r="V268" i="1" s="1"/>
  <c r="V269" i="1" s="1"/>
  <c r="V270" i="1" s="1"/>
  <c r="V271" i="1" s="1"/>
  <c r="V272" i="1" s="1"/>
  <c r="V273" i="1" s="1"/>
  <c r="V274" i="1" s="1"/>
  <c r="V275" i="1" s="1"/>
  <c r="V276" i="1" s="1"/>
  <c r="V277" i="1" s="1"/>
  <c r="V278" i="1" s="1"/>
  <c r="V279" i="1" s="1"/>
  <c r="V280" i="1" s="1"/>
  <c r="V281" i="1" s="1"/>
  <c r="V282" i="1" s="1"/>
  <c r="V283" i="1" s="1"/>
  <c r="V284" i="1" s="1"/>
  <c r="V285" i="1" s="1"/>
  <c r="V286" i="1" s="1"/>
  <c r="V287" i="1" s="1"/>
  <c r="V288" i="1" s="1"/>
  <c r="V289" i="1" s="1"/>
  <c r="V290" i="1" s="1"/>
  <c r="V291" i="1" s="1"/>
  <c r="V292" i="1" s="1"/>
  <c r="V293" i="1" s="1"/>
  <c r="V294" i="1" s="1"/>
  <c r="V295" i="1" s="1"/>
  <c r="V296" i="1" s="1"/>
  <c r="V297" i="1" s="1"/>
  <c r="V298" i="1" s="1"/>
  <c r="V299" i="1" s="1"/>
  <c r="V300" i="1" s="1"/>
  <c r="V301" i="1" s="1"/>
  <c r="V302" i="1" s="1"/>
  <c r="V303" i="1" s="1"/>
  <c r="V304" i="1" s="1"/>
  <c r="V305" i="1" s="1"/>
  <c r="V306" i="1" s="1"/>
  <c r="V307" i="1" s="1"/>
  <c r="V308" i="1" s="1"/>
  <c r="V309" i="1" s="1"/>
  <c r="V310" i="1" s="1"/>
  <c r="V311" i="1" s="1"/>
  <c r="V312" i="1" s="1"/>
  <c r="V313" i="1" s="1"/>
  <c r="V314" i="1" s="1"/>
  <c r="V315" i="1" s="1"/>
  <c r="V316" i="1" s="1"/>
  <c r="V317" i="1" s="1"/>
  <c r="V318" i="1" s="1"/>
  <c r="V319" i="1" s="1"/>
  <c r="V320" i="1" s="1"/>
  <c r="V321" i="1" s="1"/>
  <c r="V322" i="1" s="1"/>
  <c r="V323" i="1" s="1"/>
  <c r="V324" i="1" s="1"/>
  <c r="V325" i="1" s="1"/>
  <c r="V326" i="1" s="1"/>
  <c r="V327" i="1" s="1"/>
  <c r="V328" i="1" s="1"/>
  <c r="V329" i="1" s="1"/>
  <c r="V330" i="1" s="1"/>
  <c r="V331" i="1" s="1"/>
  <c r="V332" i="1" s="1"/>
  <c r="V333" i="1" s="1"/>
  <c r="V334" i="1" s="1"/>
  <c r="V335" i="1" s="1"/>
  <c r="V336" i="1" s="1"/>
  <c r="V337" i="1" s="1"/>
  <c r="V338" i="1" s="1"/>
  <c r="V339" i="1" s="1"/>
  <c r="V340" i="1" s="1"/>
  <c r="V341" i="1" s="1"/>
  <c r="V342" i="1" s="1"/>
  <c r="V343" i="1" s="1"/>
  <c r="V344" i="1" s="1"/>
  <c r="V345" i="1" s="1"/>
  <c r="V346" i="1" s="1"/>
  <c r="V347" i="1" s="1"/>
  <c r="V348" i="1" s="1"/>
  <c r="V349" i="1" s="1"/>
  <c r="V350" i="1" s="1"/>
  <c r="V351" i="1" s="1"/>
  <c r="V352" i="1" s="1"/>
  <c r="V353" i="1" s="1"/>
  <c r="V354" i="1" s="1"/>
  <c r="V355" i="1" s="1"/>
  <c r="V356" i="1" s="1"/>
  <c r="V357" i="1" s="1"/>
  <c r="V358" i="1" s="1"/>
  <c r="V359" i="1" s="1"/>
  <c r="V360" i="1" s="1"/>
  <c r="V361" i="1" s="1"/>
  <c r="V362" i="1" s="1"/>
  <c r="V363" i="1" s="1"/>
  <c r="V364" i="1" s="1"/>
  <c r="V365" i="1" s="1"/>
  <c r="V366" i="1" s="1"/>
  <c r="V367" i="1" s="1"/>
  <c r="V368" i="1" s="1"/>
  <c r="V369" i="1" s="1"/>
  <c r="V370" i="1" s="1"/>
  <c r="V371" i="1" s="1"/>
  <c r="V372" i="1" s="1"/>
  <c r="V373" i="1" s="1"/>
  <c r="V374" i="1" s="1"/>
  <c r="V375" i="1" s="1"/>
  <c r="V376" i="1" s="1"/>
  <c r="V377" i="1" s="1"/>
  <c r="V378" i="1" s="1"/>
  <c r="V379" i="1" s="1"/>
  <c r="V380" i="1" s="1"/>
  <c r="V381" i="1" s="1"/>
  <c r="V382" i="1" s="1"/>
  <c r="V383" i="1" s="1"/>
  <c r="V384" i="1" s="1"/>
  <c r="V385" i="1" s="1"/>
  <c r="V386" i="1" s="1"/>
  <c r="V387" i="1" s="1"/>
  <c r="V388" i="1" s="1"/>
  <c r="V389" i="1" s="1"/>
  <c r="V390" i="1" s="1"/>
  <c r="V391" i="1" s="1"/>
  <c r="V392" i="1" s="1"/>
  <c r="V393" i="1" s="1"/>
  <c r="V394" i="1" s="1"/>
  <c r="V395" i="1" s="1"/>
  <c r="V396" i="1" s="1"/>
  <c r="V397" i="1" s="1"/>
  <c r="V398" i="1" s="1"/>
  <c r="V399" i="1" s="1"/>
  <c r="V400" i="1" s="1"/>
  <c r="V401" i="1" s="1"/>
  <c r="V402" i="1" s="1"/>
  <c r="V403" i="1" s="1"/>
  <c r="V404" i="1" s="1"/>
  <c r="V405" i="1" s="1"/>
  <c r="V406" i="1" s="1"/>
  <c r="V407" i="1" s="1"/>
  <c r="V408" i="1" s="1"/>
  <c r="V409" i="1" s="1"/>
  <c r="V410" i="1" s="1"/>
  <c r="V411" i="1" s="1"/>
  <c r="V412" i="1" s="1"/>
  <c r="V413" i="1" s="1"/>
  <c r="V414" i="1" s="1"/>
  <c r="V415" i="1" s="1"/>
  <c r="V416" i="1" s="1"/>
  <c r="V417" i="1" s="1"/>
  <c r="V418" i="1" s="1"/>
  <c r="V419" i="1" s="1"/>
  <c r="V420" i="1" s="1"/>
  <c r="V421" i="1" s="1"/>
  <c r="V422" i="1" s="1"/>
  <c r="V423" i="1" s="1"/>
  <c r="V424" i="1" s="1"/>
  <c r="V425" i="1" s="1"/>
  <c r="V426" i="1" s="1"/>
  <c r="V427" i="1" s="1"/>
  <c r="V428" i="1" s="1"/>
  <c r="V429" i="1" s="1"/>
  <c r="V430" i="1" s="1"/>
  <c r="V431" i="1" s="1"/>
  <c r="V432" i="1" s="1"/>
  <c r="V433" i="1" s="1"/>
  <c r="V434" i="1" s="1"/>
  <c r="V435" i="1" s="1"/>
  <c r="V436" i="1" s="1"/>
  <c r="V437" i="1" s="1"/>
  <c r="V438" i="1" s="1"/>
  <c r="V439" i="1" s="1"/>
  <c r="V440" i="1" s="1"/>
  <c r="V441" i="1" s="1"/>
  <c r="V442" i="1" s="1"/>
  <c r="V443" i="1" s="1"/>
  <c r="V444" i="1" s="1"/>
  <c r="V445" i="1" s="1"/>
  <c r="V446" i="1" s="1"/>
  <c r="V447" i="1" s="1"/>
  <c r="V448" i="1" s="1"/>
  <c r="V449" i="1" s="1"/>
  <c r="V450" i="1" s="1"/>
  <c r="V451" i="1" s="1"/>
  <c r="V452" i="1" s="1"/>
  <c r="V453" i="1" s="1"/>
  <c r="V454" i="1" s="1"/>
  <c r="V455" i="1" s="1"/>
  <c r="V456" i="1" s="1"/>
  <c r="V457" i="1" s="1"/>
  <c r="V458" i="1" s="1"/>
  <c r="V459" i="1" s="1"/>
  <c r="V460" i="1" s="1"/>
  <c r="V461" i="1" s="1"/>
  <c r="V462" i="1" s="1"/>
  <c r="V463" i="1" s="1"/>
  <c r="V464" i="1" s="1"/>
  <c r="V465" i="1" s="1"/>
  <c r="V466" i="1" s="1"/>
  <c r="V467" i="1" s="1"/>
  <c r="V468" i="1" s="1"/>
  <c r="V469" i="1" s="1"/>
  <c r="V470" i="1" s="1"/>
  <c r="V471" i="1" s="1"/>
  <c r="V472" i="1" s="1"/>
  <c r="V473" i="1" s="1"/>
  <c r="V474" i="1" s="1"/>
  <c r="V475" i="1" s="1"/>
  <c r="V476" i="1" s="1"/>
  <c r="V477" i="1" s="1"/>
  <c r="V478" i="1" s="1"/>
  <c r="V479" i="1" s="1"/>
  <c r="V480" i="1" s="1"/>
  <c r="V481" i="1" s="1"/>
  <c r="V482" i="1" s="1"/>
  <c r="V483" i="1" s="1"/>
  <c r="V484" i="1" s="1"/>
  <c r="V485" i="1" s="1"/>
  <c r="V486" i="1" s="1"/>
  <c r="V487" i="1" s="1"/>
  <c r="V488" i="1" s="1"/>
  <c r="V489" i="1" s="1"/>
  <c r="V490" i="1" s="1"/>
  <c r="V491" i="1" s="1"/>
  <c r="V492" i="1" s="1"/>
  <c r="V493" i="1" s="1"/>
  <c r="V494" i="1" s="1"/>
  <c r="V495" i="1" s="1"/>
  <c r="V496" i="1" s="1"/>
  <c r="V497" i="1" s="1"/>
  <c r="V498" i="1" s="1"/>
  <c r="V499" i="1" s="1"/>
  <c r="V500" i="1" s="1"/>
  <c r="V501" i="1" s="1"/>
  <c r="V502" i="1" s="1"/>
  <c r="V503" i="1" s="1"/>
  <c r="V504" i="1" s="1"/>
  <c r="V505" i="1" s="1"/>
  <c r="V506" i="1" s="1"/>
  <c r="V507" i="1" s="1"/>
  <c r="V508" i="1" s="1"/>
  <c r="V509" i="1" s="1"/>
  <c r="V510" i="1" s="1"/>
  <c r="V511" i="1" s="1"/>
  <c r="V512" i="1" s="1"/>
  <c r="V513" i="1" s="1"/>
  <c r="V514" i="1" s="1"/>
  <c r="V515" i="1" s="1"/>
  <c r="V516" i="1" s="1"/>
  <c r="V517" i="1" s="1"/>
  <c r="V518" i="1" s="1"/>
  <c r="V519" i="1" s="1"/>
  <c r="V520" i="1" s="1"/>
  <c r="V521" i="1" s="1"/>
  <c r="V522" i="1" s="1"/>
  <c r="V523" i="1" s="1"/>
  <c r="V524" i="1" s="1"/>
  <c r="V525" i="1" s="1"/>
  <c r="V526" i="1" s="1"/>
  <c r="V527" i="1" s="1"/>
  <c r="V528" i="1" s="1"/>
  <c r="V529" i="1" s="1"/>
  <c r="V530" i="1" s="1"/>
  <c r="V531" i="1" s="1"/>
  <c r="V532" i="1" s="1"/>
  <c r="V533" i="1" s="1"/>
  <c r="V534" i="1" s="1"/>
  <c r="V535" i="1" s="1"/>
  <c r="V536" i="1" s="1"/>
  <c r="V537" i="1" s="1"/>
  <c r="V538" i="1" s="1"/>
  <c r="V539" i="1" s="1"/>
  <c r="V540" i="1" s="1"/>
  <c r="V541" i="1" s="1"/>
  <c r="V542" i="1" s="1"/>
  <c r="V543" i="1" s="1"/>
  <c r="V544" i="1" s="1"/>
  <c r="V545" i="1" s="1"/>
  <c r="V546" i="1" s="1"/>
  <c r="V547" i="1" s="1"/>
  <c r="V548" i="1" s="1"/>
  <c r="V549" i="1" s="1"/>
  <c r="V550" i="1" s="1"/>
  <c r="V551" i="1" s="1"/>
  <c r="V552" i="1" s="1"/>
  <c r="V553" i="1" s="1"/>
  <c r="V554" i="1" s="1"/>
  <c r="V555" i="1" s="1"/>
  <c r="V556" i="1" s="1"/>
  <c r="V557" i="1" s="1"/>
  <c r="V558" i="1" s="1"/>
  <c r="V559" i="1" s="1"/>
  <c r="V560" i="1" s="1"/>
  <c r="V561" i="1" s="1"/>
  <c r="V562" i="1" s="1"/>
  <c r="V563" i="1" s="1"/>
  <c r="V564" i="1" s="1"/>
  <c r="V565" i="1" s="1"/>
  <c r="V566" i="1" s="1"/>
  <c r="V567" i="1" s="1"/>
  <c r="V568" i="1" s="1"/>
  <c r="V569" i="1" s="1"/>
  <c r="V570" i="1" s="1"/>
  <c r="V571" i="1" s="1"/>
  <c r="V572" i="1" s="1"/>
  <c r="V573" i="1" s="1"/>
  <c r="V574" i="1" s="1"/>
  <c r="V575" i="1" s="1"/>
  <c r="V576" i="1" s="1"/>
  <c r="V577" i="1" s="1"/>
  <c r="V578" i="1" s="1"/>
  <c r="V579" i="1" s="1"/>
  <c r="V580" i="1" s="1"/>
  <c r="V581" i="1" s="1"/>
  <c r="V582" i="1" s="1"/>
  <c r="V583" i="1" s="1"/>
  <c r="V584" i="1" s="1"/>
  <c r="V585" i="1" s="1"/>
  <c r="V586" i="1" s="1"/>
  <c r="V587" i="1" s="1"/>
  <c r="V588" i="1" s="1"/>
  <c r="V589" i="1" s="1"/>
  <c r="V590" i="1" s="1"/>
  <c r="V591" i="1" s="1"/>
  <c r="V592" i="1" s="1"/>
  <c r="V593" i="1" s="1"/>
  <c r="V594" i="1" s="1"/>
  <c r="V595" i="1" s="1"/>
  <c r="V596" i="1" s="1"/>
  <c r="V597" i="1" s="1"/>
  <c r="V598" i="1" s="1"/>
  <c r="V599" i="1" s="1"/>
  <c r="V600" i="1" s="1"/>
  <c r="V601" i="1" s="1"/>
  <c r="V602" i="1" s="1"/>
  <c r="V603" i="1" s="1"/>
  <c r="V604" i="1" s="1"/>
  <c r="V605" i="1" s="1"/>
  <c r="V606" i="1" s="1"/>
  <c r="V607" i="1" s="1"/>
  <c r="V608" i="1" s="1"/>
  <c r="V609" i="1" s="1"/>
  <c r="V610" i="1" s="1"/>
  <c r="V611" i="1" s="1"/>
  <c r="V612" i="1" s="1"/>
  <c r="V613" i="1" s="1"/>
  <c r="V614" i="1" s="1"/>
  <c r="V615" i="1" s="1"/>
  <c r="V616" i="1" s="1"/>
  <c r="V617" i="1" s="1"/>
  <c r="V618" i="1" s="1"/>
  <c r="V619" i="1" s="1"/>
  <c r="V620" i="1" s="1"/>
  <c r="V621" i="1" s="1"/>
  <c r="V622" i="1" s="1"/>
  <c r="V623" i="1" s="1"/>
  <c r="V624" i="1" s="1"/>
  <c r="V625" i="1" s="1"/>
  <c r="V626" i="1" s="1"/>
  <c r="V627" i="1" s="1"/>
  <c r="V628" i="1" s="1"/>
  <c r="V629" i="1" s="1"/>
  <c r="V630" i="1" s="1"/>
  <c r="V631" i="1" s="1"/>
  <c r="V632" i="1" s="1"/>
  <c r="V633" i="1" s="1"/>
  <c r="V634" i="1" s="1"/>
  <c r="V635" i="1" s="1"/>
  <c r="V636" i="1" s="1"/>
  <c r="V637" i="1" s="1"/>
  <c r="V638" i="1" s="1"/>
  <c r="V639" i="1" s="1"/>
  <c r="V640" i="1" s="1"/>
  <c r="V641" i="1" s="1"/>
  <c r="V642" i="1" s="1"/>
  <c r="V643" i="1" s="1"/>
  <c r="V644" i="1" s="1"/>
  <c r="V645" i="1" s="1"/>
  <c r="V646" i="1" s="1"/>
  <c r="V647" i="1" s="1"/>
  <c r="V648" i="1" s="1"/>
  <c r="V649" i="1" s="1"/>
  <c r="V650" i="1" s="1"/>
  <c r="V651" i="1" s="1"/>
  <c r="V652" i="1" s="1"/>
  <c r="V653" i="1" s="1"/>
  <c r="V654" i="1" s="1"/>
  <c r="V655" i="1" s="1"/>
  <c r="V656" i="1" s="1"/>
  <c r="V657" i="1" s="1"/>
  <c r="V658" i="1" s="1"/>
  <c r="V659" i="1" s="1"/>
  <c r="V660" i="1" s="1"/>
  <c r="V661" i="1" s="1"/>
  <c r="V662" i="1" s="1"/>
  <c r="V663" i="1" s="1"/>
  <c r="V664" i="1" s="1"/>
  <c r="V665" i="1" s="1"/>
  <c r="V666" i="1" s="1"/>
  <c r="V667" i="1" s="1"/>
  <c r="V668" i="1" s="1"/>
  <c r="V669" i="1" s="1"/>
  <c r="V670" i="1" s="1"/>
  <c r="V671" i="1" s="1"/>
  <c r="V672" i="1" s="1"/>
  <c r="V673" i="1" s="1"/>
  <c r="V674" i="1" s="1"/>
  <c r="V675" i="1" s="1"/>
  <c r="V676" i="1" s="1"/>
  <c r="V677" i="1" s="1"/>
  <c r="V678" i="1" s="1"/>
  <c r="V679" i="1" s="1"/>
  <c r="V680" i="1" s="1"/>
  <c r="V681" i="1" s="1"/>
  <c r="V682" i="1" s="1"/>
  <c r="V683" i="1" s="1"/>
  <c r="V684" i="1" s="1"/>
  <c r="V685" i="1" s="1"/>
  <c r="V686" i="1" s="1"/>
  <c r="V687" i="1" s="1"/>
  <c r="V688" i="1" s="1"/>
  <c r="V689" i="1" s="1"/>
  <c r="V690" i="1" s="1"/>
  <c r="V691" i="1" s="1"/>
  <c r="V692" i="1" s="1"/>
  <c r="V693" i="1" s="1"/>
  <c r="V694" i="1" s="1"/>
  <c r="V695" i="1" s="1"/>
  <c r="V696" i="1" s="1"/>
  <c r="V697" i="1" s="1"/>
  <c r="V698" i="1" s="1"/>
  <c r="V699" i="1" s="1"/>
  <c r="V700" i="1" s="1"/>
  <c r="V701" i="1" s="1"/>
  <c r="V702" i="1" s="1"/>
  <c r="V703" i="1" s="1"/>
  <c r="V704" i="1" s="1"/>
  <c r="V705" i="1" s="1"/>
  <c r="V706" i="1" s="1"/>
  <c r="V707" i="1" s="1"/>
  <c r="V708" i="1" s="1"/>
  <c r="V709" i="1" s="1"/>
  <c r="V710" i="1" s="1"/>
  <c r="V711" i="1" s="1"/>
  <c r="V712" i="1" s="1"/>
  <c r="V713" i="1" s="1"/>
  <c r="V714" i="1" s="1"/>
  <c r="V715" i="1" s="1"/>
  <c r="V716" i="1" s="1"/>
  <c r="V717" i="1" s="1"/>
  <c r="V718" i="1" s="1"/>
  <c r="V719" i="1" s="1"/>
  <c r="V720" i="1" s="1"/>
  <c r="V721" i="1" s="1"/>
  <c r="V722" i="1" s="1"/>
  <c r="V723" i="1" s="1"/>
  <c r="V724" i="1" s="1"/>
  <c r="V725" i="1" s="1"/>
  <c r="V726" i="1" s="1"/>
  <c r="V727" i="1" s="1"/>
  <c r="V728" i="1" s="1"/>
  <c r="V729" i="1" s="1"/>
  <c r="V730" i="1" s="1"/>
  <c r="V731" i="1" s="1"/>
  <c r="V732" i="1" s="1"/>
  <c r="V733" i="1" s="1"/>
  <c r="V734" i="1" s="1"/>
  <c r="V735" i="1" s="1"/>
  <c r="V736" i="1" s="1"/>
  <c r="V737" i="1" s="1"/>
  <c r="V738" i="1" s="1"/>
  <c r="V739" i="1" s="1"/>
  <c r="V740" i="1" s="1"/>
  <c r="V741" i="1" s="1"/>
  <c r="V742" i="1" s="1"/>
  <c r="V743" i="1" s="1"/>
  <c r="V744" i="1" s="1"/>
  <c r="V745" i="1" s="1"/>
  <c r="V746" i="1" s="1"/>
  <c r="V747" i="1" s="1"/>
  <c r="V748" i="1" s="1"/>
  <c r="V749" i="1" s="1"/>
  <c r="V750" i="1" s="1"/>
  <c r="V751" i="1" s="1"/>
  <c r="V752" i="1" s="1"/>
  <c r="V753" i="1" s="1"/>
  <c r="V754" i="1" s="1"/>
  <c r="V755" i="1" s="1"/>
  <c r="V756" i="1" s="1"/>
  <c r="V757" i="1" s="1"/>
  <c r="V758" i="1" s="1"/>
  <c r="V759" i="1" s="1"/>
  <c r="V760" i="1" s="1"/>
  <c r="V761" i="1" s="1"/>
  <c r="V762" i="1" s="1"/>
  <c r="V763" i="1" s="1"/>
  <c r="V764" i="1" s="1"/>
  <c r="V765" i="1" s="1"/>
  <c r="V766" i="1" s="1"/>
  <c r="V767" i="1" s="1"/>
  <c r="V768" i="1" s="1"/>
  <c r="V769" i="1" s="1"/>
  <c r="V770" i="1" s="1"/>
  <c r="V771" i="1" s="1"/>
  <c r="V772" i="1" s="1"/>
  <c r="V773" i="1" s="1"/>
  <c r="V774" i="1" s="1"/>
  <c r="V775" i="1" s="1"/>
  <c r="V776" i="1" s="1"/>
  <c r="V777" i="1" s="1"/>
  <c r="V778" i="1" s="1"/>
  <c r="V779" i="1" s="1"/>
  <c r="V780" i="1" s="1"/>
  <c r="V781" i="1" s="1"/>
  <c r="V782" i="1" s="1"/>
  <c r="V783" i="1" s="1"/>
  <c r="V784" i="1" s="1"/>
  <c r="V785" i="1" s="1"/>
  <c r="V786" i="1" s="1"/>
  <c r="V787" i="1" s="1"/>
  <c r="V788" i="1" s="1"/>
  <c r="V789" i="1" s="1"/>
  <c r="V790" i="1" s="1"/>
  <c r="V791" i="1" s="1"/>
  <c r="V792" i="1" s="1"/>
  <c r="V793" i="1" s="1"/>
  <c r="V794" i="1" s="1"/>
  <c r="V795" i="1" s="1"/>
  <c r="V796" i="1" s="1"/>
  <c r="V797" i="1" s="1"/>
  <c r="V798" i="1" s="1"/>
  <c r="V799" i="1" s="1"/>
  <c r="V800" i="1" s="1"/>
  <c r="V801" i="1" s="1"/>
  <c r="V802" i="1" s="1"/>
  <c r="V803" i="1" s="1"/>
  <c r="V804" i="1" s="1"/>
  <c r="V805" i="1" s="1"/>
  <c r="V806" i="1" s="1"/>
  <c r="V807" i="1" s="1"/>
  <c r="V808" i="1" s="1"/>
  <c r="V809" i="1" s="1"/>
  <c r="V810" i="1" s="1"/>
  <c r="V811" i="1" s="1"/>
  <c r="V812" i="1" s="1"/>
  <c r="V813" i="1" s="1"/>
  <c r="V814" i="1" s="1"/>
  <c r="V815" i="1" s="1"/>
  <c r="V816" i="1" s="1"/>
  <c r="V817" i="1" s="1"/>
  <c r="V818" i="1" s="1"/>
  <c r="V819" i="1" s="1"/>
  <c r="V820" i="1" s="1"/>
  <c r="V821" i="1" s="1"/>
  <c r="V822" i="1" s="1"/>
  <c r="V823" i="1" s="1"/>
  <c r="V824" i="1" s="1"/>
  <c r="V825" i="1" s="1"/>
  <c r="V826" i="1" s="1"/>
  <c r="V827" i="1" s="1"/>
  <c r="V828" i="1" s="1"/>
  <c r="V829" i="1" s="1"/>
  <c r="V830" i="1" s="1"/>
  <c r="V831" i="1" s="1"/>
  <c r="V832" i="1" s="1"/>
  <c r="V833" i="1" s="1"/>
  <c r="V834" i="1" s="1"/>
  <c r="V835" i="1" s="1"/>
  <c r="V836" i="1" s="1"/>
  <c r="V837" i="1" s="1"/>
  <c r="V838" i="1" s="1"/>
  <c r="V839" i="1" s="1"/>
  <c r="V840" i="1" s="1"/>
  <c r="V841" i="1" s="1"/>
  <c r="V842" i="1" s="1"/>
  <c r="V843" i="1" s="1"/>
  <c r="V844" i="1" s="1"/>
  <c r="V845" i="1" s="1"/>
  <c r="V846" i="1" s="1"/>
  <c r="V847" i="1" s="1"/>
  <c r="V848" i="1" s="1"/>
  <c r="V849" i="1" s="1"/>
  <c r="V850" i="1" s="1"/>
  <c r="V851" i="1" s="1"/>
  <c r="V852" i="1" s="1"/>
  <c r="V853" i="1" s="1"/>
  <c r="V854" i="1" s="1"/>
  <c r="V855" i="1" s="1"/>
  <c r="V856" i="1" s="1"/>
  <c r="V857" i="1" s="1"/>
  <c r="V858" i="1" s="1"/>
  <c r="V859" i="1" s="1"/>
  <c r="V860" i="1" s="1"/>
  <c r="V861" i="1" s="1"/>
  <c r="V862" i="1" s="1"/>
  <c r="V863" i="1" s="1"/>
  <c r="V864" i="1" s="1"/>
  <c r="V865" i="1" s="1"/>
  <c r="V866" i="1" s="1"/>
  <c r="V867" i="1" s="1"/>
  <c r="V868" i="1" s="1"/>
  <c r="V869" i="1" s="1"/>
  <c r="V870" i="1" s="1"/>
  <c r="V871" i="1" s="1"/>
  <c r="V872" i="1" s="1"/>
  <c r="V873" i="1" s="1"/>
  <c r="V874" i="1" s="1"/>
  <c r="V875" i="1" s="1"/>
  <c r="V876" i="1" s="1"/>
  <c r="V877" i="1" s="1"/>
  <c r="V878" i="1" s="1"/>
  <c r="V879" i="1" s="1"/>
  <c r="V880" i="1" s="1"/>
  <c r="V881" i="1" s="1"/>
  <c r="V882" i="1" s="1"/>
  <c r="V883" i="1" s="1"/>
  <c r="V884" i="1" s="1"/>
  <c r="V885" i="1" s="1"/>
  <c r="V886" i="1" s="1"/>
  <c r="V887" i="1" s="1"/>
  <c r="V888" i="1" s="1"/>
  <c r="V889" i="1" s="1"/>
  <c r="V890" i="1" s="1"/>
  <c r="V891" i="1" s="1"/>
  <c r="V892" i="1" s="1"/>
  <c r="V893" i="1" s="1"/>
  <c r="V894" i="1" s="1"/>
  <c r="V895" i="1" s="1"/>
  <c r="V896" i="1" s="1"/>
  <c r="V897" i="1" s="1"/>
  <c r="V898" i="1" s="1"/>
  <c r="V899" i="1" s="1"/>
  <c r="V900" i="1" s="1"/>
  <c r="V901" i="1" s="1"/>
  <c r="V902" i="1" s="1"/>
  <c r="V903" i="1" s="1"/>
  <c r="V904" i="1" s="1"/>
  <c r="V905" i="1" s="1"/>
  <c r="V906" i="1" s="1"/>
  <c r="V907" i="1" s="1"/>
  <c r="V908" i="1" s="1"/>
  <c r="V909" i="1" s="1"/>
  <c r="V910" i="1" s="1"/>
  <c r="V911" i="1" s="1"/>
  <c r="V912" i="1" s="1"/>
  <c r="V913" i="1" s="1"/>
  <c r="V914" i="1" s="1"/>
  <c r="V915" i="1" s="1"/>
  <c r="V916" i="1" s="1"/>
  <c r="V917" i="1" s="1"/>
  <c r="V918" i="1" s="1"/>
  <c r="V919" i="1" s="1"/>
  <c r="V920" i="1" s="1"/>
  <c r="V921" i="1" s="1"/>
  <c r="V922" i="1" s="1"/>
  <c r="V923" i="1" s="1"/>
  <c r="V924" i="1" s="1"/>
  <c r="V925" i="1" s="1"/>
  <c r="V926" i="1" s="1"/>
  <c r="V927" i="1" s="1"/>
  <c r="V928" i="1" s="1"/>
  <c r="V929" i="1" s="1"/>
  <c r="V930" i="1" s="1"/>
  <c r="V931" i="1" s="1"/>
  <c r="V932" i="1" s="1"/>
  <c r="V933" i="1" s="1"/>
  <c r="V934" i="1" s="1"/>
  <c r="V935" i="1" s="1"/>
  <c r="V936" i="1" s="1"/>
  <c r="V937" i="1" s="1"/>
  <c r="V938" i="1" s="1"/>
  <c r="V939" i="1" s="1"/>
  <c r="V940" i="1" s="1"/>
  <c r="V941" i="1" s="1"/>
  <c r="V942" i="1" s="1"/>
  <c r="V943" i="1" s="1"/>
  <c r="V944" i="1" s="1"/>
  <c r="V945" i="1" s="1"/>
  <c r="V946" i="1" s="1"/>
  <c r="V947" i="1" s="1"/>
  <c r="V948" i="1" s="1"/>
  <c r="V949" i="1" s="1"/>
  <c r="V950" i="1" s="1"/>
  <c r="V951" i="1" s="1"/>
  <c r="V952" i="1" s="1"/>
  <c r="V953" i="1" s="1"/>
  <c r="V954" i="1" s="1"/>
  <c r="V955" i="1" s="1"/>
  <c r="V956" i="1" s="1"/>
  <c r="V957" i="1" s="1"/>
  <c r="V958" i="1" s="1"/>
  <c r="V959" i="1" s="1"/>
  <c r="V960" i="1" s="1"/>
  <c r="V961" i="1" s="1"/>
  <c r="V962" i="1" s="1"/>
  <c r="V963" i="1" s="1"/>
  <c r="V964" i="1" s="1"/>
  <c r="V965" i="1" s="1"/>
  <c r="V966" i="1" s="1"/>
  <c r="V967" i="1" s="1"/>
  <c r="V968" i="1" s="1"/>
  <c r="V969" i="1" s="1"/>
  <c r="V970" i="1" s="1"/>
  <c r="V971" i="1" s="1"/>
  <c r="V972" i="1" s="1"/>
  <c r="V973" i="1" s="1"/>
  <c r="V974" i="1" s="1"/>
  <c r="V975" i="1" s="1"/>
  <c r="V976" i="1" s="1"/>
  <c r="V977" i="1" s="1"/>
  <c r="V978" i="1" s="1"/>
  <c r="V979" i="1" s="1"/>
  <c r="V980" i="1" s="1"/>
  <c r="V981" i="1" s="1"/>
  <c r="V982" i="1" s="1"/>
  <c r="V983" i="1" s="1"/>
  <c r="V984" i="1" s="1"/>
  <c r="V985" i="1" s="1"/>
  <c r="V986" i="1" s="1"/>
  <c r="V987" i="1" s="1"/>
  <c r="V988" i="1" s="1"/>
  <c r="V989" i="1" s="1"/>
  <c r="V990" i="1" s="1"/>
  <c r="V991" i="1" s="1"/>
  <c r="V992" i="1" s="1"/>
  <c r="V993" i="1" s="1"/>
  <c r="V994" i="1" s="1"/>
  <c r="V995" i="1" s="1"/>
  <c r="V996" i="1" s="1"/>
  <c r="V997" i="1" s="1"/>
  <c r="V998" i="1" s="1"/>
  <c r="V999" i="1" s="1"/>
  <c r="V1000" i="1" s="1"/>
  <c r="V1001" i="1" s="1"/>
  <c r="V1002" i="1" s="1"/>
  <c r="W3" i="1"/>
  <c r="W4" i="1" s="1"/>
  <c r="W5" i="1" s="1"/>
  <c r="W6" i="1" s="1"/>
  <c r="W7" i="1" s="1"/>
  <c r="W8" i="1" s="1"/>
  <c r="W9" i="1" s="1"/>
  <c r="W10" i="1" s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W72" i="1" s="1"/>
  <c r="W73" i="1" s="1"/>
  <c r="W74" i="1" s="1"/>
  <c r="W75" i="1" s="1"/>
  <c r="W76" i="1" s="1"/>
  <c r="W77" i="1" s="1"/>
  <c r="W78" i="1" s="1"/>
  <c r="W79" i="1" s="1"/>
  <c r="W80" i="1" s="1"/>
  <c r="W81" i="1" s="1"/>
  <c r="W82" i="1" s="1"/>
  <c r="W83" i="1" s="1"/>
  <c r="W84" i="1" s="1"/>
  <c r="W85" i="1" s="1"/>
  <c r="W86" i="1" s="1"/>
  <c r="W87" i="1" s="1"/>
  <c r="W88" i="1" s="1"/>
  <c r="W89" i="1" s="1"/>
  <c r="W90" i="1" s="1"/>
  <c r="W91" i="1" s="1"/>
  <c r="W92" i="1" s="1"/>
  <c r="W93" i="1" s="1"/>
  <c r="W94" i="1" s="1"/>
  <c r="W95" i="1" s="1"/>
  <c r="W96" i="1" s="1"/>
  <c r="W97" i="1" s="1"/>
  <c r="W98" i="1" s="1"/>
  <c r="W99" i="1" s="1"/>
  <c r="W100" i="1" s="1"/>
  <c r="W101" i="1" s="1"/>
  <c r="W102" i="1" s="1"/>
  <c r="W103" i="1" s="1"/>
  <c r="W104" i="1" s="1"/>
  <c r="W105" i="1" s="1"/>
  <c r="W106" i="1" s="1"/>
  <c r="W107" i="1" s="1"/>
  <c r="W108" i="1" s="1"/>
  <c r="W109" i="1" s="1"/>
  <c r="W110" i="1" s="1"/>
  <c r="W111" i="1" s="1"/>
  <c r="W112" i="1" s="1"/>
  <c r="W113" i="1" s="1"/>
  <c r="W114" i="1" s="1"/>
  <c r="W115" i="1" s="1"/>
  <c r="W116" i="1" s="1"/>
  <c r="W117" i="1" s="1"/>
  <c r="W118" i="1" s="1"/>
  <c r="W119" i="1" s="1"/>
  <c r="W120" i="1" s="1"/>
  <c r="W121" i="1" s="1"/>
  <c r="W122" i="1" s="1"/>
  <c r="W123" i="1" s="1"/>
  <c r="W124" i="1" s="1"/>
  <c r="W125" i="1" s="1"/>
  <c r="W126" i="1" s="1"/>
  <c r="W127" i="1" s="1"/>
  <c r="W128" i="1" s="1"/>
  <c r="W129" i="1" s="1"/>
  <c r="W130" i="1" s="1"/>
  <c r="W131" i="1" s="1"/>
  <c r="W132" i="1" s="1"/>
  <c r="W133" i="1" s="1"/>
  <c r="W134" i="1" s="1"/>
  <c r="W135" i="1" s="1"/>
  <c r="W136" i="1" s="1"/>
  <c r="W137" i="1" s="1"/>
  <c r="W138" i="1" s="1"/>
  <c r="W139" i="1" s="1"/>
  <c r="W140" i="1" s="1"/>
  <c r="W141" i="1" s="1"/>
  <c r="W142" i="1" s="1"/>
  <c r="W143" i="1" s="1"/>
  <c r="W144" i="1" s="1"/>
  <c r="W145" i="1" s="1"/>
  <c r="W146" i="1" s="1"/>
  <c r="W147" i="1" s="1"/>
  <c r="W148" i="1" s="1"/>
  <c r="W149" i="1" s="1"/>
  <c r="W150" i="1" s="1"/>
  <c r="W151" i="1" s="1"/>
  <c r="W152" i="1" s="1"/>
  <c r="W153" i="1" s="1"/>
  <c r="W154" i="1" s="1"/>
  <c r="W155" i="1" s="1"/>
  <c r="W156" i="1" s="1"/>
  <c r="W157" i="1" s="1"/>
  <c r="W158" i="1" s="1"/>
  <c r="W159" i="1" s="1"/>
  <c r="W160" i="1" s="1"/>
  <c r="W161" i="1" s="1"/>
  <c r="W162" i="1" s="1"/>
  <c r="W163" i="1" s="1"/>
  <c r="W164" i="1" s="1"/>
  <c r="W165" i="1" s="1"/>
  <c r="W166" i="1" s="1"/>
  <c r="W167" i="1" s="1"/>
  <c r="W168" i="1" s="1"/>
  <c r="W169" i="1" s="1"/>
  <c r="W170" i="1" s="1"/>
  <c r="W171" i="1" s="1"/>
  <c r="W172" i="1" s="1"/>
  <c r="W173" i="1" s="1"/>
  <c r="W174" i="1" s="1"/>
  <c r="W175" i="1" s="1"/>
  <c r="W176" i="1" s="1"/>
  <c r="W177" i="1" s="1"/>
  <c r="W178" i="1" s="1"/>
  <c r="W179" i="1" s="1"/>
  <c r="W180" i="1" s="1"/>
  <c r="W181" i="1" s="1"/>
  <c r="W182" i="1" s="1"/>
  <c r="W183" i="1" s="1"/>
  <c r="W184" i="1" s="1"/>
  <c r="W185" i="1" s="1"/>
  <c r="W186" i="1" s="1"/>
  <c r="W187" i="1" s="1"/>
  <c r="W188" i="1" s="1"/>
  <c r="W189" i="1" s="1"/>
  <c r="W190" i="1" s="1"/>
  <c r="W191" i="1" s="1"/>
  <c r="W192" i="1" s="1"/>
  <c r="W193" i="1" s="1"/>
  <c r="W194" i="1" s="1"/>
  <c r="W195" i="1" s="1"/>
  <c r="W196" i="1" s="1"/>
  <c r="W197" i="1" s="1"/>
  <c r="W198" i="1" s="1"/>
  <c r="W199" i="1" s="1"/>
  <c r="W200" i="1" s="1"/>
  <c r="W201" i="1" s="1"/>
  <c r="W202" i="1" s="1"/>
  <c r="W203" i="1" s="1"/>
  <c r="W204" i="1" s="1"/>
  <c r="W205" i="1" s="1"/>
  <c r="W206" i="1" s="1"/>
  <c r="W207" i="1" s="1"/>
  <c r="W208" i="1" s="1"/>
  <c r="W209" i="1" s="1"/>
  <c r="W210" i="1" s="1"/>
  <c r="W211" i="1" s="1"/>
  <c r="W212" i="1" s="1"/>
  <c r="W213" i="1" s="1"/>
  <c r="W214" i="1" s="1"/>
  <c r="W215" i="1" s="1"/>
  <c r="W216" i="1" s="1"/>
  <c r="W217" i="1" s="1"/>
  <c r="W218" i="1" s="1"/>
  <c r="W219" i="1" s="1"/>
  <c r="W220" i="1" s="1"/>
  <c r="W221" i="1" s="1"/>
  <c r="W222" i="1" s="1"/>
  <c r="W223" i="1" s="1"/>
  <c r="W224" i="1" s="1"/>
  <c r="W225" i="1" s="1"/>
  <c r="W226" i="1" s="1"/>
  <c r="W227" i="1" s="1"/>
  <c r="W228" i="1" s="1"/>
  <c r="W229" i="1" s="1"/>
  <c r="W230" i="1" s="1"/>
  <c r="W231" i="1" s="1"/>
  <c r="W232" i="1" s="1"/>
  <c r="W233" i="1" s="1"/>
  <c r="W234" i="1" s="1"/>
  <c r="W235" i="1" s="1"/>
  <c r="W236" i="1" s="1"/>
  <c r="W237" i="1" s="1"/>
  <c r="W238" i="1" s="1"/>
  <c r="W239" i="1" s="1"/>
  <c r="W240" i="1" s="1"/>
  <c r="W241" i="1" s="1"/>
  <c r="W242" i="1" s="1"/>
  <c r="W243" i="1" s="1"/>
  <c r="W244" i="1" s="1"/>
  <c r="W245" i="1" s="1"/>
  <c r="W246" i="1" s="1"/>
  <c r="W247" i="1" s="1"/>
  <c r="W248" i="1" s="1"/>
  <c r="W249" i="1" s="1"/>
  <c r="W250" i="1" s="1"/>
  <c r="W251" i="1" s="1"/>
  <c r="W252" i="1" s="1"/>
  <c r="W253" i="1" s="1"/>
  <c r="W254" i="1" s="1"/>
  <c r="W255" i="1" s="1"/>
  <c r="W256" i="1" s="1"/>
  <c r="W257" i="1" s="1"/>
  <c r="W258" i="1" s="1"/>
  <c r="W259" i="1" s="1"/>
  <c r="W260" i="1" s="1"/>
  <c r="W261" i="1" s="1"/>
  <c r="W262" i="1" s="1"/>
  <c r="W263" i="1" s="1"/>
  <c r="W264" i="1" s="1"/>
  <c r="W265" i="1" s="1"/>
  <c r="W266" i="1" s="1"/>
  <c r="W267" i="1" s="1"/>
  <c r="W268" i="1" s="1"/>
  <c r="W269" i="1" s="1"/>
  <c r="W270" i="1" s="1"/>
  <c r="W271" i="1" s="1"/>
  <c r="W272" i="1" s="1"/>
  <c r="W273" i="1" s="1"/>
  <c r="W274" i="1" s="1"/>
  <c r="W275" i="1" s="1"/>
  <c r="W276" i="1" s="1"/>
  <c r="W277" i="1" s="1"/>
  <c r="W278" i="1" s="1"/>
  <c r="W279" i="1" s="1"/>
  <c r="W280" i="1" s="1"/>
  <c r="W281" i="1" s="1"/>
  <c r="W282" i="1" s="1"/>
  <c r="W283" i="1" s="1"/>
  <c r="W284" i="1" s="1"/>
  <c r="W285" i="1" s="1"/>
  <c r="W286" i="1" s="1"/>
  <c r="W287" i="1" s="1"/>
  <c r="W288" i="1" s="1"/>
  <c r="W289" i="1" s="1"/>
  <c r="W290" i="1" s="1"/>
  <c r="W291" i="1" s="1"/>
  <c r="W292" i="1" s="1"/>
  <c r="W293" i="1" s="1"/>
  <c r="W294" i="1" s="1"/>
  <c r="W295" i="1" s="1"/>
  <c r="W296" i="1" s="1"/>
  <c r="W297" i="1" s="1"/>
  <c r="W298" i="1" s="1"/>
  <c r="W299" i="1" s="1"/>
  <c r="W300" i="1" s="1"/>
  <c r="W301" i="1" s="1"/>
  <c r="W302" i="1" s="1"/>
  <c r="W303" i="1" s="1"/>
  <c r="W304" i="1" s="1"/>
  <c r="W305" i="1" s="1"/>
  <c r="W306" i="1" s="1"/>
  <c r="W307" i="1" s="1"/>
  <c r="W308" i="1" s="1"/>
  <c r="W309" i="1" s="1"/>
  <c r="W310" i="1" s="1"/>
  <c r="W311" i="1" s="1"/>
  <c r="W312" i="1" s="1"/>
  <c r="W313" i="1" s="1"/>
  <c r="W314" i="1" s="1"/>
  <c r="W315" i="1" s="1"/>
  <c r="W316" i="1" s="1"/>
  <c r="W317" i="1" s="1"/>
  <c r="W318" i="1" s="1"/>
  <c r="W319" i="1" s="1"/>
  <c r="W320" i="1" s="1"/>
  <c r="W321" i="1" s="1"/>
  <c r="W322" i="1" s="1"/>
  <c r="W323" i="1" s="1"/>
  <c r="W324" i="1" s="1"/>
  <c r="W325" i="1" s="1"/>
  <c r="W326" i="1" s="1"/>
  <c r="W327" i="1" s="1"/>
  <c r="W328" i="1" s="1"/>
  <c r="W329" i="1" s="1"/>
  <c r="W330" i="1" s="1"/>
  <c r="W331" i="1" s="1"/>
  <c r="W332" i="1" s="1"/>
  <c r="W333" i="1" s="1"/>
  <c r="W334" i="1" s="1"/>
  <c r="W335" i="1" s="1"/>
  <c r="W336" i="1" s="1"/>
  <c r="W337" i="1" s="1"/>
  <c r="W338" i="1" s="1"/>
  <c r="W339" i="1" s="1"/>
  <c r="W340" i="1" s="1"/>
  <c r="W341" i="1" s="1"/>
  <c r="W342" i="1" s="1"/>
  <c r="W343" i="1" s="1"/>
  <c r="W344" i="1" s="1"/>
  <c r="W345" i="1" s="1"/>
  <c r="W346" i="1" s="1"/>
  <c r="W347" i="1" s="1"/>
  <c r="W348" i="1" s="1"/>
  <c r="W349" i="1" s="1"/>
  <c r="W350" i="1" s="1"/>
  <c r="W351" i="1" s="1"/>
  <c r="W352" i="1" s="1"/>
  <c r="W353" i="1" s="1"/>
  <c r="W354" i="1" s="1"/>
  <c r="W355" i="1" s="1"/>
  <c r="W356" i="1" s="1"/>
  <c r="W357" i="1" s="1"/>
  <c r="W358" i="1" s="1"/>
  <c r="W359" i="1" s="1"/>
  <c r="W360" i="1" s="1"/>
  <c r="W361" i="1" s="1"/>
  <c r="W362" i="1" s="1"/>
  <c r="W363" i="1" s="1"/>
  <c r="W364" i="1" s="1"/>
  <c r="W365" i="1" s="1"/>
  <c r="W366" i="1" s="1"/>
  <c r="W367" i="1" s="1"/>
  <c r="W368" i="1" s="1"/>
  <c r="W369" i="1" s="1"/>
  <c r="W370" i="1" s="1"/>
  <c r="W371" i="1" s="1"/>
  <c r="W372" i="1" s="1"/>
  <c r="W373" i="1" s="1"/>
  <c r="W374" i="1" s="1"/>
  <c r="W375" i="1" s="1"/>
  <c r="W376" i="1" s="1"/>
  <c r="W377" i="1" s="1"/>
  <c r="W378" i="1" s="1"/>
  <c r="W379" i="1" s="1"/>
  <c r="W380" i="1" s="1"/>
  <c r="W381" i="1" s="1"/>
  <c r="W382" i="1" s="1"/>
  <c r="W383" i="1" s="1"/>
  <c r="W384" i="1" s="1"/>
  <c r="W385" i="1" s="1"/>
  <c r="W386" i="1" s="1"/>
  <c r="W387" i="1" s="1"/>
  <c r="W388" i="1" s="1"/>
  <c r="W389" i="1" s="1"/>
  <c r="W390" i="1" s="1"/>
  <c r="W391" i="1" s="1"/>
  <c r="W392" i="1" s="1"/>
  <c r="W393" i="1" s="1"/>
  <c r="W394" i="1" s="1"/>
  <c r="W395" i="1" s="1"/>
  <c r="W396" i="1" s="1"/>
  <c r="W397" i="1" s="1"/>
  <c r="W398" i="1" s="1"/>
  <c r="W399" i="1" s="1"/>
  <c r="W400" i="1" s="1"/>
  <c r="W401" i="1" s="1"/>
  <c r="W402" i="1" s="1"/>
  <c r="W403" i="1" s="1"/>
  <c r="W404" i="1" s="1"/>
  <c r="W405" i="1" s="1"/>
  <c r="W406" i="1" s="1"/>
  <c r="W407" i="1" s="1"/>
  <c r="W408" i="1" s="1"/>
  <c r="W409" i="1" s="1"/>
  <c r="W410" i="1" s="1"/>
  <c r="W411" i="1" s="1"/>
  <c r="W412" i="1" s="1"/>
  <c r="W413" i="1" s="1"/>
  <c r="W414" i="1" s="1"/>
  <c r="W415" i="1" s="1"/>
  <c r="W416" i="1" s="1"/>
  <c r="W417" i="1" s="1"/>
  <c r="W418" i="1" s="1"/>
  <c r="W419" i="1" s="1"/>
  <c r="W420" i="1" s="1"/>
  <c r="W421" i="1" s="1"/>
  <c r="W422" i="1" s="1"/>
  <c r="W423" i="1" s="1"/>
  <c r="W424" i="1" s="1"/>
  <c r="W425" i="1" s="1"/>
  <c r="W426" i="1" s="1"/>
  <c r="W427" i="1" s="1"/>
  <c r="W428" i="1" s="1"/>
  <c r="W429" i="1" s="1"/>
  <c r="W430" i="1" s="1"/>
  <c r="W431" i="1" s="1"/>
  <c r="W432" i="1" s="1"/>
  <c r="W433" i="1" s="1"/>
  <c r="W434" i="1" s="1"/>
  <c r="W435" i="1" s="1"/>
  <c r="W436" i="1" s="1"/>
  <c r="W437" i="1" s="1"/>
  <c r="W438" i="1" s="1"/>
  <c r="W439" i="1" s="1"/>
  <c r="W440" i="1" s="1"/>
  <c r="W441" i="1" s="1"/>
  <c r="W442" i="1" s="1"/>
  <c r="W443" i="1" s="1"/>
  <c r="W444" i="1" s="1"/>
  <c r="W445" i="1" s="1"/>
  <c r="W446" i="1" s="1"/>
  <c r="W447" i="1" s="1"/>
  <c r="W448" i="1" s="1"/>
  <c r="W449" i="1" s="1"/>
  <c r="W450" i="1" s="1"/>
  <c r="W451" i="1" s="1"/>
  <c r="W452" i="1" s="1"/>
  <c r="W453" i="1" s="1"/>
  <c r="W454" i="1" s="1"/>
  <c r="W455" i="1" s="1"/>
  <c r="W456" i="1" s="1"/>
  <c r="W457" i="1" s="1"/>
  <c r="W458" i="1" s="1"/>
  <c r="W459" i="1" s="1"/>
  <c r="W460" i="1" s="1"/>
  <c r="W461" i="1" s="1"/>
  <c r="W462" i="1" s="1"/>
  <c r="W463" i="1" s="1"/>
  <c r="W464" i="1" s="1"/>
  <c r="W465" i="1" s="1"/>
  <c r="W466" i="1" s="1"/>
  <c r="W467" i="1" s="1"/>
  <c r="W468" i="1" s="1"/>
  <c r="W469" i="1" s="1"/>
  <c r="W470" i="1" s="1"/>
  <c r="W471" i="1" s="1"/>
  <c r="W472" i="1" s="1"/>
  <c r="W473" i="1" s="1"/>
  <c r="W474" i="1" s="1"/>
  <c r="W475" i="1" s="1"/>
  <c r="W476" i="1" s="1"/>
  <c r="W477" i="1" s="1"/>
  <c r="W478" i="1" s="1"/>
  <c r="W479" i="1" s="1"/>
  <c r="W480" i="1" s="1"/>
  <c r="W481" i="1" s="1"/>
  <c r="W482" i="1" s="1"/>
  <c r="W483" i="1" s="1"/>
  <c r="W484" i="1" s="1"/>
  <c r="W485" i="1" s="1"/>
  <c r="W486" i="1" s="1"/>
  <c r="W487" i="1" s="1"/>
  <c r="W488" i="1" s="1"/>
  <c r="W489" i="1" s="1"/>
  <c r="W490" i="1" s="1"/>
  <c r="W491" i="1" s="1"/>
  <c r="W492" i="1" s="1"/>
  <c r="W493" i="1" s="1"/>
  <c r="W494" i="1" s="1"/>
  <c r="W495" i="1" s="1"/>
  <c r="W496" i="1" s="1"/>
  <c r="W497" i="1" s="1"/>
  <c r="W498" i="1" s="1"/>
  <c r="W499" i="1" s="1"/>
  <c r="W500" i="1" s="1"/>
  <c r="W501" i="1" s="1"/>
  <c r="W502" i="1" s="1"/>
  <c r="W503" i="1" s="1"/>
  <c r="W504" i="1" s="1"/>
  <c r="W505" i="1" s="1"/>
  <c r="W506" i="1" s="1"/>
  <c r="W507" i="1" s="1"/>
  <c r="W508" i="1" s="1"/>
  <c r="W509" i="1" s="1"/>
  <c r="W510" i="1" s="1"/>
  <c r="W511" i="1" s="1"/>
  <c r="W512" i="1" s="1"/>
  <c r="W513" i="1" s="1"/>
  <c r="W514" i="1" s="1"/>
  <c r="W515" i="1" s="1"/>
  <c r="W516" i="1" s="1"/>
  <c r="W517" i="1" s="1"/>
  <c r="W518" i="1" s="1"/>
  <c r="W519" i="1" s="1"/>
  <c r="W520" i="1" s="1"/>
  <c r="W521" i="1" s="1"/>
  <c r="W522" i="1" s="1"/>
  <c r="W523" i="1" s="1"/>
  <c r="W524" i="1" s="1"/>
  <c r="W525" i="1" s="1"/>
  <c r="W526" i="1" s="1"/>
  <c r="W527" i="1" s="1"/>
  <c r="W528" i="1" s="1"/>
  <c r="W529" i="1" s="1"/>
  <c r="W530" i="1" s="1"/>
  <c r="W531" i="1" s="1"/>
  <c r="W532" i="1" s="1"/>
  <c r="W533" i="1" s="1"/>
  <c r="W534" i="1" s="1"/>
  <c r="W535" i="1" s="1"/>
  <c r="W536" i="1" s="1"/>
  <c r="W537" i="1" s="1"/>
  <c r="W538" i="1" s="1"/>
  <c r="W539" i="1" s="1"/>
  <c r="W540" i="1" s="1"/>
  <c r="W541" i="1" s="1"/>
  <c r="W542" i="1" s="1"/>
  <c r="W543" i="1" s="1"/>
  <c r="W544" i="1" s="1"/>
  <c r="W545" i="1" s="1"/>
  <c r="W546" i="1" s="1"/>
  <c r="W547" i="1" s="1"/>
  <c r="W548" i="1" s="1"/>
  <c r="W549" i="1" s="1"/>
  <c r="W550" i="1" s="1"/>
  <c r="W551" i="1" s="1"/>
  <c r="W552" i="1" s="1"/>
  <c r="W553" i="1" s="1"/>
  <c r="W554" i="1" s="1"/>
  <c r="W555" i="1" s="1"/>
  <c r="W556" i="1" s="1"/>
  <c r="W557" i="1" s="1"/>
  <c r="W558" i="1" s="1"/>
  <c r="W559" i="1" s="1"/>
  <c r="W560" i="1" s="1"/>
  <c r="W561" i="1" s="1"/>
  <c r="W562" i="1" s="1"/>
  <c r="W563" i="1" s="1"/>
  <c r="W564" i="1" s="1"/>
  <c r="W565" i="1" s="1"/>
  <c r="W566" i="1" s="1"/>
  <c r="W567" i="1" s="1"/>
  <c r="W568" i="1" s="1"/>
  <c r="W569" i="1" s="1"/>
  <c r="W570" i="1" s="1"/>
  <c r="W571" i="1" s="1"/>
  <c r="W572" i="1" s="1"/>
  <c r="W573" i="1" s="1"/>
  <c r="W574" i="1" s="1"/>
  <c r="W575" i="1" s="1"/>
  <c r="W576" i="1" s="1"/>
  <c r="W577" i="1" s="1"/>
  <c r="W578" i="1" s="1"/>
  <c r="W579" i="1" s="1"/>
  <c r="W580" i="1" s="1"/>
  <c r="W581" i="1" s="1"/>
  <c r="W582" i="1" s="1"/>
  <c r="W583" i="1" s="1"/>
  <c r="W584" i="1" s="1"/>
  <c r="W585" i="1" s="1"/>
  <c r="W586" i="1" s="1"/>
  <c r="W587" i="1" s="1"/>
  <c r="W588" i="1" s="1"/>
  <c r="W589" i="1" s="1"/>
  <c r="W590" i="1" s="1"/>
  <c r="W591" i="1" s="1"/>
  <c r="W592" i="1" s="1"/>
  <c r="W593" i="1" s="1"/>
  <c r="W594" i="1" s="1"/>
  <c r="W595" i="1" s="1"/>
  <c r="W596" i="1" s="1"/>
  <c r="W597" i="1" s="1"/>
  <c r="W598" i="1" s="1"/>
  <c r="W599" i="1" s="1"/>
  <c r="W600" i="1" s="1"/>
  <c r="W601" i="1" s="1"/>
  <c r="W602" i="1" s="1"/>
  <c r="W603" i="1" s="1"/>
  <c r="W604" i="1" s="1"/>
  <c r="W605" i="1" s="1"/>
  <c r="W606" i="1" s="1"/>
  <c r="W607" i="1" s="1"/>
  <c r="W608" i="1" s="1"/>
  <c r="W609" i="1" s="1"/>
  <c r="W610" i="1" s="1"/>
  <c r="W611" i="1" s="1"/>
  <c r="W612" i="1" s="1"/>
  <c r="W613" i="1" s="1"/>
  <c r="W614" i="1" s="1"/>
  <c r="W615" i="1" s="1"/>
  <c r="W616" i="1" s="1"/>
  <c r="W617" i="1" s="1"/>
  <c r="W618" i="1" s="1"/>
  <c r="W619" i="1" s="1"/>
  <c r="W620" i="1" s="1"/>
  <c r="W621" i="1" s="1"/>
  <c r="W622" i="1" s="1"/>
  <c r="W623" i="1" s="1"/>
  <c r="W624" i="1" s="1"/>
  <c r="W625" i="1" s="1"/>
  <c r="W626" i="1" s="1"/>
  <c r="W627" i="1" s="1"/>
  <c r="W628" i="1" s="1"/>
  <c r="W629" i="1" s="1"/>
  <c r="W630" i="1" s="1"/>
  <c r="W631" i="1" s="1"/>
  <c r="W632" i="1" s="1"/>
  <c r="W633" i="1" s="1"/>
  <c r="W634" i="1" s="1"/>
  <c r="W635" i="1" s="1"/>
  <c r="W636" i="1" s="1"/>
  <c r="W637" i="1" s="1"/>
  <c r="W638" i="1" s="1"/>
  <c r="W639" i="1" s="1"/>
  <c r="W640" i="1" s="1"/>
  <c r="W641" i="1" s="1"/>
  <c r="W642" i="1" s="1"/>
  <c r="W643" i="1" s="1"/>
  <c r="W644" i="1" s="1"/>
  <c r="W645" i="1" s="1"/>
  <c r="W646" i="1" s="1"/>
  <c r="W647" i="1" s="1"/>
  <c r="W648" i="1" s="1"/>
  <c r="W649" i="1" s="1"/>
  <c r="W650" i="1" s="1"/>
  <c r="W651" i="1" s="1"/>
  <c r="W652" i="1" s="1"/>
  <c r="W653" i="1" s="1"/>
  <c r="W654" i="1" s="1"/>
  <c r="W655" i="1" s="1"/>
  <c r="W656" i="1" s="1"/>
  <c r="W657" i="1" s="1"/>
  <c r="W658" i="1" s="1"/>
  <c r="W659" i="1" s="1"/>
  <c r="W660" i="1" s="1"/>
  <c r="W661" i="1" s="1"/>
  <c r="W662" i="1" s="1"/>
  <c r="W663" i="1" s="1"/>
  <c r="W664" i="1" s="1"/>
  <c r="W665" i="1" s="1"/>
  <c r="W666" i="1" s="1"/>
  <c r="W667" i="1" s="1"/>
  <c r="W668" i="1" s="1"/>
  <c r="W669" i="1" s="1"/>
  <c r="W670" i="1" s="1"/>
  <c r="W671" i="1" s="1"/>
  <c r="W672" i="1" s="1"/>
  <c r="W673" i="1" s="1"/>
  <c r="W674" i="1" s="1"/>
  <c r="W675" i="1" s="1"/>
  <c r="W676" i="1" s="1"/>
  <c r="W677" i="1" s="1"/>
  <c r="W678" i="1" s="1"/>
  <c r="W679" i="1" s="1"/>
  <c r="W680" i="1" s="1"/>
  <c r="W681" i="1" s="1"/>
  <c r="W682" i="1" s="1"/>
  <c r="W683" i="1" s="1"/>
  <c r="W684" i="1" s="1"/>
  <c r="W685" i="1" s="1"/>
  <c r="W686" i="1" s="1"/>
  <c r="W687" i="1" s="1"/>
  <c r="W688" i="1" s="1"/>
  <c r="W689" i="1" s="1"/>
  <c r="W690" i="1" s="1"/>
  <c r="W691" i="1" s="1"/>
  <c r="W692" i="1" s="1"/>
  <c r="W693" i="1" s="1"/>
  <c r="W694" i="1" s="1"/>
  <c r="W695" i="1" s="1"/>
  <c r="W696" i="1" s="1"/>
  <c r="W697" i="1" s="1"/>
  <c r="W698" i="1" s="1"/>
  <c r="W699" i="1" s="1"/>
  <c r="W700" i="1" s="1"/>
  <c r="W701" i="1" s="1"/>
  <c r="W702" i="1" s="1"/>
  <c r="W703" i="1" s="1"/>
  <c r="W704" i="1" s="1"/>
  <c r="W705" i="1" s="1"/>
  <c r="W706" i="1" s="1"/>
  <c r="W707" i="1" s="1"/>
  <c r="W708" i="1" s="1"/>
  <c r="W709" i="1" s="1"/>
  <c r="W710" i="1" s="1"/>
  <c r="W711" i="1" s="1"/>
  <c r="W712" i="1" s="1"/>
  <c r="W713" i="1" s="1"/>
  <c r="W714" i="1" s="1"/>
  <c r="W715" i="1" s="1"/>
  <c r="W716" i="1" s="1"/>
  <c r="W717" i="1" s="1"/>
  <c r="W718" i="1" s="1"/>
  <c r="W719" i="1" s="1"/>
  <c r="W720" i="1" s="1"/>
  <c r="W721" i="1" s="1"/>
  <c r="W722" i="1" s="1"/>
  <c r="W723" i="1" s="1"/>
  <c r="W724" i="1" s="1"/>
  <c r="W725" i="1" s="1"/>
  <c r="W726" i="1" s="1"/>
  <c r="W727" i="1" s="1"/>
  <c r="W728" i="1" s="1"/>
  <c r="W729" i="1" s="1"/>
  <c r="W730" i="1" s="1"/>
  <c r="W731" i="1" s="1"/>
  <c r="W732" i="1" s="1"/>
  <c r="W733" i="1" s="1"/>
  <c r="W734" i="1" s="1"/>
  <c r="W735" i="1" s="1"/>
  <c r="W736" i="1" s="1"/>
  <c r="W737" i="1" s="1"/>
  <c r="W738" i="1" s="1"/>
  <c r="W739" i="1" s="1"/>
  <c r="W740" i="1" s="1"/>
  <c r="W741" i="1" s="1"/>
  <c r="W742" i="1" s="1"/>
  <c r="W743" i="1" s="1"/>
  <c r="W744" i="1" s="1"/>
  <c r="W745" i="1" s="1"/>
  <c r="W746" i="1" s="1"/>
  <c r="W747" i="1" s="1"/>
  <c r="W748" i="1" s="1"/>
  <c r="W749" i="1" s="1"/>
  <c r="W750" i="1" s="1"/>
  <c r="W751" i="1" s="1"/>
  <c r="W752" i="1" s="1"/>
  <c r="W753" i="1" s="1"/>
  <c r="W754" i="1" s="1"/>
  <c r="W755" i="1" s="1"/>
  <c r="W756" i="1" s="1"/>
  <c r="W757" i="1" s="1"/>
  <c r="W758" i="1" s="1"/>
  <c r="W759" i="1" s="1"/>
  <c r="W760" i="1" s="1"/>
  <c r="W761" i="1" s="1"/>
  <c r="W762" i="1" s="1"/>
  <c r="W763" i="1" s="1"/>
  <c r="W764" i="1" s="1"/>
  <c r="W765" i="1" s="1"/>
  <c r="W766" i="1" s="1"/>
  <c r="W767" i="1" s="1"/>
  <c r="W768" i="1" s="1"/>
  <c r="W769" i="1" s="1"/>
  <c r="W770" i="1" s="1"/>
  <c r="W771" i="1" s="1"/>
  <c r="W772" i="1" s="1"/>
  <c r="W773" i="1" s="1"/>
  <c r="W774" i="1" s="1"/>
  <c r="W775" i="1" s="1"/>
  <c r="W776" i="1" s="1"/>
  <c r="W777" i="1" s="1"/>
  <c r="W778" i="1" s="1"/>
  <c r="W779" i="1" s="1"/>
  <c r="W780" i="1" s="1"/>
  <c r="W781" i="1" s="1"/>
  <c r="W782" i="1" s="1"/>
  <c r="W783" i="1" s="1"/>
  <c r="W784" i="1" s="1"/>
  <c r="W785" i="1" s="1"/>
  <c r="W786" i="1" s="1"/>
  <c r="W787" i="1" s="1"/>
  <c r="W788" i="1" s="1"/>
  <c r="W789" i="1" s="1"/>
  <c r="W790" i="1" s="1"/>
  <c r="W791" i="1" s="1"/>
  <c r="W792" i="1" s="1"/>
  <c r="W793" i="1" s="1"/>
  <c r="W794" i="1" s="1"/>
  <c r="W795" i="1" s="1"/>
  <c r="W796" i="1" s="1"/>
  <c r="W797" i="1" s="1"/>
  <c r="W798" i="1" s="1"/>
  <c r="W799" i="1" s="1"/>
  <c r="W800" i="1" s="1"/>
  <c r="W801" i="1" s="1"/>
  <c r="W802" i="1" s="1"/>
  <c r="W803" i="1" s="1"/>
  <c r="W804" i="1" s="1"/>
  <c r="W805" i="1" s="1"/>
  <c r="W806" i="1" s="1"/>
  <c r="W807" i="1" s="1"/>
  <c r="W808" i="1" s="1"/>
  <c r="W809" i="1" s="1"/>
  <c r="W810" i="1" s="1"/>
  <c r="W811" i="1" s="1"/>
  <c r="W812" i="1" s="1"/>
  <c r="W813" i="1" s="1"/>
  <c r="W814" i="1" s="1"/>
  <c r="W815" i="1" s="1"/>
  <c r="W816" i="1" s="1"/>
  <c r="W817" i="1" s="1"/>
  <c r="W818" i="1" s="1"/>
  <c r="W819" i="1" s="1"/>
  <c r="W820" i="1" s="1"/>
  <c r="W821" i="1" s="1"/>
  <c r="W822" i="1" s="1"/>
  <c r="W823" i="1" s="1"/>
  <c r="W824" i="1" s="1"/>
  <c r="W825" i="1" s="1"/>
  <c r="W826" i="1" s="1"/>
  <c r="W827" i="1" s="1"/>
  <c r="W828" i="1" s="1"/>
  <c r="W829" i="1" s="1"/>
  <c r="W830" i="1" s="1"/>
  <c r="W831" i="1" s="1"/>
  <c r="W832" i="1" s="1"/>
  <c r="W833" i="1" s="1"/>
  <c r="W834" i="1" s="1"/>
  <c r="W835" i="1" s="1"/>
  <c r="W836" i="1" s="1"/>
  <c r="W837" i="1" s="1"/>
  <c r="W838" i="1" s="1"/>
  <c r="W839" i="1" s="1"/>
  <c r="W840" i="1" s="1"/>
  <c r="W841" i="1" s="1"/>
  <c r="W842" i="1" s="1"/>
  <c r="W843" i="1" s="1"/>
  <c r="W844" i="1" s="1"/>
  <c r="W845" i="1" s="1"/>
  <c r="W846" i="1" s="1"/>
  <c r="W847" i="1" s="1"/>
  <c r="W848" i="1" s="1"/>
  <c r="W849" i="1" s="1"/>
  <c r="W850" i="1" s="1"/>
  <c r="W851" i="1" s="1"/>
  <c r="W852" i="1" s="1"/>
  <c r="W853" i="1" s="1"/>
  <c r="W854" i="1" s="1"/>
  <c r="W855" i="1" s="1"/>
  <c r="W856" i="1" s="1"/>
  <c r="W857" i="1" s="1"/>
  <c r="W858" i="1" s="1"/>
  <c r="W859" i="1" s="1"/>
  <c r="W860" i="1" s="1"/>
  <c r="W861" i="1" s="1"/>
  <c r="W862" i="1" s="1"/>
  <c r="W863" i="1" s="1"/>
  <c r="W864" i="1" s="1"/>
  <c r="W865" i="1" s="1"/>
  <c r="W866" i="1" s="1"/>
  <c r="W867" i="1" s="1"/>
  <c r="W868" i="1" s="1"/>
  <c r="W869" i="1" s="1"/>
  <c r="W870" i="1" s="1"/>
  <c r="W871" i="1" s="1"/>
  <c r="W872" i="1" s="1"/>
  <c r="W873" i="1" s="1"/>
  <c r="W874" i="1" s="1"/>
  <c r="W875" i="1" s="1"/>
  <c r="W876" i="1" s="1"/>
  <c r="W877" i="1" s="1"/>
  <c r="W878" i="1" s="1"/>
  <c r="W879" i="1" s="1"/>
  <c r="W880" i="1" s="1"/>
  <c r="W881" i="1" s="1"/>
  <c r="W882" i="1" s="1"/>
  <c r="W883" i="1" s="1"/>
  <c r="W884" i="1" s="1"/>
  <c r="W885" i="1" s="1"/>
  <c r="W886" i="1" s="1"/>
  <c r="W887" i="1" s="1"/>
  <c r="W888" i="1" s="1"/>
  <c r="W889" i="1" s="1"/>
  <c r="W890" i="1" s="1"/>
  <c r="W891" i="1" s="1"/>
  <c r="W892" i="1" s="1"/>
  <c r="W893" i="1" s="1"/>
  <c r="W894" i="1" s="1"/>
  <c r="W895" i="1" s="1"/>
  <c r="W896" i="1" s="1"/>
  <c r="W897" i="1" s="1"/>
  <c r="W898" i="1" s="1"/>
  <c r="W899" i="1" s="1"/>
  <c r="W900" i="1" s="1"/>
  <c r="W901" i="1" s="1"/>
  <c r="W902" i="1" s="1"/>
  <c r="W903" i="1" s="1"/>
  <c r="W904" i="1" s="1"/>
  <c r="W905" i="1" s="1"/>
  <c r="W906" i="1" s="1"/>
  <c r="W907" i="1" s="1"/>
  <c r="W908" i="1" s="1"/>
  <c r="W909" i="1" s="1"/>
  <c r="W910" i="1" s="1"/>
  <c r="W911" i="1" s="1"/>
  <c r="W912" i="1" s="1"/>
  <c r="W913" i="1" s="1"/>
  <c r="W914" i="1" s="1"/>
  <c r="W915" i="1" s="1"/>
  <c r="W916" i="1" s="1"/>
  <c r="W917" i="1" s="1"/>
  <c r="W918" i="1" s="1"/>
  <c r="W919" i="1" s="1"/>
  <c r="W920" i="1" s="1"/>
  <c r="W921" i="1" s="1"/>
  <c r="W922" i="1" s="1"/>
  <c r="W923" i="1" s="1"/>
  <c r="W924" i="1" s="1"/>
  <c r="W925" i="1" s="1"/>
  <c r="W926" i="1" s="1"/>
  <c r="W927" i="1" s="1"/>
  <c r="W928" i="1" s="1"/>
  <c r="W929" i="1" s="1"/>
  <c r="W930" i="1" s="1"/>
  <c r="W931" i="1" s="1"/>
  <c r="W932" i="1" s="1"/>
  <c r="W933" i="1" s="1"/>
  <c r="W934" i="1" s="1"/>
  <c r="W935" i="1" s="1"/>
  <c r="W936" i="1" s="1"/>
  <c r="W937" i="1" s="1"/>
  <c r="W938" i="1" s="1"/>
  <c r="W939" i="1" s="1"/>
  <c r="W940" i="1" s="1"/>
  <c r="W941" i="1" s="1"/>
  <c r="W942" i="1" s="1"/>
  <c r="W943" i="1" s="1"/>
  <c r="W944" i="1" s="1"/>
  <c r="W945" i="1" s="1"/>
  <c r="W946" i="1" s="1"/>
  <c r="W947" i="1" s="1"/>
  <c r="W948" i="1" s="1"/>
  <c r="W949" i="1" s="1"/>
  <c r="W950" i="1" s="1"/>
  <c r="W951" i="1" s="1"/>
  <c r="W952" i="1" s="1"/>
  <c r="W953" i="1" s="1"/>
  <c r="W954" i="1" s="1"/>
  <c r="W955" i="1" s="1"/>
  <c r="W956" i="1" s="1"/>
  <c r="W957" i="1" s="1"/>
  <c r="W958" i="1" s="1"/>
  <c r="W959" i="1" s="1"/>
  <c r="W960" i="1" s="1"/>
  <c r="W961" i="1" s="1"/>
  <c r="W962" i="1" s="1"/>
  <c r="W963" i="1" s="1"/>
  <c r="W964" i="1" s="1"/>
  <c r="W965" i="1" s="1"/>
  <c r="W966" i="1" s="1"/>
  <c r="W967" i="1" s="1"/>
  <c r="W968" i="1" s="1"/>
  <c r="W969" i="1" s="1"/>
  <c r="W970" i="1" s="1"/>
  <c r="W971" i="1" s="1"/>
  <c r="W972" i="1" s="1"/>
  <c r="W973" i="1" s="1"/>
  <c r="W974" i="1" s="1"/>
  <c r="W975" i="1" s="1"/>
  <c r="W976" i="1" s="1"/>
  <c r="W977" i="1" s="1"/>
  <c r="W978" i="1" s="1"/>
  <c r="W979" i="1" s="1"/>
  <c r="W980" i="1" s="1"/>
  <c r="W981" i="1" s="1"/>
  <c r="W982" i="1" s="1"/>
  <c r="W983" i="1" s="1"/>
  <c r="W984" i="1" s="1"/>
  <c r="W985" i="1" s="1"/>
  <c r="W986" i="1" s="1"/>
  <c r="W987" i="1" s="1"/>
  <c r="W988" i="1" s="1"/>
  <c r="W989" i="1" s="1"/>
  <c r="W990" i="1" s="1"/>
  <c r="W991" i="1" s="1"/>
  <c r="W992" i="1" s="1"/>
  <c r="W993" i="1" s="1"/>
  <c r="W994" i="1" s="1"/>
  <c r="W995" i="1" s="1"/>
  <c r="W996" i="1" s="1"/>
  <c r="W997" i="1" s="1"/>
  <c r="W998" i="1" s="1"/>
  <c r="W999" i="1" s="1"/>
  <c r="W1000" i="1" s="1"/>
  <c r="W1001" i="1" s="1"/>
  <c r="W1002" i="1" s="1"/>
  <c r="X3" i="1"/>
  <c r="X4" i="1" s="1"/>
  <c r="X5" i="1" s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X368" i="1" s="1"/>
  <c r="X369" i="1" s="1"/>
  <c r="X370" i="1" s="1"/>
  <c r="X371" i="1" s="1"/>
  <c r="X372" i="1" s="1"/>
  <c r="X373" i="1" s="1"/>
  <c r="X374" i="1" s="1"/>
  <c r="X375" i="1" s="1"/>
  <c r="X376" i="1" s="1"/>
  <c r="X377" i="1" s="1"/>
  <c r="X378" i="1" s="1"/>
  <c r="X379" i="1" s="1"/>
  <c r="X380" i="1" s="1"/>
  <c r="X381" i="1" s="1"/>
  <c r="X382" i="1" s="1"/>
  <c r="X383" i="1" s="1"/>
  <c r="X384" i="1" s="1"/>
  <c r="X385" i="1" s="1"/>
  <c r="X386" i="1" s="1"/>
  <c r="X387" i="1" s="1"/>
  <c r="X388" i="1" s="1"/>
  <c r="X389" i="1" s="1"/>
  <c r="X390" i="1" s="1"/>
  <c r="X391" i="1" s="1"/>
  <c r="X392" i="1" s="1"/>
  <c r="X393" i="1" s="1"/>
  <c r="X394" i="1" s="1"/>
  <c r="X395" i="1" s="1"/>
  <c r="X396" i="1" s="1"/>
  <c r="X397" i="1" s="1"/>
  <c r="X398" i="1" s="1"/>
  <c r="X399" i="1" s="1"/>
  <c r="X400" i="1" s="1"/>
  <c r="X401" i="1" s="1"/>
  <c r="X402" i="1" s="1"/>
  <c r="X403" i="1" s="1"/>
  <c r="X404" i="1" s="1"/>
  <c r="X405" i="1" s="1"/>
  <c r="X406" i="1" s="1"/>
  <c r="X407" i="1" s="1"/>
  <c r="X408" i="1" s="1"/>
  <c r="X409" i="1" s="1"/>
  <c r="X410" i="1" s="1"/>
  <c r="X411" i="1" s="1"/>
  <c r="X412" i="1" s="1"/>
  <c r="X413" i="1" s="1"/>
  <c r="X414" i="1" s="1"/>
  <c r="X415" i="1" s="1"/>
  <c r="X416" i="1" s="1"/>
  <c r="X417" i="1" s="1"/>
  <c r="X418" i="1" s="1"/>
  <c r="X419" i="1" s="1"/>
  <c r="X420" i="1" s="1"/>
  <c r="X421" i="1" s="1"/>
  <c r="X422" i="1" s="1"/>
  <c r="X423" i="1" s="1"/>
  <c r="X424" i="1" s="1"/>
  <c r="X425" i="1" s="1"/>
  <c r="X426" i="1" s="1"/>
  <c r="X427" i="1" s="1"/>
  <c r="X428" i="1" s="1"/>
  <c r="X429" i="1" s="1"/>
  <c r="X430" i="1" s="1"/>
  <c r="X431" i="1" s="1"/>
  <c r="X432" i="1" s="1"/>
  <c r="X433" i="1" s="1"/>
  <c r="X434" i="1" s="1"/>
  <c r="X435" i="1" s="1"/>
  <c r="X436" i="1" s="1"/>
  <c r="X437" i="1" s="1"/>
  <c r="X438" i="1" s="1"/>
  <c r="X439" i="1" s="1"/>
  <c r="X440" i="1" s="1"/>
  <c r="X441" i="1" s="1"/>
  <c r="X442" i="1" s="1"/>
  <c r="X443" i="1" s="1"/>
  <c r="X444" i="1" s="1"/>
  <c r="X445" i="1" s="1"/>
  <c r="X446" i="1" s="1"/>
  <c r="X447" i="1" s="1"/>
  <c r="X448" i="1" s="1"/>
  <c r="X449" i="1" s="1"/>
  <c r="X450" i="1" s="1"/>
  <c r="X451" i="1" s="1"/>
  <c r="X452" i="1" s="1"/>
  <c r="X453" i="1" s="1"/>
  <c r="X454" i="1" s="1"/>
  <c r="X455" i="1" s="1"/>
  <c r="X456" i="1" s="1"/>
  <c r="X457" i="1" s="1"/>
  <c r="X458" i="1" s="1"/>
  <c r="X459" i="1" s="1"/>
  <c r="X460" i="1" s="1"/>
  <c r="X461" i="1" s="1"/>
  <c r="X462" i="1" s="1"/>
  <c r="X463" i="1" s="1"/>
  <c r="X464" i="1" s="1"/>
  <c r="X465" i="1" s="1"/>
  <c r="X466" i="1" s="1"/>
  <c r="X467" i="1" s="1"/>
  <c r="X468" i="1" s="1"/>
  <c r="X469" i="1" s="1"/>
  <c r="X470" i="1" s="1"/>
  <c r="X471" i="1" s="1"/>
  <c r="X472" i="1" s="1"/>
  <c r="X473" i="1" s="1"/>
  <c r="X474" i="1" s="1"/>
  <c r="X475" i="1" s="1"/>
  <c r="X476" i="1" s="1"/>
  <c r="X477" i="1" s="1"/>
  <c r="X478" i="1" s="1"/>
  <c r="X479" i="1" s="1"/>
  <c r="X480" i="1" s="1"/>
  <c r="X481" i="1" s="1"/>
  <c r="X482" i="1" s="1"/>
  <c r="X483" i="1" s="1"/>
  <c r="X484" i="1" s="1"/>
  <c r="X485" i="1" s="1"/>
  <c r="X486" i="1" s="1"/>
  <c r="X487" i="1" s="1"/>
  <c r="X488" i="1" s="1"/>
  <c r="X489" i="1" s="1"/>
  <c r="X490" i="1" s="1"/>
  <c r="X491" i="1" s="1"/>
  <c r="X492" i="1" s="1"/>
  <c r="X493" i="1" s="1"/>
  <c r="X494" i="1" s="1"/>
  <c r="X495" i="1" s="1"/>
  <c r="X496" i="1" s="1"/>
  <c r="X497" i="1" s="1"/>
  <c r="X498" i="1" s="1"/>
  <c r="X499" i="1" s="1"/>
  <c r="X500" i="1" s="1"/>
  <c r="X501" i="1" s="1"/>
  <c r="X502" i="1" s="1"/>
  <c r="X503" i="1" s="1"/>
  <c r="X504" i="1" s="1"/>
  <c r="X505" i="1" s="1"/>
  <c r="X506" i="1" s="1"/>
  <c r="X507" i="1" s="1"/>
  <c r="X508" i="1" s="1"/>
  <c r="X509" i="1" s="1"/>
  <c r="X510" i="1" s="1"/>
  <c r="X511" i="1" s="1"/>
  <c r="X512" i="1" s="1"/>
  <c r="X513" i="1" s="1"/>
  <c r="X514" i="1" s="1"/>
  <c r="X515" i="1" s="1"/>
  <c r="X516" i="1" s="1"/>
  <c r="X517" i="1" s="1"/>
  <c r="X518" i="1" s="1"/>
  <c r="X519" i="1" s="1"/>
  <c r="X520" i="1" s="1"/>
  <c r="X521" i="1" s="1"/>
  <c r="X522" i="1" s="1"/>
  <c r="X523" i="1" s="1"/>
  <c r="X524" i="1" s="1"/>
  <c r="X525" i="1" s="1"/>
  <c r="X526" i="1" s="1"/>
  <c r="X527" i="1" s="1"/>
  <c r="X528" i="1" s="1"/>
  <c r="X529" i="1" s="1"/>
  <c r="X530" i="1" s="1"/>
  <c r="X531" i="1" s="1"/>
  <c r="X532" i="1" s="1"/>
  <c r="X533" i="1" s="1"/>
  <c r="X534" i="1" s="1"/>
  <c r="X535" i="1" s="1"/>
  <c r="X536" i="1" s="1"/>
  <c r="X537" i="1" s="1"/>
  <c r="X538" i="1" s="1"/>
  <c r="X539" i="1" s="1"/>
  <c r="X540" i="1" s="1"/>
  <c r="X541" i="1" s="1"/>
  <c r="X542" i="1" s="1"/>
  <c r="X543" i="1" s="1"/>
  <c r="X544" i="1" s="1"/>
  <c r="X545" i="1" s="1"/>
  <c r="X546" i="1" s="1"/>
  <c r="X547" i="1" s="1"/>
  <c r="X548" i="1" s="1"/>
  <c r="X549" i="1" s="1"/>
  <c r="X550" i="1" s="1"/>
  <c r="X551" i="1" s="1"/>
  <c r="X552" i="1" s="1"/>
  <c r="X553" i="1" s="1"/>
  <c r="X554" i="1" s="1"/>
  <c r="X555" i="1" s="1"/>
  <c r="X556" i="1" s="1"/>
  <c r="X557" i="1" s="1"/>
  <c r="X558" i="1" s="1"/>
  <c r="X559" i="1" s="1"/>
  <c r="X560" i="1" s="1"/>
  <c r="X561" i="1" s="1"/>
  <c r="X562" i="1" s="1"/>
  <c r="X563" i="1" s="1"/>
  <c r="X564" i="1" s="1"/>
  <c r="X565" i="1" s="1"/>
  <c r="X566" i="1" s="1"/>
  <c r="X567" i="1" s="1"/>
  <c r="X568" i="1" s="1"/>
  <c r="X569" i="1" s="1"/>
  <c r="X570" i="1" s="1"/>
  <c r="X571" i="1" s="1"/>
  <c r="X572" i="1" s="1"/>
  <c r="X573" i="1" s="1"/>
  <c r="X574" i="1" s="1"/>
  <c r="X575" i="1" s="1"/>
  <c r="X576" i="1" s="1"/>
  <c r="X577" i="1" s="1"/>
  <c r="X578" i="1" s="1"/>
  <c r="X579" i="1" s="1"/>
  <c r="X580" i="1" s="1"/>
  <c r="X581" i="1" s="1"/>
  <c r="X582" i="1" s="1"/>
  <c r="X583" i="1" s="1"/>
  <c r="X584" i="1" s="1"/>
  <c r="X585" i="1" s="1"/>
  <c r="X586" i="1" s="1"/>
  <c r="X587" i="1" s="1"/>
  <c r="X588" i="1" s="1"/>
  <c r="X589" i="1" s="1"/>
  <c r="X590" i="1" s="1"/>
  <c r="X591" i="1" s="1"/>
  <c r="X592" i="1" s="1"/>
  <c r="X593" i="1" s="1"/>
  <c r="X594" i="1" s="1"/>
  <c r="X595" i="1" s="1"/>
  <c r="X596" i="1" s="1"/>
  <c r="X597" i="1" s="1"/>
  <c r="X598" i="1" s="1"/>
  <c r="X599" i="1" s="1"/>
  <c r="X600" i="1" s="1"/>
  <c r="X601" i="1" s="1"/>
  <c r="X602" i="1" s="1"/>
  <c r="X603" i="1" s="1"/>
  <c r="X604" i="1" s="1"/>
  <c r="X605" i="1" s="1"/>
  <c r="X606" i="1" s="1"/>
  <c r="X607" i="1" s="1"/>
  <c r="X608" i="1" s="1"/>
  <c r="X609" i="1" s="1"/>
  <c r="X610" i="1" s="1"/>
  <c r="X611" i="1" s="1"/>
  <c r="X612" i="1" s="1"/>
  <c r="X613" i="1" s="1"/>
  <c r="X614" i="1" s="1"/>
  <c r="X615" i="1" s="1"/>
  <c r="X616" i="1" s="1"/>
  <c r="X617" i="1" s="1"/>
  <c r="X618" i="1" s="1"/>
  <c r="X619" i="1" s="1"/>
  <c r="X620" i="1" s="1"/>
  <c r="X621" i="1" s="1"/>
  <c r="X622" i="1" s="1"/>
  <c r="X623" i="1" s="1"/>
  <c r="X624" i="1" s="1"/>
  <c r="X625" i="1" s="1"/>
  <c r="X626" i="1" s="1"/>
  <c r="X627" i="1" s="1"/>
  <c r="X628" i="1" s="1"/>
  <c r="X629" i="1" s="1"/>
  <c r="X630" i="1" s="1"/>
  <c r="X631" i="1" s="1"/>
  <c r="X632" i="1" s="1"/>
  <c r="X633" i="1" s="1"/>
  <c r="X634" i="1" s="1"/>
  <c r="X635" i="1" s="1"/>
  <c r="X636" i="1" s="1"/>
  <c r="X637" i="1" s="1"/>
  <c r="X638" i="1" s="1"/>
  <c r="X639" i="1" s="1"/>
  <c r="X640" i="1" s="1"/>
  <c r="X641" i="1" s="1"/>
  <c r="X642" i="1" s="1"/>
  <c r="X643" i="1" s="1"/>
  <c r="X644" i="1" s="1"/>
  <c r="X645" i="1" s="1"/>
  <c r="X646" i="1" s="1"/>
  <c r="X647" i="1" s="1"/>
  <c r="X648" i="1" s="1"/>
  <c r="X649" i="1" s="1"/>
  <c r="X650" i="1" s="1"/>
  <c r="X651" i="1" s="1"/>
  <c r="X652" i="1" s="1"/>
  <c r="X653" i="1" s="1"/>
  <c r="X654" i="1" s="1"/>
  <c r="X655" i="1" s="1"/>
  <c r="X656" i="1" s="1"/>
  <c r="X657" i="1" s="1"/>
  <c r="X658" i="1" s="1"/>
  <c r="X659" i="1" s="1"/>
  <c r="X660" i="1" s="1"/>
  <c r="X661" i="1" s="1"/>
  <c r="X662" i="1" s="1"/>
  <c r="X663" i="1" s="1"/>
  <c r="X664" i="1" s="1"/>
  <c r="X665" i="1" s="1"/>
  <c r="X666" i="1" s="1"/>
  <c r="X667" i="1" s="1"/>
  <c r="X668" i="1" s="1"/>
  <c r="X669" i="1" s="1"/>
  <c r="X670" i="1" s="1"/>
  <c r="X671" i="1" s="1"/>
  <c r="X672" i="1" s="1"/>
  <c r="X673" i="1" s="1"/>
  <c r="X674" i="1" s="1"/>
  <c r="X675" i="1" s="1"/>
  <c r="X676" i="1" s="1"/>
  <c r="X677" i="1" s="1"/>
  <c r="X678" i="1" s="1"/>
  <c r="X679" i="1" s="1"/>
  <c r="X680" i="1" s="1"/>
  <c r="X681" i="1" s="1"/>
  <c r="X682" i="1" s="1"/>
  <c r="X683" i="1" s="1"/>
  <c r="X684" i="1" s="1"/>
  <c r="X685" i="1" s="1"/>
  <c r="X686" i="1" s="1"/>
  <c r="X687" i="1" s="1"/>
  <c r="X688" i="1" s="1"/>
  <c r="X689" i="1" s="1"/>
  <c r="X690" i="1" s="1"/>
  <c r="X691" i="1" s="1"/>
  <c r="X692" i="1" s="1"/>
  <c r="X693" i="1" s="1"/>
  <c r="X694" i="1" s="1"/>
  <c r="X695" i="1" s="1"/>
  <c r="X696" i="1" s="1"/>
  <c r="X697" i="1" s="1"/>
  <c r="X698" i="1" s="1"/>
  <c r="X699" i="1" s="1"/>
  <c r="X700" i="1" s="1"/>
  <c r="X701" i="1" s="1"/>
  <c r="X702" i="1" s="1"/>
  <c r="X703" i="1" s="1"/>
  <c r="X704" i="1" s="1"/>
  <c r="X705" i="1" s="1"/>
  <c r="X706" i="1" s="1"/>
  <c r="X707" i="1" s="1"/>
  <c r="X708" i="1" s="1"/>
  <c r="X709" i="1" s="1"/>
  <c r="X710" i="1" s="1"/>
  <c r="X711" i="1" s="1"/>
  <c r="X712" i="1" s="1"/>
  <c r="X713" i="1" s="1"/>
  <c r="X714" i="1" s="1"/>
  <c r="X715" i="1" s="1"/>
  <c r="X716" i="1" s="1"/>
  <c r="X717" i="1" s="1"/>
  <c r="X718" i="1" s="1"/>
  <c r="X719" i="1" s="1"/>
  <c r="X720" i="1" s="1"/>
  <c r="X721" i="1" s="1"/>
  <c r="X722" i="1" s="1"/>
  <c r="X723" i="1" s="1"/>
  <c r="X724" i="1" s="1"/>
  <c r="X725" i="1" s="1"/>
  <c r="X726" i="1" s="1"/>
  <c r="X727" i="1" s="1"/>
  <c r="X728" i="1" s="1"/>
  <c r="X729" i="1" s="1"/>
  <c r="X730" i="1" s="1"/>
  <c r="X731" i="1" s="1"/>
  <c r="X732" i="1" s="1"/>
  <c r="X733" i="1" s="1"/>
  <c r="X734" i="1" s="1"/>
  <c r="X735" i="1" s="1"/>
  <c r="X736" i="1" s="1"/>
  <c r="X737" i="1" s="1"/>
  <c r="X738" i="1" s="1"/>
  <c r="X739" i="1" s="1"/>
  <c r="X740" i="1" s="1"/>
  <c r="X741" i="1" s="1"/>
  <c r="X742" i="1" s="1"/>
  <c r="X743" i="1" s="1"/>
  <c r="X744" i="1" s="1"/>
  <c r="X745" i="1" s="1"/>
  <c r="X746" i="1" s="1"/>
  <c r="X747" i="1" s="1"/>
  <c r="X748" i="1" s="1"/>
  <c r="X749" i="1" s="1"/>
  <c r="X750" i="1" s="1"/>
  <c r="X751" i="1" s="1"/>
  <c r="X752" i="1" s="1"/>
  <c r="X753" i="1" s="1"/>
  <c r="X754" i="1" s="1"/>
  <c r="X755" i="1" s="1"/>
  <c r="X756" i="1" s="1"/>
  <c r="X757" i="1" s="1"/>
  <c r="X758" i="1" s="1"/>
  <c r="X759" i="1" s="1"/>
  <c r="X760" i="1" s="1"/>
  <c r="X761" i="1" s="1"/>
  <c r="X762" i="1" s="1"/>
  <c r="X763" i="1" s="1"/>
  <c r="X764" i="1" s="1"/>
  <c r="X765" i="1" s="1"/>
  <c r="X766" i="1" s="1"/>
  <c r="X767" i="1" s="1"/>
  <c r="X768" i="1" s="1"/>
  <c r="X769" i="1" s="1"/>
  <c r="X770" i="1" s="1"/>
  <c r="X771" i="1" s="1"/>
  <c r="X772" i="1" s="1"/>
  <c r="X773" i="1" s="1"/>
  <c r="X774" i="1" s="1"/>
  <c r="X775" i="1" s="1"/>
  <c r="X776" i="1" s="1"/>
  <c r="X777" i="1" s="1"/>
  <c r="X778" i="1" s="1"/>
  <c r="X779" i="1" s="1"/>
  <c r="X780" i="1" s="1"/>
  <c r="X781" i="1" s="1"/>
  <c r="X782" i="1" s="1"/>
  <c r="X783" i="1" s="1"/>
  <c r="X784" i="1" s="1"/>
  <c r="X785" i="1" s="1"/>
  <c r="X786" i="1" s="1"/>
  <c r="X787" i="1" s="1"/>
  <c r="X788" i="1" s="1"/>
  <c r="X789" i="1" s="1"/>
  <c r="X790" i="1" s="1"/>
  <c r="X791" i="1" s="1"/>
  <c r="X792" i="1" s="1"/>
  <c r="X793" i="1" s="1"/>
  <c r="X794" i="1" s="1"/>
  <c r="X795" i="1" s="1"/>
  <c r="X796" i="1" s="1"/>
  <c r="X797" i="1" s="1"/>
  <c r="X798" i="1" s="1"/>
  <c r="X799" i="1" s="1"/>
  <c r="X800" i="1" s="1"/>
  <c r="X801" i="1" s="1"/>
  <c r="X802" i="1" s="1"/>
  <c r="X803" i="1" s="1"/>
  <c r="X804" i="1" s="1"/>
  <c r="X805" i="1" s="1"/>
  <c r="X806" i="1" s="1"/>
  <c r="X807" i="1" s="1"/>
  <c r="X808" i="1" s="1"/>
  <c r="X809" i="1" s="1"/>
  <c r="X810" i="1" s="1"/>
  <c r="X811" i="1" s="1"/>
  <c r="X812" i="1" s="1"/>
  <c r="X813" i="1" s="1"/>
  <c r="X814" i="1" s="1"/>
  <c r="X815" i="1" s="1"/>
  <c r="X816" i="1" s="1"/>
  <c r="X817" i="1" s="1"/>
  <c r="X818" i="1" s="1"/>
  <c r="X819" i="1" s="1"/>
  <c r="X820" i="1" s="1"/>
  <c r="X821" i="1" s="1"/>
  <c r="X822" i="1" s="1"/>
  <c r="X823" i="1" s="1"/>
  <c r="X824" i="1" s="1"/>
  <c r="X825" i="1" s="1"/>
  <c r="X826" i="1" s="1"/>
  <c r="X827" i="1" s="1"/>
  <c r="X828" i="1" s="1"/>
  <c r="X829" i="1" s="1"/>
  <c r="X830" i="1" s="1"/>
  <c r="X831" i="1" s="1"/>
  <c r="X832" i="1" s="1"/>
  <c r="X833" i="1" s="1"/>
  <c r="X834" i="1" s="1"/>
  <c r="X835" i="1" s="1"/>
  <c r="X836" i="1" s="1"/>
  <c r="X837" i="1" s="1"/>
  <c r="X838" i="1" s="1"/>
  <c r="X839" i="1" s="1"/>
  <c r="X840" i="1" s="1"/>
  <c r="X841" i="1" s="1"/>
  <c r="X842" i="1" s="1"/>
  <c r="X843" i="1" s="1"/>
  <c r="X844" i="1" s="1"/>
  <c r="X845" i="1" s="1"/>
  <c r="X846" i="1" s="1"/>
  <c r="X847" i="1" s="1"/>
  <c r="X848" i="1" s="1"/>
  <c r="X849" i="1" s="1"/>
  <c r="X850" i="1" s="1"/>
  <c r="X851" i="1" s="1"/>
  <c r="X852" i="1" s="1"/>
  <c r="X853" i="1" s="1"/>
  <c r="X854" i="1" s="1"/>
  <c r="X855" i="1" s="1"/>
  <c r="X856" i="1" s="1"/>
  <c r="X857" i="1" s="1"/>
  <c r="X858" i="1" s="1"/>
  <c r="X859" i="1" s="1"/>
  <c r="X860" i="1" s="1"/>
  <c r="X861" i="1" s="1"/>
  <c r="X862" i="1" s="1"/>
  <c r="X863" i="1" s="1"/>
  <c r="X864" i="1" s="1"/>
  <c r="X865" i="1" s="1"/>
  <c r="X866" i="1" s="1"/>
  <c r="X867" i="1" s="1"/>
  <c r="X868" i="1" s="1"/>
  <c r="X869" i="1" s="1"/>
  <c r="X870" i="1" s="1"/>
  <c r="X871" i="1" s="1"/>
  <c r="X872" i="1" s="1"/>
  <c r="X873" i="1" s="1"/>
  <c r="X874" i="1" s="1"/>
  <c r="X875" i="1" s="1"/>
  <c r="X876" i="1" s="1"/>
  <c r="X877" i="1" s="1"/>
  <c r="X878" i="1" s="1"/>
  <c r="X879" i="1" s="1"/>
  <c r="X880" i="1" s="1"/>
  <c r="X881" i="1" s="1"/>
  <c r="X882" i="1" s="1"/>
  <c r="X883" i="1" s="1"/>
  <c r="X884" i="1" s="1"/>
  <c r="X885" i="1" s="1"/>
  <c r="X886" i="1" s="1"/>
  <c r="X887" i="1" s="1"/>
  <c r="X888" i="1" s="1"/>
  <c r="X889" i="1" s="1"/>
  <c r="X890" i="1" s="1"/>
  <c r="X891" i="1" s="1"/>
  <c r="X892" i="1" s="1"/>
  <c r="X893" i="1" s="1"/>
  <c r="X894" i="1" s="1"/>
  <c r="X895" i="1" s="1"/>
  <c r="X896" i="1" s="1"/>
  <c r="X897" i="1" s="1"/>
  <c r="X898" i="1" s="1"/>
  <c r="X899" i="1" s="1"/>
  <c r="X900" i="1" s="1"/>
  <c r="X901" i="1" s="1"/>
  <c r="X902" i="1" s="1"/>
  <c r="X903" i="1" s="1"/>
  <c r="X904" i="1" s="1"/>
  <c r="X905" i="1" s="1"/>
  <c r="X906" i="1" s="1"/>
  <c r="X907" i="1" s="1"/>
  <c r="X908" i="1" s="1"/>
  <c r="X909" i="1" s="1"/>
  <c r="X910" i="1" s="1"/>
  <c r="X911" i="1" s="1"/>
  <c r="X912" i="1" s="1"/>
  <c r="X913" i="1" s="1"/>
  <c r="X914" i="1" s="1"/>
  <c r="X915" i="1" s="1"/>
  <c r="X916" i="1" s="1"/>
  <c r="X917" i="1" s="1"/>
  <c r="X918" i="1" s="1"/>
  <c r="X919" i="1" s="1"/>
  <c r="X920" i="1" s="1"/>
  <c r="X921" i="1" s="1"/>
  <c r="X922" i="1" s="1"/>
  <c r="X923" i="1" s="1"/>
  <c r="X924" i="1" s="1"/>
  <c r="X925" i="1" s="1"/>
  <c r="X926" i="1" s="1"/>
  <c r="X927" i="1" s="1"/>
  <c r="X928" i="1" s="1"/>
  <c r="X929" i="1" s="1"/>
  <c r="X930" i="1" s="1"/>
  <c r="X931" i="1" s="1"/>
  <c r="X932" i="1" s="1"/>
  <c r="X933" i="1" s="1"/>
  <c r="X934" i="1" s="1"/>
  <c r="X935" i="1" s="1"/>
  <c r="X936" i="1" s="1"/>
  <c r="X937" i="1" s="1"/>
  <c r="X938" i="1" s="1"/>
  <c r="X939" i="1" s="1"/>
  <c r="X940" i="1" s="1"/>
  <c r="X941" i="1" s="1"/>
  <c r="X942" i="1" s="1"/>
  <c r="X943" i="1" s="1"/>
  <c r="X944" i="1" s="1"/>
  <c r="X945" i="1" s="1"/>
  <c r="X946" i="1" s="1"/>
  <c r="X947" i="1" s="1"/>
  <c r="X948" i="1" s="1"/>
  <c r="X949" i="1" s="1"/>
  <c r="X950" i="1" s="1"/>
  <c r="X951" i="1" s="1"/>
  <c r="X952" i="1" s="1"/>
  <c r="X953" i="1" s="1"/>
  <c r="X954" i="1" s="1"/>
  <c r="X955" i="1" s="1"/>
  <c r="X956" i="1" s="1"/>
  <c r="X957" i="1" s="1"/>
  <c r="X958" i="1" s="1"/>
  <c r="X959" i="1" s="1"/>
  <c r="X960" i="1" s="1"/>
  <c r="X961" i="1" s="1"/>
  <c r="X962" i="1" s="1"/>
  <c r="X963" i="1" s="1"/>
  <c r="X964" i="1" s="1"/>
  <c r="X965" i="1" s="1"/>
  <c r="X966" i="1" s="1"/>
  <c r="X967" i="1" s="1"/>
  <c r="X968" i="1" s="1"/>
  <c r="X969" i="1" s="1"/>
  <c r="X970" i="1" s="1"/>
  <c r="X971" i="1" s="1"/>
  <c r="X972" i="1" s="1"/>
  <c r="X973" i="1" s="1"/>
  <c r="X974" i="1" s="1"/>
  <c r="X975" i="1" s="1"/>
  <c r="X976" i="1" s="1"/>
  <c r="X977" i="1" s="1"/>
  <c r="X978" i="1" s="1"/>
  <c r="X979" i="1" s="1"/>
  <c r="X980" i="1" s="1"/>
  <c r="X981" i="1" s="1"/>
  <c r="X982" i="1" s="1"/>
  <c r="X983" i="1" s="1"/>
  <c r="X984" i="1" s="1"/>
  <c r="X985" i="1" s="1"/>
  <c r="X986" i="1" s="1"/>
  <c r="X987" i="1" s="1"/>
  <c r="X988" i="1" s="1"/>
  <c r="X989" i="1" s="1"/>
  <c r="X990" i="1" s="1"/>
  <c r="X991" i="1" s="1"/>
  <c r="X992" i="1" s="1"/>
  <c r="X993" i="1" s="1"/>
  <c r="X994" i="1" s="1"/>
  <c r="X995" i="1" s="1"/>
  <c r="X996" i="1" s="1"/>
  <c r="X997" i="1" s="1"/>
  <c r="X998" i="1" s="1"/>
  <c r="X999" i="1" s="1"/>
  <c r="X1000" i="1" s="1"/>
  <c r="X1001" i="1" s="1"/>
  <c r="X1002" i="1" s="1"/>
  <c r="Y3" i="1"/>
  <c r="Y4" i="1" s="1"/>
  <c r="Y5" i="1" s="1"/>
  <c r="Y6" i="1" s="1"/>
  <c r="Y7" i="1" s="1"/>
  <c r="Y8" i="1" s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Y123" i="1" s="1"/>
  <c r="Y124" i="1" s="1"/>
  <c r="Y125" i="1" s="1"/>
  <c r="Y126" i="1" s="1"/>
  <c r="Y127" i="1" s="1"/>
  <c r="Y128" i="1" s="1"/>
  <c r="Y129" i="1" s="1"/>
  <c r="Y130" i="1" s="1"/>
  <c r="Y131" i="1" s="1"/>
  <c r="Y132" i="1" s="1"/>
  <c r="Y133" i="1" s="1"/>
  <c r="Y134" i="1" s="1"/>
  <c r="Y135" i="1" s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Y147" i="1" s="1"/>
  <c r="Y148" i="1" s="1"/>
  <c r="Y149" i="1" s="1"/>
  <c r="Y150" i="1" s="1"/>
  <c r="Y151" i="1" s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Y165" i="1" s="1"/>
  <c r="Y166" i="1" s="1"/>
  <c r="Y167" i="1" s="1"/>
  <c r="Y168" i="1" s="1"/>
  <c r="Y169" i="1" s="1"/>
  <c r="Y170" i="1" s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5" i="1" s="1"/>
  <c r="Y186" i="1" s="1"/>
  <c r="Y187" i="1" s="1"/>
  <c r="Y188" i="1" s="1"/>
  <c r="Y189" i="1" s="1"/>
  <c r="Y190" i="1" s="1"/>
  <c r="Y191" i="1" s="1"/>
  <c r="Y192" i="1" s="1"/>
  <c r="Y193" i="1" s="1"/>
  <c r="Y194" i="1" s="1"/>
  <c r="Y195" i="1" s="1"/>
  <c r="Y196" i="1" s="1"/>
  <c r="Y197" i="1" s="1"/>
  <c r="Y198" i="1" s="1"/>
  <c r="Y199" i="1" s="1"/>
  <c r="Y200" i="1" s="1"/>
  <c r="Y201" i="1" s="1"/>
  <c r="Y202" i="1" s="1"/>
  <c r="Y203" i="1" s="1"/>
  <c r="Y204" i="1" s="1"/>
  <c r="Y205" i="1" s="1"/>
  <c r="Y206" i="1" s="1"/>
  <c r="Y207" i="1" s="1"/>
  <c r="Y208" i="1" s="1"/>
  <c r="Y209" i="1" s="1"/>
  <c r="Y210" i="1" s="1"/>
  <c r="Y211" i="1" s="1"/>
  <c r="Y212" i="1" s="1"/>
  <c r="Y213" i="1" s="1"/>
  <c r="Y214" i="1" s="1"/>
  <c r="Y215" i="1" s="1"/>
  <c r="Y216" i="1" s="1"/>
  <c r="Y217" i="1" s="1"/>
  <c r="Y218" i="1" s="1"/>
  <c r="Y219" i="1" s="1"/>
  <c r="Y220" i="1" s="1"/>
  <c r="Y221" i="1" s="1"/>
  <c r="Y222" i="1" s="1"/>
  <c r="Y223" i="1" s="1"/>
  <c r="Y224" i="1" s="1"/>
  <c r="Y225" i="1" s="1"/>
  <c r="Y226" i="1" s="1"/>
  <c r="Y227" i="1" s="1"/>
  <c r="Y228" i="1" s="1"/>
  <c r="Y229" i="1" s="1"/>
  <c r="Y230" i="1" s="1"/>
  <c r="Y231" i="1" s="1"/>
  <c r="Y232" i="1" s="1"/>
  <c r="Y233" i="1" s="1"/>
  <c r="Y234" i="1" s="1"/>
  <c r="Y235" i="1" s="1"/>
  <c r="Y236" i="1" s="1"/>
  <c r="Y237" i="1" s="1"/>
  <c r="Y238" i="1" s="1"/>
  <c r="Y239" i="1" s="1"/>
  <c r="Y240" i="1" s="1"/>
  <c r="Y241" i="1" s="1"/>
  <c r="Y242" i="1" s="1"/>
  <c r="Y243" i="1" s="1"/>
  <c r="Y244" i="1" s="1"/>
  <c r="Y245" i="1" s="1"/>
  <c r="Y246" i="1" s="1"/>
  <c r="Y247" i="1" s="1"/>
  <c r="Y248" i="1" s="1"/>
  <c r="Y249" i="1" s="1"/>
  <c r="Y250" i="1" s="1"/>
  <c r="Y251" i="1" s="1"/>
  <c r="Y252" i="1" s="1"/>
  <c r="Y253" i="1" s="1"/>
  <c r="Y254" i="1" s="1"/>
  <c r="Y255" i="1" s="1"/>
  <c r="Y256" i="1" s="1"/>
  <c r="Y257" i="1" s="1"/>
  <c r="Y258" i="1" s="1"/>
  <c r="Y259" i="1" s="1"/>
  <c r="Y260" i="1" s="1"/>
  <c r="Y261" i="1" s="1"/>
  <c r="Y262" i="1" s="1"/>
  <c r="Y263" i="1" s="1"/>
  <c r="Y264" i="1" s="1"/>
  <c r="Y265" i="1" s="1"/>
  <c r="Y266" i="1" s="1"/>
  <c r="Y267" i="1" s="1"/>
  <c r="Y268" i="1" s="1"/>
  <c r="Y269" i="1" s="1"/>
  <c r="Y270" i="1" s="1"/>
  <c r="Y271" i="1" s="1"/>
  <c r="Y272" i="1" s="1"/>
  <c r="Y273" i="1" s="1"/>
  <c r="Y274" i="1" s="1"/>
  <c r="Y275" i="1" s="1"/>
  <c r="Y276" i="1" s="1"/>
  <c r="Y277" i="1" s="1"/>
  <c r="Y278" i="1" s="1"/>
  <c r="Y279" i="1" s="1"/>
  <c r="Y280" i="1" s="1"/>
  <c r="Y281" i="1" s="1"/>
  <c r="Y282" i="1" s="1"/>
  <c r="Y283" i="1" s="1"/>
  <c r="Y284" i="1" s="1"/>
  <c r="Y285" i="1" s="1"/>
  <c r="Y286" i="1" s="1"/>
  <c r="Y287" i="1" s="1"/>
  <c r="Y288" i="1" s="1"/>
  <c r="Y289" i="1" s="1"/>
  <c r="Y290" i="1" s="1"/>
  <c r="Y291" i="1" s="1"/>
  <c r="Y292" i="1" s="1"/>
  <c r="Y293" i="1" s="1"/>
  <c r="Y294" i="1" s="1"/>
  <c r="Y295" i="1" s="1"/>
  <c r="Y296" i="1" s="1"/>
  <c r="Y297" i="1" s="1"/>
  <c r="Y298" i="1" s="1"/>
  <c r="Y299" i="1" s="1"/>
  <c r="Y300" i="1" s="1"/>
  <c r="Y301" i="1" s="1"/>
  <c r="Y302" i="1" s="1"/>
  <c r="Y303" i="1" s="1"/>
  <c r="Y304" i="1" s="1"/>
  <c r="Y305" i="1" s="1"/>
  <c r="Y306" i="1" s="1"/>
  <c r="Y307" i="1" s="1"/>
  <c r="Y308" i="1" s="1"/>
  <c r="Y309" i="1" s="1"/>
  <c r="Y310" i="1" s="1"/>
  <c r="Y311" i="1" s="1"/>
  <c r="Y312" i="1" s="1"/>
  <c r="Y313" i="1" s="1"/>
  <c r="Y314" i="1" s="1"/>
  <c r="Y315" i="1" s="1"/>
  <c r="Y316" i="1" s="1"/>
  <c r="Y317" i="1" s="1"/>
  <c r="Y318" i="1" s="1"/>
  <c r="Y319" i="1" s="1"/>
  <c r="Y320" i="1" s="1"/>
  <c r="Y321" i="1" s="1"/>
  <c r="Y322" i="1" s="1"/>
  <c r="Y323" i="1" s="1"/>
  <c r="Y324" i="1" s="1"/>
  <c r="Y325" i="1" s="1"/>
  <c r="Y326" i="1" s="1"/>
  <c r="Y327" i="1" s="1"/>
  <c r="Y328" i="1" s="1"/>
  <c r="Y329" i="1" s="1"/>
  <c r="Y330" i="1" s="1"/>
  <c r="Y331" i="1" s="1"/>
  <c r="Y332" i="1" s="1"/>
  <c r="Y333" i="1" s="1"/>
  <c r="Y334" i="1" s="1"/>
  <c r="Y335" i="1" s="1"/>
  <c r="Y336" i="1" s="1"/>
  <c r="Y337" i="1" s="1"/>
  <c r="Y338" i="1" s="1"/>
  <c r="Y339" i="1" s="1"/>
  <c r="Y340" i="1" s="1"/>
  <c r="Y341" i="1" s="1"/>
  <c r="Y342" i="1" s="1"/>
  <c r="Y343" i="1" s="1"/>
  <c r="Y344" i="1" s="1"/>
  <c r="Y345" i="1" s="1"/>
  <c r="Y346" i="1" s="1"/>
  <c r="Y347" i="1" s="1"/>
  <c r="Y348" i="1" s="1"/>
  <c r="Y349" i="1" s="1"/>
  <c r="Y350" i="1" s="1"/>
  <c r="Y351" i="1" s="1"/>
  <c r="Y352" i="1" s="1"/>
  <c r="Y353" i="1" s="1"/>
  <c r="Y354" i="1" s="1"/>
  <c r="Y355" i="1" s="1"/>
  <c r="Y356" i="1" s="1"/>
  <c r="Y357" i="1" s="1"/>
  <c r="Y358" i="1" s="1"/>
  <c r="Y359" i="1" s="1"/>
  <c r="Y360" i="1" s="1"/>
  <c r="Y361" i="1" s="1"/>
  <c r="Y362" i="1" s="1"/>
  <c r="Y363" i="1" s="1"/>
  <c r="Y364" i="1" s="1"/>
  <c r="Y365" i="1" s="1"/>
  <c r="Y366" i="1" s="1"/>
  <c r="Y367" i="1" s="1"/>
  <c r="Y368" i="1" s="1"/>
  <c r="Y369" i="1" s="1"/>
  <c r="Y370" i="1" s="1"/>
  <c r="Y371" i="1" s="1"/>
  <c r="Y372" i="1" s="1"/>
  <c r="Y373" i="1" s="1"/>
  <c r="Y374" i="1" s="1"/>
  <c r="Y375" i="1" s="1"/>
  <c r="Y376" i="1" s="1"/>
  <c r="Y377" i="1" s="1"/>
  <c r="Y378" i="1" s="1"/>
  <c r="Y379" i="1" s="1"/>
  <c r="Y380" i="1" s="1"/>
  <c r="Y381" i="1" s="1"/>
  <c r="Y382" i="1" s="1"/>
  <c r="Y383" i="1" s="1"/>
  <c r="Y384" i="1" s="1"/>
  <c r="Y385" i="1" s="1"/>
  <c r="Y386" i="1" s="1"/>
  <c r="Y387" i="1" s="1"/>
  <c r="Y388" i="1" s="1"/>
  <c r="Y389" i="1" s="1"/>
  <c r="Y390" i="1" s="1"/>
  <c r="Y391" i="1" s="1"/>
  <c r="Y392" i="1" s="1"/>
  <c r="Y393" i="1" s="1"/>
  <c r="Y394" i="1" s="1"/>
  <c r="Y395" i="1" s="1"/>
  <c r="Y396" i="1" s="1"/>
  <c r="Y397" i="1" s="1"/>
  <c r="Y398" i="1" s="1"/>
  <c r="Y399" i="1" s="1"/>
  <c r="Y400" i="1" s="1"/>
  <c r="Y401" i="1" s="1"/>
  <c r="Y402" i="1" s="1"/>
  <c r="Y403" i="1" s="1"/>
  <c r="Y404" i="1" s="1"/>
  <c r="Y405" i="1" s="1"/>
  <c r="Y406" i="1" s="1"/>
  <c r="Y407" i="1" s="1"/>
  <c r="Y408" i="1" s="1"/>
  <c r="Y409" i="1" s="1"/>
  <c r="Y410" i="1" s="1"/>
  <c r="Y411" i="1" s="1"/>
  <c r="Y412" i="1" s="1"/>
  <c r="Y413" i="1" s="1"/>
  <c r="Y414" i="1" s="1"/>
  <c r="Y415" i="1" s="1"/>
  <c r="Y416" i="1" s="1"/>
  <c r="Y417" i="1" s="1"/>
  <c r="Y418" i="1" s="1"/>
  <c r="Y419" i="1" s="1"/>
  <c r="Y420" i="1" s="1"/>
  <c r="Y421" i="1" s="1"/>
  <c r="Y422" i="1" s="1"/>
  <c r="Y423" i="1" s="1"/>
  <c r="Y424" i="1" s="1"/>
  <c r="Y425" i="1" s="1"/>
  <c r="Y426" i="1" s="1"/>
  <c r="Y427" i="1" s="1"/>
  <c r="Y428" i="1" s="1"/>
  <c r="Y429" i="1" s="1"/>
  <c r="Y430" i="1" s="1"/>
  <c r="Y431" i="1" s="1"/>
  <c r="Y432" i="1" s="1"/>
  <c r="Y433" i="1" s="1"/>
  <c r="Y434" i="1" s="1"/>
  <c r="Y435" i="1" s="1"/>
  <c r="Y436" i="1" s="1"/>
  <c r="Y437" i="1" s="1"/>
  <c r="Y438" i="1" s="1"/>
  <c r="Y439" i="1" s="1"/>
  <c r="Y440" i="1" s="1"/>
  <c r="Y441" i="1" s="1"/>
  <c r="Y442" i="1" s="1"/>
  <c r="Y443" i="1" s="1"/>
  <c r="Y444" i="1" s="1"/>
  <c r="Y445" i="1" s="1"/>
  <c r="Y446" i="1" s="1"/>
  <c r="Y447" i="1" s="1"/>
  <c r="Y448" i="1" s="1"/>
  <c r="Y449" i="1" s="1"/>
  <c r="Y450" i="1" s="1"/>
  <c r="Y451" i="1" s="1"/>
  <c r="Y452" i="1" s="1"/>
  <c r="Y453" i="1" s="1"/>
  <c r="Y454" i="1" s="1"/>
  <c r="Y455" i="1" s="1"/>
  <c r="Y456" i="1" s="1"/>
  <c r="Y457" i="1" s="1"/>
  <c r="Y458" i="1" s="1"/>
  <c r="Y459" i="1" s="1"/>
  <c r="Y460" i="1" s="1"/>
  <c r="Y461" i="1" s="1"/>
  <c r="Y462" i="1" s="1"/>
  <c r="Y463" i="1" s="1"/>
  <c r="Y464" i="1" s="1"/>
  <c r="Y465" i="1" s="1"/>
  <c r="Y466" i="1" s="1"/>
  <c r="Y467" i="1" s="1"/>
  <c r="Y468" i="1" s="1"/>
  <c r="Y469" i="1" s="1"/>
  <c r="Y470" i="1" s="1"/>
  <c r="Y471" i="1" s="1"/>
  <c r="Y472" i="1" s="1"/>
  <c r="Y473" i="1" s="1"/>
  <c r="Y474" i="1" s="1"/>
  <c r="Y475" i="1" s="1"/>
  <c r="Y476" i="1" s="1"/>
  <c r="Y477" i="1" s="1"/>
  <c r="Y478" i="1" s="1"/>
  <c r="Y479" i="1" s="1"/>
  <c r="Y480" i="1" s="1"/>
  <c r="Y481" i="1" s="1"/>
  <c r="Y482" i="1" s="1"/>
  <c r="Y483" i="1" s="1"/>
  <c r="Y484" i="1" s="1"/>
  <c r="Y485" i="1" s="1"/>
  <c r="Y486" i="1" s="1"/>
  <c r="Y487" i="1" s="1"/>
  <c r="Y488" i="1" s="1"/>
  <c r="Y489" i="1" s="1"/>
  <c r="Y490" i="1" s="1"/>
  <c r="Y491" i="1" s="1"/>
  <c r="Y492" i="1" s="1"/>
  <c r="Y493" i="1" s="1"/>
  <c r="Y494" i="1" s="1"/>
  <c r="Y495" i="1" s="1"/>
  <c r="Y496" i="1" s="1"/>
  <c r="Y497" i="1" s="1"/>
  <c r="Y498" i="1" s="1"/>
  <c r="Y499" i="1" s="1"/>
  <c r="Y500" i="1" s="1"/>
  <c r="Y501" i="1" s="1"/>
  <c r="Y502" i="1" s="1"/>
  <c r="Y503" i="1" s="1"/>
  <c r="Y504" i="1" s="1"/>
  <c r="Y505" i="1" s="1"/>
  <c r="Y506" i="1" s="1"/>
  <c r="Y507" i="1" s="1"/>
  <c r="Y508" i="1" s="1"/>
  <c r="Y509" i="1" s="1"/>
  <c r="Y510" i="1" s="1"/>
  <c r="Y511" i="1" s="1"/>
  <c r="Y512" i="1" s="1"/>
  <c r="Y513" i="1" s="1"/>
  <c r="Y514" i="1" s="1"/>
  <c r="Y515" i="1" s="1"/>
  <c r="Y516" i="1" s="1"/>
  <c r="Y517" i="1" s="1"/>
  <c r="Y518" i="1" s="1"/>
  <c r="Y519" i="1" s="1"/>
  <c r="Y520" i="1" s="1"/>
  <c r="Y521" i="1" s="1"/>
  <c r="Y522" i="1" s="1"/>
  <c r="Y523" i="1" s="1"/>
  <c r="Y524" i="1" s="1"/>
  <c r="Y525" i="1" s="1"/>
  <c r="Y526" i="1" s="1"/>
  <c r="Y527" i="1" s="1"/>
  <c r="Y528" i="1" s="1"/>
  <c r="Y529" i="1" s="1"/>
  <c r="Y530" i="1" s="1"/>
  <c r="Y531" i="1" s="1"/>
  <c r="Y532" i="1" s="1"/>
  <c r="Y533" i="1" s="1"/>
  <c r="Y534" i="1" s="1"/>
  <c r="Y535" i="1" s="1"/>
  <c r="Y536" i="1" s="1"/>
  <c r="Y537" i="1" s="1"/>
  <c r="Y538" i="1" s="1"/>
  <c r="Y539" i="1" s="1"/>
  <c r="Y540" i="1" s="1"/>
  <c r="Y541" i="1" s="1"/>
  <c r="Y542" i="1" s="1"/>
  <c r="Y543" i="1" s="1"/>
  <c r="Y544" i="1" s="1"/>
  <c r="Y545" i="1" s="1"/>
  <c r="Y546" i="1" s="1"/>
  <c r="Y547" i="1" s="1"/>
  <c r="Y548" i="1" s="1"/>
  <c r="Y549" i="1" s="1"/>
  <c r="Y550" i="1" s="1"/>
  <c r="Y551" i="1" s="1"/>
  <c r="Y552" i="1" s="1"/>
  <c r="Y553" i="1" s="1"/>
  <c r="Y554" i="1" s="1"/>
  <c r="Y555" i="1" s="1"/>
  <c r="Y556" i="1" s="1"/>
  <c r="Y557" i="1" s="1"/>
  <c r="Y558" i="1" s="1"/>
  <c r="Y559" i="1" s="1"/>
  <c r="Y560" i="1" s="1"/>
  <c r="Y561" i="1" s="1"/>
  <c r="Y562" i="1" s="1"/>
  <c r="Y563" i="1" s="1"/>
  <c r="Y564" i="1" s="1"/>
  <c r="Y565" i="1" s="1"/>
  <c r="Y566" i="1" s="1"/>
  <c r="Y567" i="1" s="1"/>
  <c r="Y568" i="1" s="1"/>
  <c r="Y569" i="1" s="1"/>
  <c r="Y570" i="1" s="1"/>
  <c r="Y571" i="1" s="1"/>
  <c r="Y572" i="1" s="1"/>
  <c r="Y573" i="1" s="1"/>
  <c r="Y574" i="1" s="1"/>
  <c r="Y575" i="1" s="1"/>
  <c r="Y576" i="1" s="1"/>
  <c r="Y577" i="1" s="1"/>
  <c r="Y578" i="1" s="1"/>
  <c r="Y579" i="1" s="1"/>
  <c r="Y580" i="1" s="1"/>
  <c r="Y581" i="1" s="1"/>
  <c r="Y582" i="1" s="1"/>
  <c r="Y583" i="1" s="1"/>
  <c r="Y584" i="1" s="1"/>
  <c r="Y585" i="1" s="1"/>
  <c r="Y586" i="1" s="1"/>
  <c r="Y587" i="1" s="1"/>
  <c r="Y588" i="1" s="1"/>
  <c r="Y589" i="1" s="1"/>
  <c r="Y590" i="1" s="1"/>
  <c r="Y591" i="1" s="1"/>
  <c r="Y592" i="1" s="1"/>
  <c r="Y593" i="1" s="1"/>
  <c r="Y594" i="1" s="1"/>
  <c r="Y595" i="1" s="1"/>
  <c r="Y596" i="1" s="1"/>
  <c r="Y597" i="1" s="1"/>
  <c r="Y598" i="1" s="1"/>
  <c r="Y599" i="1" s="1"/>
  <c r="Y600" i="1" s="1"/>
  <c r="Y601" i="1" s="1"/>
  <c r="Y602" i="1" s="1"/>
  <c r="Y603" i="1" s="1"/>
  <c r="Y604" i="1" s="1"/>
  <c r="Y605" i="1" s="1"/>
  <c r="Y606" i="1" s="1"/>
  <c r="Y607" i="1" s="1"/>
  <c r="Y608" i="1" s="1"/>
  <c r="Y609" i="1" s="1"/>
  <c r="Y610" i="1" s="1"/>
  <c r="Y611" i="1" s="1"/>
  <c r="Y612" i="1" s="1"/>
  <c r="Y613" i="1" s="1"/>
  <c r="Y614" i="1" s="1"/>
  <c r="Y615" i="1" s="1"/>
  <c r="Y616" i="1" s="1"/>
  <c r="Y617" i="1" s="1"/>
  <c r="Y618" i="1" s="1"/>
  <c r="Y619" i="1" s="1"/>
  <c r="Y620" i="1" s="1"/>
  <c r="Y621" i="1" s="1"/>
  <c r="Y622" i="1" s="1"/>
  <c r="Y623" i="1" s="1"/>
  <c r="Y624" i="1" s="1"/>
  <c r="Y625" i="1" s="1"/>
  <c r="Y626" i="1" s="1"/>
  <c r="Y627" i="1" s="1"/>
  <c r="Y628" i="1" s="1"/>
  <c r="Y629" i="1" s="1"/>
  <c r="Y630" i="1" s="1"/>
  <c r="Y631" i="1" s="1"/>
  <c r="Y632" i="1" s="1"/>
  <c r="Y633" i="1" s="1"/>
  <c r="Y634" i="1" s="1"/>
  <c r="Y635" i="1" s="1"/>
  <c r="Y636" i="1" s="1"/>
  <c r="Y637" i="1" s="1"/>
  <c r="Y638" i="1" s="1"/>
  <c r="Y639" i="1" s="1"/>
  <c r="Y640" i="1" s="1"/>
  <c r="Y641" i="1" s="1"/>
  <c r="Y642" i="1" s="1"/>
  <c r="Y643" i="1" s="1"/>
  <c r="Y644" i="1" s="1"/>
  <c r="Y645" i="1" s="1"/>
  <c r="Y646" i="1" s="1"/>
  <c r="Y647" i="1" s="1"/>
  <c r="Y648" i="1" s="1"/>
  <c r="Y649" i="1" s="1"/>
  <c r="Y650" i="1" s="1"/>
  <c r="Y651" i="1" s="1"/>
  <c r="Y652" i="1" s="1"/>
  <c r="Y653" i="1" s="1"/>
  <c r="Y654" i="1" s="1"/>
  <c r="Y655" i="1" s="1"/>
  <c r="Y656" i="1" s="1"/>
  <c r="Y657" i="1" s="1"/>
  <c r="Y658" i="1" s="1"/>
  <c r="Y659" i="1" s="1"/>
  <c r="Y660" i="1" s="1"/>
  <c r="Y661" i="1" s="1"/>
  <c r="Y662" i="1" s="1"/>
  <c r="Y663" i="1" s="1"/>
  <c r="Y664" i="1" s="1"/>
  <c r="Y665" i="1" s="1"/>
  <c r="Y666" i="1" s="1"/>
  <c r="Y667" i="1" s="1"/>
  <c r="Y668" i="1" s="1"/>
  <c r="Y669" i="1" s="1"/>
  <c r="Y670" i="1" s="1"/>
  <c r="Y671" i="1" s="1"/>
  <c r="Y672" i="1" s="1"/>
  <c r="Y673" i="1" s="1"/>
  <c r="Y674" i="1" s="1"/>
  <c r="Y675" i="1" s="1"/>
  <c r="Y676" i="1" s="1"/>
  <c r="Y677" i="1" s="1"/>
  <c r="Y678" i="1" s="1"/>
  <c r="Y679" i="1" s="1"/>
  <c r="Y680" i="1" s="1"/>
  <c r="Y681" i="1" s="1"/>
  <c r="Y682" i="1" s="1"/>
  <c r="Y683" i="1" s="1"/>
  <c r="Y684" i="1" s="1"/>
  <c r="Y685" i="1" s="1"/>
  <c r="Y686" i="1" s="1"/>
  <c r="Y687" i="1" s="1"/>
  <c r="Y688" i="1" s="1"/>
  <c r="Y689" i="1" s="1"/>
  <c r="Y690" i="1" s="1"/>
  <c r="Y691" i="1" s="1"/>
  <c r="Y692" i="1" s="1"/>
  <c r="Y693" i="1" s="1"/>
  <c r="Y694" i="1" s="1"/>
  <c r="Y695" i="1" s="1"/>
  <c r="Y696" i="1" s="1"/>
  <c r="Y697" i="1" s="1"/>
  <c r="Y698" i="1" s="1"/>
  <c r="Y699" i="1" s="1"/>
  <c r="Y700" i="1" s="1"/>
  <c r="Y701" i="1" s="1"/>
  <c r="Y702" i="1" s="1"/>
  <c r="Y703" i="1" s="1"/>
  <c r="Y704" i="1" s="1"/>
  <c r="Y705" i="1" s="1"/>
  <c r="Y706" i="1" s="1"/>
  <c r="Y707" i="1" s="1"/>
  <c r="Y708" i="1" s="1"/>
  <c r="Y709" i="1" s="1"/>
  <c r="Y710" i="1" s="1"/>
  <c r="Y711" i="1" s="1"/>
  <c r="Y712" i="1" s="1"/>
  <c r="Y713" i="1" s="1"/>
  <c r="Y714" i="1" s="1"/>
  <c r="Y715" i="1" s="1"/>
  <c r="Y716" i="1" s="1"/>
  <c r="Y717" i="1" s="1"/>
  <c r="Y718" i="1" s="1"/>
  <c r="Y719" i="1" s="1"/>
  <c r="Y720" i="1" s="1"/>
  <c r="Y721" i="1" s="1"/>
  <c r="Y722" i="1" s="1"/>
  <c r="Y723" i="1" s="1"/>
  <c r="Y724" i="1" s="1"/>
  <c r="Y725" i="1" s="1"/>
  <c r="Y726" i="1" s="1"/>
  <c r="Y727" i="1" s="1"/>
  <c r="Y728" i="1" s="1"/>
  <c r="Y729" i="1" s="1"/>
  <c r="Y730" i="1" s="1"/>
  <c r="Y731" i="1" s="1"/>
  <c r="Y732" i="1" s="1"/>
  <c r="Y733" i="1" s="1"/>
  <c r="Y734" i="1" s="1"/>
  <c r="Y735" i="1" s="1"/>
  <c r="Y736" i="1" s="1"/>
  <c r="Y737" i="1" s="1"/>
  <c r="Y738" i="1" s="1"/>
  <c r="Y739" i="1" s="1"/>
  <c r="Y740" i="1" s="1"/>
  <c r="Y741" i="1" s="1"/>
  <c r="Y742" i="1" s="1"/>
  <c r="Y743" i="1" s="1"/>
  <c r="Y744" i="1" s="1"/>
  <c r="Y745" i="1" s="1"/>
  <c r="Y746" i="1" s="1"/>
  <c r="Y747" i="1" s="1"/>
  <c r="Y748" i="1" s="1"/>
  <c r="Y749" i="1" s="1"/>
  <c r="Y750" i="1" s="1"/>
  <c r="Y751" i="1" s="1"/>
  <c r="Y752" i="1" s="1"/>
  <c r="Y753" i="1" s="1"/>
  <c r="Y754" i="1" s="1"/>
  <c r="Y755" i="1" s="1"/>
  <c r="Y756" i="1" s="1"/>
  <c r="Y757" i="1" s="1"/>
  <c r="Y758" i="1" s="1"/>
  <c r="Y759" i="1" s="1"/>
  <c r="Y760" i="1" s="1"/>
  <c r="Y761" i="1" s="1"/>
  <c r="Y762" i="1" s="1"/>
  <c r="Y763" i="1" s="1"/>
  <c r="Y764" i="1" s="1"/>
  <c r="Y765" i="1" s="1"/>
  <c r="Y766" i="1" s="1"/>
  <c r="Y767" i="1" s="1"/>
  <c r="Y768" i="1" s="1"/>
  <c r="Y769" i="1" s="1"/>
  <c r="Y770" i="1" s="1"/>
  <c r="Y771" i="1" s="1"/>
  <c r="Y772" i="1" s="1"/>
  <c r="Y773" i="1" s="1"/>
  <c r="Y774" i="1" s="1"/>
  <c r="Y775" i="1" s="1"/>
  <c r="Y776" i="1" s="1"/>
  <c r="Y777" i="1" s="1"/>
  <c r="Y778" i="1" s="1"/>
  <c r="Y779" i="1" s="1"/>
  <c r="Y780" i="1" s="1"/>
  <c r="Y781" i="1" s="1"/>
  <c r="Y782" i="1" s="1"/>
  <c r="Y783" i="1" s="1"/>
  <c r="Y784" i="1" s="1"/>
  <c r="Y785" i="1" s="1"/>
  <c r="Y786" i="1" s="1"/>
  <c r="Y787" i="1" s="1"/>
  <c r="Y788" i="1" s="1"/>
  <c r="Y789" i="1" s="1"/>
  <c r="Y790" i="1" s="1"/>
  <c r="Y791" i="1" s="1"/>
  <c r="Y792" i="1" s="1"/>
  <c r="Y793" i="1" s="1"/>
  <c r="Y794" i="1" s="1"/>
  <c r="Y795" i="1" s="1"/>
  <c r="Y796" i="1" s="1"/>
  <c r="Y797" i="1" s="1"/>
  <c r="Y798" i="1" s="1"/>
  <c r="Y799" i="1" s="1"/>
  <c r="Y800" i="1" s="1"/>
  <c r="Y801" i="1" s="1"/>
  <c r="Y802" i="1" s="1"/>
  <c r="Y803" i="1" s="1"/>
  <c r="Y804" i="1" s="1"/>
  <c r="Y805" i="1" s="1"/>
  <c r="Y806" i="1" s="1"/>
  <c r="Y807" i="1" s="1"/>
  <c r="Y808" i="1" s="1"/>
  <c r="Y809" i="1" s="1"/>
  <c r="Y810" i="1" s="1"/>
  <c r="Y811" i="1" s="1"/>
  <c r="Y812" i="1" s="1"/>
  <c r="Y813" i="1" s="1"/>
  <c r="Y814" i="1" s="1"/>
  <c r="Y815" i="1" s="1"/>
  <c r="Y816" i="1" s="1"/>
  <c r="Y817" i="1" s="1"/>
  <c r="Y818" i="1" s="1"/>
  <c r="Y819" i="1" s="1"/>
  <c r="Y820" i="1" s="1"/>
  <c r="Y821" i="1" s="1"/>
  <c r="Y822" i="1" s="1"/>
  <c r="Y823" i="1" s="1"/>
  <c r="Y824" i="1" s="1"/>
  <c r="Y825" i="1" s="1"/>
  <c r="Y826" i="1" s="1"/>
  <c r="Y827" i="1" s="1"/>
  <c r="Y828" i="1" s="1"/>
  <c r="Y829" i="1" s="1"/>
  <c r="Y830" i="1" s="1"/>
  <c r="Y831" i="1" s="1"/>
  <c r="Y832" i="1" s="1"/>
  <c r="Y833" i="1" s="1"/>
  <c r="Y834" i="1" s="1"/>
  <c r="Y835" i="1" s="1"/>
  <c r="Y836" i="1" s="1"/>
  <c r="Y837" i="1" s="1"/>
  <c r="Y838" i="1" s="1"/>
  <c r="Y839" i="1" s="1"/>
  <c r="Y840" i="1" s="1"/>
  <c r="Y841" i="1" s="1"/>
  <c r="Y842" i="1" s="1"/>
  <c r="Y843" i="1" s="1"/>
  <c r="Y844" i="1" s="1"/>
  <c r="Y845" i="1" s="1"/>
  <c r="Y846" i="1" s="1"/>
  <c r="Y847" i="1" s="1"/>
  <c r="Y848" i="1" s="1"/>
  <c r="Y849" i="1" s="1"/>
  <c r="Y850" i="1" s="1"/>
  <c r="Y851" i="1" s="1"/>
  <c r="Y852" i="1" s="1"/>
  <c r="Y853" i="1" s="1"/>
  <c r="Y854" i="1" s="1"/>
  <c r="Y855" i="1" s="1"/>
  <c r="Y856" i="1" s="1"/>
  <c r="Y857" i="1" s="1"/>
  <c r="Y858" i="1" s="1"/>
  <c r="Y859" i="1" s="1"/>
  <c r="Y860" i="1" s="1"/>
  <c r="Y861" i="1" s="1"/>
  <c r="Y862" i="1" s="1"/>
  <c r="Y863" i="1" s="1"/>
  <c r="Y864" i="1" s="1"/>
  <c r="Y865" i="1" s="1"/>
  <c r="Y866" i="1" s="1"/>
  <c r="Y867" i="1" s="1"/>
  <c r="Y868" i="1" s="1"/>
  <c r="Y869" i="1" s="1"/>
  <c r="Y870" i="1" s="1"/>
  <c r="Y871" i="1" s="1"/>
  <c r="Y872" i="1" s="1"/>
  <c r="Y873" i="1" s="1"/>
  <c r="Y874" i="1" s="1"/>
  <c r="Y875" i="1" s="1"/>
  <c r="Y876" i="1" s="1"/>
  <c r="Y877" i="1" s="1"/>
  <c r="Y878" i="1" s="1"/>
  <c r="Y879" i="1" s="1"/>
  <c r="Y880" i="1" s="1"/>
  <c r="Y881" i="1" s="1"/>
  <c r="Y882" i="1" s="1"/>
  <c r="Y883" i="1" s="1"/>
  <c r="Y884" i="1" s="1"/>
  <c r="Y885" i="1" s="1"/>
  <c r="Y886" i="1" s="1"/>
  <c r="Y887" i="1" s="1"/>
  <c r="Y888" i="1" s="1"/>
  <c r="Y889" i="1" s="1"/>
  <c r="Y890" i="1" s="1"/>
  <c r="Y891" i="1" s="1"/>
  <c r="Y892" i="1" s="1"/>
  <c r="Y893" i="1" s="1"/>
  <c r="Y894" i="1" s="1"/>
  <c r="Y895" i="1" s="1"/>
  <c r="Y896" i="1" s="1"/>
  <c r="Y897" i="1" s="1"/>
  <c r="Y898" i="1" s="1"/>
  <c r="Y899" i="1" s="1"/>
  <c r="Y900" i="1" s="1"/>
  <c r="Y901" i="1" s="1"/>
  <c r="Y902" i="1" s="1"/>
  <c r="Y903" i="1" s="1"/>
  <c r="Y904" i="1" s="1"/>
  <c r="Y905" i="1" s="1"/>
  <c r="Y906" i="1" s="1"/>
  <c r="Y907" i="1" s="1"/>
  <c r="Y908" i="1" s="1"/>
  <c r="Y909" i="1" s="1"/>
  <c r="Y910" i="1" s="1"/>
  <c r="Y911" i="1" s="1"/>
  <c r="Y912" i="1" s="1"/>
  <c r="Y913" i="1" s="1"/>
  <c r="Y914" i="1" s="1"/>
  <c r="Y915" i="1" s="1"/>
  <c r="Y916" i="1" s="1"/>
  <c r="Y917" i="1" s="1"/>
  <c r="Y918" i="1" s="1"/>
  <c r="Y919" i="1" s="1"/>
  <c r="Y920" i="1" s="1"/>
  <c r="Y921" i="1" s="1"/>
  <c r="Y922" i="1" s="1"/>
  <c r="Y923" i="1" s="1"/>
  <c r="Y924" i="1" s="1"/>
  <c r="Y925" i="1" s="1"/>
  <c r="Y926" i="1" s="1"/>
  <c r="Y927" i="1" s="1"/>
  <c r="Y928" i="1" s="1"/>
  <c r="Y929" i="1" s="1"/>
  <c r="Y930" i="1" s="1"/>
  <c r="Y931" i="1" s="1"/>
  <c r="Y932" i="1" s="1"/>
  <c r="Y933" i="1" s="1"/>
  <c r="Y934" i="1" s="1"/>
  <c r="Y935" i="1" s="1"/>
  <c r="Y936" i="1" s="1"/>
  <c r="Y937" i="1" s="1"/>
  <c r="Y938" i="1" s="1"/>
  <c r="Y939" i="1" s="1"/>
  <c r="Y940" i="1" s="1"/>
  <c r="Y941" i="1" s="1"/>
  <c r="Y942" i="1" s="1"/>
  <c r="Y943" i="1" s="1"/>
  <c r="Y944" i="1" s="1"/>
  <c r="Y945" i="1" s="1"/>
  <c r="Y946" i="1" s="1"/>
  <c r="Y947" i="1" s="1"/>
  <c r="Y948" i="1" s="1"/>
  <c r="Y949" i="1" s="1"/>
  <c r="Y950" i="1" s="1"/>
  <c r="Y951" i="1" s="1"/>
  <c r="Y952" i="1" s="1"/>
  <c r="Y953" i="1" s="1"/>
  <c r="Y954" i="1" s="1"/>
  <c r="Y955" i="1" s="1"/>
  <c r="Y956" i="1" s="1"/>
  <c r="Y957" i="1" s="1"/>
  <c r="Y958" i="1" s="1"/>
  <c r="Y959" i="1" s="1"/>
  <c r="Y960" i="1" s="1"/>
  <c r="Y961" i="1" s="1"/>
  <c r="Y962" i="1" s="1"/>
  <c r="Y963" i="1" s="1"/>
  <c r="Y964" i="1" s="1"/>
  <c r="Y965" i="1" s="1"/>
  <c r="Y966" i="1" s="1"/>
  <c r="Y967" i="1" s="1"/>
  <c r="Y968" i="1" s="1"/>
  <c r="Y969" i="1" s="1"/>
  <c r="Y970" i="1" s="1"/>
  <c r="Y971" i="1" s="1"/>
  <c r="Y972" i="1" s="1"/>
  <c r="Y973" i="1" s="1"/>
  <c r="Y974" i="1" s="1"/>
  <c r="Y975" i="1" s="1"/>
  <c r="Y976" i="1" s="1"/>
  <c r="Y977" i="1" s="1"/>
  <c r="Y978" i="1" s="1"/>
  <c r="Y979" i="1" s="1"/>
  <c r="Y980" i="1" s="1"/>
  <c r="Y981" i="1" s="1"/>
  <c r="Y982" i="1" s="1"/>
  <c r="Y983" i="1" s="1"/>
  <c r="Y984" i="1" s="1"/>
  <c r="Y985" i="1" s="1"/>
  <c r="Y986" i="1" s="1"/>
  <c r="Y987" i="1" s="1"/>
  <c r="Y988" i="1" s="1"/>
  <c r="Y989" i="1" s="1"/>
  <c r="Y990" i="1" s="1"/>
  <c r="Y991" i="1" s="1"/>
  <c r="Y992" i="1" s="1"/>
  <c r="Y993" i="1" s="1"/>
  <c r="Y994" i="1" s="1"/>
  <c r="Y995" i="1" s="1"/>
  <c r="Y996" i="1" s="1"/>
  <c r="Y997" i="1" s="1"/>
  <c r="Y998" i="1" s="1"/>
  <c r="Y999" i="1" s="1"/>
  <c r="Y1000" i="1" s="1"/>
  <c r="Y1001" i="1" s="1"/>
  <c r="Y1002" i="1" s="1"/>
  <c r="U3" i="1"/>
  <c r="U4" i="1" s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0" i="1" s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U295" i="1" s="1"/>
  <c r="U296" i="1" s="1"/>
  <c r="U297" i="1" s="1"/>
  <c r="U298" i="1" s="1"/>
  <c r="U299" i="1" s="1"/>
  <c r="U300" i="1" s="1"/>
  <c r="U301" i="1" s="1"/>
  <c r="U302" i="1" s="1"/>
  <c r="U303" i="1" s="1"/>
  <c r="U304" i="1" s="1"/>
  <c r="U305" i="1" s="1"/>
  <c r="U306" i="1" s="1"/>
  <c r="U307" i="1" s="1"/>
  <c r="U308" i="1" s="1"/>
  <c r="U309" i="1" s="1"/>
  <c r="U310" i="1" s="1"/>
  <c r="U311" i="1" s="1"/>
  <c r="U312" i="1" s="1"/>
  <c r="U313" i="1" s="1"/>
  <c r="U314" i="1" s="1"/>
  <c r="U315" i="1" s="1"/>
  <c r="U316" i="1" s="1"/>
  <c r="U317" i="1" s="1"/>
  <c r="U318" i="1" s="1"/>
  <c r="U319" i="1" s="1"/>
  <c r="U320" i="1" s="1"/>
  <c r="U321" i="1" s="1"/>
  <c r="U322" i="1" s="1"/>
  <c r="U323" i="1" s="1"/>
  <c r="U324" i="1" s="1"/>
  <c r="U325" i="1" s="1"/>
  <c r="U326" i="1" s="1"/>
  <c r="U327" i="1" s="1"/>
  <c r="U328" i="1" s="1"/>
  <c r="U329" i="1" s="1"/>
  <c r="U330" i="1" s="1"/>
  <c r="U331" i="1" s="1"/>
  <c r="U332" i="1" s="1"/>
  <c r="U333" i="1" s="1"/>
  <c r="U334" i="1" s="1"/>
  <c r="U335" i="1" s="1"/>
  <c r="U336" i="1" s="1"/>
  <c r="U337" i="1" s="1"/>
  <c r="U338" i="1" s="1"/>
  <c r="U339" i="1" s="1"/>
  <c r="U340" i="1" s="1"/>
  <c r="U341" i="1" s="1"/>
  <c r="U342" i="1" s="1"/>
  <c r="U343" i="1" s="1"/>
  <c r="U344" i="1" s="1"/>
  <c r="U345" i="1" s="1"/>
  <c r="U346" i="1" s="1"/>
  <c r="U347" i="1" s="1"/>
  <c r="U348" i="1" s="1"/>
  <c r="U349" i="1" s="1"/>
  <c r="U350" i="1" s="1"/>
  <c r="U351" i="1" s="1"/>
  <c r="U352" i="1" s="1"/>
  <c r="U353" i="1" s="1"/>
  <c r="U354" i="1" s="1"/>
  <c r="U355" i="1" s="1"/>
  <c r="U356" i="1" s="1"/>
  <c r="U357" i="1" s="1"/>
  <c r="U358" i="1" s="1"/>
  <c r="U359" i="1" s="1"/>
  <c r="U360" i="1" s="1"/>
  <c r="U361" i="1" s="1"/>
  <c r="U362" i="1" s="1"/>
  <c r="U363" i="1" s="1"/>
  <c r="U364" i="1" s="1"/>
  <c r="U365" i="1" s="1"/>
  <c r="U366" i="1" s="1"/>
  <c r="U367" i="1" s="1"/>
  <c r="U368" i="1" s="1"/>
  <c r="U369" i="1" s="1"/>
  <c r="U370" i="1" s="1"/>
  <c r="U371" i="1" s="1"/>
  <c r="U372" i="1" s="1"/>
  <c r="U373" i="1" s="1"/>
  <c r="U374" i="1" s="1"/>
  <c r="U375" i="1" s="1"/>
  <c r="U376" i="1" s="1"/>
  <c r="U377" i="1" s="1"/>
  <c r="U378" i="1" s="1"/>
  <c r="U379" i="1" s="1"/>
  <c r="U380" i="1" s="1"/>
  <c r="U381" i="1" s="1"/>
  <c r="U382" i="1" s="1"/>
  <c r="U383" i="1" s="1"/>
  <c r="U384" i="1" s="1"/>
  <c r="U385" i="1" s="1"/>
  <c r="U386" i="1" s="1"/>
  <c r="U387" i="1" s="1"/>
  <c r="U388" i="1" s="1"/>
  <c r="U389" i="1" s="1"/>
  <c r="U390" i="1" s="1"/>
  <c r="U391" i="1" s="1"/>
  <c r="U392" i="1" s="1"/>
  <c r="U393" i="1" s="1"/>
  <c r="U394" i="1" s="1"/>
  <c r="U395" i="1" s="1"/>
  <c r="U396" i="1" s="1"/>
  <c r="U397" i="1" s="1"/>
  <c r="U398" i="1" s="1"/>
  <c r="U399" i="1" s="1"/>
  <c r="U400" i="1" s="1"/>
  <c r="U401" i="1" s="1"/>
  <c r="U402" i="1" s="1"/>
  <c r="U403" i="1" s="1"/>
  <c r="U404" i="1" s="1"/>
  <c r="U405" i="1" s="1"/>
  <c r="U406" i="1" s="1"/>
  <c r="U407" i="1" s="1"/>
  <c r="U408" i="1" s="1"/>
  <c r="U409" i="1" s="1"/>
  <c r="U410" i="1" s="1"/>
  <c r="U411" i="1" s="1"/>
  <c r="U412" i="1" s="1"/>
  <c r="U413" i="1" s="1"/>
  <c r="U414" i="1" s="1"/>
  <c r="U415" i="1" s="1"/>
  <c r="U416" i="1" s="1"/>
  <c r="U417" i="1" s="1"/>
  <c r="U418" i="1" s="1"/>
  <c r="U419" i="1" s="1"/>
  <c r="U420" i="1" s="1"/>
  <c r="U421" i="1" s="1"/>
  <c r="U422" i="1" s="1"/>
  <c r="U423" i="1" s="1"/>
  <c r="U424" i="1" s="1"/>
  <c r="U425" i="1" s="1"/>
  <c r="U426" i="1" s="1"/>
  <c r="U427" i="1" s="1"/>
  <c r="U428" i="1" s="1"/>
  <c r="U429" i="1" s="1"/>
  <c r="U430" i="1" s="1"/>
  <c r="U431" i="1" s="1"/>
  <c r="U432" i="1" s="1"/>
  <c r="U433" i="1" s="1"/>
  <c r="U434" i="1" s="1"/>
  <c r="U435" i="1" s="1"/>
  <c r="U436" i="1" s="1"/>
  <c r="U437" i="1" s="1"/>
  <c r="U438" i="1" s="1"/>
  <c r="U439" i="1" s="1"/>
  <c r="U440" i="1" s="1"/>
  <c r="U441" i="1" s="1"/>
  <c r="U442" i="1" s="1"/>
  <c r="U443" i="1" s="1"/>
  <c r="U444" i="1" s="1"/>
  <c r="U445" i="1" s="1"/>
  <c r="U446" i="1" s="1"/>
  <c r="U447" i="1" s="1"/>
  <c r="U448" i="1" s="1"/>
  <c r="U449" i="1" s="1"/>
  <c r="U450" i="1" s="1"/>
  <c r="U451" i="1" s="1"/>
  <c r="U452" i="1" s="1"/>
  <c r="U453" i="1" s="1"/>
  <c r="U454" i="1" s="1"/>
  <c r="U455" i="1" s="1"/>
  <c r="U456" i="1" s="1"/>
  <c r="U457" i="1" s="1"/>
  <c r="U458" i="1" s="1"/>
  <c r="U459" i="1" s="1"/>
  <c r="U460" i="1" s="1"/>
  <c r="U461" i="1" s="1"/>
  <c r="U462" i="1" s="1"/>
  <c r="U463" i="1" s="1"/>
  <c r="U464" i="1" s="1"/>
  <c r="U465" i="1" s="1"/>
  <c r="U466" i="1" s="1"/>
  <c r="U467" i="1" s="1"/>
  <c r="U468" i="1" s="1"/>
  <c r="U469" i="1" s="1"/>
  <c r="U470" i="1" s="1"/>
  <c r="U471" i="1" s="1"/>
  <c r="U472" i="1" s="1"/>
  <c r="U473" i="1" s="1"/>
  <c r="U474" i="1" s="1"/>
  <c r="U475" i="1" s="1"/>
  <c r="U476" i="1" s="1"/>
  <c r="U477" i="1" s="1"/>
  <c r="U478" i="1" s="1"/>
  <c r="U479" i="1" s="1"/>
  <c r="U480" i="1" s="1"/>
  <c r="U481" i="1" s="1"/>
  <c r="U482" i="1" s="1"/>
  <c r="U483" i="1" s="1"/>
  <c r="U484" i="1" s="1"/>
  <c r="U485" i="1" s="1"/>
  <c r="U486" i="1" s="1"/>
  <c r="U487" i="1" s="1"/>
  <c r="U488" i="1" s="1"/>
  <c r="U489" i="1" s="1"/>
  <c r="U490" i="1" s="1"/>
  <c r="U491" i="1" s="1"/>
  <c r="U492" i="1" s="1"/>
  <c r="U493" i="1" s="1"/>
  <c r="U494" i="1" s="1"/>
  <c r="U495" i="1" s="1"/>
  <c r="U496" i="1" s="1"/>
  <c r="U497" i="1" s="1"/>
  <c r="U498" i="1" s="1"/>
  <c r="U499" i="1" s="1"/>
  <c r="U500" i="1" s="1"/>
  <c r="U501" i="1" s="1"/>
  <c r="U502" i="1" s="1"/>
  <c r="U503" i="1" s="1"/>
  <c r="U504" i="1" s="1"/>
  <c r="U505" i="1" s="1"/>
  <c r="U506" i="1" s="1"/>
  <c r="U507" i="1" s="1"/>
  <c r="U508" i="1" s="1"/>
  <c r="U509" i="1" s="1"/>
  <c r="U510" i="1" s="1"/>
  <c r="U511" i="1" s="1"/>
  <c r="U512" i="1" s="1"/>
  <c r="U513" i="1" s="1"/>
  <c r="U514" i="1" s="1"/>
  <c r="U515" i="1" s="1"/>
  <c r="U516" i="1" s="1"/>
  <c r="U517" i="1" s="1"/>
  <c r="U518" i="1" s="1"/>
  <c r="U519" i="1" s="1"/>
  <c r="U520" i="1" s="1"/>
  <c r="U521" i="1" s="1"/>
  <c r="U522" i="1" s="1"/>
  <c r="U523" i="1" s="1"/>
  <c r="U524" i="1" s="1"/>
  <c r="U525" i="1" s="1"/>
  <c r="U526" i="1" s="1"/>
  <c r="U527" i="1" s="1"/>
  <c r="U528" i="1" s="1"/>
  <c r="U529" i="1" s="1"/>
  <c r="U530" i="1" s="1"/>
  <c r="U531" i="1" s="1"/>
  <c r="U532" i="1" s="1"/>
  <c r="U533" i="1" s="1"/>
  <c r="U534" i="1" s="1"/>
  <c r="U535" i="1" s="1"/>
  <c r="U536" i="1" s="1"/>
  <c r="U537" i="1" s="1"/>
  <c r="U538" i="1" s="1"/>
  <c r="U539" i="1" s="1"/>
  <c r="U540" i="1" s="1"/>
  <c r="U541" i="1" s="1"/>
  <c r="U542" i="1" s="1"/>
  <c r="U543" i="1" s="1"/>
  <c r="U544" i="1" s="1"/>
  <c r="U545" i="1" s="1"/>
  <c r="U546" i="1" s="1"/>
  <c r="U547" i="1" s="1"/>
  <c r="U548" i="1" s="1"/>
  <c r="U549" i="1" s="1"/>
  <c r="U550" i="1" s="1"/>
  <c r="U551" i="1" s="1"/>
  <c r="U552" i="1" s="1"/>
  <c r="U553" i="1" s="1"/>
  <c r="U554" i="1" s="1"/>
  <c r="U555" i="1" s="1"/>
  <c r="U556" i="1" s="1"/>
  <c r="U557" i="1" s="1"/>
  <c r="U558" i="1" s="1"/>
  <c r="U559" i="1" s="1"/>
  <c r="U560" i="1" s="1"/>
  <c r="U561" i="1" s="1"/>
  <c r="U562" i="1" s="1"/>
  <c r="U563" i="1" s="1"/>
  <c r="U564" i="1" s="1"/>
  <c r="U565" i="1" s="1"/>
  <c r="U566" i="1" s="1"/>
  <c r="U567" i="1" s="1"/>
  <c r="U568" i="1" s="1"/>
  <c r="U569" i="1" s="1"/>
  <c r="U570" i="1" s="1"/>
  <c r="U571" i="1" s="1"/>
  <c r="U572" i="1" s="1"/>
  <c r="U573" i="1" s="1"/>
  <c r="U574" i="1" s="1"/>
  <c r="U575" i="1" s="1"/>
  <c r="U576" i="1" s="1"/>
  <c r="U577" i="1" s="1"/>
  <c r="U578" i="1" s="1"/>
  <c r="U579" i="1" s="1"/>
  <c r="U580" i="1" s="1"/>
  <c r="U581" i="1" s="1"/>
  <c r="U582" i="1" s="1"/>
  <c r="U583" i="1" s="1"/>
  <c r="U584" i="1" s="1"/>
  <c r="U585" i="1" s="1"/>
  <c r="U586" i="1" s="1"/>
  <c r="U587" i="1" s="1"/>
  <c r="U588" i="1" s="1"/>
  <c r="U589" i="1" s="1"/>
  <c r="U590" i="1" s="1"/>
  <c r="U591" i="1" s="1"/>
  <c r="U592" i="1" s="1"/>
  <c r="U593" i="1" s="1"/>
  <c r="U594" i="1" s="1"/>
  <c r="U595" i="1" s="1"/>
  <c r="U596" i="1" s="1"/>
  <c r="U597" i="1" s="1"/>
  <c r="U598" i="1" s="1"/>
  <c r="U599" i="1" s="1"/>
  <c r="U600" i="1" s="1"/>
  <c r="U601" i="1" s="1"/>
  <c r="U602" i="1" s="1"/>
  <c r="U603" i="1" s="1"/>
  <c r="U604" i="1" s="1"/>
  <c r="U605" i="1" s="1"/>
  <c r="U606" i="1" s="1"/>
  <c r="U607" i="1" s="1"/>
  <c r="U608" i="1" s="1"/>
  <c r="U609" i="1" s="1"/>
  <c r="U610" i="1" s="1"/>
  <c r="U611" i="1" s="1"/>
  <c r="U612" i="1" s="1"/>
  <c r="U613" i="1" s="1"/>
  <c r="U614" i="1" s="1"/>
  <c r="U615" i="1" s="1"/>
  <c r="U616" i="1" s="1"/>
  <c r="U617" i="1" s="1"/>
  <c r="U618" i="1" s="1"/>
  <c r="U619" i="1" s="1"/>
  <c r="U620" i="1" s="1"/>
  <c r="U621" i="1" s="1"/>
  <c r="U622" i="1" s="1"/>
  <c r="U623" i="1" s="1"/>
  <c r="U624" i="1" s="1"/>
  <c r="U625" i="1" s="1"/>
  <c r="U626" i="1" s="1"/>
  <c r="U627" i="1" s="1"/>
  <c r="U628" i="1" s="1"/>
  <c r="U629" i="1" s="1"/>
  <c r="U630" i="1" s="1"/>
  <c r="U631" i="1" s="1"/>
  <c r="U632" i="1" s="1"/>
  <c r="U633" i="1" s="1"/>
  <c r="U634" i="1" s="1"/>
  <c r="U635" i="1" s="1"/>
  <c r="U636" i="1" s="1"/>
  <c r="U637" i="1" s="1"/>
  <c r="U638" i="1" s="1"/>
  <c r="U639" i="1" s="1"/>
  <c r="U640" i="1" s="1"/>
  <c r="U641" i="1" s="1"/>
  <c r="U642" i="1" s="1"/>
  <c r="U643" i="1" s="1"/>
  <c r="U644" i="1" s="1"/>
  <c r="U645" i="1" s="1"/>
  <c r="U646" i="1" s="1"/>
  <c r="U647" i="1" s="1"/>
  <c r="U648" i="1" s="1"/>
  <c r="U649" i="1" s="1"/>
  <c r="U650" i="1" s="1"/>
  <c r="U651" i="1" s="1"/>
  <c r="U652" i="1" s="1"/>
  <c r="U653" i="1" s="1"/>
  <c r="U654" i="1" s="1"/>
  <c r="U655" i="1" s="1"/>
  <c r="U656" i="1" s="1"/>
  <c r="U657" i="1" s="1"/>
  <c r="U658" i="1" s="1"/>
  <c r="U659" i="1" s="1"/>
  <c r="U660" i="1" s="1"/>
  <c r="U661" i="1" s="1"/>
  <c r="U662" i="1" s="1"/>
  <c r="U663" i="1" s="1"/>
  <c r="U664" i="1" s="1"/>
  <c r="U665" i="1" s="1"/>
  <c r="U666" i="1" s="1"/>
  <c r="U667" i="1" s="1"/>
  <c r="U668" i="1" s="1"/>
  <c r="U669" i="1" s="1"/>
  <c r="U670" i="1" s="1"/>
  <c r="U671" i="1" s="1"/>
  <c r="U672" i="1" s="1"/>
  <c r="U673" i="1" s="1"/>
  <c r="U674" i="1" s="1"/>
  <c r="U675" i="1" s="1"/>
  <c r="U676" i="1" s="1"/>
  <c r="U677" i="1" s="1"/>
  <c r="U678" i="1" s="1"/>
  <c r="U679" i="1" s="1"/>
  <c r="U680" i="1" s="1"/>
  <c r="U681" i="1" s="1"/>
  <c r="U682" i="1" s="1"/>
  <c r="U683" i="1" s="1"/>
  <c r="U684" i="1" s="1"/>
  <c r="U685" i="1" s="1"/>
  <c r="U686" i="1" s="1"/>
  <c r="U687" i="1" s="1"/>
  <c r="U688" i="1" s="1"/>
  <c r="U689" i="1" s="1"/>
  <c r="U690" i="1" s="1"/>
  <c r="U691" i="1" s="1"/>
  <c r="U692" i="1" s="1"/>
  <c r="U693" i="1" s="1"/>
  <c r="U694" i="1" s="1"/>
  <c r="U695" i="1" s="1"/>
  <c r="U696" i="1" s="1"/>
  <c r="U697" i="1" s="1"/>
  <c r="U698" i="1" s="1"/>
  <c r="U699" i="1" s="1"/>
  <c r="U700" i="1" s="1"/>
  <c r="U701" i="1" s="1"/>
  <c r="U702" i="1" s="1"/>
  <c r="U703" i="1" s="1"/>
  <c r="U704" i="1" s="1"/>
  <c r="U705" i="1" s="1"/>
  <c r="U706" i="1" s="1"/>
  <c r="U707" i="1" s="1"/>
  <c r="U708" i="1" s="1"/>
  <c r="U709" i="1" s="1"/>
  <c r="U710" i="1" s="1"/>
  <c r="U711" i="1" s="1"/>
  <c r="U712" i="1" s="1"/>
  <c r="U713" i="1" s="1"/>
  <c r="U714" i="1" s="1"/>
  <c r="U715" i="1" s="1"/>
  <c r="U716" i="1" s="1"/>
  <c r="U717" i="1" s="1"/>
  <c r="U718" i="1" s="1"/>
  <c r="U719" i="1" s="1"/>
  <c r="U720" i="1" s="1"/>
  <c r="U721" i="1" s="1"/>
  <c r="U722" i="1" s="1"/>
  <c r="U723" i="1" s="1"/>
  <c r="U724" i="1" s="1"/>
  <c r="U725" i="1" s="1"/>
  <c r="U726" i="1" s="1"/>
  <c r="U727" i="1" s="1"/>
  <c r="U728" i="1" s="1"/>
  <c r="U729" i="1" s="1"/>
  <c r="U730" i="1" s="1"/>
  <c r="U731" i="1" s="1"/>
  <c r="U732" i="1" s="1"/>
  <c r="U733" i="1" s="1"/>
  <c r="U734" i="1" s="1"/>
  <c r="U735" i="1" s="1"/>
  <c r="U736" i="1" s="1"/>
  <c r="U737" i="1" s="1"/>
  <c r="U738" i="1" s="1"/>
  <c r="U739" i="1" s="1"/>
  <c r="U740" i="1" s="1"/>
  <c r="U741" i="1" s="1"/>
  <c r="U742" i="1" s="1"/>
  <c r="U743" i="1" s="1"/>
  <c r="U744" i="1" s="1"/>
  <c r="U745" i="1" s="1"/>
  <c r="U746" i="1" s="1"/>
  <c r="U747" i="1" s="1"/>
  <c r="U748" i="1" s="1"/>
  <c r="U749" i="1" s="1"/>
  <c r="U750" i="1" s="1"/>
  <c r="U751" i="1" s="1"/>
  <c r="U752" i="1" s="1"/>
  <c r="U753" i="1" s="1"/>
  <c r="U754" i="1" s="1"/>
  <c r="U755" i="1" s="1"/>
  <c r="U756" i="1" s="1"/>
  <c r="U757" i="1" s="1"/>
  <c r="U758" i="1" s="1"/>
  <c r="U759" i="1" s="1"/>
  <c r="U760" i="1" s="1"/>
  <c r="U761" i="1" s="1"/>
  <c r="U762" i="1" s="1"/>
  <c r="U763" i="1" s="1"/>
  <c r="U764" i="1" s="1"/>
  <c r="U765" i="1" s="1"/>
  <c r="U766" i="1" s="1"/>
  <c r="U767" i="1" s="1"/>
  <c r="U768" i="1" s="1"/>
  <c r="U769" i="1" s="1"/>
  <c r="U770" i="1" s="1"/>
  <c r="U771" i="1" s="1"/>
  <c r="U772" i="1" s="1"/>
  <c r="U773" i="1" s="1"/>
  <c r="U774" i="1" s="1"/>
  <c r="U775" i="1" s="1"/>
  <c r="U776" i="1" s="1"/>
  <c r="U777" i="1" s="1"/>
  <c r="U778" i="1" s="1"/>
  <c r="U779" i="1" s="1"/>
  <c r="U780" i="1" s="1"/>
  <c r="U781" i="1" s="1"/>
  <c r="U782" i="1" s="1"/>
  <c r="U783" i="1" s="1"/>
  <c r="U784" i="1" s="1"/>
  <c r="U785" i="1" s="1"/>
  <c r="U786" i="1" s="1"/>
  <c r="U787" i="1" s="1"/>
  <c r="U788" i="1" s="1"/>
  <c r="U789" i="1" s="1"/>
  <c r="U790" i="1" s="1"/>
  <c r="U791" i="1" s="1"/>
  <c r="U792" i="1" s="1"/>
  <c r="U793" i="1" s="1"/>
  <c r="U794" i="1" s="1"/>
  <c r="U795" i="1" s="1"/>
  <c r="U796" i="1" s="1"/>
  <c r="U797" i="1" s="1"/>
  <c r="U798" i="1" s="1"/>
  <c r="U799" i="1" s="1"/>
  <c r="U800" i="1" s="1"/>
  <c r="U801" i="1" s="1"/>
  <c r="U802" i="1" s="1"/>
  <c r="U803" i="1" s="1"/>
  <c r="U804" i="1" s="1"/>
  <c r="U805" i="1" s="1"/>
  <c r="U806" i="1" s="1"/>
  <c r="U807" i="1" s="1"/>
  <c r="U808" i="1" s="1"/>
  <c r="U809" i="1" s="1"/>
  <c r="U810" i="1" s="1"/>
  <c r="U811" i="1" s="1"/>
  <c r="U812" i="1" s="1"/>
  <c r="U813" i="1" s="1"/>
  <c r="U814" i="1" s="1"/>
  <c r="U815" i="1" s="1"/>
  <c r="U816" i="1" s="1"/>
  <c r="U817" i="1" s="1"/>
  <c r="U818" i="1" s="1"/>
  <c r="U819" i="1" s="1"/>
  <c r="U820" i="1" s="1"/>
  <c r="U821" i="1" s="1"/>
  <c r="U822" i="1" s="1"/>
  <c r="U823" i="1" s="1"/>
  <c r="U824" i="1" s="1"/>
  <c r="U825" i="1" s="1"/>
  <c r="U826" i="1" s="1"/>
  <c r="U827" i="1" s="1"/>
  <c r="U828" i="1" s="1"/>
  <c r="U829" i="1" s="1"/>
  <c r="U830" i="1" s="1"/>
  <c r="U831" i="1" s="1"/>
  <c r="U832" i="1" s="1"/>
  <c r="U833" i="1" s="1"/>
  <c r="U834" i="1" s="1"/>
  <c r="U835" i="1" s="1"/>
  <c r="U836" i="1" s="1"/>
  <c r="U837" i="1" s="1"/>
  <c r="U838" i="1" s="1"/>
  <c r="U839" i="1" s="1"/>
  <c r="U840" i="1" s="1"/>
  <c r="U841" i="1" s="1"/>
  <c r="U842" i="1" s="1"/>
  <c r="U843" i="1" s="1"/>
  <c r="U844" i="1" s="1"/>
  <c r="U845" i="1" s="1"/>
  <c r="U846" i="1" s="1"/>
  <c r="U847" i="1" s="1"/>
  <c r="U848" i="1" s="1"/>
  <c r="U849" i="1" s="1"/>
  <c r="U850" i="1" s="1"/>
  <c r="U851" i="1" s="1"/>
  <c r="U852" i="1" s="1"/>
  <c r="U853" i="1" s="1"/>
  <c r="U854" i="1" s="1"/>
  <c r="U855" i="1" s="1"/>
  <c r="U856" i="1" s="1"/>
  <c r="U857" i="1" s="1"/>
  <c r="U858" i="1" s="1"/>
  <c r="U859" i="1" s="1"/>
  <c r="U860" i="1" s="1"/>
  <c r="U861" i="1" s="1"/>
  <c r="U862" i="1" s="1"/>
  <c r="U863" i="1" s="1"/>
  <c r="U864" i="1" s="1"/>
  <c r="U865" i="1" s="1"/>
  <c r="U866" i="1" s="1"/>
  <c r="U867" i="1" s="1"/>
  <c r="U868" i="1" s="1"/>
  <c r="U869" i="1" s="1"/>
  <c r="U870" i="1" s="1"/>
  <c r="U871" i="1" s="1"/>
  <c r="U872" i="1" s="1"/>
  <c r="U873" i="1" s="1"/>
  <c r="U874" i="1" s="1"/>
  <c r="U875" i="1" s="1"/>
  <c r="U876" i="1" s="1"/>
  <c r="U877" i="1" s="1"/>
  <c r="U878" i="1" s="1"/>
  <c r="U879" i="1" s="1"/>
  <c r="U880" i="1" s="1"/>
  <c r="U881" i="1" s="1"/>
  <c r="U882" i="1" s="1"/>
  <c r="U883" i="1" s="1"/>
  <c r="U884" i="1" s="1"/>
  <c r="U885" i="1" s="1"/>
  <c r="U886" i="1" s="1"/>
  <c r="U887" i="1" s="1"/>
  <c r="U888" i="1" s="1"/>
  <c r="U889" i="1" s="1"/>
  <c r="U890" i="1" s="1"/>
  <c r="U891" i="1" s="1"/>
  <c r="U892" i="1" s="1"/>
  <c r="U893" i="1" s="1"/>
  <c r="U894" i="1" s="1"/>
  <c r="U895" i="1" s="1"/>
  <c r="U896" i="1" s="1"/>
  <c r="U897" i="1" s="1"/>
  <c r="U898" i="1" s="1"/>
  <c r="U899" i="1" s="1"/>
  <c r="U900" i="1" s="1"/>
  <c r="U901" i="1" s="1"/>
  <c r="U902" i="1" s="1"/>
  <c r="U903" i="1" s="1"/>
  <c r="U904" i="1" s="1"/>
  <c r="U905" i="1" s="1"/>
  <c r="U906" i="1" s="1"/>
  <c r="U907" i="1" s="1"/>
  <c r="U908" i="1" s="1"/>
  <c r="U909" i="1" s="1"/>
  <c r="U910" i="1" s="1"/>
  <c r="U911" i="1" s="1"/>
  <c r="U912" i="1" s="1"/>
  <c r="U913" i="1" s="1"/>
  <c r="U914" i="1" s="1"/>
  <c r="U915" i="1" s="1"/>
  <c r="U916" i="1" s="1"/>
  <c r="U917" i="1" s="1"/>
  <c r="U918" i="1" s="1"/>
  <c r="U919" i="1" s="1"/>
  <c r="U920" i="1" s="1"/>
  <c r="U921" i="1" s="1"/>
  <c r="U922" i="1" s="1"/>
  <c r="U923" i="1" s="1"/>
  <c r="U924" i="1" s="1"/>
  <c r="U925" i="1" s="1"/>
  <c r="U926" i="1" s="1"/>
  <c r="U927" i="1" s="1"/>
  <c r="U928" i="1" s="1"/>
  <c r="U929" i="1" s="1"/>
  <c r="U930" i="1" s="1"/>
  <c r="U931" i="1" s="1"/>
  <c r="U932" i="1" s="1"/>
  <c r="U933" i="1" s="1"/>
  <c r="U934" i="1" s="1"/>
  <c r="U935" i="1" s="1"/>
  <c r="U936" i="1" s="1"/>
  <c r="U937" i="1" s="1"/>
  <c r="U938" i="1" s="1"/>
  <c r="U939" i="1" s="1"/>
  <c r="U940" i="1" s="1"/>
  <c r="U941" i="1" s="1"/>
  <c r="U942" i="1" s="1"/>
  <c r="U943" i="1" s="1"/>
  <c r="U944" i="1" s="1"/>
  <c r="U945" i="1" s="1"/>
  <c r="U946" i="1" s="1"/>
  <c r="U947" i="1" s="1"/>
  <c r="U948" i="1" s="1"/>
  <c r="U949" i="1" s="1"/>
  <c r="U950" i="1" s="1"/>
  <c r="U951" i="1" s="1"/>
  <c r="U952" i="1" s="1"/>
  <c r="U953" i="1" s="1"/>
  <c r="U954" i="1" s="1"/>
  <c r="U955" i="1" s="1"/>
  <c r="U956" i="1" s="1"/>
  <c r="U957" i="1" s="1"/>
  <c r="U958" i="1" s="1"/>
  <c r="U959" i="1" s="1"/>
  <c r="U960" i="1" s="1"/>
  <c r="U961" i="1" s="1"/>
  <c r="U962" i="1" s="1"/>
  <c r="U963" i="1" s="1"/>
  <c r="U964" i="1" s="1"/>
  <c r="U965" i="1" s="1"/>
  <c r="U966" i="1" s="1"/>
  <c r="U967" i="1" s="1"/>
  <c r="U968" i="1" s="1"/>
  <c r="U969" i="1" s="1"/>
  <c r="U970" i="1" s="1"/>
  <c r="U971" i="1" s="1"/>
  <c r="U972" i="1" s="1"/>
  <c r="U973" i="1" s="1"/>
  <c r="U974" i="1" s="1"/>
  <c r="U975" i="1" s="1"/>
  <c r="U976" i="1" s="1"/>
  <c r="U977" i="1" s="1"/>
  <c r="U978" i="1" s="1"/>
  <c r="U979" i="1" s="1"/>
  <c r="U980" i="1" s="1"/>
  <c r="U981" i="1" s="1"/>
  <c r="U982" i="1" s="1"/>
  <c r="U983" i="1" s="1"/>
  <c r="U984" i="1" s="1"/>
  <c r="U985" i="1" s="1"/>
  <c r="U986" i="1" s="1"/>
  <c r="U987" i="1" s="1"/>
  <c r="U988" i="1" s="1"/>
  <c r="U989" i="1" s="1"/>
  <c r="U990" i="1" s="1"/>
  <c r="U991" i="1" s="1"/>
  <c r="U992" i="1" s="1"/>
  <c r="U993" i="1" s="1"/>
  <c r="U994" i="1" s="1"/>
  <c r="U995" i="1" s="1"/>
  <c r="U996" i="1" s="1"/>
  <c r="U997" i="1" s="1"/>
  <c r="U998" i="1" s="1"/>
  <c r="U999" i="1" s="1"/>
  <c r="U1000" i="1" s="1"/>
  <c r="U1001" i="1" s="1"/>
  <c r="U1002" i="1" s="1"/>
  <c r="T3" i="1"/>
  <c r="T4" i="1" s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T204" i="1" s="1"/>
  <c r="T205" i="1" s="1"/>
  <c r="T206" i="1" s="1"/>
  <c r="T207" i="1" s="1"/>
  <c r="T208" i="1" s="1"/>
  <c r="T209" i="1" s="1"/>
  <c r="T210" i="1" s="1"/>
  <c r="T211" i="1" s="1"/>
  <c r="T212" i="1" s="1"/>
  <c r="T213" i="1" s="1"/>
  <c r="T214" i="1" s="1"/>
  <c r="T215" i="1" s="1"/>
  <c r="T216" i="1" s="1"/>
  <c r="T217" i="1" s="1"/>
  <c r="T218" i="1" s="1"/>
  <c r="T219" i="1" s="1"/>
  <c r="T220" i="1" s="1"/>
  <c r="T221" i="1" s="1"/>
  <c r="T222" i="1" s="1"/>
  <c r="T223" i="1" s="1"/>
  <c r="T224" i="1" s="1"/>
  <c r="T225" i="1" s="1"/>
  <c r="T226" i="1" s="1"/>
  <c r="T227" i="1" s="1"/>
  <c r="T228" i="1" s="1"/>
  <c r="T229" i="1" s="1"/>
  <c r="T230" i="1" s="1"/>
  <c r="T231" i="1" s="1"/>
  <c r="T232" i="1" s="1"/>
  <c r="T233" i="1" s="1"/>
  <c r="T234" i="1" s="1"/>
  <c r="T235" i="1" s="1"/>
  <c r="T236" i="1" s="1"/>
  <c r="T237" i="1" s="1"/>
  <c r="T238" i="1" s="1"/>
  <c r="T239" i="1" s="1"/>
  <c r="T240" i="1" s="1"/>
  <c r="T241" i="1" s="1"/>
  <c r="T242" i="1" s="1"/>
  <c r="T243" i="1" s="1"/>
  <c r="T244" i="1" s="1"/>
  <c r="T245" i="1" s="1"/>
  <c r="T246" i="1" s="1"/>
  <c r="T247" i="1" s="1"/>
  <c r="T248" i="1" s="1"/>
  <c r="T249" i="1" s="1"/>
  <c r="T250" i="1" s="1"/>
  <c r="T251" i="1" s="1"/>
  <c r="T252" i="1" s="1"/>
  <c r="T253" i="1" s="1"/>
  <c r="T254" i="1" s="1"/>
  <c r="T255" i="1" s="1"/>
  <c r="T256" i="1" s="1"/>
  <c r="T257" i="1" s="1"/>
  <c r="T258" i="1" s="1"/>
  <c r="T259" i="1" s="1"/>
  <c r="T260" i="1" s="1"/>
  <c r="T261" i="1" s="1"/>
  <c r="T262" i="1" s="1"/>
  <c r="T263" i="1" s="1"/>
  <c r="T264" i="1" s="1"/>
  <c r="T265" i="1" s="1"/>
  <c r="T266" i="1" s="1"/>
  <c r="T267" i="1" s="1"/>
  <c r="T268" i="1" s="1"/>
  <c r="T269" i="1" s="1"/>
  <c r="T270" i="1" s="1"/>
  <c r="T271" i="1" s="1"/>
  <c r="T272" i="1" s="1"/>
  <c r="T273" i="1" s="1"/>
  <c r="T274" i="1" s="1"/>
  <c r="T275" i="1" s="1"/>
  <c r="T276" i="1" s="1"/>
  <c r="T277" i="1" s="1"/>
  <c r="T278" i="1" s="1"/>
  <c r="T279" i="1" s="1"/>
  <c r="T280" i="1" s="1"/>
  <c r="T281" i="1" s="1"/>
  <c r="T282" i="1" s="1"/>
  <c r="T283" i="1" s="1"/>
  <c r="T284" i="1" s="1"/>
  <c r="T285" i="1" s="1"/>
  <c r="T286" i="1" s="1"/>
  <c r="T287" i="1" s="1"/>
  <c r="T288" i="1" s="1"/>
  <c r="T289" i="1" s="1"/>
  <c r="T290" i="1" s="1"/>
  <c r="T291" i="1" s="1"/>
  <c r="T292" i="1" s="1"/>
  <c r="T293" i="1" s="1"/>
  <c r="T294" i="1" s="1"/>
  <c r="T295" i="1" s="1"/>
  <c r="T296" i="1" s="1"/>
  <c r="T297" i="1" s="1"/>
  <c r="T298" i="1" s="1"/>
  <c r="T299" i="1" s="1"/>
  <c r="T300" i="1" s="1"/>
  <c r="T301" i="1" s="1"/>
  <c r="T302" i="1" s="1"/>
  <c r="T303" i="1" s="1"/>
  <c r="T304" i="1" s="1"/>
  <c r="T305" i="1" s="1"/>
  <c r="T306" i="1" s="1"/>
  <c r="T307" i="1" s="1"/>
  <c r="T308" i="1" s="1"/>
  <c r="T309" i="1" s="1"/>
  <c r="T310" i="1" s="1"/>
  <c r="T311" i="1" s="1"/>
  <c r="T312" i="1" s="1"/>
  <c r="T313" i="1" s="1"/>
  <c r="T314" i="1" s="1"/>
  <c r="T315" i="1" s="1"/>
  <c r="T316" i="1" s="1"/>
  <c r="T317" i="1" s="1"/>
  <c r="T318" i="1" s="1"/>
  <c r="T319" i="1" s="1"/>
  <c r="T320" i="1" s="1"/>
  <c r="T321" i="1" s="1"/>
  <c r="T322" i="1" s="1"/>
  <c r="T323" i="1" s="1"/>
  <c r="T324" i="1" s="1"/>
  <c r="T325" i="1" s="1"/>
  <c r="T326" i="1" s="1"/>
  <c r="T327" i="1" s="1"/>
  <c r="T328" i="1" s="1"/>
  <c r="T329" i="1" s="1"/>
  <c r="T330" i="1" s="1"/>
  <c r="T331" i="1" s="1"/>
  <c r="T332" i="1" s="1"/>
  <c r="T333" i="1" s="1"/>
  <c r="T334" i="1" s="1"/>
  <c r="T335" i="1" s="1"/>
  <c r="T336" i="1" s="1"/>
  <c r="T337" i="1" s="1"/>
  <c r="T338" i="1" s="1"/>
  <c r="T339" i="1" s="1"/>
  <c r="T340" i="1" s="1"/>
  <c r="T341" i="1" s="1"/>
  <c r="T342" i="1" s="1"/>
  <c r="T343" i="1" s="1"/>
  <c r="T344" i="1" s="1"/>
  <c r="T345" i="1" s="1"/>
  <c r="T346" i="1" s="1"/>
  <c r="T347" i="1" s="1"/>
  <c r="T348" i="1" s="1"/>
  <c r="T349" i="1" s="1"/>
  <c r="T350" i="1" s="1"/>
  <c r="T351" i="1" s="1"/>
  <c r="T352" i="1" s="1"/>
  <c r="T353" i="1" s="1"/>
  <c r="T354" i="1" s="1"/>
  <c r="T355" i="1" s="1"/>
  <c r="T356" i="1" s="1"/>
  <c r="T357" i="1" s="1"/>
  <c r="T358" i="1" s="1"/>
  <c r="T359" i="1" s="1"/>
  <c r="T360" i="1" s="1"/>
  <c r="T361" i="1" s="1"/>
  <c r="T362" i="1" s="1"/>
  <c r="T363" i="1" s="1"/>
  <c r="T364" i="1" s="1"/>
  <c r="T365" i="1" s="1"/>
  <c r="T366" i="1" s="1"/>
  <c r="T367" i="1" s="1"/>
  <c r="T368" i="1" s="1"/>
  <c r="T369" i="1" s="1"/>
  <c r="T370" i="1" s="1"/>
  <c r="T371" i="1" s="1"/>
  <c r="T372" i="1" s="1"/>
  <c r="T373" i="1" s="1"/>
  <c r="T374" i="1" s="1"/>
  <c r="T375" i="1" s="1"/>
  <c r="T376" i="1" s="1"/>
  <c r="T377" i="1" s="1"/>
  <c r="T378" i="1" s="1"/>
  <c r="T379" i="1" s="1"/>
  <c r="T380" i="1" s="1"/>
  <c r="T381" i="1" s="1"/>
  <c r="T382" i="1" s="1"/>
  <c r="T383" i="1" s="1"/>
  <c r="T384" i="1" s="1"/>
  <c r="T385" i="1" s="1"/>
  <c r="T386" i="1" s="1"/>
  <c r="T387" i="1" s="1"/>
  <c r="T388" i="1" s="1"/>
  <c r="T389" i="1" s="1"/>
  <c r="T390" i="1" s="1"/>
  <c r="T391" i="1" s="1"/>
  <c r="T392" i="1" s="1"/>
  <c r="T393" i="1" s="1"/>
  <c r="T394" i="1" s="1"/>
  <c r="T395" i="1" s="1"/>
  <c r="T396" i="1" s="1"/>
  <c r="T397" i="1" s="1"/>
  <c r="T398" i="1" s="1"/>
  <c r="T399" i="1" s="1"/>
  <c r="T400" i="1" s="1"/>
  <c r="T401" i="1" s="1"/>
  <c r="T402" i="1" s="1"/>
  <c r="T403" i="1" s="1"/>
  <c r="T404" i="1" s="1"/>
  <c r="T405" i="1" s="1"/>
  <c r="T406" i="1" s="1"/>
  <c r="T407" i="1" s="1"/>
  <c r="T408" i="1" s="1"/>
  <c r="T409" i="1" s="1"/>
  <c r="T410" i="1" s="1"/>
  <c r="T411" i="1" s="1"/>
  <c r="T412" i="1" s="1"/>
  <c r="T413" i="1" s="1"/>
  <c r="T414" i="1" s="1"/>
  <c r="T415" i="1" s="1"/>
  <c r="T416" i="1" s="1"/>
  <c r="T417" i="1" s="1"/>
  <c r="T418" i="1" s="1"/>
  <c r="T419" i="1" s="1"/>
  <c r="T420" i="1" s="1"/>
  <c r="T421" i="1" s="1"/>
  <c r="T422" i="1" s="1"/>
  <c r="T423" i="1" s="1"/>
  <c r="T424" i="1" s="1"/>
  <c r="T425" i="1" s="1"/>
  <c r="T426" i="1" s="1"/>
  <c r="T427" i="1" s="1"/>
  <c r="T428" i="1" s="1"/>
  <c r="T429" i="1" s="1"/>
  <c r="T430" i="1" s="1"/>
  <c r="T431" i="1" s="1"/>
  <c r="T432" i="1" s="1"/>
  <c r="T433" i="1" s="1"/>
  <c r="T434" i="1" s="1"/>
  <c r="T435" i="1" s="1"/>
  <c r="T436" i="1" s="1"/>
  <c r="T437" i="1" s="1"/>
  <c r="T438" i="1" s="1"/>
  <c r="T439" i="1" s="1"/>
  <c r="T440" i="1" s="1"/>
  <c r="T441" i="1" s="1"/>
  <c r="T442" i="1" s="1"/>
  <c r="T443" i="1" s="1"/>
  <c r="T444" i="1" s="1"/>
  <c r="T445" i="1" s="1"/>
  <c r="T446" i="1" s="1"/>
  <c r="T447" i="1" s="1"/>
  <c r="T448" i="1" s="1"/>
  <c r="T449" i="1" s="1"/>
  <c r="T450" i="1" s="1"/>
  <c r="T451" i="1" s="1"/>
  <c r="T452" i="1" s="1"/>
  <c r="T453" i="1" s="1"/>
  <c r="T454" i="1" s="1"/>
  <c r="T455" i="1" s="1"/>
  <c r="T456" i="1" s="1"/>
  <c r="T457" i="1" s="1"/>
  <c r="T458" i="1" s="1"/>
  <c r="T459" i="1" s="1"/>
  <c r="T460" i="1" s="1"/>
  <c r="T461" i="1" s="1"/>
  <c r="T462" i="1" s="1"/>
  <c r="T463" i="1" s="1"/>
  <c r="T464" i="1" s="1"/>
  <c r="T465" i="1" s="1"/>
  <c r="T466" i="1" s="1"/>
  <c r="T467" i="1" s="1"/>
  <c r="T468" i="1" s="1"/>
  <c r="T469" i="1" s="1"/>
  <c r="T470" i="1" s="1"/>
  <c r="T471" i="1" s="1"/>
  <c r="T472" i="1" s="1"/>
  <c r="T473" i="1" s="1"/>
  <c r="T474" i="1" s="1"/>
  <c r="T475" i="1" s="1"/>
  <c r="T476" i="1" s="1"/>
  <c r="T477" i="1" s="1"/>
  <c r="T478" i="1" s="1"/>
  <c r="T479" i="1" s="1"/>
  <c r="T480" i="1" s="1"/>
  <c r="T481" i="1" s="1"/>
  <c r="T482" i="1" s="1"/>
  <c r="T483" i="1" s="1"/>
  <c r="T484" i="1" s="1"/>
  <c r="T485" i="1" s="1"/>
  <c r="T486" i="1" s="1"/>
  <c r="T487" i="1" s="1"/>
  <c r="T488" i="1" s="1"/>
  <c r="T489" i="1" s="1"/>
  <c r="T490" i="1" s="1"/>
  <c r="T491" i="1" s="1"/>
  <c r="T492" i="1" s="1"/>
  <c r="T493" i="1" s="1"/>
  <c r="T494" i="1" s="1"/>
  <c r="T495" i="1" s="1"/>
  <c r="T496" i="1" s="1"/>
  <c r="T497" i="1" s="1"/>
  <c r="T498" i="1" s="1"/>
  <c r="T499" i="1" s="1"/>
  <c r="T500" i="1" s="1"/>
  <c r="T501" i="1" s="1"/>
  <c r="T502" i="1" s="1"/>
  <c r="T503" i="1" s="1"/>
  <c r="T504" i="1" s="1"/>
  <c r="T505" i="1" s="1"/>
  <c r="T506" i="1" s="1"/>
  <c r="T507" i="1" s="1"/>
  <c r="T508" i="1" s="1"/>
  <c r="T509" i="1" s="1"/>
  <c r="T510" i="1" s="1"/>
  <c r="T511" i="1" s="1"/>
  <c r="T512" i="1" s="1"/>
  <c r="T513" i="1" s="1"/>
  <c r="T514" i="1" s="1"/>
  <c r="T515" i="1" s="1"/>
  <c r="T516" i="1" s="1"/>
  <c r="T517" i="1" s="1"/>
  <c r="T518" i="1" s="1"/>
  <c r="T519" i="1" s="1"/>
  <c r="T520" i="1" s="1"/>
  <c r="T521" i="1" s="1"/>
  <c r="T522" i="1" s="1"/>
  <c r="T523" i="1" s="1"/>
  <c r="T524" i="1" s="1"/>
  <c r="T525" i="1" s="1"/>
  <c r="T526" i="1" s="1"/>
  <c r="T527" i="1" s="1"/>
  <c r="T528" i="1" s="1"/>
  <c r="T529" i="1" s="1"/>
  <c r="T530" i="1" s="1"/>
  <c r="T531" i="1" s="1"/>
  <c r="T532" i="1" s="1"/>
  <c r="T533" i="1" s="1"/>
  <c r="T534" i="1" s="1"/>
  <c r="T535" i="1" s="1"/>
  <c r="T536" i="1" s="1"/>
  <c r="T537" i="1" s="1"/>
  <c r="T538" i="1" s="1"/>
  <c r="T539" i="1" s="1"/>
  <c r="T540" i="1" s="1"/>
  <c r="T541" i="1" s="1"/>
  <c r="T542" i="1" s="1"/>
  <c r="T543" i="1" s="1"/>
  <c r="T544" i="1" s="1"/>
  <c r="T545" i="1" s="1"/>
  <c r="T546" i="1" s="1"/>
  <c r="T547" i="1" s="1"/>
  <c r="T548" i="1" s="1"/>
  <c r="T549" i="1" s="1"/>
  <c r="T550" i="1" s="1"/>
  <c r="T551" i="1" s="1"/>
  <c r="T552" i="1" s="1"/>
  <c r="T553" i="1" s="1"/>
  <c r="T554" i="1" s="1"/>
  <c r="T555" i="1" s="1"/>
  <c r="T556" i="1" s="1"/>
  <c r="T557" i="1" s="1"/>
  <c r="T558" i="1" s="1"/>
  <c r="T559" i="1" s="1"/>
  <c r="T560" i="1" s="1"/>
  <c r="T561" i="1" s="1"/>
  <c r="T562" i="1" s="1"/>
  <c r="T563" i="1" s="1"/>
  <c r="T564" i="1" s="1"/>
  <c r="T565" i="1" s="1"/>
  <c r="T566" i="1" s="1"/>
  <c r="T567" i="1" s="1"/>
  <c r="T568" i="1" s="1"/>
  <c r="T569" i="1" s="1"/>
  <c r="T570" i="1" s="1"/>
  <c r="T571" i="1" s="1"/>
  <c r="T572" i="1" s="1"/>
  <c r="T573" i="1" s="1"/>
  <c r="T574" i="1" s="1"/>
  <c r="T575" i="1" s="1"/>
  <c r="T576" i="1" s="1"/>
  <c r="T577" i="1" s="1"/>
  <c r="T578" i="1" s="1"/>
  <c r="T579" i="1" s="1"/>
  <c r="T580" i="1" s="1"/>
  <c r="T581" i="1" s="1"/>
  <c r="T582" i="1" s="1"/>
  <c r="T583" i="1" s="1"/>
  <c r="T584" i="1" s="1"/>
  <c r="T585" i="1" s="1"/>
  <c r="T586" i="1" s="1"/>
  <c r="T587" i="1" s="1"/>
  <c r="T588" i="1" s="1"/>
  <c r="T589" i="1" s="1"/>
  <c r="T590" i="1" s="1"/>
  <c r="T591" i="1" s="1"/>
  <c r="T592" i="1" s="1"/>
  <c r="T593" i="1" s="1"/>
  <c r="T594" i="1" s="1"/>
  <c r="T595" i="1" s="1"/>
  <c r="T596" i="1" s="1"/>
  <c r="T597" i="1" s="1"/>
  <c r="T598" i="1" s="1"/>
  <c r="T599" i="1" s="1"/>
  <c r="T600" i="1" s="1"/>
  <c r="T601" i="1" s="1"/>
  <c r="T602" i="1" s="1"/>
  <c r="T603" i="1" s="1"/>
  <c r="T604" i="1" s="1"/>
  <c r="T605" i="1" s="1"/>
  <c r="T606" i="1" s="1"/>
  <c r="T607" i="1" s="1"/>
  <c r="T608" i="1" s="1"/>
  <c r="T609" i="1" s="1"/>
  <c r="T610" i="1" s="1"/>
  <c r="T611" i="1" s="1"/>
  <c r="T612" i="1" s="1"/>
  <c r="T613" i="1" s="1"/>
  <c r="T614" i="1" s="1"/>
  <c r="T615" i="1" s="1"/>
  <c r="T616" i="1" s="1"/>
  <c r="T617" i="1" s="1"/>
  <c r="T618" i="1" s="1"/>
  <c r="T619" i="1" s="1"/>
  <c r="T620" i="1" s="1"/>
  <c r="T621" i="1" s="1"/>
  <c r="T622" i="1" s="1"/>
  <c r="T623" i="1" s="1"/>
  <c r="T624" i="1" s="1"/>
  <c r="T625" i="1" s="1"/>
  <c r="T626" i="1" s="1"/>
  <c r="T627" i="1" s="1"/>
  <c r="T628" i="1" s="1"/>
  <c r="T629" i="1" s="1"/>
  <c r="T630" i="1" s="1"/>
  <c r="T631" i="1" s="1"/>
  <c r="T632" i="1" s="1"/>
  <c r="T633" i="1" s="1"/>
  <c r="T634" i="1" s="1"/>
  <c r="T635" i="1" s="1"/>
  <c r="T636" i="1" s="1"/>
  <c r="T637" i="1" s="1"/>
  <c r="T638" i="1" s="1"/>
  <c r="T639" i="1" s="1"/>
  <c r="T640" i="1" s="1"/>
  <c r="T641" i="1" s="1"/>
  <c r="T642" i="1" s="1"/>
  <c r="T643" i="1" s="1"/>
  <c r="T644" i="1" s="1"/>
  <c r="T645" i="1" s="1"/>
  <c r="T646" i="1" s="1"/>
  <c r="T647" i="1" s="1"/>
  <c r="T648" i="1" s="1"/>
  <c r="T649" i="1" s="1"/>
  <c r="T650" i="1" s="1"/>
  <c r="T651" i="1" s="1"/>
  <c r="T652" i="1" s="1"/>
  <c r="T653" i="1" s="1"/>
  <c r="T654" i="1" s="1"/>
  <c r="T655" i="1" s="1"/>
  <c r="T656" i="1" s="1"/>
  <c r="T657" i="1" s="1"/>
  <c r="T658" i="1" s="1"/>
  <c r="T659" i="1" s="1"/>
  <c r="T660" i="1" s="1"/>
  <c r="T661" i="1" s="1"/>
  <c r="T662" i="1" s="1"/>
  <c r="T663" i="1" s="1"/>
  <c r="T664" i="1" s="1"/>
  <c r="T665" i="1" s="1"/>
  <c r="T666" i="1" s="1"/>
  <c r="T667" i="1" s="1"/>
  <c r="T668" i="1" s="1"/>
  <c r="T669" i="1" s="1"/>
  <c r="T670" i="1" s="1"/>
  <c r="T671" i="1" s="1"/>
  <c r="T672" i="1" s="1"/>
  <c r="T673" i="1" s="1"/>
  <c r="T674" i="1" s="1"/>
  <c r="T675" i="1" s="1"/>
  <c r="T676" i="1" s="1"/>
  <c r="T677" i="1" s="1"/>
  <c r="T678" i="1" s="1"/>
  <c r="T679" i="1" s="1"/>
  <c r="T680" i="1" s="1"/>
  <c r="T681" i="1" s="1"/>
  <c r="T682" i="1" s="1"/>
  <c r="T683" i="1" s="1"/>
  <c r="T684" i="1" s="1"/>
  <c r="T685" i="1" s="1"/>
  <c r="T686" i="1" s="1"/>
  <c r="T687" i="1" s="1"/>
  <c r="T688" i="1" s="1"/>
  <c r="T689" i="1" s="1"/>
  <c r="T690" i="1" s="1"/>
  <c r="T691" i="1" s="1"/>
  <c r="T692" i="1" s="1"/>
  <c r="T693" i="1" s="1"/>
  <c r="T694" i="1" s="1"/>
  <c r="T695" i="1" s="1"/>
  <c r="T696" i="1" s="1"/>
  <c r="T697" i="1" s="1"/>
  <c r="T698" i="1" s="1"/>
  <c r="T699" i="1" s="1"/>
  <c r="T700" i="1" s="1"/>
  <c r="T701" i="1" s="1"/>
  <c r="T702" i="1" s="1"/>
  <c r="T703" i="1" s="1"/>
  <c r="T704" i="1" s="1"/>
  <c r="T705" i="1" s="1"/>
  <c r="T706" i="1" s="1"/>
  <c r="T707" i="1" s="1"/>
  <c r="T708" i="1" s="1"/>
  <c r="T709" i="1" s="1"/>
  <c r="T710" i="1" s="1"/>
  <c r="T711" i="1" s="1"/>
  <c r="T712" i="1" s="1"/>
  <c r="T713" i="1" s="1"/>
  <c r="T714" i="1" s="1"/>
  <c r="T715" i="1" s="1"/>
  <c r="T716" i="1" s="1"/>
  <c r="T717" i="1" s="1"/>
  <c r="T718" i="1" s="1"/>
  <c r="T719" i="1" s="1"/>
  <c r="T720" i="1" s="1"/>
  <c r="T721" i="1" s="1"/>
  <c r="T722" i="1" s="1"/>
  <c r="T723" i="1" s="1"/>
  <c r="T724" i="1" s="1"/>
  <c r="T725" i="1" s="1"/>
  <c r="T726" i="1" s="1"/>
  <c r="T727" i="1" s="1"/>
  <c r="T728" i="1" s="1"/>
  <c r="T729" i="1" s="1"/>
  <c r="T730" i="1" s="1"/>
  <c r="T731" i="1" s="1"/>
  <c r="T732" i="1" s="1"/>
  <c r="T733" i="1" s="1"/>
  <c r="T734" i="1" s="1"/>
  <c r="T735" i="1" s="1"/>
  <c r="T736" i="1" s="1"/>
  <c r="T737" i="1" s="1"/>
  <c r="T738" i="1" s="1"/>
  <c r="T739" i="1" s="1"/>
  <c r="T740" i="1" s="1"/>
  <c r="T741" i="1" s="1"/>
  <c r="T742" i="1" s="1"/>
  <c r="T743" i="1" s="1"/>
  <c r="T744" i="1" s="1"/>
  <c r="T745" i="1" s="1"/>
  <c r="T746" i="1" s="1"/>
  <c r="T747" i="1" s="1"/>
  <c r="T748" i="1" s="1"/>
  <c r="T749" i="1" s="1"/>
  <c r="T750" i="1" s="1"/>
  <c r="T751" i="1" s="1"/>
  <c r="T752" i="1" s="1"/>
  <c r="T753" i="1" s="1"/>
  <c r="T754" i="1" s="1"/>
  <c r="T755" i="1" s="1"/>
  <c r="T756" i="1" s="1"/>
  <c r="T757" i="1" s="1"/>
  <c r="T758" i="1" s="1"/>
  <c r="T759" i="1" s="1"/>
  <c r="T760" i="1" s="1"/>
  <c r="T761" i="1" s="1"/>
  <c r="T762" i="1" s="1"/>
  <c r="T763" i="1" s="1"/>
  <c r="T764" i="1" s="1"/>
  <c r="T765" i="1" s="1"/>
  <c r="T766" i="1" s="1"/>
  <c r="T767" i="1" s="1"/>
  <c r="T768" i="1" s="1"/>
  <c r="T769" i="1" s="1"/>
  <c r="T770" i="1" s="1"/>
  <c r="T771" i="1" s="1"/>
  <c r="T772" i="1" s="1"/>
  <c r="T773" i="1" s="1"/>
  <c r="T774" i="1" s="1"/>
  <c r="T775" i="1" s="1"/>
  <c r="T776" i="1" s="1"/>
  <c r="T777" i="1" s="1"/>
  <c r="T778" i="1" s="1"/>
  <c r="T779" i="1" s="1"/>
  <c r="T780" i="1" s="1"/>
  <c r="T781" i="1" s="1"/>
  <c r="T782" i="1" s="1"/>
  <c r="T783" i="1" s="1"/>
  <c r="T784" i="1" s="1"/>
  <c r="T785" i="1" s="1"/>
  <c r="T786" i="1" s="1"/>
  <c r="T787" i="1" s="1"/>
  <c r="T788" i="1" s="1"/>
  <c r="T789" i="1" s="1"/>
  <c r="T790" i="1" s="1"/>
  <c r="T791" i="1" s="1"/>
  <c r="T792" i="1" s="1"/>
  <c r="T793" i="1" s="1"/>
  <c r="T794" i="1" s="1"/>
  <c r="T795" i="1" s="1"/>
  <c r="T796" i="1" s="1"/>
  <c r="T797" i="1" s="1"/>
  <c r="T798" i="1" s="1"/>
  <c r="T799" i="1" s="1"/>
  <c r="T800" i="1" s="1"/>
  <c r="T801" i="1" s="1"/>
  <c r="T802" i="1" s="1"/>
  <c r="T803" i="1" s="1"/>
  <c r="T804" i="1" s="1"/>
  <c r="T805" i="1" s="1"/>
  <c r="T806" i="1" s="1"/>
  <c r="T807" i="1" s="1"/>
  <c r="T808" i="1" s="1"/>
  <c r="T809" i="1" s="1"/>
  <c r="T810" i="1" s="1"/>
  <c r="T811" i="1" s="1"/>
  <c r="T812" i="1" s="1"/>
  <c r="T813" i="1" s="1"/>
  <c r="T814" i="1" s="1"/>
  <c r="T815" i="1" s="1"/>
  <c r="T816" i="1" s="1"/>
  <c r="T817" i="1" s="1"/>
  <c r="T818" i="1" s="1"/>
  <c r="T819" i="1" s="1"/>
  <c r="T820" i="1" s="1"/>
  <c r="T821" i="1" s="1"/>
  <c r="T822" i="1" s="1"/>
  <c r="T823" i="1" s="1"/>
  <c r="T824" i="1" s="1"/>
  <c r="T825" i="1" s="1"/>
  <c r="T826" i="1" s="1"/>
  <c r="T827" i="1" s="1"/>
  <c r="T828" i="1" s="1"/>
  <c r="T829" i="1" s="1"/>
  <c r="T830" i="1" s="1"/>
  <c r="T831" i="1" s="1"/>
  <c r="T832" i="1" s="1"/>
  <c r="T833" i="1" s="1"/>
  <c r="T834" i="1" s="1"/>
  <c r="T835" i="1" s="1"/>
  <c r="T836" i="1" s="1"/>
  <c r="T837" i="1" s="1"/>
  <c r="T838" i="1" s="1"/>
  <c r="T839" i="1" s="1"/>
  <c r="T840" i="1" s="1"/>
  <c r="T841" i="1" s="1"/>
  <c r="T842" i="1" s="1"/>
  <c r="T843" i="1" s="1"/>
  <c r="T844" i="1" s="1"/>
  <c r="T845" i="1" s="1"/>
  <c r="T846" i="1" s="1"/>
  <c r="T847" i="1" s="1"/>
  <c r="T848" i="1" s="1"/>
  <c r="T849" i="1" s="1"/>
  <c r="T850" i="1" s="1"/>
  <c r="T851" i="1" s="1"/>
  <c r="T852" i="1" s="1"/>
  <c r="T853" i="1" s="1"/>
  <c r="T854" i="1" s="1"/>
  <c r="T855" i="1" s="1"/>
  <c r="T856" i="1" s="1"/>
  <c r="T857" i="1" s="1"/>
  <c r="T858" i="1" s="1"/>
  <c r="T859" i="1" s="1"/>
  <c r="T860" i="1" s="1"/>
  <c r="T861" i="1" s="1"/>
  <c r="T862" i="1" s="1"/>
  <c r="T863" i="1" s="1"/>
  <c r="T864" i="1" s="1"/>
  <c r="T865" i="1" s="1"/>
  <c r="T866" i="1" s="1"/>
  <c r="T867" i="1" s="1"/>
  <c r="T868" i="1" s="1"/>
  <c r="T869" i="1" s="1"/>
  <c r="T870" i="1" s="1"/>
  <c r="T871" i="1" s="1"/>
  <c r="T872" i="1" s="1"/>
  <c r="T873" i="1" s="1"/>
  <c r="T874" i="1" s="1"/>
  <c r="T875" i="1" s="1"/>
  <c r="T876" i="1" s="1"/>
  <c r="T877" i="1" s="1"/>
  <c r="T878" i="1" s="1"/>
  <c r="T879" i="1" s="1"/>
  <c r="T880" i="1" s="1"/>
  <c r="T881" i="1" s="1"/>
  <c r="T882" i="1" s="1"/>
  <c r="T883" i="1" s="1"/>
  <c r="T884" i="1" s="1"/>
  <c r="T885" i="1" s="1"/>
  <c r="T886" i="1" s="1"/>
  <c r="T887" i="1" s="1"/>
  <c r="T888" i="1" s="1"/>
  <c r="T889" i="1" s="1"/>
  <c r="T890" i="1" s="1"/>
  <c r="T891" i="1" s="1"/>
  <c r="T892" i="1" s="1"/>
  <c r="T893" i="1" s="1"/>
  <c r="T894" i="1" s="1"/>
  <c r="T895" i="1" s="1"/>
  <c r="T896" i="1" s="1"/>
  <c r="T897" i="1" s="1"/>
  <c r="T898" i="1" s="1"/>
  <c r="T899" i="1" s="1"/>
  <c r="T900" i="1" s="1"/>
  <c r="T901" i="1" s="1"/>
  <c r="T902" i="1" s="1"/>
  <c r="T903" i="1" s="1"/>
  <c r="T904" i="1" s="1"/>
  <c r="T905" i="1" s="1"/>
  <c r="T906" i="1" s="1"/>
  <c r="T907" i="1" s="1"/>
  <c r="T908" i="1" s="1"/>
  <c r="T909" i="1" s="1"/>
  <c r="T910" i="1" s="1"/>
  <c r="T911" i="1" s="1"/>
  <c r="T912" i="1" s="1"/>
  <c r="T913" i="1" s="1"/>
  <c r="T914" i="1" s="1"/>
  <c r="T915" i="1" s="1"/>
  <c r="T916" i="1" s="1"/>
  <c r="T917" i="1" s="1"/>
  <c r="T918" i="1" s="1"/>
  <c r="T919" i="1" s="1"/>
  <c r="T920" i="1" s="1"/>
  <c r="T921" i="1" s="1"/>
  <c r="T922" i="1" s="1"/>
  <c r="T923" i="1" s="1"/>
  <c r="T924" i="1" s="1"/>
  <c r="T925" i="1" s="1"/>
  <c r="T926" i="1" s="1"/>
  <c r="T927" i="1" s="1"/>
  <c r="T928" i="1" s="1"/>
  <c r="T929" i="1" s="1"/>
  <c r="T930" i="1" s="1"/>
  <c r="T931" i="1" s="1"/>
  <c r="T932" i="1" s="1"/>
  <c r="T933" i="1" s="1"/>
  <c r="T934" i="1" s="1"/>
  <c r="T935" i="1" s="1"/>
  <c r="T936" i="1" s="1"/>
  <c r="T937" i="1" s="1"/>
  <c r="T938" i="1" s="1"/>
  <c r="T939" i="1" s="1"/>
  <c r="T940" i="1" s="1"/>
  <c r="T941" i="1" s="1"/>
  <c r="T942" i="1" s="1"/>
  <c r="T943" i="1" s="1"/>
  <c r="T944" i="1" s="1"/>
  <c r="T945" i="1" s="1"/>
  <c r="T946" i="1" s="1"/>
  <c r="T947" i="1" s="1"/>
  <c r="T948" i="1" s="1"/>
  <c r="T949" i="1" s="1"/>
  <c r="T950" i="1" s="1"/>
  <c r="T951" i="1" s="1"/>
  <c r="T952" i="1" s="1"/>
  <c r="T953" i="1" s="1"/>
  <c r="T954" i="1" s="1"/>
  <c r="T955" i="1" s="1"/>
  <c r="T956" i="1" s="1"/>
  <c r="T957" i="1" s="1"/>
  <c r="T958" i="1" s="1"/>
  <c r="T959" i="1" s="1"/>
  <c r="T960" i="1" s="1"/>
  <c r="T961" i="1" s="1"/>
  <c r="T962" i="1" s="1"/>
  <c r="T963" i="1" s="1"/>
  <c r="T964" i="1" s="1"/>
  <c r="T965" i="1" s="1"/>
  <c r="T966" i="1" s="1"/>
  <c r="T967" i="1" s="1"/>
  <c r="T968" i="1" s="1"/>
  <c r="T969" i="1" s="1"/>
  <c r="T970" i="1" s="1"/>
  <c r="T971" i="1" s="1"/>
  <c r="T972" i="1" s="1"/>
  <c r="T973" i="1" s="1"/>
  <c r="T974" i="1" s="1"/>
  <c r="T975" i="1" s="1"/>
  <c r="T976" i="1" s="1"/>
  <c r="T977" i="1" s="1"/>
  <c r="T978" i="1" s="1"/>
  <c r="T979" i="1" s="1"/>
  <c r="T980" i="1" s="1"/>
  <c r="T981" i="1" s="1"/>
  <c r="T982" i="1" s="1"/>
  <c r="T983" i="1" s="1"/>
  <c r="T984" i="1" s="1"/>
  <c r="T985" i="1" s="1"/>
  <c r="T986" i="1" s="1"/>
  <c r="T987" i="1" s="1"/>
  <c r="T988" i="1" s="1"/>
  <c r="T989" i="1" s="1"/>
  <c r="T990" i="1" s="1"/>
  <c r="T991" i="1" s="1"/>
  <c r="T992" i="1" s="1"/>
  <c r="T993" i="1" s="1"/>
  <c r="T994" i="1" s="1"/>
  <c r="T995" i="1" s="1"/>
  <c r="T996" i="1" s="1"/>
  <c r="T997" i="1" s="1"/>
  <c r="T998" i="1" s="1"/>
  <c r="T999" i="1" s="1"/>
  <c r="T1000" i="1" s="1"/>
  <c r="T1001" i="1" s="1"/>
  <c r="T1002" i="1" s="1"/>
  <c r="Q3" i="1"/>
  <c r="Q4" i="1" s="1"/>
  <c r="Q5" i="1" s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Q253" i="1" s="1"/>
  <c r="Q254" i="1" s="1"/>
  <c r="Q255" i="1" s="1"/>
  <c r="Q256" i="1" s="1"/>
  <c r="Q257" i="1" s="1"/>
  <c r="Q258" i="1" s="1"/>
  <c r="Q259" i="1" s="1"/>
  <c r="Q260" i="1" s="1"/>
  <c r="Q261" i="1" s="1"/>
  <c r="Q262" i="1" s="1"/>
  <c r="Q263" i="1" s="1"/>
  <c r="Q264" i="1" s="1"/>
  <c r="Q265" i="1" s="1"/>
  <c r="Q266" i="1" s="1"/>
  <c r="Q267" i="1" s="1"/>
  <c r="Q268" i="1" s="1"/>
  <c r="Q269" i="1" s="1"/>
  <c r="Q270" i="1" s="1"/>
  <c r="Q271" i="1" s="1"/>
  <c r="Q272" i="1" s="1"/>
  <c r="Q273" i="1" s="1"/>
  <c r="Q274" i="1" s="1"/>
  <c r="Q275" i="1" s="1"/>
  <c r="Q276" i="1" s="1"/>
  <c r="Q277" i="1" s="1"/>
  <c r="Q278" i="1" s="1"/>
  <c r="Q279" i="1" s="1"/>
  <c r="Q280" i="1" s="1"/>
  <c r="Q281" i="1" s="1"/>
  <c r="Q282" i="1" s="1"/>
  <c r="Q283" i="1" s="1"/>
  <c r="Q284" i="1" s="1"/>
  <c r="Q285" i="1" s="1"/>
  <c r="Q286" i="1" s="1"/>
  <c r="Q287" i="1" s="1"/>
  <c r="Q288" i="1" s="1"/>
  <c r="Q289" i="1" s="1"/>
  <c r="Q290" i="1" s="1"/>
  <c r="Q291" i="1" s="1"/>
  <c r="Q292" i="1" s="1"/>
  <c r="Q293" i="1" s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09" i="1" s="1"/>
  <c r="Q310" i="1" s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322" i="1" s="1"/>
  <c r="Q323" i="1" s="1"/>
  <c r="Q324" i="1" s="1"/>
  <c r="Q325" i="1" s="1"/>
  <c r="Q326" i="1" s="1"/>
  <c r="Q327" i="1" s="1"/>
  <c r="Q328" i="1" s="1"/>
  <c r="Q329" i="1" s="1"/>
  <c r="Q330" i="1" s="1"/>
  <c r="Q331" i="1" s="1"/>
  <c r="Q332" i="1" s="1"/>
  <c r="Q333" i="1" s="1"/>
  <c r="Q334" i="1" s="1"/>
  <c r="Q335" i="1" s="1"/>
  <c r="Q336" i="1" s="1"/>
  <c r="Q337" i="1" s="1"/>
  <c r="Q338" i="1" s="1"/>
  <c r="Q339" i="1" s="1"/>
  <c r="Q340" i="1" s="1"/>
  <c r="Q341" i="1" s="1"/>
  <c r="Q342" i="1" s="1"/>
  <c r="Q343" i="1" s="1"/>
  <c r="Q344" i="1" s="1"/>
  <c r="Q345" i="1" s="1"/>
  <c r="Q346" i="1" s="1"/>
  <c r="Q347" i="1" s="1"/>
  <c r="Q348" i="1" s="1"/>
  <c r="Q349" i="1" s="1"/>
  <c r="Q350" i="1" s="1"/>
  <c r="Q351" i="1" s="1"/>
  <c r="Q352" i="1" s="1"/>
  <c r="Q353" i="1" s="1"/>
  <c r="Q354" i="1" s="1"/>
  <c r="Q355" i="1" s="1"/>
  <c r="Q356" i="1" s="1"/>
  <c r="Q357" i="1" s="1"/>
  <c r="Q358" i="1" s="1"/>
  <c r="Q359" i="1" s="1"/>
  <c r="Q360" i="1" s="1"/>
  <c r="Q361" i="1" s="1"/>
  <c r="Q362" i="1" s="1"/>
  <c r="Q363" i="1" s="1"/>
  <c r="Q364" i="1" s="1"/>
  <c r="Q365" i="1" s="1"/>
  <c r="Q366" i="1" s="1"/>
  <c r="Q367" i="1" s="1"/>
  <c r="Q368" i="1" s="1"/>
  <c r="Q369" i="1" s="1"/>
  <c r="Q370" i="1" s="1"/>
  <c r="Q371" i="1" s="1"/>
  <c r="Q372" i="1" s="1"/>
  <c r="Q373" i="1" s="1"/>
  <c r="Q374" i="1" s="1"/>
  <c r="Q375" i="1" s="1"/>
  <c r="Q376" i="1" s="1"/>
  <c r="Q377" i="1" s="1"/>
  <c r="Q378" i="1" s="1"/>
  <c r="Q379" i="1" s="1"/>
  <c r="Q380" i="1" s="1"/>
  <c r="Q381" i="1" s="1"/>
  <c r="Q382" i="1" s="1"/>
  <c r="Q383" i="1" s="1"/>
  <c r="Q384" i="1" s="1"/>
  <c r="Q385" i="1" s="1"/>
  <c r="Q386" i="1" s="1"/>
  <c r="Q387" i="1" s="1"/>
  <c r="Q388" i="1" s="1"/>
  <c r="Q389" i="1" s="1"/>
  <c r="Q390" i="1" s="1"/>
  <c r="Q391" i="1" s="1"/>
  <c r="Q392" i="1" s="1"/>
  <c r="Q393" i="1" s="1"/>
  <c r="Q394" i="1" s="1"/>
  <c r="Q395" i="1" s="1"/>
  <c r="Q396" i="1" s="1"/>
  <c r="Q397" i="1" s="1"/>
  <c r="Q398" i="1" s="1"/>
  <c r="Q399" i="1" s="1"/>
  <c r="Q400" i="1" s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15" i="1" s="1"/>
  <c r="Q416" i="1" s="1"/>
  <c r="Q417" i="1" s="1"/>
  <c r="Q418" i="1" s="1"/>
  <c r="Q419" i="1" s="1"/>
  <c r="Q420" i="1" s="1"/>
  <c r="Q421" i="1" s="1"/>
  <c r="Q422" i="1" s="1"/>
  <c r="Q423" i="1" s="1"/>
  <c r="Q424" i="1" s="1"/>
  <c r="Q425" i="1" s="1"/>
  <c r="Q426" i="1" s="1"/>
  <c r="Q427" i="1" s="1"/>
  <c r="Q428" i="1" s="1"/>
  <c r="Q429" i="1" s="1"/>
  <c r="Q430" i="1" s="1"/>
  <c r="Q431" i="1" s="1"/>
  <c r="Q432" i="1" s="1"/>
  <c r="Q433" i="1" s="1"/>
  <c r="Q434" i="1" s="1"/>
  <c r="Q435" i="1" s="1"/>
  <c r="Q436" i="1" s="1"/>
  <c r="Q437" i="1" s="1"/>
  <c r="Q438" i="1" s="1"/>
  <c r="Q439" i="1" s="1"/>
  <c r="Q440" i="1" s="1"/>
  <c r="Q441" i="1" s="1"/>
  <c r="Q442" i="1" s="1"/>
  <c r="Q443" i="1" s="1"/>
  <c r="Q444" i="1" s="1"/>
  <c r="Q445" i="1" s="1"/>
  <c r="Q446" i="1" s="1"/>
  <c r="Q447" i="1" s="1"/>
  <c r="Q448" i="1" s="1"/>
  <c r="Q449" i="1" s="1"/>
  <c r="Q450" i="1" s="1"/>
  <c r="Q451" i="1" s="1"/>
  <c r="Q452" i="1" s="1"/>
  <c r="Q453" i="1" s="1"/>
  <c r="Q454" i="1" s="1"/>
  <c r="Q455" i="1" s="1"/>
  <c r="Q456" i="1" s="1"/>
  <c r="Q457" i="1" s="1"/>
  <c r="Q458" i="1" s="1"/>
  <c r="Q459" i="1" s="1"/>
  <c r="Q460" i="1" s="1"/>
  <c r="Q461" i="1" s="1"/>
  <c r="Q462" i="1" s="1"/>
  <c r="Q463" i="1" s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482" i="1" s="1"/>
  <c r="Q483" i="1" s="1"/>
  <c r="Q484" i="1" s="1"/>
  <c r="Q485" i="1" s="1"/>
  <c r="Q486" i="1" s="1"/>
  <c r="Q487" i="1" s="1"/>
  <c r="Q488" i="1" s="1"/>
  <c r="Q489" i="1" s="1"/>
  <c r="Q490" i="1" s="1"/>
  <c r="Q491" i="1" s="1"/>
  <c r="Q492" i="1" s="1"/>
  <c r="Q493" i="1" s="1"/>
  <c r="Q494" i="1" s="1"/>
  <c r="Q495" i="1" s="1"/>
  <c r="Q496" i="1" s="1"/>
  <c r="Q497" i="1" s="1"/>
  <c r="Q498" i="1" s="1"/>
  <c r="Q499" i="1" s="1"/>
  <c r="Q500" i="1" s="1"/>
  <c r="Q501" i="1" s="1"/>
  <c r="Q502" i="1" s="1"/>
  <c r="Q503" i="1" s="1"/>
  <c r="Q504" i="1" s="1"/>
  <c r="Q505" i="1" s="1"/>
  <c r="Q506" i="1" s="1"/>
  <c r="Q507" i="1" s="1"/>
  <c r="Q508" i="1" s="1"/>
  <c r="Q509" i="1" s="1"/>
  <c r="Q510" i="1" s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Q524" i="1" s="1"/>
  <c r="Q525" i="1" s="1"/>
  <c r="Q526" i="1" s="1"/>
  <c r="Q527" i="1" s="1"/>
  <c r="Q528" i="1" s="1"/>
  <c r="Q529" i="1" s="1"/>
  <c r="Q530" i="1" s="1"/>
  <c r="Q531" i="1" s="1"/>
  <c r="Q532" i="1" s="1"/>
  <c r="Q533" i="1" s="1"/>
  <c r="Q534" i="1" s="1"/>
  <c r="Q535" i="1" s="1"/>
  <c r="Q536" i="1" s="1"/>
  <c r="Q537" i="1" s="1"/>
  <c r="Q538" i="1" s="1"/>
  <c r="Q539" i="1" s="1"/>
  <c r="Q540" i="1" s="1"/>
  <c r="Q541" i="1" s="1"/>
  <c r="Q542" i="1" s="1"/>
  <c r="Q543" i="1" s="1"/>
  <c r="Q544" i="1" s="1"/>
  <c r="Q545" i="1" s="1"/>
  <c r="Q546" i="1" s="1"/>
  <c r="Q547" i="1" s="1"/>
  <c r="Q548" i="1" s="1"/>
  <c r="Q549" i="1" s="1"/>
  <c r="Q550" i="1" s="1"/>
  <c r="Q551" i="1" s="1"/>
  <c r="Q552" i="1" s="1"/>
  <c r="Q553" i="1" s="1"/>
  <c r="Q554" i="1" s="1"/>
  <c r="Q555" i="1" s="1"/>
  <c r="Q556" i="1" s="1"/>
  <c r="Q557" i="1" s="1"/>
  <c r="Q558" i="1" s="1"/>
  <c r="Q559" i="1" s="1"/>
  <c r="Q560" i="1" s="1"/>
  <c r="Q561" i="1" s="1"/>
  <c r="Q562" i="1" s="1"/>
  <c r="Q563" i="1" s="1"/>
  <c r="Q564" i="1" s="1"/>
  <c r="Q565" i="1" s="1"/>
  <c r="Q566" i="1" s="1"/>
  <c r="Q567" i="1" s="1"/>
  <c r="Q568" i="1" s="1"/>
  <c r="Q569" i="1" s="1"/>
  <c r="Q570" i="1" s="1"/>
  <c r="Q571" i="1" s="1"/>
  <c r="Q572" i="1" s="1"/>
  <c r="Q573" i="1" s="1"/>
  <c r="Q574" i="1" s="1"/>
  <c r="Q575" i="1" s="1"/>
  <c r="Q576" i="1" s="1"/>
  <c r="Q577" i="1" s="1"/>
  <c r="Q578" i="1" s="1"/>
  <c r="Q579" i="1" s="1"/>
  <c r="Q580" i="1" s="1"/>
  <c r="Q581" i="1" s="1"/>
  <c r="Q582" i="1" s="1"/>
  <c r="Q583" i="1" s="1"/>
  <c r="Q584" i="1" s="1"/>
  <c r="Q585" i="1" s="1"/>
  <c r="Q586" i="1" s="1"/>
  <c r="Q587" i="1" s="1"/>
  <c r="Q588" i="1" s="1"/>
  <c r="Q589" i="1" s="1"/>
  <c r="Q590" i="1" s="1"/>
  <c r="Q591" i="1" s="1"/>
  <c r="Q592" i="1" s="1"/>
  <c r="Q593" i="1" s="1"/>
  <c r="Q594" i="1" s="1"/>
  <c r="Q595" i="1" s="1"/>
  <c r="Q596" i="1" s="1"/>
  <c r="Q597" i="1" s="1"/>
  <c r="Q598" i="1" s="1"/>
  <c r="Q599" i="1" s="1"/>
  <c r="Q600" i="1" s="1"/>
  <c r="Q601" i="1" s="1"/>
  <c r="Q602" i="1" s="1"/>
  <c r="Q603" i="1" s="1"/>
  <c r="Q604" i="1" s="1"/>
  <c r="Q605" i="1" s="1"/>
  <c r="Q606" i="1" s="1"/>
  <c r="Q607" i="1" s="1"/>
  <c r="Q608" i="1" s="1"/>
  <c r="Q609" i="1" s="1"/>
  <c r="Q610" i="1" s="1"/>
  <c r="Q611" i="1" s="1"/>
  <c r="Q612" i="1" s="1"/>
  <c r="Q613" i="1" s="1"/>
  <c r="Q614" i="1" s="1"/>
  <c r="Q615" i="1" s="1"/>
  <c r="Q616" i="1" s="1"/>
  <c r="Q617" i="1" s="1"/>
  <c r="Q618" i="1" s="1"/>
  <c r="Q619" i="1" s="1"/>
  <c r="Q620" i="1" s="1"/>
  <c r="Q621" i="1" s="1"/>
  <c r="Q622" i="1" s="1"/>
  <c r="Q623" i="1" s="1"/>
  <c r="Q624" i="1" s="1"/>
  <c r="Q625" i="1" s="1"/>
  <c r="Q626" i="1" s="1"/>
  <c r="Q627" i="1" s="1"/>
  <c r="Q628" i="1" s="1"/>
  <c r="Q629" i="1" s="1"/>
  <c r="Q630" i="1" s="1"/>
  <c r="Q631" i="1" s="1"/>
  <c r="Q632" i="1" s="1"/>
  <c r="Q633" i="1" s="1"/>
  <c r="Q634" i="1" s="1"/>
  <c r="Q635" i="1" s="1"/>
  <c r="Q636" i="1" s="1"/>
  <c r="Q637" i="1" s="1"/>
  <c r="Q638" i="1" s="1"/>
  <c r="Q639" i="1" s="1"/>
  <c r="Q640" i="1" s="1"/>
  <c r="Q641" i="1" s="1"/>
  <c r="Q642" i="1" s="1"/>
  <c r="Q643" i="1" s="1"/>
  <c r="Q644" i="1" s="1"/>
  <c r="Q645" i="1" s="1"/>
  <c r="Q646" i="1" s="1"/>
  <c r="Q647" i="1" s="1"/>
  <c r="Q648" i="1" s="1"/>
  <c r="Q649" i="1" s="1"/>
  <c r="Q650" i="1" s="1"/>
  <c r="Q651" i="1" s="1"/>
  <c r="Q652" i="1" s="1"/>
  <c r="Q653" i="1" s="1"/>
  <c r="Q654" i="1" s="1"/>
  <c r="Q655" i="1" s="1"/>
  <c r="Q656" i="1" s="1"/>
  <c r="Q657" i="1" s="1"/>
  <c r="Q658" i="1" s="1"/>
  <c r="Q659" i="1" s="1"/>
  <c r="Q660" i="1" s="1"/>
  <c r="Q661" i="1" s="1"/>
  <c r="Q662" i="1" s="1"/>
  <c r="Q663" i="1" s="1"/>
  <c r="Q664" i="1" s="1"/>
  <c r="Q665" i="1" s="1"/>
  <c r="Q666" i="1" s="1"/>
  <c r="Q667" i="1" s="1"/>
  <c r="Q668" i="1" s="1"/>
  <c r="Q669" i="1" s="1"/>
  <c r="Q670" i="1" s="1"/>
  <c r="Q671" i="1" s="1"/>
  <c r="Q672" i="1" s="1"/>
  <c r="Q673" i="1" s="1"/>
  <c r="Q674" i="1" s="1"/>
  <c r="Q675" i="1" s="1"/>
  <c r="Q676" i="1" s="1"/>
  <c r="Q677" i="1" s="1"/>
  <c r="Q678" i="1" s="1"/>
  <c r="Q679" i="1" s="1"/>
  <c r="Q680" i="1" s="1"/>
  <c r="Q681" i="1" s="1"/>
  <c r="Q682" i="1" s="1"/>
  <c r="Q683" i="1" s="1"/>
  <c r="Q684" i="1" s="1"/>
  <c r="Q685" i="1" s="1"/>
  <c r="Q686" i="1" s="1"/>
  <c r="Q687" i="1" s="1"/>
  <c r="Q688" i="1" s="1"/>
  <c r="Q689" i="1" s="1"/>
  <c r="Q690" i="1" s="1"/>
  <c r="Q691" i="1" s="1"/>
  <c r="Q692" i="1" s="1"/>
  <c r="Q693" i="1" s="1"/>
  <c r="Q694" i="1" s="1"/>
  <c r="Q695" i="1" s="1"/>
  <c r="Q696" i="1" s="1"/>
  <c r="Q697" i="1" s="1"/>
  <c r="Q698" i="1" s="1"/>
  <c r="Q699" i="1" s="1"/>
  <c r="Q700" i="1" s="1"/>
  <c r="Q701" i="1" s="1"/>
  <c r="Q702" i="1" s="1"/>
  <c r="Q703" i="1" s="1"/>
  <c r="Q704" i="1" s="1"/>
  <c r="Q705" i="1" s="1"/>
  <c r="Q706" i="1" s="1"/>
  <c r="Q707" i="1" s="1"/>
  <c r="Q708" i="1" s="1"/>
  <c r="Q709" i="1" s="1"/>
  <c r="Q710" i="1" s="1"/>
  <c r="Q711" i="1" s="1"/>
  <c r="Q712" i="1" s="1"/>
  <c r="Q713" i="1" s="1"/>
  <c r="Q714" i="1" s="1"/>
  <c r="Q715" i="1" s="1"/>
  <c r="Q716" i="1" s="1"/>
  <c r="Q717" i="1" s="1"/>
  <c r="Q718" i="1" s="1"/>
  <c r="Q719" i="1" s="1"/>
  <c r="Q720" i="1" s="1"/>
  <c r="Q721" i="1" s="1"/>
  <c r="Q722" i="1" s="1"/>
  <c r="Q723" i="1" s="1"/>
  <c r="Q724" i="1" s="1"/>
  <c r="Q725" i="1" s="1"/>
  <c r="Q726" i="1" s="1"/>
  <c r="Q727" i="1" s="1"/>
  <c r="Q728" i="1" s="1"/>
  <c r="Q729" i="1" s="1"/>
  <c r="Q730" i="1" s="1"/>
  <c r="Q731" i="1" s="1"/>
  <c r="Q732" i="1" s="1"/>
  <c r="Q733" i="1" s="1"/>
  <c r="Q734" i="1" s="1"/>
  <c r="Q735" i="1" s="1"/>
  <c r="Q736" i="1" s="1"/>
  <c r="Q737" i="1" s="1"/>
  <c r="Q738" i="1" s="1"/>
  <c r="Q739" i="1" s="1"/>
  <c r="Q740" i="1" s="1"/>
  <c r="Q741" i="1" s="1"/>
  <c r="Q742" i="1" s="1"/>
  <c r="Q743" i="1" s="1"/>
  <c r="Q744" i="1" s="1"/>
  <c r="Q745" i="1" s="1"/>
  <c r="Q746" i="1" s="1"/>
  <c r="Q747" i="1" s="1"/>
  <c r="Q748" i="1" s="1"/>
  <c r="Q749" i="1" s="1"/>
  <c r="Q750" i="1" s="1"/>
  <c r="Q751" i="1" s="1"/>
  <c r="Q752" i="1" s="1"/>
  <c r="Q753" i="1" s="1"/>
  <c r="Q754" i="1" s="1"/>
  <c r="Q755" i="1" s="1"/>
  <c r="Q756" i="1" s="1"/>
  <c r="Q757" i="1" s="1"/>
  <c r="Q758" i="1" s="1"/>
  <c r="Q759" i="1" s="1"/>
  <c r="Q760" i="1" s="1"/>
  <c r="Q761" i="1" s="1"/>
  <c r="Q762" i="1" s="1"/>
  <c r="Q763" i="1" s="1"/>
  <c r="Q764" i="1" s="1"/>
  <c r="Q765" i="1" s="1"/>
  <c r="Q766" i="1" s="1"/>
  <c r="Q767" i="1" s="1"/>
  <c r="Q768" i="1" s="1"/>
  <c r="Q769" i="1" s="1"/>
  <c r="Q770" i="1" s="1"/>
  <c r="Q771" i="1" s="1"/>
  <c r="Q772" i="1" s="1"/>
  <c r="Q773" i="1" s="1"/>
  <c r="Q774" i="1" s="1"/>
  <c r="Q775" i="1" s="1"/>
  <c r="Q776" i="1" s="1"/>
  <c r="Q777" i="1" s="1"/>
  <c r="Q778" i="1" s="1"/>
  <c r="Q779" i="1" s="1"/>
  <c r="Q780" i="1" s="1"/>
  <c r="Q781" i="1" s="1"/>
  <c r="Q782" i="1" s="1"/>
  <c r="Q783" i="1" s="1"/>
  <c r="Q784" i="1" s="1"/>
  <c r="Q785" i="1" s="1"/>
  <c r="Q786" i="1" s="1"/>
  <c r="Q787" i="1" s="1"/>
  <c r="Q788" i="1" s="1"/>
  <c r="Q789" i="1" s="1"/>
  <c r="Q790" i="1" s="1"/>
  <c r="Q791" i="1" s="1"/>
  <c r="Q792" i="1" s="1"/>
  <c r="Q793" i="1" s="1"/>
  <c r="Q794" i="1" s="1"/>
  <c r="Q795" i="1" s="1"/>
  <c r="Q796" i="1" s="1"/>
  <c r="Q797" i="1" s="1"/>
  <c r="Q798" i="1" s="1"/>
  <c r="Q799" i="1" s="1"/>
  <c r="Q800" i="1" s="1"/>
  <c r="Q801" i="1" s="1"/>
  <c r="Q802" i="1" s="1"/>
  <c r="Q803" i="1" s="1"/>
  <c r="Q804" i="1" s="1"/>
  <c r="Q805" i="1" s="1"/>
  <c r="Q806" i="1" s="1"/>
  <c r="Q807" i="1" s="1"/>
  <c r="Q808" i="1" s="1"/>
  <c r="Q809" i="1" s="1"/>
  <c r="Q810" i="1" s="1"/>
  <c r="Q811" i="1" s="1"/>
  <c r="Q812" i="1" s="1"/>
  <c r="Q813" i="1" s="1"/>
  <c r="Q814" i="1" s="1"/>
  <c r="Q815" i="1" s="1"/>
  <c r="Q816" i="1" s="1"/>
  <c r="Q817" i="1" s="1"/>
  <c r="Q818" i="1" s="1"/>
  <c r="Q819" i="1" s="1"/>
  <c r="Q820" i="1" s="1"/>
  <c r="Q821" i="1" s="1"/>
  <c r="Q822" i="1" s="1"/>
  <c r="Q823" i="1" s="1"/>
  <c r="Q824" i="1" s="1"/>
  <c r="Q825" i="1" s="1"/>
  <c r="Q826" i="1" s="1"/>
  <c r="Q827" i="1" s="1"/>
  <c r="Q828" i="1" s="1"/>
  <c r="Q829" i="1" s="1"/>
  <c r="Q830" i="1" s="1"/>
  <c r="Q831" i="1" s="1"/>
  <c r="Q832" i="1" s="1"/>
  <c r="Q833" i="1" s="1"/>
  <c r="Q834" i="1" s="1"/>
  <c r="Q835" i="1" s="1"/>
  <c r="Q836" i="1" s="1"/>
  <c r="Q837" i="1" s="1"/>
  <c r="Q838" i="1" s="1"/>
  <c r="Q839" i="1" s="1"/>
  <c r="Q840" i="1" s="1"/>
  <c r="Q841" i="1" s="1"/>
  <c r="Q842" i="1" s="1"/>
  <c r="Q843" i="1" s="1"/>
  <c r="Q844" i="1" s="1"/>
  <c r="Q845" i="1" s="1"/>
  <c r="Q846" i="1" s="1"/>
  <c r="Q847" i="1" s="1"/>
  <c r="Q848" i="1" s="1"/>
  <c r="Q849" i="1" s="1"/>
  <c r="Q850" i="1" s="1"/>
  <c r="Q851" i="1" s="1"/>
  <c r="Q852" i="1" s="1"/>
  <c r="Q853" i="1" s="1"/>
  <c r="Q854" i="1" s="1"/>
  <c r="Q855" i="1" s="1"/>
  <c r="Q856" i="1" s="1"/>
  <c r="Q857" i="1" s="1"/>
  <c r="Q858" i="1" s="1"/>
  <c r="Q859" i="1" s="1"/>
  <c r="Q860" i="1" s="1"/>
  <c r="Q861" i="1" s="1"/>
  <c r="Q862" i="1" s="1"/>
  <c r="Q863" i="1" s="1"/>
  <c r="Q864" i="1" s="1"/>
  <c r="Q865" i="1" s="1"/>
  <c r="Q866" i="1" s="1"/>
  <c r="Q867" i="1" s="1"/>
  <c r="Q868" i="1" s="1"/>
  <c r="Q869" i="1" s="1"/>
  <c r="Q870" i="1" s="1"/>
  <c r="Q871" i="1" s="1"/>
  <c r="Q872" i="1" s="1"/>
  <c r="Q873" i="1" s="1"/>
  <c r="Q874" i="1" s="1"/>
  <c r="Q875" i="1" s="1"/>
  <c r="Q876" i="1" s="1"/>
  <c r="Q877" i="1" s="1"/>
  <c r="Q878" i="1" s="1"/>
  <c r="Q879" i="1" s="1"/>
  <c r="Q880" i="1" s="1"/>
  <c r="Q881" i="1" s="1"/>
  <c r="Q882" i="1" s="1"/>
  <c r="Q883" i="1" s="1"/>
  <c r="Q884" i="1" s="1"/>
  <c r="Q885" i="1" s="1"/>
  <c r="Q886" i="1" s="1"/>
  <c r="Q887" i="1" s="1"/>
  <c r="Q888" i="1" s="1"/>
  <c r="Q889" i="1" s="1"/>
  <c r="Q890" i="1" s="1"/>
  <c r="Q891" i="1" s="1"/>
  <c r="Q892" i="1" s="1"/>
  <c r="Q893" i="1" s="1"/>
  <c r="Q894" i="1" s="1"/>
  <c r="Q895" i="1" s="1"/>
  <c r="Q896" i="1" s="1"/>
  <c r="Q897" i="1" s="1"/>
  <c r="Q898" i="1" s="1"/>
  <c r="Q899" i="1" s="1"/>
  <c r="Q900" i="1" s="1"/>
  <c r="Q901" i="1" s="1"/>
  <c r="Q902" i="1" s="1"/>
  <c r="Q903" i="1" s="1"/>
  <c r="Q904" i="1" s="1"/>
  <c r="Q905" i="1" s="1"/>
  <c r="Q906" i="1" s="1"/>
  <c r="Q907" i="1" s="1"/>
  <c r="Q908" i="1" s="1"/>
  <c r="Q909" i="1" s="1"/>
  <c r="Q910" i="1" s="1"/>
  <c r="Q911" i="1" s="1"/>
  <c r="Q912" i="1" s="1"/>
  <c r="Q913" i="1" s="1"/>
  <c r="Q914" i="1" s="1"/>
  <c r="Q915" i="1" s="1"/>
  <c r="Q916" i="1" s="1"/>
  <c r="Q917" i="1" s="1"/>
  <c r="Q918" i="1" s="1"/>
  <c r="Q919" i="1" s="1"/>
  <c r="Q920" i="1" s="1"/>
  <c r="Q921" i="1" s="1"/>
  <c r="Q922" i="1" s="1"/>
  <c r="Q923" i="1" s="1"/>
  <c r="Q924" i="1" s="1"/>
  <c r="Q925" i="1" s="1"/>
  <c r="Q926" i="1" s="1"/>
  <c r="Q927" i="1" s="1"/>
  <c r="Q928" i="1" s="1"/>
  <c r="Q929" i="1" s="1"/>
  <c r="Q930" i="1" s="1"/>
  <c r="Q931" i="1" s="1"/>
  <c r="Q932" i="1" s="1"/>
  <c r="Q933" i="1" s="1"/>
  <c r="Q934" i="1" s="1"/>
  <c r="Q935" i="1" s="1"/>
  <c r="Q936" i="1" s="1"/>
  <c r="Q937" i="1" s="1"/>
  <c r="Q938" i="1" s="1"/>
  <c r="Q939" i="1" s="1"/>
  <c r="Q940" i="1" s="1"/>
  <c r="Q941" i="1" s="1"/>
  <c r="Q942" i="1" s="1"/>
  <c r="Q943" i="1" s="1"/>
  <c r="Q944" i="1" s="1"/>
  <c r="Q945" i="1" s="1"/>
  <c r="Q946" i="1" s="1"/>
  <c r="Q947" i="1" s="1"/>
  <c r="Q948" i="1" s="1"/>
  <c r="Q949" i="1" s="1"/>
  <c r="Q950" i="1" s="1"/>
  <c r="Q951" i="1" s="1"/>
  <c r="Q952" i="1" s="1"/>
  <c r="Q953" i="1" s="1"/>
  <c r="Q954" i="1" s="1"/>
  <c r="Q955" i="1" s="1"/>
  <c r="Q956" i="1" s="1"/>
  <c r="Q957" i="1" s="1"/>
  <c r="Q958" i="1" s="1"/>
  <c r="Q959" i="1" s="1"/>
  <c r="Q960" i="1" s="1"/>
  <c r="Q961" i="1" s="1"/>
  <c r="Q962" i="1" s="1"/>
  <c r="Q963" i="1" s="1"/>
  <c r="Q964" i="1" s="1"/>
  <c r="Q965" i="1" s="1"/>
  <c r="Q966" i="1" s="1"/>
  <c r="Q967" i="1" s="1"/>
  <c r="Q968" i="1" s="1"/>
  <c r="Q969" i="1" s="1"/>
  <c r="Q970" i="1" s="1"/>
  <c r="Q971" i="1" s="1"/>
  <c r="Q972" i="1" s="1"/>
  <c r="Q973" i="1" s="1"/>
  <c r="Q974" i="1" s="1"/>
  <c r="Q975" i="1" s="1"/>
  <c r="Q976" i="1" s="1"/>
  <c r="Q977" i="1" s="1"/>
  <c r="Q978" i="1" s="1"/>
  <c r="Q979" i="1" s="1"/>
  <c r="Q980" i="1" s="1"/>
  <c r="Q981" i="1" s="1"/>
  <c r="Q982" i="1" s="1"/>
  <c r="Q983" i="1" s="1"/>
  <c r="Q984" i="1" s="1"/>
  <c r="Q985" i="1" s="1"/>
  <c r="Q986" i="1" s="1"/>
  <c r="Q987" i="1" s="1"/>
  <c r="Q988" i="1" s="1"/>
  <c r="Q989" i="1" s="1"/>
  <c r="Q990" i="1" s="1"/>
  <c r="Q991" i="1" s="1"/>
  <c r="Q992" i="1" s="1"/>
  <c r="Q993" i="1" s="1"/>
  <c r="Q994" i="1" s="1"/>
  <c r="Q995" i="1" s="1"/>
  <c r="Q996" i="1" s="1"/>
  <c r="Q997" i="1" s="1"/>
  <c r="Q998" i="1" s="1"/>
  <c r="Q999" i="1" s="1"/>
  <c r="Q1000" i="1" s="1"/>
  <c r="Q1001" i="1" s="1"/>
  <c r="Q1002" i="1" s="1"/>
  <c r="R3" i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R835" i="1" s="1"/>
  <c r="R836" i="1" s="1"/>
  <c r="R837" i="1" s="1"/>
  <c r="R838" i="1" s="1"/>
  <c r="R839" i="1" s="1"/>
  <c r="R840" i="1" s="1"/>
  <c r="R841" i="1" s="1"/>
  <c r="R842" i="1" s="1"/>
  <c r="R843" i="1" s="1"/>
  <c r="R844" i="1" s="1"/>
  <c r="R845" i="1" s="1"/>
  <c r="R846" i="1" s="1"/>
  <c r="R847" i="1" s="1"/>
  <c r="R848" i="1" s="1"/>
  <c r="R849" i="1" s="1"/>
  <c r="R850" i="1" s="1"/>
  <c r="R851" i="1" s="1"/>
  <c r="R852" i="1" s="1"/>
  <c r="R853" i="1" s="1"/>
  <c r="R854" i="1" s="1"/>
  <c r="R855" i="1" s="1"/>
  <c r="R856" i="1" s="1"/>
  <c r="R857" i="1" s="1"/>
  <c r="R858" i="1" s="1"/>
  <c r="R859" i="1" s="1"/>
  <c r="R860" i="1" s="1"/>
  <c r="R861" i="1" s="1"/>
  <c r="R862" i="1" s="1"/>
  <c r="R863" i="1" s="1"/>
  <c r="R864" i="1" s="1"/>
  <c r="R865" i="1" s="1"/>
  <c r="R866" i="1" s="1"/>
  <c r="R867" i="1" s="1"/>
  <c r="R868" i="1" s="1"/>
  <c r="R869" i="1" s="1"/>
  <c r="R870" i="1" s="1"/>
  <c r="R871" i="1" s="1"/>
  <c r="R872" i="1" s="1"/>
  <c r="R873" i="1" s="1"/>
  <c r="R874" i="1" s="1"/>
  <c r="R875" i="1" s="1"/>
  <c r="R876" i="1" s="1"/>
  <c r="R877" i="1" s="1"/>
  <c r="R878" i="1" s="1"/>
  <c r="R879" i="1" s="1"/>
  <c r="R880" i="1" s="1"/>
  <c r="R881" i="1" s="1"/>
  <c r="R882" i="1" s="1"/>
  <c r="R883" i="1" s="1"/>
  <c r="R884" i="1" s="1"/>
  <c r="R885" i="1" s="1"/>
  <c r="R886" i="1" s="1"/>
  <c r="R887" i="1" s="1"/>
  <c r="R888" i="1" s="1"/>
  <c r="R889" i="1" s="1"/>
  <c r="R890" i="1" s="1"/>
  <c r="R891" i="1" s="1"/>
  <c r="R892" i="1" s="1"/>
  <c r="R893" i="1" s="1"/>
  <c r="R894" i="1" s="1"/>
  <c r="R895" i="1" s="1"/>
  <c r="R896" i="1" s="1"/>
  <c r="R897" i="1" s="1"/>
  <c r="R898" i="1" s="1"/>
  <c r="R899" i="1" s="1"/>
  <c r="R900" i="1" s="1"/>
  <c r="R901" i="1" s="1"/>
  <c r="R902" i="1" s="1"/>
  <c r="R903" i="1" s="1"/>
  <c r="R904" i="1" s="1"/>
  <c r="R905" i="1" s="1"/>
  <c r="R906" i="1" s="1"/>
  <c r="R907" i="1" s="1"/>
  <c r="R908" i="1" s="1"/>
  <c r="R909" i="1" s="1"/>
  <c r="R910" i="1" s="1"/>
  <c r="R911" i="1" s="1"/>
  <c r="R912" i="1" s="1"/>
  <c r="R913" i="1" s="1"/>
  <c r="R914" i="1" s="1"/>
  <c r="R915" i="1" s="1"/>
  <c r="R916" i="1" s="1"/>
  <c r="R917" i="1" s="1"/>
  <c r="R918" i="1" s="1"/>
  <c r="R919" i="1" s="1"/>
  <c r="R920" i="1" s="1"/>
  <c r="R921" i="1" s="1"/>
  <c r="R922" i="1" s="1"/>
  <c r="R923" i="1" s="1"/>
  <c r="R924" i="1" s="1"/>
  <c r="R925" i="1" s="1"/>
  <c r="R926" i="1" s="1"/>
  <c r="R927" i="1" s="1"/>
  <c r="R928" i="1" s="1"/>
  <c r="R929" i="1" s="1"/>
  <c r="R930" i="1" s="1"/>
  <c r="R931" i="1" s="1"/>
  <c r="R932" i="1" s="1"/>
  <c r="R933" i="1" s="1"/>
  <c r="R934" i="1" s="1"/>
  <c r="R935" i="1" s="1"/>
  <c r="R936" i="1" s="1"/>
  <c r="R937" i="1" s="1"/>
  <c r="R938" i="1" s="1"/>
  <c r="R939" i="1" s="1"/>
  <c r="R940" i="1" s="1"/>
  <c r="R941" i="1" s="1"/>
  <c r="R942" i="1" s="1"/>
  <c r="R943" i="1" s="1"/>
  <c r="R944" i="1" s="1"/>
  <c r="R945" i="1" s="1"/>
  <c r="R946" i="1" s="1"/>
  <c r="R947" i="1" s="1"/>
  <c r="R948" i="1" s="1"/>
  <c r="R949" i="1" s="1"/>
  <c r="R950" i="1" s="1"/>
  <c r="R951" i="1" s="1"/>
  <c r="R952" i="1" s="1"/>
  <c r="R953" i="1" s="1"/>
  <c r="R954" i="1" s="1"/>
  <c r="R955" i="1" s="1"/>
  <c r="R956" i="1" s="1"/>
  <c r="R957" i="1" s="1"/>
  <c r="R958" i="1" s="1"/>
  <c r="R959" i="1" s="1"/>
  <c r="R960" i="1" s="1"/>
  <c r="R961" i="1" s="1"/>
  <c r="R962" i="1" s="1"/>
  <c r="R963" i="1" s="1"/>
  <c r="R964" i="1" s="1"/>
  <c r="R965" i="1" s="1"/>
  <c r="R966" i="1" s="1"/>
  <c r="R967" i="1" s="1"/>
  <c r="R968" i="1" s="1"/>
  <c r="R969" i="1" s="1"/>
  <c r="R970" i="1" s="1"/>
  <c r="R971" i="1" s="1"/>
  <c r="R972" i="1" s="1"/>
  <c r="R973" i="1" s="1"/>
  <c r="R974" i="1" s="1"/>
  <c r="R975" i="1" s="1"/>
  <c r="R976" i="1" s="1"/>
  <c r="R977" i="1" s="1"/>
  <c r="R978" i="1" s="1"/>
  <c r="R979" i="1" s="1"/>
  <c r="R980" i="1" s="1"/>
  <c r="R981" i="1" s="1"/>
  <c r="R982" i="1" s="1"/>
  <c r="R983" i="1" s="1"/>
  <c r="R984" i="1" s="1"/>
  <c r="R985" i="1" s="1"/>
  <c r="R986" i="1" s="1"/>
  <c r="R987" i="1" s="1"/>
  <c r="R988" i="1" s="1"/>
  <c r="R989" i="1" s="1"/>
  <c r="R990" i="1" s="1"/>
  <c r="R991" i="1" s="1"/>
  <c r="R992" i="1" s="1"/>
  <c r="R993" i="1" s="1"/>
  <c r="R994" i="1" s="1"/>
  <c r="R995" i="1" s="1"/>
  <c r="R996" i="1" s="1"/>
  <c r="R997" i="1" s="1"/>
  <c r="R998" i="1" s="1"/>
  <c r="R999" i="1" s="1"/>
  <c r="R1000" i="1" s="1"/>
  <c r="R1001" i="1" s="1"/>
  <c r="R1002" i="1" s="1"/>
  <c r="S3" i="1"/>
  <c r="S4" i="1" s="1"/>
  <c r="S5" i="1" s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S107" i="1" s="1"/>
  <c r="S108" i="1" s="1"/>
  <c r="S109" i="1" s="1"/>
  <c r="S110" i="1" s="1"/>
  <c r="S111" i="1" s="1"/>
  <c r="S112" i="1" s="1"/>
  <c r="S113" i="1" s="1"/>
  <c r="S114" i="1" s="1"/>
  <c r="S115" i="1" s="1"/>
  <c r="S116" i="1" s="1"/>
  <c r="S117" i="1" s="1"/>
  <c r="S118" i="1" s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S129" i="1" s="1"/>
  <c r="S130" i="1" s="1"/>
  <c r="S131" i="1" s="1"/>
  <c r="S132" i="1" s="1"/>
  <c r="S133" i="1" s="1"/>
  <c r="S134" i="1" s="1"/>
  <c r="S135" i="1" s="1"/>
  <c r="S136" i="1" s="1"/>
  <c r="S137" i="1" s="1"/>
  <c r="S138" i="1" s="1"/>
  <c r="S139" i="1" s="1"/>
  <c r="S140" i="1" s="1"/>
  <c r="S141" i="1" s="1"/>
  <c r="S142" i="1" s="1"/>
  <c r="S143" i="1" s="1"/>
  <c r="S144" i="1" s="1"/>
  <c r="S145" i="1" s="1"/>
  <c r="S146" i="1" s="1"/>
  <c r="S147" i="1" s="1"/>
  <c r="S148" i="1" s="1"/>
  <c r="S149" i="1" s="1"/>
  <c r="S150" i="1" s="1"/>
  <c r="S151" i="1" s="1"/>
  <c r="S152" i="1" s="1"/>
  <c r="S153" i="1" s="1"/>
  <c r="S154" i="1" s="1"/>
  <c r="S155" i="1" s="1"/>
  <c r="S156" i="1" s="1"/>
  <c r="S157" i="1" s="1"/>
  <c r="S158" i="1" s="1"/>
  <c r="S159" i="1" s="1"/>
  <c r="S160" i="1" s="1"/>
  <c r="S161" i="1" s="1"/>
  <c r="S162" i="1" s="1"/>
  <c r="S163" i="1" s="1"/>
  <c r="S164" i="1" s="1"/>
  <c r="S165" i="1" s="1"/>
  <c r="S166" i="1" s="1"/>
  <c r="S167" i="1" s="1"/>
  <c r="S168" i="1" s="1"/>
  <c r="S169" i="1" s="1"/>
  <c r="S170" i="1" s="1"/>
  <c r="S171" i="1" s="1"/>
  <c r="S172" i="1" s="1"/>
  <c r="S173" i="1" s="1"/>
  <c r="S174" i="1" s="1"/>
  <c r="S175" i="1" s="1"/>
  <c r="S176" i="1" s="1"/>
  <c r="S177" i="1" s="1"/>
  <c r="S178" i="1" s="1"/>
  <c r="S179" i="1" s="1"/>
  <c r="S180" i="1" s="1"/>
  <c r="S181" i="1" s="1"/>
  <c r="S182" i="1" s="1"/>
  <c r="S183" i="1" s="1"/>
  <c r="S184" i="1" s="1"/>
  <c r="S185" i="1" s="1"/>
  <c r="S186" i="1" s="1"/>
  <c r="S187" i="1" s="1"/>
  <c r="S188" i="1" s="1"/>
  <c r="S189" i="1" s="1"/>
  <c r="S190" i="1" s="1"/>
  <c r="S191" i="1" s="1"/>
  <c r="S192" i="1" s="1"/>
  <c r="S193" i="1" s="1"/>
  <c r="S194" i="1" s="1"/>
  <c r="S195" i="1" s="1"/>
  <c r="S196" i="1" s="1"/>
  <c r="S197" i="1" s="1"/>
  <c r="S198" i="1" s="1"/>
  <c r="S199" i="1" s="1"/>
  <c r="S200" i="1" s="1"/>
  <c r="S201" i="1" s="1"/>
  <c r="S202" i="1" s="1"/>
  <c r="S203" i="1" s="1"/>
  <c r="S204" i="1" s="1"/>
  <c r="S205" i="1" s="1"/>
  <c r="S206" i="1" s="1"/>
  <c r="S207" i="1" s="1"/>
  <c r="S208" i="1" s="1"/>
  <c r="S209" i="1" s="1"/>
  <c r="S210" i="1" s="1"/>
  <c r="S211" i="1" s="1"/>
  <c r="S212" i="1" s="1"/>
  <c r="S213" i="1" s="1"/>
  <c r="S214" i="1" s="1"/>
  <c r="S215" i="1" s="1"/>
  <c r="S216" i="1" s="1"/>
  <c r="S217" i="1" s="1"/>
  <c r="S218" i="1" s="1"/>
  <c r="S219" i="1" s="1"/>
  <c r="S220" i="1" s="1"/>
  <c r="S221" i="1" s="1"/>
  <c r="S222" i="1" s="1"/>
  <c r="S223" i="1" s="1"/>
  <c r="S224" i="1" s="1"/>
  <c r="S225" i="1" s="1"/>
  <c r="S226" i="1" s="1"/>
  <c r="S227" i="1" s="1"/>
  <c r="S228" i="1" s="1"/>
  <c r="S229" i="1" s="1"/>
  <c r="S230" i="1" s="1"/>
  <c r="S231" i="1" s="1"/>
  <c r="S232" i="1" s="1"/>
  <c r="S233" i="1" s="1"/>
  <c r="S234" i="1" s="1"/>
  <c r="S235" i="1" s="1"/>
  <c r="S236" i="1" s="1"/>
  <c r="S237" i="1" s="1"/>
  <c r="S238" i="1" s="1"/>
  <c r="S239" i="1" s="1"/>
  <c r="S240" i="1" s="1"/>
  <c r="S241" i="1" s="1"/>
  <c r="S242" i="1" s="1"/>
  <c r="S243" i="1" s="1"/>
  <c r="S244" i="1" s="1"/>
  <c r="S245" i="1" s="1"/>
  <c r="S246" i="1" s="1"/>
  <c r="S247" i="1" s="1"/>
  <c r="S248" i="1" s="1"/>
  <c r="S249" i="1" s="1"/>
  <c r="S250" i="1" s="1"/>
  <c r="S251" i="1" s="1"/>
  <c r="S252" i="1" s="1"/>
  <c r="S253" i="1" s="1"/>
  <c r="S254" i="1" s="1"/>
  <c r="S255" i="1" s="1"/>
  <c r="S256" i="1" s="1"/>
  <c r="S257" i="1" s="1"/>
  <c r="S258" i="1" s="1"/>
  <c r="S259" i="1" s="1"/>
  <c r="S260" i="1" s="1"/>
  <c r="S261" i="1" s="1"/>
  <c r="S262" i="1" s="1"/>
  <c r="S263" i="1" s="1"/>
  <c r="S264" i="1" s="1"/>
  <c r="S265" i="1" s="1"/>
  <c r="S266" i="1" s="1"/>
  <c r="S267" i="1" s="1"/>
  <c r="S268" i="1" s="1"/>
  <c r="S269" i="1" s="1"/>
  <c r="S270" i="1" s="1"/>
  <c r="S271" i="1" s="1"/>
  <c r="S272" i="1" s="1"/>
  <c r="S273" i="1" s="1"/>
  <c r="S274" i="1" s="1"/>
  <c r="S275" i="1" s="1"/>
  <c r="S276" i="1" s="1"/>
  <c r="S277" i="1" s="1"/>
  <c r="S278" i="1" s="1"/>
  <c r="S279" i="1" s="1"/>
  <c r="S280" i="1" s="1"/>
  <c r="S281" i="1" s="1"/>
  <c r="S282" i="1" s="1"/>
  <c r="S283" i="1" s="1"/>
  <c r="S284" i="1" s="1"/>
  <c r="S285" i="1" s="1"/>
  <c r="S286" i="1" s="1"/>
  <c r="S287" i="1" s="1"/>
  <c r="S288" i="1" s="1"/>
  <c r="S289" i="1" s="1"/>
  <c r="S290" i="1" s="1"/>
  <c r="S291" i="1" s="1"/>
  <c r="S292" i="1" s="1"/>
  <c r="S293" i="1" s="1"/>
  <c r="S294" i="1" s="1"/>
  <c r="S295" i="1" s="1"/>
  <c r="S296" i="1" s="1"/>
  <c r="S297" i="1" s="1"/>
  <c r="S298" i="1" s="1"/>
  <c r="S299" i="1" s="1"/>
  <c r="S300" i="1" s="1"/>
  <c r="S301" i="1" s="1"/>
  <c r="S302" i="1" s="1"/>
  <c r="S303" i="1" s="1"/>
  <c r="S304" i="1" s="1"/>
  <c r="S305" i="1" s="1"/>
  <c r="S306" i="1" s="1"/>
  <c r="S307" i="1" s="1"/>
  <c r="S308" i="1" s="1"/>
  <c r="S309" i="1" s="1"/>
  <c r="S310" i="1" s="1"/>
  <c r="S311" i="1" s="1"/>
  <c r="S312" i="1" s="1"/>
  <c r="S313" i="1" s="1"/>
  <c r="S314" i="1" s="1"/>
  <c r="S315" i="1" s="1"/>
  <c r="S316" i="1" s="1"/>
  <c r="S317" i="1" s="1"/>
  <c r="S318" i="1" s="1"/>
  <c r="S319" i="1" s="1"/>
  <c r="S320" i="1" s="1"/>
  <c r="S321" i="1" s="1"/>
  <c r="S322" i="1" s="1"/>
  <c r="S323" i="1" s="1"/>
  <c r="S324" i="1" s="1"/>
  <c r="S325" i="1" s="1"/>
  <c r="S326" i="1" s="1"/>
  <c r="S327" i="1" s="1"/>
  <c r="S328" i="1" s="1"/>
  <c r="S329" i="1" s="1"/>
  <c r="S330" i="1" s="1"/>
  <c r="S331" i="1" s="1"/>
  <c r="S332" i="1" s="1"/>
  <c r="S333" i="1" s="1"/>
  <c r="S334" i="1" s="1"/>
  <c r="S335" i="1" s="1"/>
  <c r="S336" i="1" s="1"/>
  <c r="S337" i="1" s="1"/>
  <c r="S338" i="1" s="1"/>
  <c r="S339" i="1" s="1"/>
  <c r="S340" i="1" s="1"/>
  <c r="S341" i="1" s="1"/>
  <c r="S342" i="1" s="1"/>
  <c r="S343" i="1" s="1"/>
  <c r="S344" i="1" s="1"/>
  <c r="S345" i="1" s="1"/>
  <c r="S346" i="1" s="1"/>
  <c r="S347" i="1" s="1"/>
  <c r="S348" i="1" s="1"/>
  <c r="S349" i="1" s="1"/>
  <c r="S350" i="1" s="1"/>
  <c r="S351" i="1" s="1"/>
  <c r="S352" i="1" s="1"/>
  <c r="S353" i="1" s="1"/>
  <c r="S354" i="1" s="1"/>
  <c r="S355" i="1" s="1"/>
  <c r="S356" i="1" s="1"/>
  <c r="S357" i="1" s="1"/>
  <c r="S358" i="1" s="1"/>
  <c r="S359" i="1" s="1"/>
  <c r="S360" i="1" s="1"/>
  <c r="S361" i="1" s="1"/>
  <c r="S362" i="1" s="1"/>
  <c r="S363" i="1" s="1"/>
  <c r="S364" i="1" s="1"/>
  <c r="S365" i="1" s="1"/>
  <c r="S366" i="1" s="1"/>
  <c r="S367" i="1" s="1"/>
  <c r="S368" i="1" s="1"/>
  <c r="S369" i="1" s="1"/>
  <c r="S370" i="1" s="1"/>
  <c r="S371" i="1" s="1"/>
  <c r="S372" i="1" s="1"/>
  <c r="S373" i="1" s="1"/>
  <c r="S374" i="1" s="1"/>
  <c r="S375" i="1" s="1"/>
  <c r="S376" i="1" s="1"/>
  <c r="S377" i="1" s="1"/>
  <c r="S378" i="1" s="1"/>
  <c r="S379" i="1" s="1"/>
  <c r="S380" i="1" s="1"/>
  <c r="S381" i="1" s="1"/>
  <c r="S382" i="1" s="1"/>
  <c r="S383" i="1" s="1"/>
  <c r="S384" i="1" s="1"/>
  <c r="S385" i="1" s="1"/>
  <c r="S386" i="1" s="1"/>
  <c r="S387" i="1" s="1"/>
  <c r="S388" i="1" s="1"/>
  <c r="S389" i="1" s="1"/>
  <c r="S390" i="1" s="1"/>
  <c r="S391" i="1" s="1"/>
  <c r="S392" i="1" s="1"/>
  <c r="S393" i="1" s="1"/>
  <c r="S394" i="1" s="1"/>
  <c r="S395" i="1" s="1"/>
  <c r="S396" i="1" s="1"/>
  <c r="S397" i="1" s="1"/>
  <c r="S398" i="1" s="1"/>
  <c r="S399" i="1" s="1"/>
  <c r="S400" i="1" s="1"/>
  <c r="S401" i="1" s="1"/>
  <c r="S402" i="1" s="1"/>
  <c r="S403" i="1" s="1"/>
  <c r="S404" i="1" s="1"/>
  <c r="S405" i="1" s="1"/>
  <c r="S406" i="1" s="1"/>
  <c r="S407" i="1" s="1"/>
  <c r="S408" i="1" s="1"/>
  <c r="S409" i="1" s="1"/>
  <c r="S410" i="1" s="1"/>
  <c r="S411" i="1" s="1"/>
  <c r="S412" i="1" s="1"/>
  <c r="S413" i="1" s="1"/>
  <c r="S414" i="1" s="1"/>
  <c r="S415" i="1" s="1"/>
  <c r="S416" i="1" s="1"/>
  <c r="S417" i="1" s="1"/>
  <c r="S418" i="1" s="1"/>
  <c r="S419" i="1" s="1"/>
  <c r="S420" i="1" s="1"/>
  <c r="S421" i="1" s="1"/>
  <c r="S422" i="1" s="1"/>
  <c r="S423" i="1" s="1"/>
  <c r="S424" i="1" s="1"/>
  <c r="S425" i="1" s="1"/>
  <c r="S426" i="1" s="1"/>
  <c r="S427" i="1" s="1"/>
  <c r="S428" i="1" s="1"/>
  <c r="S429" i="1" s="1"/>
  <c r="S430" i="1" s="1"/>
  <c r="S431" i="1" s="1"/>
  <c r="S432" i="1" s="1"/>
  <c r="S433" i="1" s="1"/>
  <c r="S434" i="1" s="1"/>
  <c r="S435" i="1" s="1"/>
  <c r="S436" i="1" s="1"/>
  <c r="S437" i="1" s="1"/>
  <c r="S438" i="1" s="1"/>
  <c r="S439" i="1" s="1"/>
  <c r="S440" i="1" s="1"/>
  <c r="S441" i="1" s="1"/>
  <c r="S442" i="1" s="1"/>
  <c r="S443" i="1" s="1"/>
  <c r="S444" i="1" s="1"/>
  <c r="S445" i="1" s="1"/>
  <c r="S446" i="1" s="1"/>
  <c r="S447" i="1" s="1"/>
  <c r="S448" i="1" s="1"/>
  <c r="S449" i="1" s="1"/>
  <c r="S450" i="1" s="1"/>
  <c r="S451" i="1" s="1"/>
  <c r="S452" i="1" s="1"/>
  <c r="S453" i="1" s="1"/>
  <c r="S454" i="1" s="1"/>
  <c r="S455" i="1" s="1"/>
  <c r="S456" i="1" s="1"/>
  <c r="S457" i="1" s="1"/>
  <c r="S458" i="1" s="1"/>
  <c r="S459" i="1" s="1"/>
  <c r="S460" i="1" s="1"/>
  <c r="S461" i="1" s="1"/>
  <c r="S462" i="1" s="1"/>
  <c r="S463" i="1" s="1"/>
  <c r="S464" i="1" s="1"/>
  <c r="S465" i="1" s="1"/>
  <c r="S466" i="1" s="1"/>
  <c r="S467" i="1" s="1"/>
  <c r="S468" i="1" s="1"/>
  <c r="S469" i="1" s="1"/>
  <c r="S470" i="1" s="1"/>
  <c r="S471" i="1" s="1"/>
  <c r="S472" i="1" s="1"/>
  <c r="S473" i="1" s="1"/>
  <c r="S474" i="1" s="1"/>
  <c r="S475" i="1" s="1"/>
  <c r="S476" i="1" s="1"/>
  <c r="S477" i="1" s="1"/>
  <c r="S478" i="1" s="1"/>
  <c r="S479" i="1" s="1"/>
  <c r="S480" i="1" s="1"/>
  <c r="S481" i="1" s="1"/>
  <c r="S482" i="1" s="1"/>
  <c r="S483" i="1" s="1"/>
  <c r="S484" i="1" s="1"/>
  <c r="S485" i="1" s="1"/>
  <c r="S486" i="1" s="1"/>
  <c r="S487" i="1" s="1"/>
  <c r="S488" i="1" s="1"/>
  <c r="S489" i="1" s="1"/>
  <c r="S490" i="1" s="1"/>
  <c r="S491" i="1" s="1"/>
  <c r="S492" i="1" s="1"/>
  <c r="S493" i="1" s="1"/>
  <c r="S494" i="1" s="1"/>
  <c r="S495" i="1" s="1"/>
  <c r="S496" i="1" s="1"/>
  <c r="S497" i="1" s="1"/>
  <c r="S498" i="1" s="1"/>
  <c r="S499" i="1" s="1"/>
  <c r="S500" i="1" s="1"/>
  <c r="S501" i="1" s="1"/>
  <c r="S502" i="1" s="1"/>
  <c r="S503" i="1" s="1"/>
  <c r="S504" i="1" s="1"/>
  <c r="S505" i="1" s="1"/>
  <c r="S506" i="1" s="1"/>
  <c r="S507" i="1" s="1"/>
  <c r="S508" i="1" s="1"/>
  <c r="S509" i="1" s="1"/>
  <c r="S510" i="1" s="1"/>
  <c r="S511" i="1" s="1"/>
  <c r="S512" i="1" s="1"/>
  <c r="S513" i="1" s="1"/>
  <c r="S514" i="1" s="1"/>
  <c r="S515" i="1" s="1"/>
  <c r="S516" i="1" s="1"/>
  <c r="S517" i="1" s="1"/>
  <c r="S518" i="1" s="1"/>
  <c r="S519" i="1" s="1"/>
  <c r="S520" i="1" s="1"/>
  <c r="S521" i="1" s="1"/>
  <c r="S522" i="1" s="1"/>
  <c r="S523" i="1" s="1"/>
  <c r="S524" i="1" s="1"/>
  <c r="S525" i="1" s="1"/>
  <c r="S526" i="1" s="1"/>
  <c r="S527" i="1" s="1"/>
  <c r="S528" i="1" s="1"/>
  <c r="S529" i="1" s="1"/>
  <c r="S530" i="1" s="1"/>
  <c r="S531" i="1" s="1"/>
  <c r="S532" i="1" s="1"/>
  <c r="S533" i="1" s="1"/>
  <c r="S534" i="1" s="1"/>
  <c r="S535" i="1" s="1"/>
  <c r="S536" i="1" s="1"/>
  <c r="S537" i="1" s="1"/>
  <c r="S538" i="1" s="1"/>
  <c r="S539" i="1" s="1"/>
  <c r="S540" i="1" s="1"/>
  <c r="S541" i="1" s="1"/>
  <c r="S542" i="1" s="1"/>
  <c r="S543" i="1" s="1"/>
  <c r="S544" i="1" s="1"/>
  <c r="S545" i="1" s="1"/>
  <c r="S546" i="1" s="1"/>
  <c r="S547" i="1" s="1"/>
  <c r="S548" i="1" s="1"/>
  <c r="S549" i="1" s="1"/>
  <c r="S550" i="1" s="1"/>
  <c r="S551" i="1" s="1"/>
  <c r="S552" i="1" s="1"/>
  <c r="S553" i="1" s="1"/>
  <c r="S554" i="1" s="1"/>
  <c r="S555" i="1" s="1"/>
  <c r="S556" i="1" s="1"/>
  <c r="S557" i="1" s="1"/>
  <c r="S558" i="1" s="1"/>
  <c r="S559" i="1" s="1"/>
  <c r="S560" i="1" s="1"/>
  <c r="S561" i="1" s="1"/>
  <c r="S562" i="1" s="1"/>
  <c r="S563" i="1" s="1"/>
  <c r="S564" i="1" s="1"/>
  <c r="S565" i="1" s="1"/>
  <c r="S566" i="1" s="1"/>
  <c r="S567" i="1" s="1"/>
  <c r="S568" i="1" s="1"/>
  <c r="S569" i="1" s="1"/>
  <c r="S570" i="1" s="1"/>
  <c r="S571" i="1" s="1"/>
  <c r="S572" i="1" s="1"/>
  <c r="S573" i="1" s="1"/>
  <c r="S574" i="1" s="1"/>
  <c r="S575" i="1" s="1"/>
  <c r="S576" i="1" s="1"/>
  <c r="S577" i="1" s="1"/>
  <c r="S578" i="1" s="1"/>
  <c r="S579" i="1" s="1"/>
  <c r="S580" i="1" s="1"/>
  <c r="S581" i="1" s="1"/>
  <c r="S582" i="1" s="1"/>
  <c r="S583" i="1" s="1"/>
  <c r="S584" i="1" s="1"/>
  <c r="S585" i="1" s="1"/>
  <c r="S586" i="1" s="1"/>
  <c r="S587" i="1" s="1"/>
  <c r="S588" i="1" s="1"/>
  <c r="S589" i="1" s="1"/>
  <c r="S590" i="1" s="1"/>
  <c r="S591" i="1" s="1"/>
  <c r="S592" i="1" s="1"/>
  <c r="S593" i="1" s="1"/>
  <c r="S594" i="1" s="1"/>
  <c r="S595" i="1" s="1"/>
  <c r="S596" i="1" s="1"/>
  <c r="S597" i="1" s="1"/>
  <c r="S598" i="1" s="1"/>
  <c r="S599" i="1" s="1"/>
  <c r="S600" i="1" s="1"/>
  <c r="S601" i="1" s="1"/>
  <c r="S602" i="1" s="1"/>
  <c r="S603" i="1" s="1"/>
  <c r="S604" i="1" s="1"/>
  <c r="S605" i="1" s="1"/>
  <c r="S606" i="1" s="1"/>
  <c r="S607" i="1" s="1"/>
  <c r="S608" i="1" s="1"/>
  <c r="S609" i="1" s="1"/>
  <c r="S610" i="1" s="1"/>
  <c r="S611" i="1" s="1"/>
  <c r="S612" i="1" s="1"/>
  <c r="S613" i="1" s="1"/>
  <c r="S614" i="1" s="1"/>
  <c r="S615" i="1" s="1"/>
  <c r="S616" i="1" s="1"/>
  <c r="S617" i="1" s="1"/>
  <c r="S618" i="1" s="1"/>
  <c r="S619" i="1" s="1"/>
  <c r="S620" i="1" s="1"/>
  <c r="S621" i="1" s="1"/>
  <c r="S622" i="1" s="1"/>
  <c r="S623" i="1" s="1"/>
  <c r="S624" i="1" s="1"/>
  <c r="S625" i="1" s="1"/>
  <c r="S626" i="1" s="1"/>
  <c r="S627" i="1" s="1"/>
  <c r="S628" i="1" s="1"/>
  <c r="S629" i="1" s="1"/>
  <c r="S630" i="1" s="1"/>
  <c r="S631" i="1" s="1"/>
  <c r="S632" i="1" s="1"/>
  <c r="S633" i="1" s="1"/>
  <c r="S634" i="1" s="1"/>
  <c r="S635" i="1" s="1"/>
  <c r="S636" i="1" s="1"/>
  <c r="S637" i="1" s="1"/>
  <c r="S638" i="1" s="1"/>
  <c r="S639" i="1" s="1"/>
  <c r="S640" i="1" s="1"/>
  <c r="S641" i="1" s="1"/>
  <c r="S642" i="1" s="1"/>
  <c r="S643" i="1" s="1"/>
  <c r="S644" i="1" s="1"/>
  <c r="S645" i="1" s="1"/>
  <c r="S646" i="1" s="1"/>
  <c r="S647" i="1" s="1"/>
  <c r="S648" i="1" s="1"/>
  <c r="S649" i="1" s="1"/>
  <c r="S650" i="1" s="1"/>
  <c r="S651" i="1" s="1"/>
  <c r="S652" i="1" s="1"/>
  <c r="S653" i="1" s="1"/>
  <c r="S654" i="1" s="1"/>
  <c r="S655" i="1" s="1"/>
  <c r="S656" i="1" s="1"/>
  <c r="S657" i="1" s="1"/>
  <c r="S658" i="1" s="1"/>
  <c r="S659" i="1" s="1"/>
  <c r="S660" i="1" s="1"/>
  <c r="S661" i="1" s="1"/>
  <c r="S662" i="1" s="1"/>
  <c r="S663" i="1" s="1"/>
  <c r="S664" i="1" s="1"/>
  <c r="S665" i="1" s="1"/>
  <c r="S666" i="1" s="1"/>
  <c r="S667" i="1" s="1"/>
  <c r="S668" i="1" s="1"/>
  <c r="S669" i="1" s="1"/>
  <c r="S670" i="1" s="1"/>
  <c r="S671" i="1" s="1"/>
  <c r="S672" i="1" s="1"/>
  <c r="S673" i="1" s="1"/>
  <c r="S674" i="1" s="1"/>
  <c r="S675" i="1" s="1"/>
  <c r="S676" i="1" s="1"/>
  <c r="S677" i="1" s="1"/>
  <c r="S678" i="1" s="1"/>
  <c r="S679" i="1" s="1"/>
  <c r="S680" i="1" s="1"/>
  <c r="S681" i="1" s="1"/>
  <c r="S682" i="1" s="1"/>
  <c r="S683" i="1" s="1"/>
  <c r="S684" i="1" s="1"/>
  <c r="S685" i="1" s="1"/>
  <c r="S686" i="1" s="1"/>
  <c r="S687" i="1" s="1"/>
  <c r="S688" i="1" s="1"/>
  <c r="S689" i="1" s="1"/>
  <c r="S690" i="1" s="1"/>
  <c r="S691" i="1" s="1"/>
  <c r="S692" i="1" s="1"/>
  <c r="S693" i="1" s="1"/>
  <c r="S694" i="1" s="1"/>
  <c r="S695" i="1" s="1"/>
  <c r="S696" i="1" s="1"/>
  <c r="S697" i="1" s="1"/>
  <c r="S698" i="1" s="1"/>
  <c r="S699" i="1" s="1"/>
  <c r="S700" i="1" s="1"/>
  <c r="S701" i="1" s="1"/>
  <c r="S702" i="1" s="1"/>
  <c r="S703" i="1" s="1"/>
  <c r="S704" i="1" s="1"/>
  <c r="S705" i="1" s="1"/>
  <c r="S706" i="1" s="1"/>
  <c r="S707" i="1" s="1"/>
  <c r="S708" i="1" s="1"/>
  <c r="S709" i="1" s="1"/>
  <c r="S710" i="1" s="1"/>
  <c r="S711" i="1" s="1"/>
  <c r="S712" i="1" s="1"/>
  <c r="S713" i="1" s="1"/>
  <c r="S714" i="1" s="1"/>
  <c r="S715" i="1" s="1"/>
  <c r="S716" i="1" s="1"/>
  <c r="S717" i="1" s="1"/>
  <c r="S718" i="1" s="1"/>
  <c r="S719" i="1" s="1"/>
  <c r="S720" i="1" s="1"/>
  <c r="S721" i="1" s="1"/>
  <c r="S722" i="1" s="1"/>
  <c r="S723" i="1" s="1"/>
  <c r="S724" i="1" s="1"/>
  <c r="S725" i="1" s="1"/>
  <c r="S726" i="1" s="1"/>
  <c r="S727" i="1" s="1"/>
  <c r="S728" i="1" s="1"/>
  <c r="S729" i="1" s="1"/>
  <c r="S730" i="1" s="1"/>
  <c r="S731" i="1" s="1"/>
  <c r="S732" i="1" s="1"/>
  <c r="S733" i="1" s="1"/>
  <c r="S734" i="1" s="1"/>
  <c r="S735" i="1" s="1"/>
  <c r="S736" i="1" s="1"/>
  <c r="S737" i="1" s="1"/>
  <c r="S738" i="1" s="1"/>
  <c r="S739" i="1" s="1"/>
  <c r="S740" i="1" s="1"/>
  <c r="S741" i="1" s="1"/>
  <c r="S742" i="1" s="1"/>
  <c r="S743" i="1" s="1"/>
  <c r="S744" i="1" s="1"/>
  <c r="S745" i="1" s="1"/>
  <c r="S746" i="1" s="1"/>
  <c r="S747" i="1" s="1"/>
  <c r="S748" i="1" s="1"/>
  <c r="S749" i="1" s="1"/>
  <c r="S750" i="1" s="1"/>
  <c r="S751" i="1" s="1"/>
  <c r="S752" i="1" s="1"/>
  <c r="S753" i="1" s="1"/>
  <c r="S754" i="1" s="1"/>
  <c r="S755" i="1" s="1"/>
  <c r="S756" i="1" s="1"/>
  <c r="S757" i="1" s="1"/>
  <c r="S758" i="1" s="1"/>
  <c r="S759" i="1" s="1"/>
  <c r="S760" i="1" s="1"/>
  <c r="S761" i="1" s="1"/>
  <c r="S762" i="1" s="1"/>
  <c r="S763" i="1" s="1"/>
  <c r="S764" i="1" s="1"/>
  <c r="S765" i="1" s="1"/>
  <c r="S766" i="1" s="1"/>
  <c r="S767" i="1" s="1"/>
  <c r="S768" i="1" s="1"/>
  <c r="S769" i="1" s="1"/>
  <c r="S770" i="1" s="1"/>
  <c r="S771" i="1" s="1"/>
  <c r="S772" i="1" s="1"/>
  <c r="S773" i="1" s="1"/>
  <c r="S774" i="1" s="1"/>
  <c r="S775" i="1" s="1"/>
  <c r="S776" i="1" s="1"/>
  <c r="S777" i="1" s="1"/>
  <c r="S778" i="1" s="1"/>
  <c r="S779" i="1" s="1"/>
  <c r="S780" i="1" s="1"/>
  <c r="S781" i="1" s="1"/>
  <c r="S782" i="1" s="1"/>
  <c r="S783" i="1" s="1"/>
  <c r="S784" i="1" s="1"/>
  <c r="S785" i="1" s="1"/>
  <c r="S786" i="1" s="1"/>
  <c r="S787" i="1" s="1"/>
  <c r="S788" i="1" s="1"/>
  <c r="S789" i="1" s="1"/>
  <c r="S790" i="1" s="1"/>
  <c r="S791" i="1" s="1"/>
  <c r="S792" i="1" s="1"/>
  <c r="S793" i="1" s="1"/>
  <c r="S794" i="1" s="1"/>
  <c r="S795" i="1" s="1"/>
  <c r="S796" i="1" s="1"/>
  <c r="S797" i="1" s="1"/>
  <c r="S798" i="1" s="1"/>
  <c r="S799" i="1" s="1"/>
  <c r="S800" i="1" s="1"/>
  <c r="S801" i="1" s="1"/>
  <c r="S802" i="1" s="1"/>
  <c r="S803" i="1" s="1"/>
  <c r="S804" i="1" s="1"/>
  <c r="S805" i="1" s="1"/>
  <c r="S806" i="1" s="1"/>
  <c r="S807" i="1" s="1"/>
  <c r="S808" i="1" s="1"/>
  <c r="S809" i="1" s="1"/>
  <c r="S810" i="1" s="1"/>
  <c r="S811" i="1" s="1"/>
  <c r="S812" i="1" s="1"/>
  <c r="S813" i="1" s="1"/>
  <c r="S814" i="1" s="1"/>
  <c r="S815" i="1" s="1"/>
  <c r="S816" i="1" s="1"/>
  <c r="S817" i="1" s="1"/>
  <c r="S818" i="1" s="1"/>
  <c r="S819" i="1" s="1"/>
  <c r="S820" i="1" s="1"/>
  <c r="S821" i="1" s="1"/>
  <c r="S822" i="1" s="1"/>
  <c r="S823" i="1" s="1"/>
  <c r="S824" i="1" s="1"/>
  <c r="S825" i="1" s="1"/>
  <c r="S826" i="1" s="1"/>
  <c r="S827" i="1" s="1"/>
  <c r="S828" i="1" s="1"/>
  <c r="S829" i="1" s="1"/>
  <c r="S830" i="1" s="1"/>
  <c r="S831" i="1" s="1"/>
  <c r="S832" i="1" s="1"/>
  <c r="S833" i="1" s="1"/>
  <c r="S834" i="1" s="1"/>
  <c r="S835" i="1" s="1"/>
  <c r="S836" i="1" s="1"/>
  <c r="S837" i="1" s="1"/>
  <c r="S838" i="1" s="1"/>
  <c r="S839" i="1" s="1"/>
  <c r="S840" i="1" s="1"/>
  <c r="S841" i="1" s="1"/>
  <c r="S842" i="1" s="1"/>
  <c r="S843" i="1" s="1"/>
  <c r="S844" i="1" s="1"/>
  <c r="S845" i="1" s="1"/>
  <c r="S846" i="1" s="1"/>
  <c r="S847" i="1" s="1"/>
  <c r="S848" i="1" s="1"/>
  <c r="S849" i="1" s="1"/>
  <c r="S850" i="1" s="1"/>
  <c r="S851" i="1" s="1"/>
  <c r="S852" i="1" s="1"/>
  <c r="S853" i="1" s="1"/>
  <c r="S854" i="1" s="1"/>
  <c r="S855" i="1" s="1"/>
  <c r="S856" i="1" s="1"/>
  <c r="S857" i="1" s="1"/>
  <c r="S858" i="1" s="1"/>
  <c r="S859" i="1" s="1"/>
  <c r="S860" i="1" s="1"/>
  <c r="S861" i="1" s="1"/>
  <c r="S862" i="1" s="1"/>
  <c r="S863" i="1" s="1"/>
  <c r="S864" i="1" s="1"/>
  <c r="S865" i="1" s="1"/>
  <c r="S866" i="1" s="1"/>
  <c r="S867" i="1" s="1"/>
  <c r="S868" i="1" s="1"/>
  <c r="S869" i="1" s="1"/>
  <c r="S870" i="1" s="1"/>
  <c r="S871" i="1" s="1"/>
  <c r="S872" i="1" s="1"/>
  <c r="S873" i="1" s="1"/>
  <c r="S874" i="1" s="1"/>
  <c r="S875" i="1" s="1"/>
  <c r="S876" i="1" s="1"/>
  <c r="S877" i="1" s="1"/>
  <c r="S878" i="1" s="1"/>
  <c r="S879" i="1" s="1"/>
  <c r="S880" i="1" s="1"/>
  <c r="S881" i="1" s="1"/>
  <c r="S882" i="1" s="1"/>
  <c r="S883" i="1" s="1"/>
  <c r="S884" i="1" s="1"/>
  <c r="S885" i="1" s="1"/>
  <c r="S886" i="1" s="1"/>
  <c r="S887" i="1" s="1"/>
  <c r="S888" i="1" s="1"/>
  <c r="S889" i="1" s="1"/>
  <c r="S890" i="1" s="1"/>
  <c r="S891" i="1" s="1"/>
  <c r="S892" i="1" s="1"/>
  <c r="S893" i="1" s="1"/>
  <c r="S894" i="1" s="1"/>
  <c r="S895" i="1" s="1"/>
  <c r="S896" i="1" s="1"/>
  <c r="S897" i="1" s="1"/>
  <c r="S898" i="1" s="1"/>
  <c r="S899" i="1" s="1"/>
  <c r="S900" i="1" s="1"/>
  <c r="S901" i="1" s="1"/>
  <c r="S902" i="1" s="1"/>
  <c r="S903" i="1" s="1"/>
  <c r="S904" i="1" s="1"/>
  <c r="S905" i="1" s="1"/>
  <c r="S906" i="1" s="1"/>
  <c r="S907" i="1" s="1"/>
  <c r="S908" i="1" s="1"/>
  <c r="S909" i="1" s="1"/>
  <c r="S910" i="1" s="1"/>
  <c r="S911" i="1" s="1"/>
  <c r="S912" i="1" s="1"/>
  <c r="S913" i="1" s="1"/>
  <c r="S914" i="1" s="1"/>
  <c r="S915" i="1" s="1"/>
  <c r="S916" i="1" s="1"/>
  <c r="S917" i="1" s="1"/>
  <c r="S918" i="1" s="1"/>
  <c r="S919" i="1" s="1"/>
  <c r="S920" i="1" s="1"/>
  <c r="S921" i="1" s="1"/>
  <c r="S922" i="1" s="1"/>
  <c r="S923" i="1" s="1"/>
  <c r="S924" i="1" s="1"/>
  <c r="S925" i="1" s="1"/>
  <c r="S926" i="1" s="1"/>
  <c r="S927" i="1" s="1"/>
  <c r="S928" i="1" s="1"/>
  <c r="S929" i="1" s="1"/>
  <c r="S930" i="1" s="1"/>
  <c r="S931" i="1" s="1"/>
  <c r="S932" i="1" s="1"/>
  <c r="S933" i="1" s="1"/>
  <c r="S934" i="1" s="1"/>
  <c r="S935" i="1" s="1"/>
  <c r="S936" i="1" s="1"/>
  <c r="S937" i="1" s="1"/>
  <c r="S938" i="1" s="1"/>
  <c r="S939" i="1" s="1"/>
  <c r="S940" i="1" s="1"/>
  <c r="S941" i="1" s="1"/>
  <c r="S942" i="1" s="1"/>
  <c r="S943" i="1" s="1"/>
  <c r="S944" i="1" s="1"/>
  <c r="S945" i="1" s="1"/>
  <c r="S946" i="1" s="1"/>
  <c r="S947" i="1" s="1"/>
  <c r="S948" i="1" s="1"/>
  <c r="S949" i="1" s="1"/>
  <c r="S950" i="1" s="1"/>
  <c r="S951" i="1" s="1"/>
  <c r="S952" i="1" s="1"/>
  <c r="S953" i="1" s="1"/>
  <c r="S954" i="1" s="1"/>
  <c r="S955" i="1" s="1"/>
  <c r="S956" i="1" s="1"/>
  <c r="S957" i="1" s="1"/>
  <c r="S958" i="1" s="1"/>
  <c r="S959" i="1" s="1"/>
  <c r="S960" i="1" s="1"/>
  <c r="S961" i="1" s="1"/>
  <c r="S962" i="1" s="1"/>
  <c r="S963" i="1" s="1"/>
  <c r="S964" i="1" s="1"/>
  <c r="S965" i="1" s="1"/>
  <c r="S966" i="1" s="1"/>
  <c r="S967" i="1" s="1"/>
  <c r="S968" i="1" s="1"/>
  <c r="S969" i="1" s="1"/>
  <c r="S970" i="1" s="1"/>
  <c r="S971" i="1" s="1"/>
  <c r="S972" i="1" s="1"/>
  <c r="S973" i="1" s="1"/>
  <c r="S974" i="1" s="1"/>
  <c r="S975" i="1" s="1"/>
  <c r="S976" i="1" s="1"/>
  <c r="S977" i="1" s="1"/>
  <c r="S978" i="1" s="1"/>
  <c r="S979" i="1" s="1"/>
  <c r="S980" i="1" s="1"/>
  <c r="S981" i="1" s="1"/>
  <c r="S982" i="1" s="1"/>
  <c r="S983" i="1" s="1"/>
  <c r="S984" i="1" s="1"/>
  <c r="S985" i="1" s="1"/>
  <c r="S986" i="1" s="1"/>
  <c r="S987" i="1" s="1"/>
  <c r="S988" i="1" s="1"/>
  <c r="S989" i="1" s="1"/>
  <c r="S990" i="1" s="1"/>
  <c r="S991" i="1" s="1"/>
  <c r="S992" i="1" s="1"/>
  <c r="S993" i="1" s="1"/>
  <c r="S994" i="1" s="1"/>
  <c r="S995" i="1" s="1"/>
  <c r="S996" i="1" s="1"/>
  <c r="S997" i="1" s="1"/>
  <c r="S998" i="1" s="1"/>
  <c r="S999" i="1" s="1"/>
  <c r="S1000" i="1" s="1"/>
  <c r="S1001" i="1" s="1"/>
  <c r="S1002" i="1" s="1"/>
  <c r="P3" i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319" i="1" s="1"/>
  <c r="P320" i="1" s="1"/>
  <c r="P321" i="1" s="1"/>
  <c r="P322" i="1" s="1"/>
  <c r="P323" i="1" s="1"/>
  <c r="P324" i="1" s="1"/>
  <c r="P325" i="1" s="1"/>
  <c r="P326" i="1" s="1"/>
  <c r="P327" i="1" s="1"/>
  <c r="P328" i="1" s="1"/>
  <c r="P329" i="1" s="1"/>
  <c r="P330" i="1" s="1"/>
  <c r="P331" i="1" s="1"/>
  <c r="P332" i="1" s="1"/>
  <c r="P333" i="1" s="1"/>
  <c r="P334" i="1" s="1"/>
  <c r="P335" i="1" s="1"/>
  <c r="P336" i="1" s="1"/>
  <c r="P337" i="1" s="1"/>
  <c r="P338" i="1" s="1"/>
  <c r="P339" i="1" s="1"/>
  <c r="P340" i="1" s="1"/>
  <c r="P341" i="1" s="1"/>
  <c r="P342" i="1" s="1"/>
  <c r="P343" i="1" s="1"/>
  <c r="P344" i="1" s="1"/>
  <c r="P345" i="1" s="1"/>
  <c r="P346" i="1" s="1"/>
  <c r="P347" i="1" s="1"/>
  <c r="P348" i="1" s="1"/>
  <c r="P349" i="1" s="1"/>
  <c r="P350" i="1" s="1"/>
  <c r="P351" i="1" s="1"/>
  <c r="P352" i="1" s="1"/>
  <c r="P353" i="1" s="1"/>
  <c r="P354" i="1" s="1"/>
  <c r="P355" i="1" s="1"/>
  <c r="P356" i="1" s="1"/>
  <c r="P357" i="1" s="1"/>
  <c r="P358" i="1" s="1"/>
  <c r="P359" i="1" s="1"/>
  <c r="P360" i="1" s="1"/>
  <c r="P361" i="1" s="1"/>
  <c r="P362" i="1" s="1"/>
  <c r="P363" i="1" s="1"/>
  <c r="P364" i="1" s="1"/>
  <c r="P365" i="1" s="1"/>
  <c r="P366" i="1" s="1"/>
  <c r="P367" i="1" s="1"/>
  <c r="P368" i="1" s="1"/>
  <c r="P369" i="1" s="1"/>
  <c r="P370" i="1" s="1"/>
  <c r="P371" i="1" s="1"/>
  <c r="P372" i="1" s="1"/>
  <c r="P373" i="1" s="1"/>
  <c r="P374" i="1" s="1"/>
  <c r="P375" i="1" s="1"/>
  <c r="P376" i="1" s="1"/>
  <c r="P377" i="1" s="1"/>
  <c r="P378" i="1" s="1"/>
  <c r="P379" i="1" s="1"/>
  <c r="P380" i="1" s="1"/>
  <c r="P381" i="1" s="1"/>
  <c r="P382" i="1" s="1"/>
  <c r="P383" i="1" s="1"/>
  <c r="P384" i="1" s="1"/>
  <c r="P385" i="1" s="1"/>
  <c r="P386" i="1" s="1"/>
  <c r="P387" i="1" s="1"/>
  <c r="P388" i="1" s="1"/>
  <c r="P389" i="1" s="1"/>
  <c r="P390" i="1" s="1"/>
  <c r="P391" i="1" s="1"/>
  <c r="P392" i="1" s="1"/>
  <c r="P393" i="1" s="1"/>
  <c r="P394" i="1" s="1"/>
  <c r="P395" i="1" s="1"/>
  <c r="P396" i="1" s="1"/>
  <c r="P397" i="1" s="1"/>
  <c r="P398" i="1" s="1"/>
  <c r="P399" i="1" s="1"/>
  <c r="P400" i="1" s="1"/>
  <c r="P401" i="1" s="1"/>
  <c r="P402" i="1" s="1"/>
  <c r="P403" i="1" s="1"/>
  <c r="P404" i="1" s="1"/>
  <c r="P405" i="1" s="1"/>
  <c r="P406" i="1" s="1"/>
  <c r="P407" i="1" s="1"/>
  <c r="P408" i="1" s="1"/>
  <c r="P409" i="1" s="1"/>
  <c r="P410" i="1" s="1"/>
  <c r="P411" i="1" s="1"/>
  <c r="P412" i="1" s="1"/>
  <c r="P413" i="1" s="1"/>
  <c r="P414" i="1" s="1"/>
  <c r="P415" i="1" s="1"/>
  <c r="P416" i="1" s="1"/>
  <c r="P417" i="1" s="1"/>
  <c r="P418" i="1" s="1"/>
  <c r="P419" i="1" s="1"/>
  <c r="P420" i="1" s="1"/>
  <c r="P421" i="1" s="1"/>
  <c r="P422" i="1" s="1"/>
  <c r="P423" i="1" s="1"/>
  <c r="P424" i="1" s="1"/>
  <c r="P425" i="1" s="1"/>
  <c r="P426" i="1" s="1"/>
  <c r="P427" i="1" s="1"/>
  <c r="P428" i="1" s="1"/>
  <c r="P429" i="1" s="1"/>
  <c r="P430" i="1" s="1"/>
  <c r="P431" i="1" s="1"/>
  <c r="P432" i="1" s="1"/>
  <c r="P433" i="1" s="1"/>
  <c r="P434" i="1" s="1"/>
  <c r="P435" i="1" s="1"/>
  <c r="P436" i="1" s="1"/>
  <c r="P437" i="1" s="1"/>
  <c r="P438" i="1" s="1"/>
  <c r="P439" i="1" s="1"/>
  <c r="P440" i="1" s="1"/>
  <c r="P441" i="1" s="1"/>
  <c r="P442" i="1" s="1"/>
  <c r="P443" i="1" s="1"/>
  <c r="P444" i="1" s="1"/>
  <c r="P445" i="1" s="1"/>
  <c r="P446" i="1" s="1"/>
  <c r="P447" i="1" s="1"/>
  <c r="P448" i="1" s="1"/>
  <c r="P449" i="1" s="1"/>
  <c r="P450" i="1" s="1"/>
  <c r="P451" i="1" s="1"/>
  <c r="P452" i="1" s="1"/>
  <c r="P453" i="1" s="1"/>
  <c r="P454" i="1" s="1"/>
  <c r="P455" i="1" s="1"/>
  <c r="P456" i="1" s="1"/>
  <c r="P457" i="1" s="1"/>
  <c r="P458" i="1" s="1"/>
  <c r="P459" i="1" s="1"/>
  <c r="P460" i="1" s="1"/>
  <c r="P461" i="1" s="1"/>
  <c r="P462" i="1" s="1"/>
  <c r="P463" i="1" s="1"/>
  <c r="P464" i="1" s="1"/>
  <c r="P465" i="1" s="1"/>
  <c r="P466" i="1" s="1"/>
  <c r="P467" i="1" s="1"/>
  <c r="P468" i="1" s="1"/>
  <c r="P469" i="1" s="1"/>
  <c r="P470" i="1" s="1"/>
  <c r="P471" i="1" s="1"/>
  <c r="P472" i="1" s="1"/>
  <c r="P473" i="1" s="1"/>
  <c r="P474" i="1" s="1"/>
  <c r="P475" i="1" s="1"/>
  <c r="P476" i="1" s="1"/>
  <c r="P477" i="1" s="1"/>
  <c r="P478" i="1" s="1"/>
  <c r="P479" i="1" s="1"/>
  <c r="P480" i="1" s="1"/>
  <c r="P481" i="1" s="1"/>
  <c r="P482" i="1" s="1"/>
  <c r="P483" i="1" s="1"/>
  <c r="P484" i="1" s="1"/>
  <c r="P485" i="1" s="1"/>
  <c r="P486" i="1" s="1"/>
  <c r="P487" i="1" s="1"/>
  <c r="P488" i="1" s="1"/>
  <c r="P489" i="1" s="1"/>
  <c r="P490" i="1" s="1"/>
  <c r="P491" i="1" s="1"/>
  <c r="P492" i="1" s="1"/>
  <c r="P493" i="1" s="1"/>
  <c r="P494" i="1" s="1"/>
  <c r="P495" i="1" s="1"/>
  <c r="P496" i="1" s="1"/>
  <c r="P497" i="1" s="1"/>
  <c r="P498" i="1" s="1"/>
  <c r="P499" i="1" s="1"/>
  <c r="P500" i="1" s="1"/>
  <c r="P501" i="1" s="1"/>
  <c r="P502" i="1" s="1"/>
  <c r="P503" i="1" s="1"/>
  <c r="P504" i="1" s="1"/>
  <c r="P505" i="1" s="1"/>
  <c r="P506" i="1" s="1"/>
  <c r="P507" i="1" s="1"/>
  <c r="P508" i="1" s="1"/>
  <c r="P509" i="1" s="1"/>
  <c r="P510" i="1" s="1"/>
  <c r="P511" i="1" s="1"/>
  <c r="P512" i="1" s="1"/>
  <c r="P513" i="1" s="1"/>
  <c r="P514" i="1" s="1"/>
  <c r="P515" i="1" s="1"/>
  <c r="P516" i="1" s="1"/>
  <c r="P517" i="1" s="1"/>
  <c r="P518" i="1" s="1"/>
  <c r="P519" i="1" s="1"/>
  <c r="P520" i="1" s="1"/>
  <c r="P521" i="1" s="1"/>
  <c r="P522" i="1" s="1"/>
  <c r="P523" i="1" s="1"/>
  <c r="P524" i="1" s="1"/>
  <c r="P525" i="1" s="1"/>
  <c r="P526" i="1" s="1"/>
  <c r="P527" i="1" s="1"/>
  <c r="P528" i="1" s="1"/>
  <c r="P529" i="1" s="1"/>
  <c r="P530" i="1" s="1"/>
  <c r="P531" i="1" s="1"/>
  <c r="P532" i="1" s="1"/>
  <c r="P533" i="1" s="1"/>
  <c r="P534" i="1" s="1"/>
  <c r="P535" i="1" s="1"/>
  <c r="P536" i="1" s="1"/>
  <c r="P537" i="1" s="1"/>
  <c r="P538" i="1" s="1"/>
  <c r="P539" i="1" s="1"/>
  <c r="P540" i="1" s="1"/>
  <c r="P541" i="1" s="1"/>
  <c r="P542" i="1" s="1"/>
  <c r="P543" i="1" s="1"/>
  <c r="P544" i="1" s="1"/>
  <c r="P545" i="1" s="1"/>
  <c r="P546" i="1" s="1"/>
  <c r="P547" i="1" s="1"/>
  <c r="P548" i="1" s="1"/>
  <c r="P549" i="1" s="1"/>
  <c r="P550" i="1" s="1"/>
  <c r="P551" i="1" s="1"/>
  <c r="P552" i="1" s="1"/>
  <c r="P553" i="1" s="1"/>
  <c r="P554" i="1" s="1"/>
  <c r="P555" i="1" s="1"/>
  <c r="P556" i="1" s="1"/>
  <c r="P557" i="1" s="1"/>
  <c r="P558" i="1" s="1"/>
  <c r="P559" i="1" s="1"/>
  <c r="P560" i="1" s="1"/>
  <c r="P561" i="1" s="1"/>
  <c r="P562" i="1" s="1"/>
  <c r="P563" i="1" s="1"/>
  <c r="P564" i="1" s="1"/>
  <c r="P565" i="1" s="1"/>
  <c r="P566" i="1" s="1"/>
  <c r="P567" i="1" s="1"/>
  <c r="P568" i="1" s="1"/>
  <c r="P569" i="1" s="1"/>
  <c r="P570" i="1" s="1"/>
  <c r="P571" i="1" s="1"/>
  <c r="P572" i="1" s="1"/>
  <c r="P573" i="1" s="1"/>
  <c r="P574" i="1" s="1"/>
  <c r="P575" i="1" s="1"/>
  <c r="P576" i="1" s="1"/>
  <c r="P577" i="1" s="1"/>
  <c r="P578" i="1" s="1"/>
  <c r="P579" i="1" s="1"/>
  <c r="P580" i="1" s="1"/>
  <c r="P581" i="1" s="1"/>
  <c r="P582" i="1" s="1"/>
  <c r="P583" i="1" s="1"/>
  <c r="P584" i="1" s="1"/>
  <c r="P585" i="1" s="1"/>
  <c r="P586" i="1" s="1"/>
  <c r="P587" i="1" s="1"/>
  <c r="P588" i="1" s="1"/>
  <c r="P589" i="1" s="1"/>
  <c r="P590" i="1" s="1"/>
  <c r="P591" i="1" s="1"/>
  <c r="P592" i="1" s="1"/>
  <c r="P593" i="1" s="1"/>
  <c r="P594" i="1" s="1"/>
  <c r="P595" i="1" s="1"/>
  <c r="P596" i="1" s="1"/>
  <c r="P597" i="1" s="1"/>
  <c r="P598" i="1" s="1"/>
  <c r="P599" i="1" s="1"/>
  <c r="P600" i="1" s="1"/>
  <c r="P601" i="1" s="1"/>
  <c r="P602" i="1" s="1"/>
  <c r="P603" i="1" s="1"/>
  <c r="P604" i="1" s="1"/>
  <c r="P605" i="1" s="1"/>
  <c r="P606" i="1" s="1"/>
  <c r="P607" i="1" s="1"/>
  <c r="P608" i="1" s="1"/>
  <c r="P609" i="1" s="1"/>
  <c r="P610" i="1" s="1"/>
  <c r="P611" i="1" s="1"/>
  <c r="P612" i="1" s="1"/>
  <c r="P613" i="1" s="1"/>
  <c r="P614" i="1" s="1"/>
  <c r="P615" i="1" s="1"/>
  <c r="P616" i="1" s="1"/>
  <c r="P617" i="1" s="1"/>
  <c r="P618" i="1" s="1"/>
  <c r="P619" i="1" s="1"/>
  <c r="P620" i="1" s="1"/>
  <c r="P621" i="1" s="1"/>
  <c r="P622" i="1" s="1"/>
  <c r="P623" i="1" s="1"/>
  <c r="P624" i="1" s="1"/>
  <c r="P625" i="1" s="1"/>
  <c r="P626" i="1" s="1"/>
  <c r="P627" i="1" s="1"/>
  <c r="P628" i="1" s="1"/>
  <c r="P629" i="1" s="1"/>
  <c r="P630" i="1" s="1"/>
  <c r="P631" i="1" s="1"/>
  <c r="P632" i="1" s="1"/>
  <c r="P633" i="1" s="1"/>
  <c r="P634" i="1" s="1"/>
  <c r="P635" i="1" s="1"/>
  <c r="P636" i="1" s="1"/>
  <c r="P637" i="1" s="1"/>
  <c r="P638" i="1" s="1"/>
  <c r="P639" i="1" s="1"/>
  <c r="P640" i="1" s="1"/>
  <c r="P641" i="1" s="1"/>
  <c r="P642" i="1" s="1"/>
  <c r="P643" i="1" s="1"/>
  <c r="P644" i="1" s="1"/>
  <c r="P645" i="1" s="1"/>
  <c r="P646" i="1" s="1"/>
  <c r="P647" i="1" s="1"/>
  <c r="P648" i="1" s="1"/>
  <c r="P649" i="1" s="1"/>
  <c r="P650" i="1" s="1"/>
  <c r="P651" i="1" s="1"/>
  <c r="P652" i="1" s="1"/>
  <c r="P653" i="1" s="1"/>
  <c r="P654" i="1" s="1"/>
  <c r="P655" i="1" s="1"/>
  <c r="P656" i="1" s="1"/>
  <c r="P657" i="1" s="1"/>
  <c r="P658" i="1" s="1"/>
  <c r="P659" i="1" s="1"/>
  <c r="P660" i="1" s="1"/>
  <c r="P661" i="1" s="1"/>
  <c r="P662" i="1" s="1"/>
  <c r="P663" i="1" s="1"/>
  <c r="P664" i="1" s="1"/>
  <c r="P665" i="1" s="1"/>
  <c r="P666" i="1" s="1"/>
  <c r="P667" i="1" s="1"/>
  <c r="P668" i="1" s="1"/>
  <c r="P669" i="1" s="1"/>
  <c r="P670" i="1" s="1"/>
  <c r="P671" i="1" s="1"/>
  <c r="P672" i="1" s="1"/>
  <c r="P673" i="1" s="1"/>
  <c r="P674" i="1" s="1"/>
  <c r="P675" i="1" s="1"/>
  <c r="P676" i="1" s="1"/>
  <c r="P677" i="1" s="1"/>
  <c r="P678" i="1" s="1"/>
  <c r="P679" i="1" s="1"/>
  <c r="P680" i="1" s="1"/>
  <c r="P681" i="1" s="1"/>
  <c r="P682" i="1" s="1"/>
  <c r="P683" i="1" s="1"/>
  <c r="P684" i="1" s="1"/>
  <c r="P685" i="1" s="1"/>
  <c r="P686" i="1" s="1"/>
  <c r="P687" i="1" s="1"/>
  <c r="P688" i="1" s="1"/>
  <c r="P689" i="1" s="1"/>
  <c r="P690" i="1" s="1"/>
  <c r="P691" i="1" s="1"/>
  <c r="P692" i="1" s="1"/>
  <c r="P693" i="1" s="1"/>
  <c r="P694" i="1" s="1"/>
  <c r="P695" i="1" s="1"/>
  <c r="P696" i="1" s="1"/>
  <c r="P697" i="1" s="1"/>
  <c r="P698" i="1" s="1"/>
  <c r="P699" i="1" s="1"/>
  <c r="P700" i="1" s="1"/>
  <c r="P701" i="1" s="1"/>
  <c r="P702" i="1" s="1"/>
  <c r="P703" i="1" s="1"/>
  <c r="P704" i="1" s="1"/>
  <c r="P705" i="1" s="1"/>
  <c r="P706" i="1" s="1"/>
  <c r="P707" i="1" s="1"/>
  <c r="P708" i="1" s="1"/>
  <c r="P709" i="1" s="1"/>
  <c r="P710" i="1" s="1"/>
  <c r="P711" i="1" s="1"/>
  <c r="P712" i="1" s="1"/>
  <c r="P713" i="1" s="1"/>
  <c r="P714" i="1" s="1"/>
  <c r="P715" i="1" s="1"/>
  <c r="P716" i="1" s="1"/>
  <c r="P717" i="1" s="1"/>
  <c r="P718" i="1" s="1"/>
  <c r="P719" i="1" s="1"/>
  <c r="P720" i="1" s="1"/>
  <c r="P721" i="1" s="1"/>
  <c r="P722" i="1" s="1"/>
  <c r="P723" i="1" s="1"/>
  <c r="P724" i="1" s="1"/>
  <c r="P725" i="1" s="1"/>
  <c r="P726" i="1" s="1"/>
  <c r="P727" i="1" s="1"/>
  <c r="P728" i="1" s="1"/>
  <c r="P729" i="1" s="1"/>
  <c r="P730" i="1" s="1"/>
  <c r="P731" i="1" s="1"/>
  <c r="P732" i="1" s="1"/>
  <c r="P733" i="1" s="1"/>
  <c r="P734" i="1" s="1"/>
  <c r="P735" i="1" s="1"/>
  <c r="P736" i="1" s="1"/>
  <c r="P737" i="1" s="1"/>
  <c r="P738" i="1" s="1"/>
  <c r="P739" i="1" s="1"/>
  <c r="P740" i="1" s="1"/>
  <c r="P741" i="1" s="1"/>
  <c r="P742" i="1" s="1"/>
  <c r="P743" i="1" s="1"/>
  <c r="P744" i="1" s="1"/>
  <c r="P745" i="1" s="1"/>
  <c r="P746" i="1" s="1"/>
  <c r="P747" i="1" s="1"/>
  <c r="P748" i="1" s="1"/>
  <c r="P749" i="1" s="1"/>
  <c r="P750" i="1" s="1"/>
  <c r="P751" i="1" s="1"/>
  <c r="P752" i="1" s="1"/>
  <c r="P753" i="1" s="1"/>
  <c r="P754" i="1" s="1"/>
  <c r="P755" i="1" s="1"/>
  <c r="P756" i="1" s="1"/>
  <c r="P757" i="1" s="1"/>
  <c r="P758" i="1" s="1"/>
  <c r="P759" i="1" s="1"/>
  <c r="P760" i="1" s="1"/>
  <c r="P761" i="1" s="1"/>
  <c r="P762" i="1" s="1"/>
  <c r="P763" i="1" s="1"/>
  <c r="P764" i="1" s="1"/>
  <c r="P765" i="1" s="1"/>
  <c r="P766" i="1" s="1"/>
  <c r="P767" i="1" s="1"/>
  <c r="P768" i="1" s="1"/>
  <c r="P769" i="1" s="1"/>
  <c r="P770" i="1" s="1"/>
  <c r="P771" i="1" s="1"/>
  <c r="P772" i="1" s="1"/>
  <c r="P773" i="1" s="1"/>
  <c r="P774" i="1" s="1"/>
  <c r="P775" i="1" s="1"/>
  <c r="P776" i="1" s="1"/>
  <c r="P777" i="1" s="1"/>
  <c r="P778" i="1" s="1"/>
  <c r="P779" i="1" s="1"/>
  <c r="P780" i="1" s="1"/>
  <c r="P781" i="1" s="1"/>
  <c r="P782" i="1" s="1"/>
  <c r="P783" i="1" s="1"/>
  <c r="P784" i="1" s="1"/>
  <c r="P785" i="1" s="1"/>
  <c r="P786" i="1" s="1"/>
  <c r="P787" i="1" s="1"/>
  <c r="P788" i="1" s="1"/>
  <c r="P789" i="1" s="1"/>
  <c r="P790" i="1" s="1"/>
  <c r="P791" i="1" s="1"/>
  <c r="P792" i="1" s="1"/>
  <c r="P793" i="1" s="1"/>
  <c r="P794" i="1" s="1"/>
  <c r="P795" i="1" s="1"/>
  <c r="P796" i="1" s="1"/>
  <c r="P797" i="1" s="1"/>
  <c r="P798" i="1" s="1"/>
  <c r="P799" i="1" s="1"/>
  <c r="P800" i="1" s="1"/>
  <c r="P801" i="1" s="1"/>
  <c r="P802" i="1" s="1"/>
  <c r="P803" i="1" s="1"/>
  <c r="P804" i="1" s="1"/>
  <c r="P805" i="1" s="1"/>
  <c r="P806" i="1" s="1"/>
  <c r="P807" i="1" s="1"/>
  <c r="P808" i="1" s="1"/>
  <c r="P809" i="1" s="1"/>
  <c r="P810" i="1" s="1"/>
  <c r="P811" i="1" s="1"/>
  <c r="P812" i="1" s="1"/>
  <c r="P813" i="1" s="1"/>
  <c r="P814" i="1" s="1"/>
  <c r="P815" i="1" s="1"/>
  <c r="P816" i="1" s="1"/>
  <c r="P817" i="1" s="1"/>
  <c r="P818" i="1" s="1"/>
  <c r="P819" i="1" s="1"/>
  <c r="P820" i="1" s="1"/>
  <c r="P821" i="1" s="1"/>
  <c r="P822" i="1" s="1"/>
  <c r="P823" i="1" s="1"/>
  <c r="P824" i="1" s="1"/>
  <c r="P825" i="1" s="1"/>
  <c r="P826" i="1" s="1"/>
  <c r="P827" i="1" s="1"/>
  <c r="P828" i="1" s="1"/>
  <c r="P829" i="1" s="1"/>
  <c r="P830" i="1" s="1"/>
  <c r="P831" i="1" s="1"/>
  <c r="P832" i="1" s="1"/>
  <c r="P833" i="1" s="1"/>
  <c r="P834" i="1" s="1"/>
  <c r="P835" i="1" s="1"/>
  <c r="P836" i="1" s="1"/>
  <c r="P837" i="1" s="1"/>
  <c r="P838" i="1" s="1"/>
  <c r="P839" i="1" s="1"/>
  <c r="P840" i="1" s="1"/>
  <c r="P841" i="1" s="1"/>
  <c r="P842" i="1" s="1"/>
  <c r="P843" i="1" s="1"/>
  <c r="P844" i="1" s="1"/>
  <c r="P845" i="1" s="1"/>
  <c r="P846" i="1" s="1"/>
  <c r="P847" i="1" s="1"/>
  <c r="P848" i="1" s="1"/>
  <c r="P849" i="1" s="1"/>
  <c r="P850" i="1" s="1"/>
  <c r="P851" i="1" s="1"/>
  <c r="P852" i="1" s="1"/>
  <c r="P853" i="1" s="1"/>
  <c r="P854" i="1" s="1"/>
  <c r="P855" i="1" s="1"/>
  <c r="P856" i="1" s="1"/>
  <c r="P857" i="1" s="1"/>
  <c r="P858" i="1" s="1"/>
  <c r="P859" i="1" s="1"/>
  <c r="P860" i="1" s="1"/>
  <c r="P861" i="1" s="1"/>
  <c r="P862" i="1" s="1"/>
  <c r="P863" i="1" s="1"/>
  <c r="P864" i="1" s="1"/>
  <c r="P865" i="1" s="1"/>
  <c r="P866" i="1" s="1"/>
  <c r="P867" i="1" s="1"/>
  <c r="P868" i="1" s="1"/>
  <c r="P869" i="1" s="1"/>
  <c r="P870" i="1" s="1"/>
  <c r="P871" i="1" s="1"/>
  <c r="P872" i="1" s="1"/>
  <c r="P873" i="1" s="1"/>
  <c r="P874" i="1" s="1"/>
  <c r="P875" i="1" s="1"/>
  <c r="P876" i="1" s="1"/>
  <c r="P877" i="1" s="1"/>
  <c r="P878" i="1" s="1"/>
  <c r="P879" i="1" s="1"/>
  <c r="P880" i="1" s="1"/>
  <c r="P881" i="1" s="1"/>
  <c r="P882" i="1" s="1"/>
  <c r="P883" i="1" s="1"/>
  <c r="P884" i="1" s="1"/>
  <c r="P885" i="1" s="1"/>
  <c r="P886" i="1" s="1"/>
  <c r="P887" i="1" s="1"/>
  <c r="P888" i="1" s="1"/>
  <c r="P889" i="1" s="1"/>
  <c r="P890" i="1" s="1"/>
  <c r="P891" i="1" s="1"/>
  <c r="P892" i="1" s="1"/>
  <c r="P893" i="1" s="1"/>
  <c r="P894" i="1" s="1"/>
  <c r="P895" i="1" s="1"/>
  <c r="P896" i="1" s="1"/>
  <c r="P897" i="1" s="1"/>
  <c r="P898" i="1" s="1"/>
  <c r="P899" i="1" s="1"/>
  <c r="P900" i="1" s="1"/>
  <c r="P901" i="1" s="1"/>
  <c r="P902" i="1" s="1"/>
  <c r="P903" i="1" s="1"/>
  <c r="P904" i="1" s="1"/>
  <c r="P905" i="1" s="1"/>
  <c r="P906" i="1" s="1"/>
  <c r="P907" i="1" s="1"/>
  <c r="P908" i="1" s="1"/>
  <c r="P909" i="1" s="1"/>
  <c r="P910" i="1" s="1"/>
  <c r="P911" i="1" s="1"/>
  <c r="P912" i="1" s="1"/>
  <c r="P913" i="1" s="1"/>
  <c r="P914" i="1" s="1"/>
  <c r="P915" i="1" s="1"/>
  <c r="P916" i="1" s="1"/>
  <c r="P917" i="1" s="1"/>
  <c r="P918" i="1" s="1"/>
  <c r="P919" i="1" s="1"/>
  <c r="P920" i="1" s="1"/>
  <c r="P921" i="1" s="1"/>
  <c r="P922" i="1" s="1"/>
  <c r="P923" i="1" s="1"/>
  <c r="P924" i="1" s="1"/>
  <c r="P925" i="1" s="1"/>
  <c r="P926" i="1" s="1"/>
  <c r="P927" i="1" s="1"/>
  <c r="P928" i="1" s="1"/>
  <c r="P929" i="1" s="1"/>
  <c r="P930" i="1" s="1"/>
  <c r="P931" i="1" s="1"/>
  <c r="P932" i="1" s="1"/>
  <c r="P933" i="1" s="1"/>
  <c r="P934" i="1" s="1"/>
  <c r="P935" i="1" s="1"/>
  <c r="P936" i="1" s="1"/>
  <c r="P937" i="1" s="1"/>
  <c r="P938" i="1" s="1"/>
  <c r="P939" i="1" s="1"/>
  <c r="P940" i="1" s="1"/>
  <c r="P941" i="1" s="1"/>
  <c r="P942" i="1" s="1"/>
  <c r="P943" i="1" s="1"/>
  <c r="P944" i="1" s="1"/>
  <c r="P945" i="1" s="1"/>
  <c r="P946" i="1" s="1"/>
  <c r="P947" i="1" s="1"/>
  <c r="P948" i="1" s="1"/>
  <c r="P949" i="1" s="1"/>
  <c r="P950" i="1" s="1"/>
  <c r="P951" i="1" s="1"/>
  <c r="P952" i="1" s="1"/>
  <c r="P953" i="1" s="1"/>
  <c r="P954" i="1" s="1"/>
  <c r="P955" i="1" s="1"/>
  <c r="P956" i="1" s="1"/>
  <c r="P957" i="1" s="1"/>
  <c r="P958" i="1" s="1"/>
  <c r="P959" i="1" s="1"/>
  <c r="P960" i="1" s="1"/>
  <c r="P961" i="1" s="1"/>
  <c r="P962" i="1" s="1"/>
  <c r="P963" i="1" s="1"/>
  <c r="P964" i="1" s="1"/>
  <c r="P965" i="1" s="1"/>
  <c r="P966" i="1" s="1"/>
  <c r="P967" i="1" s="1"/>
  <c r="P968" i="1" s="1"/>
  <c r="P969" i="1" s="1"/>
  <c r="P970" i="1" s="1"/>
  <c r="P971" i="1" s="1"/>
  <c r="P972" i="1" s="1"/>
  <c r="P973" i="1" s="1"/>
  <c r="P974" i="1" s="1"/>
  <c r="P975" i="1" s="1"/>
  <c r="P976" i="1" s="1"/>
  <c r="P977" i="1" s="1"/>
  <c r="P978" i="1" s="1"/>
  <c r="P979" i="1" s="1"/>
  <c r="P980" i="1" s="1"/>
  <c r="P981" i="1" s="1"/>
  <c r="P982" i="1" s="1"/>
  <c r="P983" i="1" s="1"/>
  <c r="P984" i="1" s="1"/>
  <c r="P985" i="1" s="1"/>
  <c r="P986" i="1" s="1"/>
  <c r="P987" i="1" s="1"/>
  <c r="P988" i="1" s="1"/>
  <c r="P989" i="1" s="1"/>
  <c r="P990" i="1" s="1"/>
  <c r="P991" i="1" s="1"/>
  <c r="P992" i="1" s="1"/>
  <c r="P993" i="1" s="1"/>
  <c r="P994" i="1" s="1"/>
  <c r="P995" i="1" s="1"/>
  <c r="P996" i="1" s="1"/>
  <c r="P997" i="1" s="1"/>
  <c r="P998" i="1" s="1"/>
  <c r="P999" i="1" s="1"/>
  <c r="P1000" i="1" s="1"/>
  <c r="P1001" i="1" s="1"/>
  <c r="P1002" i="1" s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60" i="1" s="1"/>
  <c r="N261" i="1" s="1"/>
  <c r="N262" i="1" s="1"/>
  <c r="N263" i="1" s="1"/>
  <c r="N264" i="1" s="1"/>
  <c r="N265" i="1" s="1"/>
  <c r="N266" i="1" s="1"/>
  <c r="N267" i="1" s="1"/>
  <c r="N268" i="1" s="1"/>
  <c r="N269" i="1" s="1"/>
  <c r="N270" i="1" s="1"/>
  <c r="N271" i="1" s="1"/>
  <c r="N272" i="1" s="1"/>
  <c r="N273" i="1" s="1"/>
  <c r="N274" i="1" s="1"/>
  <c r="N275" i="1" s="1"/>
  <c r="N276" i="1" s="1"/>
  <c r="N277" i="1" s="1"/>
  <c r="N278" i="1" s="1"/>
  <c r="N279" i="1" s="1"/>
  <c r="N280" i="1" s="1"/>
  <c r="N281" i="1" s="1"/>
  <c r="N282" i="1" s="1"/>
  <c r="N283" i="1" s="1"/>
  <c r="N284" i="1" s="1"/>
  <c r="N285" i="1" s="1"/>
  <c r="N286" i="1" s="1"/>
  <c r="N287" i="1" s="1"/>
  <c r="N288" i="1" s="1"/>
  <c r="N289" i="1" s="1"/>
  <c r="N290" i="1" s="1"/>
  <c r="N291" i="1" s="1"/>
  <c r="N292" i="1" s="1"/>
  <c r="N293" i="1" s="1"/>
  <c r="N294" i="1" s="1"/>
  <c r="N295" i="1" s="1"/>
  <c r="N296" i="1" s="1"/>
  <c r="N297" i="1" s="1"/>
  <c r="N298" i="1" s="1"/>
  <c r="N299" i="1" s="1"/>
  <c r="N300" i="1" s="1"/>
  <c r="N301" i="1" s="1"/>
  <c r="N302" i="1" s="1"/>
  <c r="N303" i="1" s="1"/>
  <c r="N304" i="1" s="1"/>
  <c r="N305" i="1" s="1"/>
  <c r="N306" i="1" s="1"/>
  <c r="N307" i="1" s="1"/>
  <c r="N308" i="1" s="1"/>
  <c r="N309" i="1" s="1"/>
  <c r="N310" i="1" s="1"/>
  <c r="N311" i="1" s="1"/>
  <c r="N312" i="1" s="1"/>
  <c r="N313" i="1" s="1"/>
  <c r="N314" i="1" s="1"/>
  <c r="N315" i="1" s="1"/>
  <c r="N316" i="1" s="1"/>
  <c r="N317" i="1" s="1"/>
  <c r="N318" i="1" s="1"/>
  <c r="N319" i="1" s="1"/>
  <c r="N320" i="1" s="1"/>
  <c r="N321" i="1" s="1"/>
  <c r="N322" i="1" s="1"/>
  <c r="N323" i="1" s="1"/>
  <c r="N324" i="1" s="1"/>
  <c r="N325" i="1" s="1"/>
  <c r="N326" i="1" s="1"/>
  <c r="N327" i="1" s="1"/>
  <c r="N328" i="1" s="1"/>
  <c r="N329" i="1" s="1"/>
  <c r="N330" i="1" s="1"/>
  <c r="N331" i="1" s="1"/>
  <c r="N332" i="1" s="1"/>
  <c r="N333" i="1" s="1"/>
  <c r="N334" i="1" s="1"/>
  <c r="N335" i="1" s="1"/>
  <c r="N336" i="1" s="1"/>
  <c r="N337" i="1" s="1"/>
  <c r="N338" i="1" s="1"/>
  <c r="N339" i="1" s="1"/>
  <c r="N340" i="1" s="1"/>
  <c r="N341" i="1" s="1"/>
  <c r="N342" i="1" s="1"/>
  <c r="N343" i="1" s="1"/>
  <c r="N344" i="1" s="1"/>
  <c r="N345" i="1" s="1"/>
  <c r="N346" i="1" s="1"/>
  <c r="N347" i="1" s="1"/>
  <c r="N348" i="1" s="1"/>
  <c r="N349" i="1" s="1"/>
  <c r="N350" i="1" s="1"/>
  <c r="N351" i="1" s="1"/>
  <c r="N352" i="1" s="1"/>
  <c r="N353" i="1" s="1"/>
  <c r="N354" i="1" s="1"/>
  <c r="N355" i="1" s="1"/>
  <c r="N356" i="1" s="1"/>
  <c r="N357" i="1" s="1"/>
  <c r="N358" i="1" s="1"/>
  <c r="N359" i="1" s="1"/>
  <c r="N360" i="1" s="1"/>
  <c r="N361" i="1" s="1"/>
  <c r="N362" i="1" s="1"/>
  <c r="N363" i="1" s="1"/>
  <c r="N364" i="1" s="1"/>
  <c r="N365" i="1" s="1"/>
  <c r="N366" i="1" s="1"/>
  <c r="N367" i="1" s="1"/>
  <c r="N368" i="1" s="1"/>
  <c r="N369" i="1" s="1"/>
  <c r="N370" i="1" s="1"/>
  <c r="N371" i="1" s="1"/>
  <c r="N372" i="1" s="1"/>
  <c r="N373" i="1" s="1"/>
  <c r="N374" i="1" s="1"/>
  <c r="N375" i="1" s="1"/>
  <c r="N376" i="1" s="1"/>
  <c r="N377" i="1" s="1"/>
  <c r="N378" i="1" s="1"/>
  <c r="N379" i="1" s="1"/>
  <c r="N380" i="1" s="1"/>
  <c r="N381" i="1" s="1"/>
  <c r="N382" i="1" s="1"/>
  <c r="N383" i="1" s="1"/>
  <c r="N384" i="1" s="1"/>
  <c r="N385" i="1" s="1"/>
  <c r="N386" i="1" s="1"/>
  <c r="N387" i="1" s="1"/>
  <c r="N388" i="1" s="1"/>
  <c r="N389" i="1" s="1"/>
  <c r="N390" i="1" s="1"/>
  <c r="N391" i="1" s="1"/>
  <c r="N392" i="1" s="1"/>
  <c r="N393" i="1" s="1"/>
  <c r="N394" i="1" s="1"/>
  <c r="N395" i="1" s="1"/>
  <c r="N396" i="1" s="1"/>
  <c r="N397" i="1" s="1"/>
  <c r="N398" i="1" s="1"/>
  <c r="N399" i="1" s="1"/>
  <c r="N400" i="1" s="1"/>
  <c r="N401" i="1" s="1"/>
  <c r="N402" i="1" s="1"/>
  <c r="N403" i="1" s="1"/>
  <c r="N404" i="1" s="1"/>
  <c r="N405" i="1" s="1"/>
  <c r="N406" i="1" s="1"/>
  <c r="N407" i="1" s="1"/>
  <c r="N408" i="1" s="1"/>
  <c r="N409" i="1" s="1"/>
  <c r="N410" i="1" s="1"/>
  <c r="N411" i="1" s="1"/>
  <c r="N412" i="1" s="1"/>
  <c r="N413" i="1" s="1"/>
  <c r="N414" i="1" s="1"/>
  <c r="N415" i="1" s="1"/>
  <c r="N416" i="1" s="1"/>
  <c r="N417" i="1" s="1"/>
  <c r="N418" i="1" s="1"/>
  <c r="N419" i="1" s="1"/>
  <c r="N420" i="1" s="1"/>
  <c r="N421" i="1" s="1"/>
  <c r="N422" i="1" s="1"/>
  <c r="N423" i="1" s="1"/>
  <c r="N424" i="1" s="1"/>
  <c r="N425" i="1" s="1"/>
  <c r="N426" i="1" s="1"/>
  <c r="N427" i="1" s="1"/>
  <c r="N428" i="1" s="1"/>
  <c r="N429" i="1" s="1"/>
  <c r="N430" i="1" s="1"/>
  <c r="N431" i="1" s="1"/>
  <c r="N432" i="1" s="1"/>
  <c r="N433" i="1" s="1"/>
  <c r="N434" i="1" s="1"/>
  <c r="N435" i="1" s="1"/>
  <c r="N436" i="1" s="1"/>
  <c r="N437" i="1" s="1"/>
  <c r="N438" i="1" s="1"/>
  <c r="N439" i="1" s="1"/>
  <c r="N440" i="1" s="1"/>
  <c r="N441" i="1" s="1"/>
  <c r="N442" i="1" s="1"/>
  <c r="N443" i="1" s="1"/>
  <c r="N444" i="1" s="1"/>
  <c r="N445" i="1" s="1"/>
  <c r="N446" i="1" s="1"/>
  <c r="N447" i="1" s="1"/>
  <c r="N448" i="1" s="1"/>
  <c r="N449" i="1" s="1"/>
  <c r="N450" i="1" s="1"/>
  <c r="N451" i="1" s="1"/>
  <c r="N452" i="1" s="1"/>
  <c r="N453" i="1" s="1"/>
  <c r="N454" i="1" s="1"/>
  <c r="N455" i="1" s="1"/>
  <c r="N456" i="1" s="1"/>
  <c r="N457" i="1" s="1"/>
  <c r="N458" i="1" s="1"/>
  <c r="N459" i="1" s="1"/>
  <c r="N460" i="1" s="1"/>
  <c r="N461" i="1" s="1"/>
  <c r="N462" i="1" s="1"/>
  <c r="N463" i="1" s="1"/>
  <c r="N464" i="1" s="1"/>
  <c r="N465" i="1" s="1"/>
  <c r="N466" i="1" s="1"/>
  <c r="N467" i="1" s="1"/>
  <c r="N468" i="1" s="1"/>
  <c r="N469" i="1" s="1"/>
  <c r="N470" i="1" s="1"/>
  <c r="N471" i="1" s="1"/>
  <c r="N472" i="1" s="1"/>
  <c r="N473" i="1" s="1"/>
  <c r="N474" i="1" s="1"/>
  <c r="N475" i="1" s="1"/>
  <c r="N476" i="1" s="1"/>
  <c r="N477" i="1" s="1"/>
  <c r="N478" i="1" s="1"/>
  <c r="N479" i="1" s="1"/>
  <c r="N480" i="1" s="1"/>
  <c r="N481" i="1" s="1"/>
  <c r="N482" i="1" s="1"/>
  <c r="N483" i="1" s="1"/>
  <c r="N484" i="1" s="1"/>
  <c r="N485" i="1" s="1"/>
  <c r="N486" i="1" s="1"/>
  <c r="N487" i="1" s="1"/>
  <c r="N488" i="1" s="1"/>
  <c r="N489" i="1" s="1"/>
  <c r="N490" i="1" s="1"/>
  <c r="N491" i="1" s="1"/>
  <c r="N492" i="1" s="1"/>
  <c r="N493" i="1" s="1"/>
  <c r="N494" i="1" s="1"/>
  <c r="N495" i="1" s="1"/>
  <c r="N496" i="1" s="1"/>
  <c r="N497" i="1" s="1"/>
  <c r="N498" i="1" s="1"/>
  <c r="N499" i="1" s="1"/>
  <c r="N500" i="1" s="1"/>
  <c r="N501" i="1" s="1"/>
  <c r="N502" i="1" s="1"/>
  <c r="N503" i="1" s="1"/>
  <c r="N504" i="1" s="1"/>
  <c r="N505" i="1" s="1"/>
  <c r="N506" i="1" s="1"/>
  <c r="N507" i="1" s="1"/>
  <c r="N508" i="1" s="1"/>
  <c r="N509" i="1" s="1"/>
  <c r="N510" i="1" s="1"/>
  <c r="N511" i="1" s="1"/>
  <c r="N512" i="1" s="1"/>
  <c r="N513" i="1" s="1"/>
  <c r="N514" i="1" s="1"/>
  <c r="N515" i="1" s="1"/>
  <c r="N516" i="1" s="1"/>
  <c r="N517" i="1" s="1"/>
  <c r="N518" i="1" s="1"/>
  <c r="N519" i="1" s="1"/>
  <c r="N520" i="1" s="1"/>
  <c r="N521" i="1" s="1"/>
  <c r="N522" i="1" s="1"/>
  <c r="N523" i="1" s="1"/>
  <c r="N524" i="1" s="1"/>
  <c r="N525" i="1" s="1"/>
  <c r="N526" i="1" s="1"/>
  <c r="N527" i="1" s="1"/>
  <c r="N528" i="1" s="1"/>
  <c r="N529" i="1" s="1"/>
  <c r="N530" i="1" s="1"/>
  <c r="N531" i="1" s="1"/>
  <c r="N532" i="1" s="1"/>
  <c r="N533" i="1" s="1"/>
  <c r="N534" i="1" s="1"/>
  <c r="N535" i="1" s="1"/>
  <c r="N536" i="1" s="1"/>
  <c r="N537" i="1" s="1"/>
  <c r="N538" i="1" s="1"/>
  <c r="N539" i="1" s="1"/>
  <c r="N540" i="1" s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N552" i="1" s="1"/>
  <c r="N553" i="1" s="1"/>
  <c r="N554" i="1" s="1"/>
  <c r="N555" i="1" s="1"/>
  <c r="N556" i="1" s="1"/>
  <c r="N557" i="1" s="1"/>
  <c r="N558" i="1" s="1"/>
  <c r="N559" i="1" s="1"/>
  <c r="N560" i="1" s="1"/>
  <c r="N561" i="1" s="1"/>
  <c r="N562" i="1" s="1"/>
  <c r="N563" i="1" s="1"/>
  <c r="N564" i="1" s="1"/>
  <c r="N565" i="1" s="1"/>
  <c r="N566" i="1" s="1"/>
  <c r="N567" i="1" s="1"/>
  <c r="N568" i="1" s="1"/>
  <c r="N569" i="1" s="1"/>
  <c r="N570" i="1" s="1"/>
  <c r="N571" i="1" s="1"/>
  <c r="N572" i="1" s="1"/>
  <c r="N573" i="1" s="1"/>
  <c r="N574" i="1" s="1"/>
  <c r="N575" i="1" s="1"/>
  <c r="N576" i="1" s="1"/>
  <c r="N577" i="1" s="1"/>
  <c r="N578" i="1" s="1"/>
  <c r="N579" i="1" s="1"/>
  <c r="N580" i="1" s="1"/>
  <c r="N581" i="1" s="1"/>
  <c r="N582" i="1" s="1"/>
  <c r="N583" i="1" s="1"/>
  <c r="N584" i="1" s="1"/>
  <c r="N585" i="1" s="1"/>
  <c r="N586" i="1" s="1"/>
  <c r="N587" i="1" s="1"/>
  <c r="N588" i="1" s="1"/>
  <c r="N589" i="1" s="1"/>
  <c r="N590" i="1" s="1"/>
  <c r="N591" i="1" s="1"/>
  <c r="N592" i="1" s="1"/>
  <c r="N593" i="1" s="1"/>
  <c r="N594" i="1" s="1"/>
  <c r="N595" i="1" s="1"/>
  <c r="N596" i="1" s="1"/>
  <c r="N597" i="1" s="1"/>
  <c r="N598" i="1" s="1"/>
  <c r="N599" i="1" s="1"/>
  <c r="N600" i="1" s="1"/>
  <c r="N601" i="1" s="1"/>
  <c r="N602" i="1" s="1"/>
  <c r="N603" i="1" s="1"/>
  <c r="N604" i="1" s="1"/>
  <c r="N605" i="1" s="1"/>
  <c r="N606" i="1" s="1"/>
  <c r="N607" i="1" s="1"/>
  <c r="N608" i="1" s="1"/>
  <c r="N609" i="1" s="1"/>
  <c r="N610" i="1" s="1"/>
  <c r="N611" i="1" s="1"/>
  <c r="N612" i="1" s="1"/>
  <c r="N613" i="1" s="1"/>
  <c r="N614" i="1" s="1"/>
  <c r="N615" i="1" s="1"/>
  <c r="N616" i="1" s="1"/>
  <c r="N617" i="1" s="1"/>
  <c r="N618" i="1" s="1"/>
  <c r="N619" i="1" s="1"/>
  <c r="N620" i="1" s="1"/>
  <c r="N621" i="1" s="1"/>
  <c r="N622" i="1" s="1"/>
  <c r="N623" i="1" s="1"/>
  <c r="N624" i="1" s="1"/>
  <c r="N625" i="1" s="1"/>
  <c r="N626" i="1" s="1"/>
  <c r="N627" i="1" s="1"/>
  <c r="N628" i="1" s="1"/>
  <c r="N629" i="1" s="1"/>
  <c r="N630" i="1" s="1"/>
  <c r="N631" i="1" s="1"/>
  <c r="N632" i="1" s="1"/>
  <c r="N633" i="1" s="1"/>
  <c r="N634" i="1" s="1"/>
  <c r="N635" i="1" s="1"/>
  <c r="N636" i="1" s="1"/>
  <c r="N637" i="1" s="1"/>
  <c r="N638" i="1" s="1"/>
  <c r="N639" i="1" s="1"/>
  <c r="N640" i="1" s="1"/>
  <c r="N641" i="1" s="1"/>
  <c r="N642" i="1" s="1"/>
  <c r="N643" i="1" s="1"/>
  <c r="N644" i="1" s="1"/>
  <c r="N645" i="1" s="1"/>
  <c r="N646" i="1" s="1"/>
  <c r="N647" i="1" s="1"/>
  <c r="N648" i="1" s="1"/>
  <c r="N649" i="1" s="1"/>
  <c r="N650" i="1" s="1"/>
  <c r="N651" i="1" s="1"/>
  <c r="N652" i="1" s="1"/>
  <c r="N653" i="1" s="1"/>
  <c r="N654" i="1" s="1"/>
  <c r="N655" i="1" s="1"/>
  <c r="N656" i="1" s="1"/>
  <c r="N657" i="1" s="1"/>
  <c r="N658" i="1" s="1"/>
  <c r="N659" i="1" s="1"/>
  <c r="N660" i="1" s="1"/>
  <c r="N661" i="1" s="1"/>
  <c r="N662" i="1" s="1"/>
  <c r="N663" i="1" s="1"/>
  <c r="N664" i="1" s="1"/>
  <c r="N665" i="1" s="1"/>
  <c r="N666" i="1" s="1"/>
  <c r="N667" i="1" s="1"/>
  <c r="N668" i="1" s="1"/>
  <c r="N669" i="1" s="1"/>
  <c r="N670" i="1" s="1"/>
  <c r="N671" i="1" s="1"/>
  <c r="N672" i="1" s="1"/>
  <c r="N673" i="1" s="1"/>
  <c r="N674" i="1" s="1"/>
  <c r="N675" i="1" s="1"/>
  <c r="N676" i="1" s="1"/>
  <c r="N677" i="1" s="1"/>
  <c r="N678" i="1" s="1"/>
  <c r="N679" i="1" s="1"/>
  <c r="N680" i="1" s="1"/>
  <c r="N681" i="1" s="1"/>
  <c r="N682" i="1" s="1"/>
  <c r="N683" i="1" s="1"/>
  <c r="N684" i="1" s="1"/>
  <c r="N685" i="1" s="1"/>
  <c r="N686" i="1" s="1"/>
  <c r="N687" i="1" s="1"/>
  <c r="N688" i="1" s="1"/>
  <c r="N689" i="1" s="1"/>
  <c r="N690" i="1" s="1"/>
  <c r="N691" i="1" s="1"/>
  <c r="N692" i="1" s="1"/>
  <c r="N693" i="1" s="1"/>
  <c r="N694" i="1" s="1"/>
  <c r="N695" i="1" s="1"/>
  <c r="N696" i="1" s="1"/>
  <c r="N697" i="1" s="1"/>
  <c r="N698" i="1" s="1"/>
  <c r="N699" i="1" s="1"/>
  <c r="N700" i="1" s="1"/>
  <c r="N701" i="1" s="1"/>
  <c r="N702" i="1" s="1"/>
  <c r="N703" i="1" s="1"/>
  <c r="N704" i="1" s="1"/>
  <c r="N705" i="1" s="1"/>
  <c r="N706" i="1" s="1"/>
  <c r="N707" i="1" s="1"/>
  <c r="N708" i="1" s="1"/>
  <c r="N709" i="1" s="1"/>
  <c r="N710" i="1" s="1"/>
  <c r="N711" i="1" s="1"/>
  <c r="N712" i="1" s="1"/>
  <c r="N713" i="1" s="1"/>
  <c r="N714" i="1" s="1"/>
  <c r="N715" i="1" s="1"/>
  <c r="N716" i="1" s="1"/>
  <c r="N717" i="1" s="1"/>
  <c r="N718" i="1" s="1"/>
  <c r="N719" i="1" s="1"/>
  <c r="N720" i="1" s="1"/>
  <c r="N721" i="1" s="1"/>
  <c r="N722" i="1" s="1"/>
  <c r="N723" i="1" s="1"/>
  <c r="N724" i="1" s="1"/>
  <c r="N725" i="1" s="1"/>
  <c r="N726" i="1" s="1"/>
  <c r="N727" i="1" s="1"/>
  <c r="N728" i="1" s="1"/>
  <c r="N729" i="1" s="1"/>
  <c r="N730" i="1" s="1"/>
  <c r="N731" i="1" s="1"/>
  <c r="N732" i="1" s="1"/>
  <c r="N733" i="1" s="1"/>
  <c r="N734" i="1" s="1"/>
  <c r="N735" i="1" s="1"/>
  <c r="N736" i="1" s="1"/>
  <c r="N737" i="1" s="1"/>
  <c r="N738" i="1" s="1"/>
  <c r="N739" i="1" s="1"/>
  <c r="N740" i="1" s="1"/>
  <c r="N741" i="1" s="1"/>
  <c r="N742" i="1" s="1"/>
  <c r="N743" i="1" s="1"/>
  <c r="N744" i="1" s="1"/>
  <c r="N745" i="1" s="1"/>
  <c r="N746" i="1" s="1"/>
  <c r="N747" i="1" s="1"/>
  <c r="N748" i="1" s="1"/>
  <c r="N749" i="1" s="1"/>
  <c r="N750" i="1" s="1"/>
  <c r="N751" i="1" s="1"/>
  <c r="N752" i="1" s="1"/>
  <c r="N753" i="1" s="1"/>
  <c r="N754" i="1" s="1"/>
  <c r="N755" i="1" s="1"/>
  <c r="N756" i="1" s="1"/>
  <c r="N757" i="1" s="1"/>
  <c r="N758" i="1" s="1"/>
  <c r="N759" i="1" s="1"/>
  <c r="N760" i="1" s="1"/>
  <c r="N761" i="1" s="1"/>
  <c r="N762" i="1" s="1"/>
  <c r="N763" i="1" s="1"/>
  <c r="N764" i="1" s="1"/>
  <c r="N765" i="1" s="1"/>
  <c r="N766" i="1" s="1"/>
  <c r="N767" i="1" s="1"/>
  <c r="N768" i="1" s="1"/>
  <c r="N769" i="1" s="1"/>
  <c r="N770" i="1" s="1"/>
  <c r="N771" i="1" s="1"/>
  <c r="N772" i="1" s="1"/>
  <c r="N773" i="1" s="1"/>
  <c r="N774" i="1" s="1"/>
  <c r="N775" i="1" s="1"/>
  <c r="N776" i="1" s="1"/>
  <c r="N777" i="1" s="1"/>
  <c r="N778" i="1" s="1"/>
  <c r="N779" i="1" s="1"/>
  <c r="N780" i="1" s="1"/>
  <c r="N781" i="1" s="1"/>
  <c r="N782" i="1" s="1"/>
  <c r="N783" i="1" s="1"/>
  <c r="N784" i="1" s="1"/>
  <c r="N785" i="1" s="1"/>
  <c r="N786" i="1" s="1"/>
  <c r="N787" i="1" s="1"/>
  <c r="N788" i="1" s="1"/>
  <c r="N789" i="1" s="1"/>
  <c r="N790" i="1" s="1"/>
  <c r="N791" i="1" s="1"/>
  <c r="N792" i="1" s="1"/>
  <c r="N793" i="1" s="1"/>
  <c r="N794" i="1" s="1"/>
  <c r="N795" i="1" s="1"/>
  <c r="N796" i="1" s="1"/>
  <c r="N797" i="1" s="1"/>
  <c r="N798" i="1" s="1"/>
  <c r="N799" i="1" s="1"/>
  <c r="N800" i="1" s="1"/>
  <c r="N801" i="1" s="1"/>
  <c r="N802" i="1" s="1"/>
  <c r="N803" i="1" s="1"/>
  <c r="N804" i="1" s="1"/>
  <c r="N805" i="1" s="1"/>
  <c r="N806" i="1" s="1"/>
  <c r="N807" i="1" s="1"/>
  <c r="N808" i="1" s="1"/>
  <c r="N809" i="1" s="1"/>
  <c r="N810" i="1" s="1"/>
  <c r="N811" i="1" s="1"/>
  <c r="N812" i="1" s="1"/>
  <c r="N813" i="1" s="1"/>
  <c r="N814" i="1" s="1"/>
  <c r="N815" i="1" s="1"/>
  <c r="N816" i="1" s="1"/>
  <c r="N817" i="1" s="1"/>
  <c r="N818" i="1" s="1"/>
  <c r="N819" i="1" s="1"/>
  <c r="N820" i="1" s="1"/>
  <c r="N821" i="1" s="1"/>
  <c r="N822" i="1" s="1"/>
  <c r="N823" i="1" s="1"/>
  <c r="N824" i="1" s="1"/>
  <c r="N825" i="1" s="1"/>
  <c r="N826" i="1" s="1"/>
  <c r="N827" i="1" s="1"/>
  <c r="N828" i="1" s="1"/>
  <c r="N829" i="1" s="1"/>
  <c r="N830" i="1" s="1"/>
  <c r="N831" i="1" s="1"/>
  <c r="N832" i="1" s="1"/>
  <c r="N833" i="1" s="1"/>
  <c r="N834" i="1" s="1"/>
  <c r="N835" i="1" s="1"/>
  <c r="N836" i="1" s="1"/>
  <c r="N837" i="1" s="1"/>
  <c r="N838" i="1" s="1"/>
  <c r="N839" i="1" s="1"/>
  <c r="N840" i="1" s="1"/>
  <c r="N841" i="1" s="1"/>
  <c r="N842" i="1" s="1"/>
  <c r="N843" i="1" s="1"/>
  <c r="N844" i="1" s="1"/>
  <c r="N845" i="1" s="1"/>
  <c r="N846" i="1" s="1"/>
  <c r="N847" i="1" s="1"/>
  <c r="N848" i="1" s="1"/>
  <c r="N849" i="1" s="1"/>
  <c r="N850" i="1" s="1"/>
  <c r="N851" i="1" s="1"/>
  <c r="N852" i="1" s="1"/>
  <c r="N853" i="1" s="1"/>
  <c r="N854" i="1" s="1"/>
  <c r="N855" i="1" s="1"/>
  <c r="N856" i="1" s="1"/>
  <c r="N857" i="1" s="1"/>
  <c r="N858" i="1" s="1"/>
  <c r="N859" i="1" s="1"/>
  <c r="N860" i="1" s="1"/>
  <c r="N861" i="1" s="1"/>
  <c r="N862" i="1" s="1"/>
  <c r="N863" i="1" s="1"/>
  <c r="N864" i="1" s="1"/>
  <c r="N865" i="1" s="1"/>
  <c r="N866" i="1" s="1"/>
  <c r="N867" i="1" s="1"/>
  <c r="N868" i="1" s="1"/>
  <c r="N869" i="1" s="1"/>
  <c r="N870" i="1" s="1"/>
  <c r="N871" i="1" s="1"/>
  <c r="N872" i="1" s="1"/>
  <c r="N873" i="1" s="1"/>
  <c r="N874" i="1" s="1"/>
  <c r="N875" i="1" s="1"/>
  <c r="N876" i="1" s="1"/>
  <c r="N877" i="1" s="1"/>
  <c r="N878" i="1" s="1"/>
  <c r="N879" i="1" s="1"/>
  <c r="N880" i="1" s="1"/>
  <c r="N881" i="1" s="1"/>
  <c r="N882" i="1" s="1"/>
  <c r="N883" i="1" s="1"/>
  <c r="N884" i="1" s="1"/>
  <c r="N885" i="1" s="1"/>
  <c r="N886" i="1" s="1"/>
  <c r="N887" i="1" s="1"/>
  <c r="N888" i="1" s="1"/>
  <c r="N889" i="1" s="1"/>
  <c r="N890" i="1" s="1"/>
  <c r="N891" i="1" s="1"/>
  <c r="N892" i="1" s="1"/>
  <c r="N893" i="1" s="1"/>
  <c r="N894" i="1" s="1"/>
  <c r="N895" i="1" s="1"/>
  <c r="N896" i="1" s="1"/>
  <c r="N897" i="1" s="1"/>
  <c r="N898" i="1" s="1"/>
  <c r="N899" i="1" s="1"/>
  <c r="N900" i="1" s="1"/>
  <c r="N901" i="1" s="1"/>
  <c r="N902" i="1" s="1"/>
  <c r="N903" i="1" s="1"/>
  <c r="N904" i="1" s="1"/>
  <c r="N905" i="1" s="1"/>
  <c r="N906" i="1" s="1"/>
  <c r="N907" i="1" s="1"/>
  <c r="N908" i="1" s="1"/>
  <c r="N909" i="1" s="1"/>
  <c r="N910" i="1" s="1"/>
  <c r="N911" i="1" s="1"/>
  <c r="N912" i="1" s="1"/>
  <c r="N913" i="1" s="1"/>
  <c r="N914" i="1" s="1"/>
  <c r="N915" i="1" s="1"/>
  <c r="N916" i="1" s="1"/>
  <c r="N917" i="1" s="1"/>
  <c r="N918" i="1" s="1"/>
  <c r="N919" i="1" s="1"/>
  <c r="N920" i="1" s="1"/>
  <c r="N921" i="1" s="1"/>
  <c r="N922" i="1" s="1"/>
  <c r="N923" i="1" s="1"/>
  <c r="N924" i="1" s="1"/>
  <c r="N925" i="1" s="1"/>
  <c r="N926" i="1" s="1"/>
  <c r="N927" i="1" s="1"/>
  <c r="N928" i="1" s="1"/>
  <c r="N929" i="1" s="1"/>
  <c r="N930" i="1" s="1"/>
  <c r="N931" i="1" s="1"/>
  <c r="N932" i="1" s="1"/>
  <c r="N933" i="1" s="1"/>
  <c r="N934" i="1" s="1"/>
  <c r="N935" i="1" s="1"/>
  <c r="N936" i="1" s="1"/>
  <c r="N937" i="1" s="1"/>
  <c r="N938" i="1" s="1"/>
  <c r="N939" i="1" s="1"/>
  <c r="N940" i="1" s="1"/>
  <c r="N941" i="1" s="1"/>
  <c r="N942" i="1" s="1"/>
  <c r="N943" i="1" s="1"/>
  <c r="N944" i="1" s="1"/>
  <c r="N945" i="1" s="1"/>
  <c r="N946" i="1" s="1"/>
  <c r="N947" i="1" s="1"/>
  <c r="N948" i="1" s="1"/>
  <c r="N949" i="1" s="1"/>
  <c r="N950" i="1" s="1"/>
  <c r="N951" i="1" s="1"/>
  <c r="N952" i="1" s="1"/>
  <c r="N953" i="1" s="1"/>
  <c r="N954" i="1" s="1"/>
  <c r="N955" i="1" s="1"/>
  <c r="N956" i="1" s="1"/>
  <c r="N957" i="1" s="1"/>
  <c r="N958" i="1" s="1"/>
  <c r="N959" i="1" s="1"/>
  <c r="N960" i="1" s="1"/>
  <c r="N961" i="1" s="1"/>
  <c r="N962" i="1" s="1"/>
  <c r="N963" i="1" s="1"/>
  <c r="N964" i="1" s="1"/>
  <c r="N965" i="1" s="1"/>
  <c r="N966" i="1" s="1"/>
  <c r="N967" i="1" s="1"/>
  <c r="N968" i="1" s="1"/>
  <c r="N969" i="1" s="1"/>
  <c r="N970" i="1" s="1"/>
  <c r="N971" i="1" s="1"/>
  <c r="N972" i="1" s="1"/>
  <c r="N973" i="1" s="1"/>
  <c r="N974" i="1" s="1"/>
  <c r="N975" i="1" s="1"/>
  <c r="N976" i="1" s="1"/>
  <c r="N977" i="1" s="1"/>
  <c r="N978" i="1" s="1"/>
  <c r="N979" i="1" s="1"/>
  <c r="N980" i="1" s="1"/>
  <c r="N981" i="1" s="1"/>
  <c r="N982" i="1" s="1"/>
  <c r="N983" i="1" s="1"/>
  <c r="N984" i="1" s="1"/>
  <c r="N985" i="1" s="1"/>
  <c r="N986" i="1" s="1"/>
  <c r="N987" i="1" s="1"/>
  <c r="N988" i="1" s="1"/>
  <c r="N989" i="1" s="1"/>
  <c r="N990" i="1" s="1"/>
  <c r="N991" i="1" s="1"/>
  <c r="N992" i="1" s="1"/>
  <c r="N993" i="1" s="1"/>
  <c r="N994" i="1" s="1"/>
  <c r="N995" i="1" s="1"/>
  <c r="N996" i="1" s="1"/>
  <c r="N997" i="1" s="1"/>
  <c r="N998" i="1" s="1"/>
  <c r="N999" i="1" s="1"/>
  <c r="N1000" i="1" s="1"/>
  <c r="N1001" i="1" s="1"/>
  <c r="N1002" i="1" s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70" i="1" s="1"/>
  <c r="O271" i="1" s="1"/>
  <c r="O272" i="1" s="1"/>
  <c r="O273" i="1" s="1"/>
  <c r="O274" i="1" s="1"/>
  <c r="O275" i="1" s="1"/>
  <c r="O276" i="1" s="1"/>
  <c r="O277" i="1" s="1"/>
  <c r="O278" i="1" s="1"/>
  <c r="O279" i="1" s="1"/>
  <c r="O280" i="1" s="1"/>
  <c r="O281" i="1" s="1"/>
  <c r="O282" i="1" s="1"/>
  <c r="O283" i="1" s="1"/>
  <c r="O284" i="1" s="1"/>
  <c r="O285" i="1" s="1"/>
  <c r="O286" i="1" s="1"/>
  <c r="O287" i="1" s="1"/>
  <c r="O288" i="1" s="1"/>
  <c r="O289" i="1" s="1"/>
  <c r="O290" i="1" s="1"/>
  <c r="O291" i="1" s="1"/>
  <c r="O292" i="1" s="1"/>
  <c r="O293" i="1" s="1"/>
  <c r="O294" i="1" s="1"/>
  <c r="O295" i="1" s="1"/>
  <c r="O296" i="1" s="1"/>
  <c r="O297" i="1" s="1"/>
  <c r="O298" i="1" s="1"/>
  <c r="O299" i="1" s="1"/>
  <c r="O300" i="1" s="1"/>
  <c r="O301" i="1" s="1"/>
  <c r="O302" i="1" s="1"/>
  <c r="O303" i="1" s="1"/>
  <c r="O304" i="1" s="1"/>
  <c r="O305" i="1" s="1"/>
  <c r="O306" i="1" s="1"/>
  <c r="O307" i="1" s="1"/>
  <c r="O308" i="1" s="1"/>
  <c r="O309" i="1" s="1"/>
  <c r="O310" i="1" s="1"/>
  <c r="O311" i="1" s="1"/>
  <c r="O312" i="1" s="1"/>
  <c r="O313" i="1" s="1"/>
  <c r="O314" i="1" s="1"/>
  <c r="O315" i="1" s="1"/>
  <c r="O316" i="1" s="1"/>
  <c r="O317" i="1" s="1"/>
  <c r="O318" i="1" s="1"/>
  <c r="O319" i="1" s="1"/>
  <c r="O320" i="1" s="1"/>
  <c r="O321" i="1" s="1"/>
  <c r="O322" i="1" s="1"/>
  <c r="O323" i="1" s="1"/>
  <c r="O324" i="1" s="1"/>
  <c r="O325" i="1" s="1"/>
  <c r="O326" i="1" s="1"/>
  <c r="O327" i="1" s="1"/>
  <c r="O328" i="1" s="1"/>
  <c r="O329" i="1" s="1"/>
  <c r="O330" i="1" s="1"/>
  <c r="O331" i="1" s="1"/>
  <c r="O332" i="1" s="1"/>
  <c r="O333" i="1" s="1"/>
  <c r="O334" i="1" s="1"/>
  <c r="O335" i="1" s="1"/>
  <c r="O336" i="1" s="1"/>
  <c r="O337" i="1" s="1"/>
  <c r="O338" i="1" s="1"/>
  <c r="O339" i="1" s="1"/>
  <c r="O340" i="1" s="1"/>
  <c r="O341" i="1" s="1"/>
  <c r="O342" i="1" s="1"/>
  <c r="O343" i="1" s="1"/>
  <c r="O344" i="1" s="1"/>
  <c r="O345" i="1" s="1"/>
  <c r="O346" i="1" s="1"/>
  <c r="O347" i="1" s="1"/>
  <c r="O348" i="1" s="1"/>
  <c r="O349" i="1" s="1"/>
  <c r="O350" i="1" s="1"/>
  <c r="O351" i="1" s="1"/>
  <c r="O352" i="1" s="1"/>
  <c r="O353" i="1" s="1"/>
  <c r="O354" i="1" s="1"/>
  <c r="O355" i="1" s="1"/>
  <c r="O356" i="1" s="1"/>
  <c r="O357" i="1" s="1"/>
  <c r="O358" i="1" s="1"/>
  <c r="O359" i="1" s="1"/>
  <c r="O360" i="1" s="1"/>
  <c r="O361" i="1" s="1"/>
  <c r="O362" i="1" s="1"/>
  <c r="O363" i="1" s="1"/>
  <c r="O364" i="1" s="1"/>
  <c r="O365" i="1" s="1"/>
  <c r="O366" i="1" s="1"/>
  <c r="O367" i="1" s="1"/>
  <c r="O368" i="1" s="1"/>
  <c r="O369" i="1" s="1"/>
  <c r="O370" i="1" s="1"/>
  <c r="O371" i="1" s="1"/>
  <c r="O372" i="1" s="1"/>
  <c r="O373" i="1" s="1"/>
  <c r="O374" i="1" s="1"/>
  <c r="O375" i="1" s="1"/>
  <c r="O376" i="1" s="1"/>
  <c r="O377" i="1" s="1"/>
  <c r="O378" i="1" s="1"/>
  <c r="O379" i="1" s="1"/>
  <c r="O380" i="1" s="1"/>
  <c r="O381" i="1" s="1"/>
  <c r="O382" i="1" s="1"/>
  <c r="O383" i="1" s="1"/>
  <c r="O384" i="1" s="1"/>
  <c r="O385" i="1" s="1"/>
  <c r="O386" i="1" s="1"/>
  <c r="O387" i="1" s="1"/>
  <c r="O388" i="1" s="1"/>
  <c r="O389" i="1" s="1"/>
  <c r="O390" i="1" s="1"/>
  <c r="O391" i="1" s="1"/>
  <c r="O392" i="1" s="1"/>
  <c r="O393" i="1" s="1"/>
  <c r="O394" i="1" s="1"/>
  <c r="O395" i="1" s="1"/>
  <c r="O396" i="1" s="1"/>
  <c r="O397" i="1" s="1"/>
  <c r="O398" i="1" s="1"/>
  <c r="O399" i="1" s="1"/>
  <c r="O400" i="1" s="1"/>
  <c r="O401" i="1" s="1"/>
  <c r="O402" i="1" s="1"/>
  <c r="O403" i="1" s="1"/>
  <c r="O404" i="1" s="1"/>
  <c r="O405" i="1" s="1"/>
  <c r="O406" i="1" s="1"/>
  <c r="O407" i="1" s="1"/>
  <c r="O408" i="1" s="1"/>
  <c r="O409" i="1" s="1"/>
  <c r="O410" i="1" s="1"/>
  <c r="O411" i="1" s="1"/>
  <c r="O412" i="1" s="1"/>
  <c r="O413" i="1" s="1"/>
  <c r="O414" i="1" s="1"/>
  <c r="O415" i="1" s="1"/>
  <c r="O416" i="1" s="1"/>
  <c r="O417" i="1" s="1"/>
  <c r="O418" i="1" s="1"/>
  <c r="O419" i="1" s="1"/>
  <c r="O420" i="1" s="1"/>
  <c r="O421" i="1" s="1"/>
  <c r="O422" i="1" s="1"/>
  <c r="O423" i="1" s="1"/>
  <c r="O424" i="1" s="1"/>
  <c r="O425" i="1" s="1"/>
  <c r="O426" i="1" s="1"/>
  <c r="O427" i="1" s="1"/>
  <c r="O428" i="1" s="1"/>
  <c r="O429" i="1" s="1"/>
  <c r="O430" i="1" s="1"/>
  <c r="O431" i="1" s="1"/>
  <c r="O432" i="1" s="1"/>
  <c r="O433" i="1" s="1"/>
  <c r="O434" i="1" s="1"/>
  <c r="O435" i="1" s="1"/>
  <c r="O436" i="1" s="1"/>
  <c r="O437" i="1" s="1"/>
  <c r="O438" i="1" s="1"/>
  <c r="O439" i="1" s="1"/>
  <c r="O440" i="1" s="1"/>
  <c r="O441" i="1" s="1"/>
  <c r="O442" i="1" s="1"/>
  <c r="O443" i="1" s="1"/>
  <c r="O444" i="1" s="1"/>
  <c r="O445" i="1" s="1"/>
  <c r="O446" i="1" s="1"/>
  <c r="O447" i="1" s="1"/>
  <c r="O448" i="1" s="1"/>
  <c r="O449" i="1" s="1"/>
  <c r="O450" i="1" s="1"/>
  <c r="O451" i="1" s="1"/>
  <c r="O452" i="1" s="1"/>
  <c r="O453" i="1" s="1"/>
  <c r="O454" i="1" s="1"/>
  <c r="O455" i="1" s="1"/>
  <c r="O456" i="1" s="1"/>
  <c r="O457" i="1" s="1"/>
  <c r="O458" i="1" s="1"/>
  <c r="O459" i="1" s="1"/>
  <c r="O460" i="1" s="1"/>
  <c r="O461" i="1" s="1"/>
  <c r="O462" i="1" s="1"/>
  <c r="O463" i="1" s="1"/>
  <c r="O464" i="1" s="1"/>
  <c r="O465" i="1" s="1"/>
  <c r="O466" i="1" s="1"/>
  <c r="O467" i="1" s="1"/>
  <c r="O468" i="1" s="1"/>
  <c r="O469" i="1" s="1"/>
  <c r="O470" i="1" s="1"/>
  <c r="O471" i="1" s="1"/>
  <c r="O472" i="1" s="1"/>
  <c r="O473" i="1" s="1"/>
  <c r="O474" i="1" s="1"/>
  <c r="O475" i="1" s="1"/>
  <c r="O476" i="1" s="1"/>
  <c r="O477" i="1" s="1"/>
  <c r="O478" i="1" s="1"/>
  <c r="O479" i="1" s="1"/>
  <c r="O480" i="1" s="1"/>
  <c r="O481" i="1" s="1"/>
  <c r="O482" i="1" s="1"/>
  <c r="O483" i="1" s="1"/>
  <c r="O484" i="1" s="1"/>
  <c r="O485" i="1" s="1"/>
  <c r="O486" i="1" s="1"/>
  <c r="O487" i="1" s="1"/>
  <c r="O488" i="1" s="1"/>
  <c r="O489" i="1" s="1"/>
  <c r="O490" i="1" s="1"/>
  <c r="O491" i="1" s="1"/>
  <c r="O492" i="1" s="1"/>
  <c r="O493" i="1" s="1"/>
  <c r="O494" i="1" s="1"/>
  <c r="O495" i="1" s="1"/>
  <c r="O496" i="1" s="1"/>
  <c r="O497" i="1" s="1"/>
  <c r="O498" i="1" s="1"/>
  <c r="O499" i="1" s="1"/>
  <c r="O500" i="1" s="1"/>
  <c r="O501" i="1" s="1"/>
  <c r="O502" i="1" s="1"/>
  <c r="O503" i="1" s="1"/>
  <c r="O504" i="1" s="1"/>
  <c r="O505" i="1" s="1"/>
  <c r="O506" i="1" s="1"/>
  <c r="O507" i="1" s="1"/>
  <c r="O508" i="1" s="1"/>
  <c r="O509" i="1" s="1"/>
  <c r="O510" i="1" s="1"/>
  <c r="O511" i="1" s="1"/>
  <c r="O512" i="1" s="1"/>
  <c r="O513" i="1" s="1"/>
  <c r="O514" i="1" s="1"/>
  <c r="O515" i="1" s="1"/>
  <c r="O516" i="1" s="1"/>
  <c r="O517" i="1" s="1"/>
  <c r="O518" i="1" s="1"/>
  <c r="O519" i="1" s="1"/>
  <c r="O520" i="1" s="1"/>
  <c r="O521" i="1" s="1"/>
  <c r="O522" i="1" s="1"/>
  <c r="O523" i="1" s="1"/>
  <c r="O524" i="1" s="1"/>
  <c r="O525" i="1" s="1"/>
  <c r="O526" i="1" s="1"/>
  <c r="O527" i="1" s="1"/>
  <c r="O528" i="1" s="1"/>
  <c r="O529" i="1" s="1"/>
  <c r="O530" i="1" s="1"/>
  <c r="O531" i="1" s="1"/>
  <c r="O532" i="1" s="1"/>
  <c r="O533" i="1" s="1"/>
  <c r="O534" i="1" s="1"/>
  <c r="O535" i="1" s="1"/>
  <c r="O536" i="1" s="1"/>
  <c r="O537" i="1" s="1"/>
  <c r="O538" i="1" s="1"/>
  <c r="O539" i="1" s="1"/>
  <c r="O540" i="1" s="1"/>
  <c r="O541" i="1" s="1"/>
  <c r="O542" i="1" s="1"/>
  <c r="O543" i="1" s="1"/>
  <c r="O544" i="1" s="1"/>
  <c r="O545" i="1" s="1"/>
  <c r="O546" i="1" s="1"/>
  <c r="O547" i="1" s="1"/>
  <c r="O548" i="1" s="1"/>
  <c r="O549" i="1" s="1"/>
  <c r="O550" i="1" s="1"/>
  <c r="O551" i="1" s="1"/>
  <c r="O552" i="1" s="1"/>
  <c r="O553" i="1" s="1"/>
  <c r="O554" i="1" s="1"/>
  <c r="O555" i="1" s="1"/>
  <c r="O556" i="1" s="1"/>
  <c r="O557" i="1" s="1"/>
  <c r="O558" i="1" s="1"/>
  <c r="O559" i="1" s="1"/>
  <c r="O560" i="1" s="1"/>
  <c r="O561" i="1" s="1"/>
  <c r="O562" i="1" s="1"/>
  <c r="O563" i="1" s="1"/>
  <c r="O564" i="1" s="1"/>
  <c r="O565" i="1" s="1"/>
  <c r="O566" i="1" s="1"/>
  <c r="O567" i="1" s="1"/>
  <c r="O568" i="1" s="1"/>
  <c r="O569" i="1" s="1"/>
  <c r="O570" i="1" s="1"/>
  <c r="O571" i="1" s="1"/>
  <c r="O572" i="1" s="1"/>
  <c r="O573" i="1" s="1"/>
  <c r="O574" i="1" s="1"/>
  <c r="O575" i="1" s="1"/>
  <c r="O576" i="1" s="1"/>
  <c r="O577" i="1" s="1"/>
  <c r="O578" i="1" s="1"/>
  <c r="O579" i="1" s="1"/>
  <c r="O580" i="1" s="1"/>
  <c r="O581" i="1" s="1"/>
  <c r="O582" i="1" s="1"/>
  <c r="O583" i="1" s="1"/>
  <c r="O584" i="1" s="1"/>
  <c r="O585" i="1" s="1"/>
  <c r="O586" i="1" s="1"/>
  <c r="O587" i="1" s="1"/>
  <c r="O588" i="1" s="1"/>
  <c r="O589" i="1" s="1"/>
  <c r="O590" i="1" s="1"/>
  <c r="O591" i="1" s="1"/>
  <c r="O592" i="1" s="1"/>
  <c r="O593" i="1" s="1"/>
  <c r="O594" i="1" s="1"/>
  <c r="O595" i="1" s="1"/>
  <c r="O596" i="1" s="1"/>
  <c r="O597" i="1" s="1"/>
  <c r="O598" i="1" s="1"/>
  <c r="O599" i="1" s="1"/>
  <c r="O600" i="1" s="1"/>
  <c r="O601" i="1" s="1"/>
  <c r="O602" i="1" s="1"/>
  <c r="O603" i="1" s="1"/>
  <c r="O604" i="1" s="1"/>
  <c r="O605" i="1" s="1"/>
  <c r="O606" i="1" s="1"/>
  <c r="O607" i="1" s="1"/>
  <c r="O608" i="1" s="1"/>
  <c r="O609" i="1" s="1"/>
  <c r="O610" i="1" s="1"/>
  <c r="O611" i="1" s="1"/>
  <c r="O612" i="1" s="1"/>
  <c r="O613" i="1" s="1"/>
  <c r="O614" i="1" s="1"/>
  <c r="O615" i="1" s="1"/>
  <c r="O616" i="1" s="1"/>
  <c r="O617" i="1" s="1"/>
  <c r="O618" i="1" s="1"/>
  <c r="O619" i="1" s="1"/>
  <c r="O620" i="1" s="1"/>
  <c r="O621" i="1" s="1"/>
  <c r="O622" i="1" s="1"/>
  <c r="O623" i="1" s="1"/>
  <c r="O624" i="1" s="1"/>
  <c r="O625" i="1" s="1"/>
  <c r="O626" i="1" s="1"/>
  <c r="O627" i="1" s="1"/>
  <c r="O628" i="1" s="1"/>
  <c r="O629" i="1" s="1"/>
  <c r="O630" i="1" s="1"/>
  <c r="O631" i="1" s="1"/>
  <c r="O632" i="1" s="1"/>
  <c r="O633" i="1" s="1"/>
  <c r="O634" i="1" s="1"/>
  <c r="O635" i="1" s="1"/>
  <c r="O636" i="1" s="1"/>
  <c r="O637" i="1" s="1"/>
  <c r="O638" i="1" s="1"/>
  <c r="O639" i="1" s="1"/>
  <c r="O640" i="1" s="1"/>
  <c r="O641" i="1" s="1"/>
  <c r="O642" i="1" s="1"/>
  <c r="O643" i="1" s="1"/>
  <c r="O644" i="1" s="1"/>
  <c r="O645" i="1" s="1"/>
  <c r="O646" i="1" s="1"/>
  <c r="O647" i="1" s="1"/>
  <c r="O648" i="1" s="1"/>
  <c r="O649" i="1" s="1"/>
  <c r="O650" i="1" s="1"/>
  <c r="O651" i="1" s="1"/>
  <c r="O652" i="1" s="1"/>
  <c r="O653" i="1" s="1"/>
  <c r="O654" i="1" s="1"/>
  <c r="O655" i="1" s="1"/>
  <c r="O656" i="1" s="1"/>
  <c r="O657" i="1" s="1"/>
  <c r="O658" i="1" s="1"/>
  <c r="O659" i="1" s="1"/>
  <c r="O660" i="1" s="1"/>
  <c r="O661" i="1" s="1"/>
  <c r="O662" i="1" s="1"/>
  <c r="O663" i="1" s="1"/>
  <c r="O664" i="1" s="1"/>
  <c r="O665" i="1" s="1"/>
  <c r="O666" i="1" s="1"/>
  <c r="O667" i="1" s="1"/>
  <c r="O668" i="1" s="1"/>
  <c r="O669" i="1" s="1"/>
  <c r="O670" i="1" s="1"/>
  <c r="O671" i="1" s="1"/>
  <c r="O672" i="1" s="1"/>
  <c r="O673" i="1" s="1"/>
  <c r="O674" i="1" s="1"/>
  <c r="O675" i="1" s="1"/>
  <c r="O676" i="1" s="1"/>
  <c r="O677" i="1" s="1"/>
  <c r="O678" i="1" s="1"/>
  <c r="O679" i="1" s="1"/>
  <c r="O680" i="1" s="1"/>
  <c r="O681" i="1" s="1"/>
  <c r="O682" i="1" s="1"/>
  <c r="O683" i="1" s="1"/>
  <c r="O684" i="1" s="1"/>
  <c r="O685" i="1" s="1"/>
  <c r="O686" i="1" s="1"/>
  <c r="O687" i="1" s="1"/>
  <c r="O688" i="1" s="1"/>
  <c r="O689" i="1" s="1"/>
  <c r="O690" i="1" s="1"/>
  <c r="O691" i="1" s="1"/>
  <c r="O692" i="1" s="1"/>
  <c r="O693" i="1" s="1"/>
  <c r="O694" i="1" s="1"/>
  <c r="O695" i="1" s="1"/>
  <c r="O696" i="1" s="1"/>
  <c r="O697" i="1" s="1"/>
  <c r="O698" i="1" s="1"/>
  <c r="O699" i="1" s="1"/>
  <c r="O700" i="1" s="1"/>
  <c r="O701" i="1" s="1"/>
  <c r="O702" i="1" s="1"/>
  <c r="O703" i="1" s="1"/>
  <c r="O704" i="1" s="1"/>
  <c r="O705" i="1" s="1"/>
  <c r="O706" i="1" s="1"/>
  <c r="O707" i="1" s="1"/>
  <c r="O708" i="1" s="1"/>
  <c r="O709" i="1" s="1"/>
  <c r="O710" i="1" s="1"/>
  <c r="O711" i="1" s="1"/>
  <c r="O712" i="1" s="1"/>
  <c r="O713" i="1" s="1"/>
  <c r="O714" i="1" s="1"/>
  <c r="O715" i="1" s="1"/>
  <c r="O716" i="1" s="1"/>
  <c r="O717" i="1" s="1"/>
  <c r="O718" i="1" s="1"/>
  <c r="O719" i="1" s="1"/>
  <c r="O720" i="1" s="1"/>
  <c r="O721" i="1" s="1"/>
  <c r="O722" i="1" s="1"/>
  <c r="O723" i="1" s="1"/>
  <c r="O724" i="1" s="1"/>
  <c r="O725" i="1" s="1"/>
  <c r="O726" i="1" s="1"/>
  <c r="O727" i="1" s="1"/>
  <c r="O728" i="1" s="1"/>
  <c r="O729" i="1" s="1"/>
  <c r="O730" i="1" s="1"/>
  <c r="O731" i="1" s="1"/>
  <c r="O732" i="1" s="1"/>
  <c r="O733" i="1" s="1"/>
  <c r="O734" i="1" s="1"/>
  <c r="O735" i="1" s="1"/>
  <c r="O736" i="1" s="1"/>
  <c r="O737" i="1" s="1"/>
  <c r="O738" i="1" s="1"/>
  <c r="O739" i="1" s="1"/>
  <c r="O740" i="1" s="1"/>
  <c r="O741" i="1" s="1"/>
  <c r="O742" i="1" s="1"/>
  <c r="O743" i="1" s="1"/>
  <c r="O744" i="1" s="1"/>
  <c r="O745" i="1" s="1"/>
  <c r="O746" i="1" s="1"/>
  <c r="O747" i="1" s="1"/>
  <c r="O748" i="1" s="1"/>
  <c r="O749" i="1" s="1"/>
  <c r="O750" i="1" s="1"/>
  <c r="O751" i="1" s="1"/>
  <c r="O752" i="1" s="1"/>
  <c r="O753" i="1" s="1"/>
  <c r="O754" i="1" s="1"/>
  <c r="O755" i="1" s="1"/>
  <c r="O756" i="1" s="1"/>
  <c r="O757" i="1" s="1"/>
  <c r="O758" i="1" s="1"/>
  <c r="O759" i="1" s="1"/>
  <c r="O760" i="1" s="1"/>
  <c r="O761" i="1" s="1"/>
  <c r="O762" i="1" s="1"/>
  <c r="O763" i="1" s="1"/>
  <c r="O764" i="1" s="1"/>
  <c r="O765" i="1" s="1"/>
  <c r="O766" i="1" s="1"/>
  <c r="O767" i="1" s="1"/>
  <c r="O768" i="1" s="1"/>
  <c r="O769" i="1" s="1"/>
  <c r="O770" i="1" s="1"/>
  <c r="O771" i="1" s="1"/>
  <c r="O772" i="1" s="1"/>
  <c r="O773" i="1" s="1"/>
  <c r="O774" i="1" s="1"/>
  <c r="O775" i="1" s="1"/>
  <c r="O776" i="1" s="1"/>
  <c r="O777" i="1" s="1"/>
  <c r="O778" i="1" s="1"/>
  <c r="O779" i="1" s="1"/>
  <c r="O780" i="1" s="1"/>
  <c r="O781" i="1" s="1"/>
  <c r="O782" i="1" s="1"/>
  <c r="O783" i="1" s="1"/>
  <c r="O784" i="1" s="1"/>
  <c r="O785" i="1" s="1"/>
  <c r="O786" i="1" s="1"/>
  <c r="O787" i="1" s="1"/>
  <c r="O788" i="1" s="1"/>
  <c r="O789" i="1" s="1"/>
  <c r="O790" i="1" s="1"/>
  <c r="O791" i="1" s="1"/>
  <c r="O792" i="1" s="1"/>
  <c r="O793" i="1" s="1"/>
  <c r="O794" i="1" s="1"/>
  <c r="O795" i="1" s="1"/>
  <c r="O796" i="1" s="1"/>
  <c r="O797" i="1" s="1"/>
  <c r="O798" i="1" s="1"/>
  <c r="O799" i="1" s="1"/>
  <c r="O800" i="1" s="1"/>
  <c r="O801" i="1" s="1"/>
  <c r="O802" i="1" s="1"/>
  <c r="O803" i="1" s="1"/>
  <c r="O804" i="1" s="1"/>
  <c r="O805" i="1" s="1"/>
  <c r="O806" i="1" s="1"/>
  <c r="O807" i="1" s="1"/>
  <c r="O808" i="1" s="1"/>
  <c r="O809" i="1" s="1"/>
  <c r="O810" i="1" s="1"/>
  <c r="O811" i="1" s="1"/>
  <c r="O812" i="1" s="1"/>
  <c r="O813" i="1" s="1"/>
  <c r="O814" i="1" s="1"/>
  <c r="O815" i="1" s="1"/>
  <c r="O816" i="1" s="1"/>
  <c r="O817" i="1" s="1"/>
  <c r="O818" i="1" s="1"/>
  <c r="O819" i="1" s="1"/>
  <c r="O820" i="1" s="1"/>
  <c r="O821" i="1" s="1"/>
  <c r="O822" i="1" s="1"/>
  <c r="O823" i="1" s="1"/>
  <c r="O824" i="1" s="1"/>
  <c r="O825" i="1" s="1"/>
  <c r="O826" i="1" s="1"/>
  <c r="O827" i="1" s="1"/>
  <c r="O828" i="1" s="1"/>
  <c r="O829" i="1" s="1"/>
  <c r="O830" i="1" s="1"/>
  <c r="O831" i="1" s="1"/>
  <c r="O832" i="1" s="1"/>
  <c r="O833" i="1" s="1"/>
  <c r="O834" i="1" s="1"/>
  <c r="O835" i="1" s="1"/>
  <c r="O836" i="1" s="1"/>
  <c r="O837" i="1" s="1"/>
  <c r="O838" i="1" s="1"/>
  <c r="O839" i="1" s="1"/>
  <c r="O840" i="1" s="1"/>
  <c r="O841" i="1" s="1"/>
  <c r="O842" i="1" s="1"/>
  <c r="O843" i="1" s="1"/>
  <c r="O844" i="1" s="1"/>
  <c r="O845" i="1" s="1"/>
  <c r="O846" i="1" s="1"/>
  <c r="O847" i="1" s="1"/>
  <c r="O848" i="1" s="1"/>
  <c r="O849" i="1" s="1"/>
  <c r="O850" i="1" s="1"/>
  <c r="O851" i="1" s="1"/>
  <c r="O852" i="1" s="1"/>
  <c r="O853" i="1" s="1"/>
  <c r="O854" i="1" s="1"/>
  <c r="O855" i="1" s="1"/>
  <c r="O856" i="1" s="1"/>
  <c r="O857" i="1" s="1"/>
  <c r="O858" i="1" s="1"/>
  <c r="O859" i="1" s="1"/>
  <c r="O860" i="1" s="1"/>
  <c r="O861" i="1" s="1"/>
  <c r="O862" i="1" s="1"/>
  <c r="O863" i="1" s="1"/>
  <c r="O864" i="1" s="1"/>
  <c r="O865" i="1" s="1"/>
  <c r="O866" i="1" s="1"/>
  <c r="O867" i="1" s="1"/>
  <c r="O868" i="1" s="1"/>
  <c r="O869" i="1" s="1"/>
  <c r="O870" i="1" s="1"/>
  <c r="O871" i="1" s="1"/>
  <c r="O872" i="1" s="1"/>
  <c r="O873" i="1" s="1"/>
  <c r="O874" i="1" s="1"/>
  <c r="O875" i="1" s="1"/>
  <c r="O876" i="1" s="1"/>
  <c r="O877" i="1" s="1"/>
  <c r="O878" i="1" s="1"/>
  <c r="O879" i="1" s="1"/>
  <c r="O880" i="1" s="1"/>
  <c r="O881" i="1" s="1"/>
  <c r="O882" i="1" s="1"/>
  <c r="O883" i="1" s="1"/>
  <c r="O884" i="1" s="1"/>
  <c r="O885" i="1" s="1"/>
  <c r="O886" i="1" s="1"/>
  <c r="O887" i="1" s="1"/>
  <c r="O888" i="1" s="1"/>
  <c r="O889" i="1" s="1"/>
  <c r="O890" i="1" s="1"/>
  <c r="O891" i="1" s="1"/>
  <c r="O892" i="1" s="1"/>
  <c r="O893" i="1" s="1"/>
  <c r="O894" i="1" s="1"/>
  <c r="O895" i="1" s="1"/>
  <c r="O896" i="1" s="1"/>
  <c r="O897" i="1" s="1"/>
  <c r="O898" i="1" s="1"/>
  <c r="O899" i="1" s="1"/>
  <c r="O900" i="1" s="1"/>
  <c r="O901" i="1" s="1"/>
  <c r="O902" i="1" s="1"/>
  <c r="O903" i="1" s="1"/>
  <c r="O904" i="1" s="1"/>
  <c r="O905" i="1" s="1"/>
  <c r="O906" i="1" s="1"/>
  <c r="O907" i="1" s="1"/>
  <c r="O908" i="1" s="1"/>
  <c r="O909" i="1" s="1"/>
  <c r="O910" i="1" s="1"/>
  <c r="O911" i="1" s="1"/>
  <c r="O912" i="1" s="1"/>
  <c r="O913" i="1" s="1"/>
  <c r="O914" i="1" s="1"/>
  <c r="O915" i="1" s="1"/>
  <c r="O916" i="1" s="1"/>
  <c r="O917" i="1" s="1"/>
  <c r="O918" i="1" s="1"/>
  <c r="O919" i="1" s="1"/>
  <c r="O920" i="1" s="1"/>
  <c r="O921" i="1" s="1"/>
  <c r="O922" i="1" s="1"/>
  <c r="O923" i="1" s="1"/>
  <c r="O924" i="1" s="1"/>
  <c r="O925" i="1" s="1"/>
  <c r="O926" i="1" s="1"/>
  <c r="O927" i="1" s="1"/>
  <c r="O928" i="1" s="1"/>
  <c r="O929" i="1" s="1"/>
  <c r="O930" i="1" s="1"/>
  <c r="O931" i="1" s="1"/>
  <c r="O932" i="1" s="1"/>
  <c r="O933" i="1" s="1"/>
  <c r="O934" i="1" s="1"/>
  <c r="O935" i="1" s="1"/>
  <c r="O936" i="1" s="1"/>
  <c r="O937" i="1" s="1"/>
  <c r="O938" i="1" s="1"/>
  <c r="O939" i="1" s="1"/>
  <c r="O940" i="1" s="1"/>
  <c r="O941" i="1" s="1"/>
  <c r="O942" i="1" s="1"/>
  <c r="O943" i="1" s="1"/>
  <c r="O944" i="1" s="1"/>
  <c r="O945" i="1" s="1"/>
  <c r="O946" i="1" s="1"/>
  <c r="O947" i="1" s="1"/>
  <c r="O948" i="1" s="1"/>
  <c r="O949" i="1" s="1"/>
  <c r="O950" i="1" s="1"/>
  <c r="O951" i="1" s="1"/>
  <c r="O952" i="1" s="1"/>
  <c r="O953" i="1" s="1"/>
  <c r="O954" i="1" s="1"/>
  <c r="O955" i="1" s="1"/>
  <c r="O956" i="1" s="1"/>
  <c r="O957" i="1" s="1"/>
  <c r="O958" i="1" s="1"/>
  <c r="O959" i="1" s="1"/>
  <c r="O960" i="1" s="1"/>
  <c r="O961" i="1" s="1"/>
  <c r="O962" i="1" s="1"/>
  <c r="O963" i="1" s="1"/>
  <c r="O964" i="1" s="1"/>
  <c r="O965" i="1" s="1"/>
  <c r="O966" i="1" s="1"/>
  <c r="O967" i="1" s="1"/>
  <c r="O968" i="1" s="1"/>
  <c r="O969" i="1" s="1"/>
  <c r="O970" i="1" s="1"/>
  <c r="O971" i="1" s="1"/>
  <c r="O972" i="1" s="1"/>
  <c r="O973" i="1" s="1"/>
  <c r="O974" i="1" s="1"/>
  <c r="O975" i="1" s="1"/>
  <c r="O976" i="1" s="1"/>
  <c r="O977" i="1" s="1"/>
  <c r="O978" i="1" s="1"/>
  <c r="O979" i="1" s="1"/>
  <c r="O980" i="1" s="1"/>
  <c r="O981" i="1" s="1"/>
  <c r="O982" i="1" s="1"/>
  <c r="O983" i="1" s="1"/>
  <c r="O984" i="1" s="1"/>
  <c r="O985" i="1" s="1"/>
  <c r="O986" i="1" s="1"/>
  <c r="O987" i="1" s="1"/>
  <c r="O988" i="1" s="1"/>
  <c r="O989" i="1" s="1"/>
  <c r="O990" i="1" s="1"/>
  <c r="O991" i="1" s="1"/>
  <c r="O992" i="1" s="1"/>
  <c r="O993" i="1" s="1"/>
  <c r="O994" i="1" s="1"/>
  <c r="O995" i="1" s="1"/>
  <c r="O996" i="1" s="1"/>
  <c r="O997" i="1" s="1"/>
  <c r="O998" i="1" s="1"/>
  <c r="O999" i="1" s="1"/>
  <c r="O1000" i="1" s="1"/>
  <c r="O1001" i="1" s="1"/>
  <c r="O1002" i="1" s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H503" i="1" s="1"/>
  <c r="H504" i="1" s="1"/>
  <c r="H505" i="1" s="1"/>
  <c r="H506" i="1" s="1"/>
  <c r="H507" i="1" s="1"/>
  <c r="H508" i="1" s="1"/>
  <c r="H509" i="1" s="1"/>
  <c r="H510" i="1" s="1"/>
  <c r="H511" i="1" s="1"/>
  <c r="H512" i="1" s="1"/>
  <c r="H513" i="1" s="1"/>
  <c r="H514" i="1" s="1"/>
  <c r="H515" i="1" s="1"/>
  <c r="H516" i="1" s="1"/>
  <c r="H517" i="1" s="1"/>
  <c r="H518" i="1" s="1"/>
  <c r="H519" i="1" s="1"/>
  <c r="H520" i="1" s="1"/>
  <c r="H521" i="1" s="1"/>
  <c r="H522" i="1" s="1"/>
  <c r="H523" i="1" s="1"/>
  <c r="H524" i="1" s="1"/>
  <c r="H525" i="1" s="1"/>
  <c r="H526" i="1" s="1"/>
  <c r="H527" i="1" s="1"/>
  <c r="H528" i="1" s="1"/>
  <c r="H529" i="1" s="1"/>
  <c r="H530" i="1" s="1"/>
  <c r="H531" i="1" s="1"/>
  <c r="H532" i="1" s="1"/>
  <c r="H533" i="1" s="1"/>
  <c r="H534" i="1" s="1"/>
  <c r="H535" i="1" s="1"/>
  <c r="H536" i="1" s="1"/>
  <c r="H537" i="1" s="1"/>
  <c r="H538" i="1" s="1"/>
  <c r="H539" i="1" s="1"/>
  <c r="H540" i="1" s="1"/>
  <c r="H541" i="1" s="1"/>
  <c r="H542" i="1" s="1"/>
  <c r="H543" i="1" s="1"/>
  <c r="H544" i="1" s="1"/>
  <c r="H545" i="1" s="1"/>
  <c r="H546" i="1" s="1"/>
  <c r="H547" i="1" s="1"/>
  <c r="H548" i="1" s="1"/>
  <c r="H549" i="1" s="1"/>
  <c r="H550" i="1" s="1"/>
  <c r="H551" i="1" s="1"/>
  <c r="H552" i="1" s="1"/>
  <c r="H553" i="1" s="1"/>
  <c r="H554" i="1" s="1"/>
  <c r="H555" i="1" s="1"/>
  <c r="H556" i="1" s="1"/>
  <c r="H557" i="1" s="1"/>
  <c r="H558" i="1" s="1"/>
  <c r="H559" i="1" s="1"/>
  <c r="H560" i="1" s="1"/>
  <c r="H561" i="1" s="1"/>
  <c r="H562" i="1" s="1"/>
  <c r="H563" i="1" s="1"/>
  <c r="H564" i="1" s="1"/>
  <c r="H565" i="1" s="1"/>
  <c r="H566" i="1" s="1"/>
  <c r="H567" i="1" s="1"/>
  <c r="H568" i="1" s="1"/>
  <c r="H569" i="1" s="1"/>
  <c r="H570" i="1" s="1"/>
  <c r="H571" i="1" s="1"/>
  <c r="H572" i="1" s="1"/>
  <c r="H573" i="1" s="1"/>
  <c r="H574" i="1" s="1"/>
  <c r="H575" i="1" s="1"/>
  <c r="H576" i="1" s="1"/>
  <c r="H577" i="1" s="1"/>
  <c r="H578" i="1" s="1"/>
  <c r="H579" i="1" s="1"/>
  <c r="H580" i="1" s="1"/>
  <c r="H581" i="1" s="1"/>
  <c r="H582" i="1" s="1"/>
  <c r="H583" i="1" s="1"/>
  <c r="H584" i="1" s="1"/>
  <c r="H585" i="1" s="1"/>
  <c r="H586" i="1" s="1"/>
  <c r="H587" i="1" s="1"/>
  <c r="H588" i="1" s="1"/>
  <c r="H589" i="1" s="1"/>
  <c r="H590" i="1" s="1"/>
  <c r="H591" i="1" s="1"/>
  <c r="H592" i="1" s="1"/>
  <c r="H593" i="1" s="1"/>
  <c r="H594" i="1" s="1"/>
  <c r="H595" i="1" s="1"/>
  <c r="H596" i="1" s="1"/>
  <c r="H597" i="1" s="1"/>
  <c r="H598" i="1" s="1"/>
  <c r="H599" i="1" s="1"/>
  <c r="H600" i="1" s="1"/>
  <c r="H601" i="1" s="1"/>
  <c r="H602" i="1" s="1"/>
  <c r="H603" i="1" s="1"/>
  <c r="H604" i="1" s="1"/>
  <c r="H605" i="1" s="1"/>
  <c r="H606" i="1" s="1"/>
  <c r="H607" i="1" s="1"/>
  <c r="H608" i="1" s="1"/>
  <c r="H609" i="1" s="1"/>
  <c r="H610" i="1" s="1"/>
  <c r="H611" i="1" s="1"/>
  <c r="H612" i="1" s="1"/>
  <c r="H613" i="1" s="1"/>
  <c r="H614" i="1" s="1"/>
  <c r="H615" i="1" s="1"/>
  <c r="H616" i="1" s="1"/>
  <c r="H617" i="1" s="1"/>
  <c r="H618" i="1" s="1"/>
  <c r="H619" i="1" s="1"/>
  <c r="H620" i="1" s="1"/>
  <c r="H621" i="1" s="1"/>
  <c r="H622" i="1" s="1"/>
  <c r="H623" i="1" s="1"/>
  <c r="H624" i="1" s="1"/>
  <c r="H625" i="1" s="1"/>
  <c r="H626" i="1" s="1"/>
  <c r="H627" i="1" s="1"/>
  <c r="H628" i="1" s="1"/>
  <c r="H629" i="1" s="1"/>
  <c r="H630" i="1" s="1"/>
  <c r="H631" i="1" s="1"/>
  <c r="H632" i="1" s="1"/>
  <c r="H633" i="1" s="1"/>
  <c r="H634" i="1" s="1"/>
  <c r="H635" i="1" s="1"/>
  <c r="H636" i="1" s="1"/>
  <c r="H637" i="1" s="1"/>
  <c r="H638" i="1" s="1"/>
  <c r="H639" i="1" s="1"/>
  <c r="H640" i="1" s="1"/>
  <c r="H641" i="1" s="1"/>
  <c r="H642" i="1" s="1"/>
  <c r="H643" i="1" s="1"/>
  <c r="H644" i="1" s="1"/>
  <c r="H645" i="1" s="1"/>
  <c r="H646" i="1" s="1"/>
  <c r="H647" i="1" s="1"/>
  <c r="H648" i="1" s="1"/>
  <c r="H649" i="1" s="1"/>
  <c r="H650" i="1" s="1"/>
  <c r="H651" i="1" s="1"/>
  <c r="H652" i="1" s="1"/>
  <c r="H653" i="1" s="1"/>
  <c r="H654" i="1" s="1"/>
  <c r="H655" i="1" s="1"/>
  <c r="H656" i="1" s="1"/>
  <c r="H657" i="1" s="1"/>
  <c r="H658" i="1" s="1"/>
  <c r="H659" i="1" s="1"/>
  <c r="H660" i="1" s="1"/>
  <c r="H661" i="1" s="1"/>
  <c r="H662" i="1" s="1"/>
  <c r="H663" i="1" s="1"/>
  <c r="H664" i="1" s="1"/>
  <c r="H665" i="1" s="1"/>
  <c r="H666" i="1" s="1"/>
  <c r="H667" i="1" s="1"/>
  <c r="H668" i="1" s="1"/>
  <c r="H669" i="1" s="1"/>
  <c r="H670" i="1" s="1"/>
  <c r="H671" i="1" s="1"/>
  <c r="H672" i="1" s="1"/>
  <c r="H673" i="1" s="1"/>
  <c r="H674" i="1" s="1"/>
  <c r="H675" i="1" s="1"/>
  <c r="H676" i="1" s="1"/>
  <c r="H677" i="1" s="1"/>
  <c r="H678" i="1" s="1"/>
  <c r="H679" i="1" s="1"/>
  <c r="H680" i="1" s="1"/>
  <c r="H681" i="1" s="1"/>
  <c r="H682" i="1" s="1"/>
  <c r="H683" i="1" s="1"/>
  <c r="H684" i="1" s="1"/>
  <c r="H685" i="1" s="1"/>
  <c r="H686" i="1" s="1"/>
  <c r="H687" i="1" s="1"/>
  <c r="H688" i="1" s="1"/>
  <c r="H689" i="1" s="1"/>
  <c r="H690" i="1" s="1"/>
  <c r="H691" i="1" s="1"/>
  <c r="H692" i="1" s="1"/>
  <c r="H693" i="1" s="1"/>
  <c r="H694" i="1" s="1"/>
  <c r="H695" i="1" s="1"/>
  <c r="H696" i="1" s="1"/>
  <c r="H697" i="1" s="1"/>
  <c r="H698" i="1" s="1"/>
  <c r="H699" i="1" s="1"/>
  <c r="H700" i="1" s="1"/>
  <c r="H701" i="1" s="1"/>
  <c r="H702" i="1" s="1"/>
  <c r="H703" i="1" s="1"/>
  <c r="H704" i="1" s="1"/>
  <c r="H705" i="1" s="1"/>
  <c r="H706" i="1" s="1"/>
  <c r="H707" i="1" s="1"/>
  <c r="H708" i="1" s="1"/>
  <c r="H709" i="1" s="1"/>
  <c r="H710" i="1" s="1"/>
  <c r="H711" i="1" s="1"/>
  <c r="H712" i="1" s="1"/>
  <c r="H713" i="1" s="1"/>
  <c r="H714" i="1" s="1"/>
  <c r="H715" i="1" s="1"/>
  <c r="H716" i="1" s="1"/>
  <c r="H717" i="1" s="1"/>
  <c r="H718" i="1" s="1"/>
  <c r="H719" i="1" s="1"/>
  <c r="H720" i="1" s="1"/>
  <c r="H721" i="1" s="1"/>
  <c r="H722" i="1" s="1"/>
  <c r="H723" i="1" s="1"/>
  <c r="H724" i="1" s="1"/>
  <c r="H725" i="1" s="1"/>
  <c r="H726" i="1" s="1"/>
  <c r="H727" i="1" s="1"/>
  <c r="H728" i="1" s="1"/>
  <c r="H729" i="1" s="1"/>
  <c r="H730" i="1" s="1"/>
  <c r="H731" i="1" s="1"/>
  <c r="H732" i="1" s="1"/>
  <c r="H733" i="1" s="1"/>
  <c r="H734" i="1" s="1"/>
  <c r="H735" i="1" s="1"/>
  <c r="H736" i="1" s="1"/>
  <c r="H737" i="1" s="1"/>
  <c r="H738" i="1" s="1"/>
  <c r="H739" i="1" s="1"/>
  <c r="H740" i="1" s="1"/>
  <c r="H741" i="1" s="1"/>
  <c r="H742" i="1" s="1"/>
  <c r="H743" i="1" s="1"/>
  <c r="H744" i="1" s="1"/>
  <c r="H745" i="1" s="1"/>
  <c r="H746" i="1" s="1"/>
  <c r="H747" i="1" s="1"/>
  <c r="H748" i="1" s="1"/>
  <c r="H749" i="1" s="1"/>
  <c r="H750" i="1" s="1"/>
  <c r="H751" i="1" s="1"/>
  <c r="H752" i="1" s="1"/>
  <c r="H753" i="1" s="1"/>
  <c r="H754" i="1" s="1"/>
  <c r="H755" i="1" s="1"/>
  <c r="H756" i="1" s="1"/>
  <c r="H757" i="1" s="1"/>
  <c r="H758" i="1" s="1"/>
  <c r="H759" i="1" s="1"/>
  <c r="H760" i="1" s="1"/>
  <c r="H761" i="1" s="1"/>
  <c r="H762" i="1" s="1"/>
  <c r="H763" i="1" s="1"/>
  <c r="H764" i="1" s="1"/>
  <c r="H765" i="1" s="1"/>
  <c r="H766" i="1" s="1"/>
  <c r="H767" i="1" s="1"/>
  <c r="H768" i="1" s="1"/>
  <c r="H769" i="1" s="1"/>
  <c r="H770" i="1" s="1"/>
  <c r="H771" i="1" s="1"/>
  <c r="H772" i="1" s="1"/>
  <c r="H773" i="1" s="1"/>
  <c r="H774" i="1" s="1"/>
  <c r="H775" i="1" s="1"/>
  <c r="H776" i="1" s="1"/>
  <c r="H777" i="1" s="1"/>
  <c r="H778" i="1" s="1"/>
  <c r="H779" i="1" s="1"/>
  <c r="H780" i="1" s="1"/>
  <c r="H781" i="1" s="1"/>
  <c r="H782" i="1" s="1"/>
  <c r="H783" i="1" s="1"/>
  <c r="H784" i="1" s="1"/>
  <c r="H785" i="1" s="1"/>
  <c r="H786" i="1" s="1"/>
  <c r="H787" i="1" s="1"/>
  <c r="H788" i="1" s="1"/>
  <c r="H789" i="1" s="1"/>
  <c r="H790" i="1" s="1"/>
  <c r="H791" i="1" s="1"/>
  <c r="H792" i="1" s="1"/>
  <c r="H793" i="1" s="1"/>
  <c r="H794" i="1" s="1"/>
  <c r="H795" i="1" s="1"/>
  <c r="H796" i="1" s="1"/>
  <c r="H797" i="1" s="1"/>
  <c r="H798" i="1" s="1"/>
  <c r="H799" i="1" s="1"/>
  <c r="H800" i="1" s="1"/>
  <c r="H801" i="1" s="1"/>
  <c r="H802" i="1" s="1"/>
  <c r="H803" i="1" s="1"/>
  <c r="H804" i="1" s="1"/>
  <c r="H805" i="1" s="1"/>
  <c r="H806" i="1" s="1"/>
  <c r="H807" i="1" s="1"/>
  <c r="H808" i="1" s="1"/>
  <c r="H809" i="1" s="1"/>
  <c r="H810" i="1" s="1"/>
  <c r="H811" i="1" s="1"/>
  <c r="H812" i="1" s="1"/>
  <c r="H813" i="1" s="1"/>
  <c r="H814" i="1" s="1"/>
  <c r="H815" i="1" s="1"/>
  <c r="H816" i="1" s="1"/>
  <c r="H817" i="1" s="1"/>
  <c r="H818" i="1" s="1"/>
  <c r="H819" i="1" s="1"/>
  <c r="H820" i="1" s="1"/>
  <c r="H821" i="1" s="1"/>
  <c r="H822" i="1" s="1"/>
  <c r="H823" i="1" s="1"/>
  <c r="H824" i="1" s="1"/>
  <c r="H825" i="1" s="1"/>
  <c r="H826" i="1" s="1"/>
  <c r="H827" i="1" s="1"/>
  <c r="H828" i="1" s="1"/>
  <c r="H829" i="1" s="1"/>
  <c r="H830" i="1" s="1"/>
  <c r="H831" i="1" s="1"/>
  <c r="H832" i="1" s="1"/>
  <c r="H833" i="1" s="1"/>
  <c r="H834" i="1" s="1"/>
  <c r="H835" i="1" s="1"/>
  <c r="H836" i="1" s="1"/>
  <c r="H837" i="1" s="1"/>
  <c r="H838" i="1" s="1"/>
  <c r="H839" i="1" s="1"/>
  <c r="H840" i="1" s="1"/>
  <c r="H841" i="1" s="1"/>
  <c r="H842" i="1" s="1"/>
  <c r="H843" i="1" s="1"/>
  <c r="H844" i="1" s="1"/>
  <c r="H845" i="1" s="1"/>
  <c r="H846" i="1" s="1"/>
  <c r="H847" i="1" s="1"/>
  <c r="H848" i="1" s="1"/>
  <c r="H849" i="1" s="1"/>
  <c r="H850" i="1" s="1"/>
  <c r="H851" i="1" s="1"/>
  <c r="H852" i="1" s="1"/>
  <c r="H853" i="1" s="1"/>
  <c r="H854" i="1" s="1"/>
  <c r="H855" i="1" s="1"/>
  <c r="H856" i="1" s="1"/>
  <c r="H857" i="1" s="1"/>
  <c r="H858" i="1" s="1"/>
  <c r="H859" i="1" s="1"/>
  <c r="H860" i="1" s="1"/>
  <c r="H861" i="1" s="1"/>
  <c r="H862" i="1" s="1"/>
  <c r="H863" i="1" s="1"/>
  <c r="H864" i="1" s="1"/>
  <c r="H865" i="1" s="1"/>
  <c r="H866" i="1" s="1"/>
  <c r="H867" i="1" s="1"/>
  <c r="H868" i="1" s="1"/>
  <c r="H869" i="1" s="1"/>
  <c r="H870" i="1" s="1"/>
  <c r="H871" i="1" s="1"/>
  <c r="H872" i="1" s="1"/>
  <c r="H873" i="1" s="1"/>
  <c r="H874" i="1" s="1"/>
  <c r="H875" i="1" s="1"/>
  <c r="H876" i="1" s="1"/>
  <c r="H877" i="1" s="1"/>
  <c r="H878" i="1" s="1"/>
  <c r="H879" i="1" s="1"/>
  <c r="H880" i="1" s="1"/>
  <c r="H881" i="1" s="1"/>
  <c r="H882" i="1" s="1"/>
  <c r="H883" i="1" s="1"/>
  <c r="H884" i="1" s="1"/>
  <c r="H885" i="1" s="1"/>
  <c r="H886" i="1" s="1"/>
  <c r="H887" i="1" s="1"/>
  <c r="H888" i="1" s="1"/>
  <c r="H889" i="1" s="1"/>
  <c r="H890" i="1" s="1"/>
  <c r="H891" i="1" s="1"/>
  <c r="H892" i="1" s="1"/>
  <c r="H893" i="1" s="1"/>
  <c r="H894" i="1" s="1"/>
  <c r="H895" i="1" s="1"/>
  <c r="H896" i="1" s="1"/>
  <c r="H897" i="1" s="1"/>
  <c r="H898" i="1" s="1"/>
  <c r="H899" i="1" s="1"/>
  <c r="H900" i="1" s="1"/>
  <c r="H901" i="1" s="1"/>
  <c r="H902" i="1" s="1"/>
  <c r="H903" i="1" s="1"/>
  <c r="H904" i="1" s="1"/>
  <c r="H905" i="1" s="1"/>
  <c r="H906" i="1" s="1"/>
  <c r="H907" i="1" s="1"/>
  <c r="H908" i="1" s="1"/>
  <c r="H909" i="1" s="1"/>
  <c r="H910" i="1" s="1"/>
  <c r="H911" i="1" s="1"/>
  <c r="H912" i="1" s="1"/>
  <c r="H913" i="1" s="1"/>
  <c r="H914" i="1" s="1"/>
  <c r="H915" i="1" s="1"/>
  <c r="H916" i="1" s="1"/>
  <c r="H917" i="1" s="1"/>
  <c r="H918" i="1" s="1"/>
  <c r="H919" i="1" s="1"/>
  <c r="H920" i="1" s="1"/>
  <c r="H921" i="1" s="1"/>
  <c r="H922" i="1" s="1"/>
  <c r="H923" i="1" s="1"/>
  <c r="H924" i="1" s="1"/>
  <c r="H925" i="1" s="1"/>
  <c r="H926" i="1" s="1"/>
  <c r="H927" i="1" s="1"/>
  <c r="H928" i="1" s="1"/>
  <c r="H929" i="1" s="1"/>
  <c r="H930" i="1" s="1"/>
  <c r="H931" i="1" s="1"/>
  <c r="H932" i="1" s="1"/>
  <c r="H933" i="1" s="1"/>
  <c r="H934" i="1" s="1"/>
  <c r="H935" i="1" s="1"/>
  <c r="H936" i="1" s="1"/>
  <c r="H937" i="1" s="1"/>
  <c r="H938" i="1" s="1"/>
  <c r="H939" i="1" s="1"/>
  <c r="H940" i="1" s="1"/>
  <c r="H941" i="1" s="1"/>
  <c r="H942" i="1" s="1"/>
  <c r="H943" i="1" s="1"/>
  <c r="H944" i="1" s="1"/>
  <c r="H945" i="1" s="1"/>
  <c r="H946" i="1" s="1"/>
  <c r="H947" i="1" s="1"/>
  <c r="H948" i="1" s="1"/>
  <c r="H949" i="1" s="1"/>
  <c r="H950" i="1" s="1"/>
  <c r="H951" i="1" s="1"/>
  <c r="H952" i="1" s="1"/>
  <c r="H953" i="1" s="1"/>
  <c r="H954" i="1" s="1"/>
  <c r="H955" i="1" s="1"/>
  <c r="H956" i="1" s="1"/>
  <c r="H957" i="1" s="1"/>
  <c r="H958" i="1" s="1"/>
  <c r="H959" i="1" s="1"/>
  <c r="H960" i="1" s="1"/>
  <c r="H961" i="1" s="1"/>
  <c r="H962" i="1" s="1"/>
  <c r="H963" i="1" s="1"/>
  <c r="H964" i="1" s="1"/>
  <c r="H965" i="1" s="1"/>
  <c r="H966" i="1" s="1"/>
  <c r="H967" i="1" s="1"/>
  <c r="H968" i="1" s="1"/>
  <c r="H969" i="1" s="1"/>
  <c r="H970" i="1" s="1"/>
  <c r="H971" i="1" s="1"/>
  <c r="H972" i="1" s="1"/>
  <c r="H973" i="1" s="1"/>
  <c r="H974" i="1" s="1"/>
  <c r="H975" i="1" s="1"/>
  <c r="H976" i="1" s="1"/>
  <c r="H977" i="1" s="1"/>
  <c r="H978" i="1" s="1"/>
  <c r="H979" i="1" s="1"/>
  <c r="H980" i="1" s="1"/>
  <c r="H981" i="1" s="1"/>
  <c r="H982" i="1" s="1"/>
  <c r="H983" i="1" s="1"/>
  <c r="H984" i="1" s="1"/>
  <c r="H985" i="1" s="1"/>
  <c r="H986" i="1" s="1"/>
  <c r="H987" i="1" s="1"/>
  <c r="H988" i="1" s="1"/>
  <c r="H989" i="1" s="1"/>
  <c r="H990" i="1" s="1"/>
  <c r="H991" i="1" s="1"/>
  <c r="H992" i="1" s="1"/>
  <c r="H993" i="1" s="1"/>
  <c r="H994" i="1" s="1"/>
  <c r="H995" i="1" s="1"/>
  <c r="H996" i="1" s="1"/>
  <c r="H997" i="1" s="1"/>
  <c r="H998" i="1" s="1"/>
  <c r="H999" i="1" s="1"/>
  <c r="H1000" i="1" s="1"/>
  <c r="H1001" i="1" s="1"/>
  <c r="H1002" i="1" s="1"/>
  <c r="I3" i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803" i="1" s="1"/>
  <c r="I804" i="1" s="1"/>
  <c r="I805" i="1" s="1"/>
  <c r="I806" i="1" s="1"/>
  <c r="I807" i="1" s="1"/>
  <c r="I808" i="1" s="1"/>
  <c r="I809" i="1" s="1"/>
  <c r="I810" i="1" s="1"/>
  <c r="I811" i="1" s="1"/>
  <c r="I812" i="1" s="1"/>
  <c r="I813" i="1" s="1"/>
  <c r="I814" i="1" s="1"/>
  <c r="I815" i="1" s="1"/>
  <c r="I816" i="1" s="1"/>
  <c r="I817" i="1" s="1"/>
  <c r="I818" i="1" s="1"/>
  <c r="I819" i="1" s="1"/>
  <c r="I820" i="1" s="1"/>
  <c r="I821" i="1" s="1"/>
  <c r="I822" i="1" s="1"/>
  <c r="I823" i="1" s="1"/>
  <c r="I824" i="1" s="1"/>
  <c r="I825" i="1" s="1"/>
  <c r="I826" i="1" s="1"/>
  <c r="I827" i="1" s="1"/>
  <c r="I828" i="1" s="1"/>
  <c r="I829" i="1" s="1"/>
  <c r="I830" i="1" s="1"/>
  <c r="I831" i="1" s="1"/>
  <c r="I832" i="1" s="1"/>
  <c r="I833" i="1" s="1"/>
  <c r="I834" i="1" s="1"/>
  <c r="I835" i="1" s="1"/>
  <c r="I836" i="1" s="1"/>
  <c r="I837" i="1" s="1"/>
  <c r="I838" i="1" s="1"/>
  <c r="I839" i="1" s="1"/>
  <c r="I840" i="1" s="1"/>
  <c r="I841" i="1" s="1"/>
  <c r="I842" i="1" s="1"/>
  <c r="I843" i="1" s="1"/>
  <c r="I844" i="1" s="1"/>
  <c r="I845" i="1" s="1"/>
  <c r="I846" i="1" s="1"/>
  <c r="I847" i="1" s="1"/>
  <c r="I848" i="1" s="1"/>
  <c r="I849" i="1" s="1"/>
  <c r="I850" i="1" s="1"/>
  <c r="I851" i="1" s="1"/>
  <c r="I852" i="1" s="1"/>
  <c r="I853" i="1" s="1"/>
  <c r="I854" i="1" s="1"/>
  <c r="I855" i="1" s="1"/>
  <c r="I856" i="1" s="1"/>
  <c r="I857" i="1" s="1"/>
  <c r="I858" i="1" s="1"/>
  <c r="I859" i="1" s="1"/>
  <c r="I860" i="1" s="1"/>
  <c r="I861" i="1" s="1"/>
  <c r="I862" i="1" s="1"/>
  <c r="I863" i="1" s="1"/>
  <c r="I864" i="1" s="1"/>
  <c r="I865" i="1" s="1"/>
  <c r="I866" i="1" s="1"/>
  <c r="I867" i="1" s="1"/>
  <c r="I868" i="1" s="1"/>
  <c r="I869" i="1" s="1"/>
  <c r="I870" i="1" s="1"/>
  <c r="I871" i="1" s="1"/>
  <c r="I872" i="1" s="1"/>
  <c r="I873" i="1" s="1"/>
  <c r="I874" i="1" s="1"/>
  <c r="I875" i="1" s="1"/>
  <c r="I876" i="1" s="1"/>
  <c r="I877" i="1" s="1"/>
  <c r="I878" i="1" s="1"/>
  <c r="I879" i="1" s="1"/>
  <c r="I880" i="1" s="1"/>
  <c r="I881" i="1" s="1"/>
  <c r="I882" i="1" s="1"/>
  <c r="I883" i="1" s="1"/>
  <c r="I884" i="1" s="1"/>
  <c r="I885" i="1" s="1"/>
  <c r="I886" i="1" s="1"/>
  <c r="I887" i="1" s="1"/>
  <c r="I888" i="1" s="1"/>
  <c r="I889" i="1" s="1"/>
  <c r="I890" i="1" s="1"/>
  <c r="I891" i="1" s="1"/>
  <c r="I892" i="1" s="1"/>
  <c r="I893" i="1" s="1"/>
  <c r="I894" i="1" s="1"/>
  <c r="I895" i="1" s="1"/>
  <c r="I896" i="1" s="1"/>
  <c r="I897" i="1" s="1"/>
  <c r="I898" i="1" s="1"/>
  <c r="I899" i="1" s="1"/>
  <c r="I900" i="1" s="1"/>
  <c r="I901" i="1" s="1"/>
  <c r="I902" i="1" s="1"/>
  <c r="I903" i="1" s="1"/>
  <c r="I904" i="1" s="1"/>
  <c r="I905" i="1" s="1"/>
  <c r="I906" i="1" s="1"/>
  <c r="I907" i="1" s="1"/>
  <c r="I908" i="1" s="1"/>
  <c r="I909" i="1" s="1"/>
  <c r="I910" i="1" s="1"/>
  <c r="I911" i="1" s="1"/>
  <c r="I912" i="1" s="1"/>
  <c r="I913" i="1" s="1"/>
  <c r="I914" i="1" s="1"/>
  <c r="I915" i="1" s="1"/>
  <c r="I916" i="1" s="1"/>
  <c r="I917" i="1" s="1"/>
  <c r="I918" i="1" s="1"/>
  <c r="I919" i="1" s="1"/>
  <c r="I920" i="1" s="1"/>
  <c r="I921" i="1" s="1"/>
  <c r="I922" i="1" s="1"/>
  <c r="I923" i="1" s="1"/>
  <c r="I924" i="1" s="1"/>
  <c r="I925" i="1" s="1"/>
  <c r="I926" i="1" s="1"/>
  <c r="I927" i="1" s="1"/>
  <c r="I928" i="1" s="1"/>
  <c r="I929" i="1" s="1"/>
  <c r="I930" i="1" s="1"/>
  <c r="I931" i="1" s="1"/>
  <c r="I932" i="1" s="1"/>
  <c r="I933" i="1" s="1"/>
  <c r="I934" i="1" s="1"/>
  <c r="I935" i="1" s="1"/>
  <c r="I936" i="1" s="1"/>
  <c r="I937" i="1" s="1"/>
  <c r="I938" i="1" s="1"/>
  <c r="I939" i="1" s="1"/>
  <c r="I940" i="1" s="1"/>
  <c r="I941" i="1" s="1"/>
  <c r="I942" i="1" s="1"/>
  <c r="I943" i="1" s="1"/>
  <c r="I944" i="1" s="1"/>
  <c r="I945" i="1" s="1"/>
  <c r="I946" i="1" s="1"/>
  <c r="I947" i="1" s="1"/>
  <c r="I948" i="1" s="1"/>
  <c r="I949" i="1" s="1"/>
  <c r="I950" i="1" s="1"/>
  <c r="I951" i="1" s="1"/>
  <c r="I952" i="1" s="1"/>
  <c r="I953" i="1" s="1"/>
  <c r="I954" i="1" s="1"/>
  <c r="I955" i="1" s="1"/>
  <c r="I956" i="1" s="1"/>
  <c r="I957" i="1" s="1"/>
  <c r="I958" i="1" s="1"/>
  <c r="I959" i="1" s="1"/>
  <c r="I960" i="1" s="1"/>
  <c r="I961" i="1" s="1"/>
  <c r="I962" i="1" s="1"/>
  <c r="I963" i="1" s="1"/>
  <c r="I964" i="1" s="1"/>
  <c r="I965" i="1" s="1"/>
  <c r="I966" i="1" s="1"/>
  <c r="I967" i="1" s="1"/>
  <c r="I968" i="1" s="1"/>
  <c r="I969" i="1" s="1"/>
  <c r="I970" i="1" s="1"/>
  <c r="I971" i="1" s="1"/>
  <c r="I972" i="1" s="1"/>
  <c r="I973" i="1" s="1"/>
  <c r="I974" i="1" s="1"/>
  <c r="I975" i="1" s="1"/>
  <c r="I976" i="1" s="1"/>
  <c r="I977" i="1" s="1"/>
  <c r="I978" i="1" s="1"/>
  <c r="I979" i="1" s="1"/>
  <c r="I980" i="1" s="1"/>
  <c r="I981" i="1" s="1"/>
  <c r="I982" i="1" s="1"/>
  <c r="I983" i="1" s="1"/>
  <c r="I984" i="1" s="1"/>
  <c r="I985" i="1" s="1"/>
  <c r="I986" i="1" s="1"/>
  <c r="I987" i="1" s="1"/>
  <c r="I988" i="1" s="1"/>
  <c r="I989" i="1" s="1"/>
  <c r="I990" i="1" s="1"/>
  <c r="I991" i="1" s="1"/>
  <c r="I992" i="1" s="1"/>
  <c r="I993" i="1" s="1"/>
  <c r="I994" i="1" s="1"/>
  <c r="I995" i="1" s="1"/>
  <c r="I996" i="1" s="1"/>
  <c r="I997" i="1" s="1"/>
  <c r="I998" i="1" s="1"/>
  <c r="I999" i="1" s="1"/>
  <c r="I1000" i="1" s="1"/>
  <c r="I1001" i="1" s="1"/>
  <c r="I1002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AA3" i="1" l="1"/>
  <c r="AB22" i="1"/>
  <c r="AB14" i="1"/>
  <c r="AB10" i="1"/>
  <c r="AB6" i="1"/>
  <c r="AE977" i="1"/>
  <c r="AB26" i="1"/>
  <c r="AB18" i="1"/>
  <c r="AE1000" i="1"/>
  <c r="AE973" i="1"/>
  <c r="AE971" i="1"/>
  <c r="AE969" i="1"/>
  <c r="AE967" i="1"/>
  <c r="AE965" i="1"/>
  <c r="AE963" i="1"/>
  <c r="AE961" i="1"/>
  <c r="AE959" i="1"/>
  <c r="AE957" i="1"/>
  <c r="AE955" i="1"/>
  <c r="AE953" i="1"/>
  <c r="AE949" i="1"/>
  <c r="AE947" i="1"/>
  <c r="AE945" i="1"/>
  <c r="AE941" i="1"/>
  <c r="AE939" i="1"/>
  <c r="AE937" i="1"/>
  <c r="AE935" i="1"/>
  <c r="AE933" i="1"/>
  <c r="AE931" i="1"/>
  <c r="AE929" i="1"/>
  <c r="AE927" i="1"/>
  <c r="AE925" i="1"/>
  <c r="AE923" i="1"/>
  <c r="AE921" i="1"/>
  <c r="AE919" i="1"/>
  <c r="AE917" i="1"/>
  <c r="AE915" i="1"/>
  <c r="AE913" i="1"/>
  <c r="AE911" i="1"/>
  <c r="AE907" i="1"/>
  <c r="AE905" i="1"/>
  <c r="AE903" i="1"/>
  <c r="AE897" i="1"/>
  <c r="AE909" i="1"/>
  <c r="AE895" i="1"/>
  <c r="AE893" i="1"/>
  <c r="AE891" i="1"/>
  <c r="AE889" i="1"/>
  <c r="AE887" i="1"/>
  <c r="AE883" i="1"/>
  <c r="AE881" i="1"/>
  <c r="AE877" i="1"/>
  <c r="AE875" i="1"/>
  <c r="AE873" i="1"/>
  <c r="AE871" i="1"/>
  <c r="AE869" i="1"/>
  <c r="AE865" i="1"/>
  <c r="AE863" i="1"/>
  <c r="AE861" i="1"/>
  <c r="AE859" i="1"/>
  <c r="AE857" i="1"/>
  <c r="AE855" i="1"/>
  <c r="AE853" i="1"/>
  <c r="AE851" i="1"/>
  <c r="AE849" i="1"/>
  <c r="AE847" i="1"/>
  <c r="AE845" i="1"/>
  <c r="AE841" i="1"/>
  <c r="AE839" i="1"/>
  <c r="AE837" i="1"/>
  <c r="AE835" i="1"/>
  <c r="AE833" i="1"/>
  <c r="AE831" i="1"/>
  <c r="AE829" i="1"/>
  <c r="AE825" i="1"/>
  <c r="AE823" i="1"/>
  <c r="AE821" i="1"/>
  <c r="AE819" i="1"/>
  <c r="AE817" i="1"/>
  <c r="AE815" i="1"/>
  <c r="AE813" i="1"/>
  <c r="AE811" i="1"/>
  <c r="AE809" i="1"/>
  <c r="AE807" i="1"/>
  <c r="AE805" i="1"/>
  <c r="AE803" i="1"/>
  <c r="AE801" i="1"/>
  <c r="AE799" i="1"/>
  <c r="AE797" i="1"/>
  <c r="AE795" i="1"/>
  <c r="AE793" i="1"/>
  <c r="AE791" i="1"/>
  <c r="AE789" i="1"/>
  <c r="AE787" i="1"/>
  <c r="AE785" i="1"/>
  <c r="AE783" i="1"/>
  <c r="AE781" i="1"/>
  <c r="AE779" i="1"/>
  <c r="AE777" i="1"/>
  <c r="AE775" i="1"/>
  <c r="AE773" i="1"/>
  <c r="AE771" i="1"/>
  <c r="AE769" i="1"/>
  <c r="AE767" i="1"/>
  <c r="AE765" i="1"/>
  <c r="AE763" i="1"/>
  <c r="AE761" i="1"/>
  <c r="AE759" i="1"/>
  <c r="AE757" i="1"/>
  <c r="AE755" i="1"/>
  <c r="AE753" i="1"/>
  <c r="AE751" i="1"/>
  <c r="AE749" i="1"/>
  <c r="AE747" i="1"/>
  <c r="AE745" i="1"/>
  <c r="AE743" i="1"/>
  <c r="AE739" i="1"/>
  <c r="AE737" i="1"/>
  <c r="AE735" i="1"/>
  <c r="AE733" i="1"/>
  <c r="AE731" i="1"/>
  <c r="AE729" i="1"/>
  <c r="AE727" i="1"/>
  <c r="AE725" i="1"/>
  <c r="AE723" i="1"/>
  <c r="AE721" i="1"/>
  <c r="AE943" i="1"/>
  <c r="AE951" i="1"/>
  <c r="AE719" i="1"/>
  <c r="AE717" i="1"/>
  <c r="AE715" i="1"/>
  <c r="AE713" i="1"/>
  <c r="AE711" i="1"/>
  <c r="AE709" i="1"/>
  <c r="AE707" i="1"/>
  <c r="AE705" i="1"/>
  <c r="AE703" i="1"/>
  <c r="AE701" i="1"/>
  <c r="AE699" i="1"/>
  <c r="AE697" i="1"/>
  <c r="AE695" i="1"/>
  <c r="AE691" i="1"/>
  <c r="AE689" i="1"/>
  <c r="AE687" i="1"/>
  <c r="AE685" i="1"/>
  <c r="AE683" i="1"/>
  <c r="AE681" i="1"/>
  <c r="AE679" i="1"/>
  <c r="AE677" i="1"/>
  <c r="AE675" i="1"/>
  <c r="AE673" i="1"/>
  <c r="AE671" i="1"/>
  <c r="AE669" i="1"/>
  <c r="AE667" i="1"/>
  <c r="AE665" i="1"/>
  <c r="AE663" i="1"/>
  <c r="AE661" i="1"/>
  <c r="AE659" i="1"/>
  <c r="AE657" i="1"/>
  <c r="AE655" i="1"/>
  <c r="AE653" i="1"/>
  <c r="AE651" i="1"/>
  <c r="AE649" i="1"/>
  <c r="AE647" i="1"/>
  <c r="AE645" i="1"/>
  <c r="AE643" i="1"/>
  <c r="AE641" i="1"/>
  <c r="AE639" i="1"/>
  <c r="AE637" i="1"/>
  <c r="AE635" i="1"/>
  <c r="AE633" i="1"/>
  <c r="AE631" i="1"/>
  <c r="AE629" i="1"/>
  <c r="AE627" i="1"/>
  <c r="AE625" i="1"/>
  <c r="AE623" i="1"/>
  <c r="AE621" i="1"/>
  <c r="AE619" i="1"/>
  <c r="AE617" i="1"/>
  <c r="AE615" i="1"/>
  <c r="AE613" i="1"/>
  <c r="AE611" i="1"/>
  <c r="AE609" i="1"/>
  <c r="AE607" i="1"/>
  <c r="AE605" i="1"/>
  <c r="AE603" i="1"/>
  <c r="AE601" i="1"/>
  <c r="AE599" i="1"/>
  <c r="AE597" i="1"/>
  <c r="AE595" i="1"/>
  <c r="AE593" i="1"/>
  <c r="AE591" i="1"/>
  <c r="AE589" i="1"/>
  <c r="AE587" i="1"/>
  <c r="AE585" i="1"/>
  <c r="AE583" i="1"/>
  <c r="AE581" i="1"/>
  <c r="AE579" i="1"/>
  <c r="AE577" i="1"/>
  <c r="AE575" i="1"/>
  <c r="AE573" i="1"/>
  <c r="AE571" i="1"/>
  <c r="AE569" i="1"/>
  <c r="AE567" i="1"/>
  <c r="AE565" i="1"/>
  <c r="AE563" i="1"/>
  <c r="AE557" i="1"/>
  <c r="AE555" i="1"/>
  <c r="AE553" i="1"/>
  <c r="AE551" i="1"/>
  <c r="AE549" i="1"/>
  <c r="AE547" i="1"/>
  <c r="AE545" i="1"/>
  <c r="AE543" i="1"/>
  <c r="AE541" i="1"/>
  <c r="AE539" i="1"/>
  <c r="AE537" i="1"/>
  <c r="AE535" i="1"/>
  <c r="AE533" i="1"/>
  <c r="AE531" i="1"/>
  <c r="AE529" i="1"/>
  <c r="AE527" i="1"/>
  <c r="AE525" i="1"/>
  <c r="AE523" i="1"/>
  <c r="AE521" i="1"/>
  <c r="AE519" i="1"/>
  <c r="AE517" i="1"/>
  <c r="AE515" i="1"/>
  <c r="AE507" i="1"/>
  <c r="AE505" i="1"/>
  <c r="AE503" i="1"/>
  <c r="AE501" i="1"/>
  <c r="AE499" i="1"/>
  <c r="AE497" i="1"/>
  <c r="AE495" i="1"/>
  <c r="AE493" i="1"/>
  <c r="AE491" i="1"/>
  <c r="AE489" i="1"/>
  <c r="AE487" i="1"/>
  <c r="AE485" i="1"/>
  <c r="AE483" i="1"/>
  <c r="AE481" i="1"/>
  <c r="AE479" i="1"/>
  <c r="AE477" i="1"/>
  <c r="AE475" i="1"/>
  <c r="AE473" i="1"/>
  <c r="AE471" i="1"/>
  <c r="AE469" i="1"/>
  <c r="AE467" i="1"/>
  <c r="AE465" i="1"/>
  <c r="AE463" i="1"/>
  <c r="AE461" i="1"/>
  <c r="AE459" i="1"/>
  <c r="AE457" i="1"/>
  <c r="AE455" i="1"/>
  <c r="AE453" i="1"/>
  <c r="AE451" i="1"/>
  <c r="AE449" i="1"/>
  <c r="AE447" i="1"/>
  <c r="AE445" i="1"/>
  <c r="AE443" i="1"/>
  <c r="AE441" i="1"/>
  <c r="AE439" i="1"/>
  <c r="AE435" i="1"/>
  <c r="AE433" i="1"/>
  <c r="AE431" i="1"/>
  <c r="AE429" i="1"/>
  <c r="AE427" i="1"/>
  <c r="AE425" i="1"/>
  <c r="AE421" i="1"/>
  <c r="AE419" i="1"/>
  <c r="AE417" i="1"/>
  <c r="AE415" i="1"/>
  <c r="AE413" i="1"/>
  <c r="AE411" i="1"/>
  <c r="AE409" i="1"/>
  <c r="AE407" i="1"/>
  <c r="AE405" i="1"/>
  <c r="AE399" i="1"/>
  <c r="AE397" i="1"/>
  <c r="AE395" i="1"/>
  <c r="AE393" i="1"/>
  <c r="AE391" i="1"/>
  <c r="AE389" i="1"/>
  <c r="AE387" i="1"/>
  <c r="AE385" i="1"/>
  <c r="AE383" i="1"/>
  <c r="AE381" i="1"/>
  <c r="AE379" i="1"/>
  <c r="AE377" i="1"/>
  <c r="AE375" i="1"/>
  <c r="AE373" i="1"/>
  <c r="AE371" i="1"/>
  <c r="AE369" i="1"/>
  <c r="AE367" i="1"/>
  <c r="AE365" i="1"/>
  <c r="AE363" i="1"/>
  <c r="AE361" i="1"/>
  <c r="AE359" i="1"/>
  <c r="AE357" i="1"/>
  <c r="AE355" i="1"/>
  <c r="AE353" i="1"/>
  <c r="AE351" i="1"/>
  <c r="AE349" i="1"/>
  <c r="AE347" i="1"/>
  <c r="AE345" i="1"/>
  <c r="AE343" i="1"/>
  <c r="AE341" i="1"/>
  <c r="AE339" i="1"/>
  <c r="AE337" i="1"/>
  <c r="AE335" i="1"/>
  <c r="AE333" i="1"/>
  <c r="AE331" i="1"/>
  <c r="AE329" i="1"/>
  <c r="AE327" i="1"/>
  <c r="AE325" i="1"/>
  <c r="AE323" i="1"/>
  <c r="AE321" i="1"/>
  <c r="AE319" i="1"/>
  <c r="AE317" i="1"/>
  <c r="AE315" i="1"/>
  <c r="AE313" i="1"/>
  <c r="AE311" i="1"/>
  <c r="AE309" i="1"/>
  <c r="AE307" i="1"/>
  <c r="AE305" i="1"/>
  <c r="AE303" i="1"/>
  <c r="AE301" i="1"/>
  <c r="AE299" i="1"/>
  <c r="AE297" i="1"/>
  <c r="AE295" i="1"/>
  <c r="AE293" i="1"/>
  <c r="AE291" i="1"/>
  <c r="AE289" i="1"/>
  <c r="AE287" i="1"/>
  <c r="AE285" i="1"/>
  <c r="AE283" i="1"/>
  <c r="AE281" i="1"/>
  <c r="AE279" i="1"/>
  <c r="AE277" i="1"/>
  <c r="AE275" i="1"/>
  <c r="AE273" i="1"/>
  <c r="AE271" i="1"/>
  <c r="AE269" i="1"/>
  <c r="AE267" i="1"/>
  <c r="AE265" i="1"/>
  <c r="AE263" i="1"/>
  <c r="AE261" i="1"/>
  <c r="AE259" i="1"/>
  <c r="AE257" i="1"/>
  <c r="AE255" i="1"/>
  <c r="AE253" i="1"/>
  <c r="AE251" i="1"/>
  <c r="AE249" i="1"/>
  <c r="AE247" i="1"/>
  <c r="AE245" i="1"/>
  <c r="AE243" i="1"/>
  <c r="AE241" i="1"/>
  <c r="AE239" i="1"/>
  <c r="AE237" i="1"/>
  <c r="AE235" i="1"/>
  <c r="AE233" i="1"/>
  <c r="AE231" i="1"/>
  <c r="AE229" i="1"/>
  <c r="AE227" i="1"/>
  <c r="AE225" i="1"/>
  <c r="AE223" i="1"/>
  <c r="AE221" i="1"/>
  <c r="AE219" i="1"/>
  <c r="AE217" i="1"/>
  <c r="AE215" i="1"/>
  <c r="AE213" i="1"/>
  <c r="AE211" i="1"/>
  <c r="AE209" i="1"/>
  <c r="AE207" i="1"/>
  <c r="AE205" i="1"/>
  <c r="AE203" i="1"/>
  <c r="AE201" i="1"/>
  <c r="AE199" i="1"/>
  <c r="AE197" i="1"/>
  <c r="AE195" i="1"/>
  <c r="AE193" i="1"/>
  <c r="AE191" i="1"/>
  <c r="AE975" i="1"/>
  <c r="AE901" i="1"/>
  <c r="AE899" i="1"/>
  <c r="AE885" i="1"/>
  <c r="AE879" i="1"/>
  <c r="AE693" i="1"/>
  <c r="AE403" i="1"/>
  <c r="AE867" i="1"/>
  <c r="AE827" i="1"/>
  <c r="AE741" i="1"/>
  <c r="AE561" i="1"/>
  <c r="AE559" i="1"/>
  <c r="AE513" i="1"/>
  <c r="AE511" i="1"/>
  <c r="AE509" i="1"/>
  <c r="AE437" i="1"/>
  <c r="AE401" i="1"/>
  <c r="AE843" i="1"/>
  <c r="AE423" i="1"/>
  <c r="AE999" i="1"/>
  <c r="AE997" i="1"/>
  <c r="AE995" i="1"/>
  <c r="AE993" i="1"/>
  <c r="AE991" i="1"/>
  <c r="AE989" i="1"/>
  <c r="AE987" i="1"/>
  <c r="AE985" i="1"/>
  <c r="AE983" i="1"/>
  <c r="AE981" i="1"/>
  <c r="AE979" i="1"/>
  <c r="AE1001" i="1"/>
  <c r="AE976" i="1"/>
  <c r="AE974" i="1"/>
  <c r="AE972" i="1"/>
  <c r="AE970" i="1"/>
  <c r="AE968" i="1"/>
  <c r="AE966" i="1"/>
  <c r="AE964" i="1"/>
  <c r="AE962" i="1"/>
  <c r="AE960" i="1"/>
  <c r="AE958" i="1"/>
  <c r="AE956" i="1"/>
  <c r="AE954" i="1"/>
  <c r="AE952" i="1"/>
  <c r="AE950" i="1"/>
  <c r="AE948" i="1"/>
  <c r="AE946" i="1"/>
  <c r="AE944" i="1"/>
  <c r="AE942" i="1"/>
  <c r="AK941" i="1" s="1"/>
  <c r="AE940" i="1"/>
  <c r="AE938" i="1"/>
  <c r="AE936" i="1"/>
  <c r="AE934" i="1"/>
  <c r="AK933" i="1" s="1"/>
  <c r="AE932" i="1"/>
  <c r="AE998" i="1"/>
  <c r="AE996" i="1"/>
  <c r="AE994" i="1"/>
  <c r="AE992" i="1"/>
  <c r="AE990" i="1"/>
  <c r="AE988" i="1"/>
  <c r="AE986" i="1"/>
  <c r="AE984" i="1"/>
  <c r="AE982" i="1"/>
  <c r="AE980" i="1"/>
  <c r="AE978" i="1"/>
  <c r="AE189" i="1"/>
  <c r="AE187" i="1"/>
  <c r="AE185" i="1"/>
  <c r="AE183" i="1"/>
  <c r="AE181" i="1"/>
  <c r="AE179" i="1"/>
  <c r="AE177" i="1"/>
  <c r="AE175" i="1"/>
  <c r="AE173" i="1"/>
  <c r="AE171" i="1"/>
  <c r="AE169" i="1"/>
  <c r="AE167" i="1"/>
  <c r="AE165" i="1"/>
  <c r="AE163" i="1"/>
  <c r="AE161" i="1"/>
  <c r="AE159" i="1"/>
  <c r="AE157" i="1"/>
  <c r="AE155" i="1"/>
  <c r="AE153" i="1"/>
  <c r="AE151" i="1"/>
  <c r="AE149" i="1"/>
  <c r="AE147" i="1"/>
  <c r="AE145" i="1"/>
  <c r="AE143" i="1"/>
  <c r="AE141" i="1"/>
  <c r="AE139" i="1"/>
  <c r="AE137" i="1"/>
  <c r="AE135" i="1"/>
  <c r="AE133" i="1"/>
  <c r="AE131" i="1"/>
  <c r="AE129" i="1"/>
  <c r="AE127" i="1"/>
  <c r="AE125" i="1"/>
  <c r="AE123" i="1"/>
  <c r="AE121" i="1"/>
  <c r="AE119" i="1"/>
  <c r="AE117" i="1"/>
  <c r="AE115" i="1"/>
  <c r="AE113" i="1"/>
  <c r="AE111" i="1"/>
  <c r="AE109" i="1"/>
  <c r="AE107" i="1"/>
  <c r="AE105" i="1"/>
  <c r="AE103" i="1"/>
  <c r="AE101" i="1"/>
  <c r="AE99" i="1"/>
  <c r="AE97" i="1"/>
  <c r="AE95" i="1"/>
  <c r="AE93" i="1"/>
  <c r="AE91" i="1"/>
  <c r="AE89" i="1"/>
  <c r="AE87" i="1"/>
  <c r="AE85" i="1"/>
  <c r="AE83" i="1"/>
  <c r="AE81" i="1"/>
  <c r="AE79" i="1"/>
  <c r="AE77" i="1"/>
  <c r="AE75" i="1"/>
  <c r="AE73" i="1"/>
  <c r="AE71" i="1"/>
  <c r="AE69" i="1"/>
  <c r="AE67" i="1"/>
  <c r="AE65" i="1"/>
  <c r="AE63" i="1"/>
  <c r="AE61" i="1"/>
  <c r="AE59" i="1"/>
  <c r="AE57" i="1"/>
  <c r="AE55" i="1"/>
  <c r="AE53" i="1"/>
  <c r="AE51" i="1"/>
  <c r="AE49" i="1"/>
  <c r="AE47" i="1"/>
  <c r="AE45" i="1"/>
  <c r="AE43" i="1"/>
  <c r="AE41" i="1"/>
  <c r="AE39" i="1"/>
  <c r="AE37" i="1"/>
  <c r="AE35" i="1"/>
  <c r="AE33" i="1"/>
  <c r="AE31" i="1"/>
  <c r="AE29" i="1"/>
  <c r="AE27" i="1"/>
  <c r="AE25" i="1"/>
  <c r="AE23" i="1"/>
  <c r="AE21" i="1"/>
  <c r="AE930" i="1"/>
  <c r="AE928" i="1"/>
  <c r="AE926" i="1"/>
  <c r="AK925" i="1" s="1"/>
  <c r="AE924" i="1"/>
  <c r="AK923" i="1" s="1"/>
  <c r="AE922" i="1"/>
  <c r="AE920" i="1"/>
  <c r="AE918" i="1"/>
  <c r="AE916" i="1"/>
  <c r="AE914" i="1"/>
  <c r="AE912" i="1"/>
  <c r="AE910" i="1"/>
  <c r="AE908" i="1"/>
  <c r="AE906" i="1"/>
  <c r="AE904" i="1"/>
  <c r="AE902" i="1"/>
  <c r="AE900" i="1"/>
  <c r="AE898" i="1"/>
  <c r="AE896" i="1"/>
  <c r="AE894" i="1"/>
  <c r="AE892" i="1"/>
  <c r="AE890" i="1"/>
  <c r="AE888" i="1"/>
  <c r="AE886" i="1"/>
  <c r="AE884" i="1"/>
  <c r="AE882" i="1"/>
  <c r="AE880" i="1"/>
  <c r="AE878" i="1"/>
  <c r="AE876" i="1"/>
  <c r="AE874" i="1"/>
  <c r="AE872" i="1"/>
  <c r="AE870" i="1"/>
  <c r="AK869" i="1" s="1"/>
  <c r="AE868" i="1"/>
  <c r="AE866" i="1"/>
  <c r="AE864" i="1"/>
  <c r="AE862" i="1"/>
  <c r="AE860" i="1"/>
  <c r="AE858" i="1"/>
  <c r="AE856" i="1"/>
  <c r="AE854" i="1"/>
  <c r="AE852" i="1"/>
  <c r="AE850" i="1"/>
  <c r="AE848" i="1"/>
  <c r="AE846" i="1"/>
  <c r="AE844" i="1"/>
  <c r="AE842" i="1"/>
  <c r="AE840" i="1"/>
  <c r="AE838" i="1"/>
  <c r="AE836" i="1"/>
  <c r="AE834" i="1"/>
  <c r="AE832" i="1"/>
  <c r="AE830" i="1"/>
  <c r="AE828" i="1"/>
  <c r="AE826" i="1"/>
  <c r="AE824" i="1"/>
  <c r="AE822" i="1"/>
  <c r="AE820" i="1"/>
  <c r="AE818" i="1"/>
  <c r="AE816" i="1"/>
  <c r="AE814" i="1"/>
  <c r="AE812" i="1"/>
  <c r="AE810" i="1"/>
  <c r="AE808" i="1"/>
  <c r="AE806" i="1"/>
  <c r="AE804" i="1"/>
  <c r="AE802" i="1"/>
  <c r="AE800" i="1"/>
  <c r="AE798" i="1"/>
  <c r="AE796" i="1"/>
  <c r="AE794" i="1"/>
  <c r="AE792" i="1"/>
  <c r="AE790" i="1"/>
  <c r="AE788" i="1"/>
  <c r="AE786" i="1"/>
  <c r="AE784" i="1"/>
  <c r="AE782" i="1"/>
  <c r="AE780" i="1"/>
  <c r="AE778" i="1"/>
  <c r="AE776" i="1"/>
  <c r="AE774" i="1"/>
  <c r="AE772" i="1"/>
  <c r="AE770" i="1"/>
  <c r="AE768" i="1"/>
  <c r="AE766" i="1"/>
  <c r="AE764" i="1"/>
  <c r="AE762" i="1"/>
  <c r="AE760" i="1"/>
  <c r="AE758" i="1"/>
  <c r="AE756" i="1"/>
  <c r="AE754" i="1"/>
  <c r="AE752" i="1"/>
  <c r="AE750" i="1"/>
  <c r="AE748" i="1"/>
  <c r="AE746" i="1"/>
  <c r="AE744" i="1"/>
  <c r="AE742" i="1"/>
  <c r="AE740" i="1"/>
  <c r="AE738" i="1"/>
  <c r="AE736" i="1"/>
  <c r="AE734" i="1"/>
  <c r="AK733" i="1" s="1"/>
  <c r="AE732" i="1"/>
  <c r="AE730" i="1"/>
  <c r="AE728" i="1"/>
  <c r="AE726" i="1"/>
  <c r="AK725" i="1" s="1"/>
  <c r="AE724" i="1"/>
  <c r="AE722" i="1"/>
  <c r="AE720" i="1"/>
  <c r="AE718" i="1"/>
  <c r="AE716" i="1"/>
  <c r="AE714" i="1"/>
  <c r="AE712" i="1"/>
  <c r="AE710" i="1"/>
  <c r="AE708" i="1"/>
  <c r="AE706" i="1"/>
  <c r="AE704" i="1"/>
  <c r="AE702" i="1"/>
  <c r="AE700" i="1"/>
  <c r="AE698" i="1"/>
  <c r="AE696" i="1"/>
  <c r="AE694" i="1"/>
  <c r="AE692" i="1"/>
  <c r="AE690" i="1"/>
  <c r="AE688" i="1"/>
  <c r="AE686" i="1"/>
  <c r="AE684" i="1"/>
  <c r="AE682" i="1"/>
  <c r="AE680" i="1"/>
  <c r="AE678" i="1"/>
  <c r="AE676" i="1"/>
  <c r="AE674" i="1"/>
  <c r="AE672" i="1"/>
  <c r="AE670" i="1"/>
  <c r="AE668" i="1"/>
  <c r="AE666" i="1"/>
  <c r="AE664" i="1"/>
  <c r="AE662" i="1"/>
  <c r="AE660" i="1"/>
  <c r="AE658" i="1"/>
  <c r="AE656" i="1"/>
  <c r="AE654" i="1"/>
  <c r="AE652" i="1"/>
  <c r="AE650" i="1"/>
  <c r="AE648" i="1"/>
  <c r="AE646" i="1"/>
  <c r="AE644" i="1"/>
  <c r="AE642" i="1"/>
  <c r="AE640" i="1"/>
  <c r="AE638" i="1"/>
  <c r="AE636" i="1"/>
  <c r="AE634" i="1"/>
  <c r="AE632" i="1"/>
  <c r="AE630" i="1"/>
  <c r="AE628" i="1"/>
  <c r="AE626" i="1"/>
  <c r="AE624" i="1"/>
  <c r="AE622" i="1"/>
  <c r="AE620" i="1"/>
  <c r="AE618" i="1"/>
  <c r="AE616" i="1"/>
  <c r="AE614" i="1"/>
  <c r="AE612" i="1"/>
  <c r="AE610" i="1"/>
  <c r="AE608" i="1"/>
  <c r="AE606" i="1"/>
  <c r="AE604" i="1"/>
  <c r="AE602" i="1"/>
  <c r="AE600" i="1"/>
  <c r="AE598" i="1"/>
  <c r="AE596" i="1"/>
  <c r="AE594" i="1"/>
  <c r="AE592" i="1"/>
  <c r="AE590" i="1"/>
  <c r="AE588" i="1"/>
  <c r="AE586" i="1"/>
  <c r="AE584" i="1"/>
  <c r="AE582" i="1"/>
  <c r="AE580" i="1"/>
  <c r="AE578" i="1"/>
  <c r="AE576" i="1"/>
  <c r="AE574" i="1"/>
  <c r="AE572" i="1"/>
  <c r="AE570" i="1"/>
  <c r="AE568" i="1"/>
  <c r="AE566" i="1"/>
  <c r="AE564" i="1"/>
  <c r="AE562" i="1"/>
  <c r="AE560" i="1"/>
  <c r="AE558" i="1"/>
  <c r="AE556" i="1"/>
  <c r="AE554" i="1"/>
  <c r="AE552" i="1"/>
  <c r="AE550" i="1"/>
  <c r="AE548" i="1"/>
  <c r="AE546" i="1"/>
  <c r="AE544" i="1"/>
  <c r="AE542" i="1"/>
  <c r="AE540" i="1"/>
  <c r="AE538" i="1"/>
  <c r="AE536" i="1"/>
  <c r="AE534" i="1"/>
  <c r="AE532" i="1"/>
  <c r="AE530" i="1"/>
  <c r="AE528" i="1"/>
  <c r="AE526" i="1"/>
  <c r="AE524" i="1"/>
  <c r="AE522" i="1"/>
  <c r="AE520" i="1"/>
  <c r="AE518" i="1"/>
  <c r="AE516" i="1"/>
  <c r="AE514" i="1"/>
  <c r="AE512" i="1"/>
  <c r="AE510" i="1"/>
  <c r="AE508" i="1"/>
  <c r="AE506" i="1"/>
  <c r="AE504" i="1"/>
  <c r="AE502" i="1"/>
  <c r="AE500" i="1"/>
  <c r="AE498" i="1"/>
  <c r="AE496" i="1"/>
  <c r="AE494" i="1"/>
  <c r="AE492" i="1"/>
  <c r="AE490" i="1"/>
  <c r="AE488" i="1"/>
  <c r="AE486" i="1"/>
  <c r="AE484" i="1"/>
  <c r="AE482" i="1"/>
  <c r="AE480" i="1"/>
  <c r="AE478" i="1"/>
  <c r="AE476" i="1"/>
  <c r="AE474" i="1"/>
  <c r="AE472" i="1"/>
  <c r="AE470" i="1"/>
  <c r="AE468" i="1"/>
  <c r="AE466" i="1"/>
  <c r="AE464" i="1"/>
  <c r="AE462" i="1"/>
  <c r="AK461" i="1" s="1"/>
  <c r="AE460" i="1"/>
  <c r="AE458" i="1"/>
  <c r="AE456" i="1"/>
  <c r="AE454" i="1"/>
  <c r="AE452" i="1"/>
  <c r="AK451" i="1" s="1"/>
  <c r="AE450" i="1"/>
  <c r="AE448" i="1"/>
  <c r="AE446" i="1"/>
  <c r="AE444" i="1"/>
  <c r="AE442" i="1"/>
  <c r="AE440" i="1"/>
  <c r="AE438" i="1"/>
  <c r="AE436" i="1"/>
  <c r="AE434" i="1"/>
  <c r="AE432" i="1"/>
  <c r="AE430" i="1"/>
  <c r="AE428" i="1"/>
  <c r="AE426" i="1"/>
  <c r="AE424" i="1"/>
  <c r="AE422" i="1"/>
  <c r="AE420" i="1"/>
  <c r="AE418" i="1"/>
  <c r="AE416" i="1"/>
  <c r="AE414" i="1"/>
  <c r="AE412" i="1"/>
  <c r="AE410" i="1"/>
  <c r="AE408" i="1"/>
  <c r="AE406" i="1"/>
  <c r="AE404" i="1"/>
  <c r="AE402" i="1"/>
  <c r="AE400" i="1"/>
  <c r="AE398" i="1"/>
  <c r="AE396" i="1"/>
  <c r="AE394" i="1"/>
  <c r="AE392" i="1"/>
  <c r="AE390" i="1"/>
  <c r="AK389" i="1" s="1"/>
  <c r="AE388" i="1"/>
  <c r="AE386" i="1"/>
  <c r="AE384" i="1"/>
  <c r="AE382" i="1"/>
  <c r="AE380" i="1"/>
  <c r="AE378" i="1"/>
  <c r="AE376" i="1"/>
  <c r="AE374" i="1"/>
  <c r="AK373" i="1" s="1"/>
  <c r="AE372" i="1"/>
  <c r="AE370" i="1"/>
  <c r="AE368" i="1"/>
  <c r="AE366" i="1"/>
  <c r="AE364" i="1"/>
  <c r="AE362" i="1"/>
  <c r="AE20" i="1"/>
  <c r="AE18" i="1"/>
  <c r="AE16" i="1"/>
  <c r="AE14" i="1"/>
  <c r="AE12" i="1"/>
  <c r="AE10" i="1"/>
  <c r="AE8" i="1"/>
  <c r="AE6" i="1"/>
  <c r="AE4" i="1"/>
  <c r="AE360" i="1"/>
  <c r="AE358" i="1"/>
  <c r="AE356" i="1"/>
  <c r="AE354" i="1"/>
  <c r="AE352" i="1"/>
  <c r="AE350" i="1"/>
  <c r="AE348" i="1"/>
  <c r="AE346" i="1"/>
  <c r="AE344" i="1"/>
  <c r="AE342" i="1"/>
  <c r="AE340" i="1"/>
  <c r="AE338" i="1"/>
  <c r="AE336" i="1"/>
  <c r="AE334" i="1"/>
  <c r="AE332" i="1"/>
  <c r="AE330" i="1"/>
  <c r="AE328" i="1"/>
  <c r="AE326" i="1"/>
  <c r="AE324" i="1"/>
  <c r="AE322" i="1"/>
  <c r="AE320" i="1"/>
  <c r="AE318" i="1"/>
  <c r="AE316" i="1"/>
  <c r="AE314" i="1"/>
  <c r="AE312" i="1"/>
  <c r="AE310" i="1"/>
  <c r="AE308" i="1"/>
  <c r="AE306" i="1"/>
  <c r="AE304" i="1"/>
  <c r="AE302" i="1"/>
  <c r="AE300" i="1"/>
  <c r="AE298" i="1"/>
  <c r="AE296" i="1"/>
  <c r="AE294" i="1"/>
  <c r="AE292" i="1"/>
  <c r="AE290" i="1"/>
  <c r="AE288" i="1"/>
  <c r="AE286" i="1"/>
  <c r="AE284" i="1"/>
  <c r="AE282" i="1"/>
  <c r="AE280" i="1"/>
  <c r="AE278" i="1"/>
  <c r="AE276" i="1"/>
  <c r="AE274" i="1"/>
  <c r="AE272" i="1"/>
  <c r="AE270" i="1"/>
  <c r="AE268" i="1"/>
  <c r="AE266" i="1"/>
  <c r="AE264" i="1"/>
  <c r="AE262" i="1"/>
  <c r="AE260" i="1"/>
  <c r="AE258" i="1"/>
  <c r="AE256" i="1"/>
  <c r="AE254" i="1"/>
  <c r="AE252" i="1"/>
  <c r="AE250" i="1"/>
  <c r="AE248" i="1"/>
  <c r="AE246" i="1"/>
  <c r="AE244" i="1"/>
  <c r="AE242" i="1"/>
  <c r="AE240" i="1"/>
  <c r="AE238" i="1"/>
  <c r="AE236" i="1"/>
  <c r="AE234" i="1"/>
  <c r="AE232" i="1"/>
  <c r="AE230" i="1"/>
  <c r="AE228" i="1"/>
  <c r="AE226" i="1"/>
  <c r="AE224" i="1"/>
  <c r="AE222" i="1"/>
  <c r="AE220" i="1"/>
  <c r="AE218" i="1"/>
  <c r="AE216" i="1"/>
  <c r="AE214" i="1"/>
  <c r="AE212" i="1"/>
  <c r="AE210" i="1"/>
  <c r="AE208" i="1"/>
  <c r="AE206" i="1"/>
  <c r="AE204" i="1"/>
  <c r="AE202" i="1"/>
  <c r="AE200" i="1"/>
  <c r="AE198" i="1"/>
  <c r="AE196" i="1"/>
  <c r="AE194" i="1"/>
  <c r="AE192" i="1"/>
  <c r="AE190" i="1"/>
  <c r="AE188" i="1"/>
  <c r="AE186" i="1"/>
  <c r="AE184" i="1"/>
  <c r="AE182" i="1"/>
  <c r="AE180" i="1"/>
  <c r="AE178" i="1"/>
  <c r="AE176" i="1"/>
  <c r="AK175" i="1" s="1"/>
  <c r="AE174" i="1"/>
  <c r="AE172" i="1"/>
  <c r="AE170" i="1"/>
  <c r="AE168" i="1"/>
  <c r="AK167" i="1" s="1"/>
  <c r="AE166" i="1"/>
  <c r="AE164" i="1"/>
  <c r="AE162" i="1"/>
  <c r="AE160" i="1"/>
  <c r="AE158" i="1"/>
  <c r="AE156" i="1"/>
  <c r="AE154" i="1"/>
  <c r="AE152" i="1"/>
  <c r="AK151" i="1" s="1"/>
  <c r="AE150" i="1"/>
  <c r="AE148" i="1"/>
  <c r="AE146" i="1"/>
  <c r="AE144" i="1"/>
  <c r="AE142" i="1"/>
  <c r="AE140" i="1"/>
  <c r="AE138" i="1"/>
  <c r="AE136" i="1"/>
  <c r="AK135" i="1" s="1"/>
  <c r="AE134" i="1"/>
  <c r="AE132" i="1"/>
  <c r="AE130" i="1"/>
  <c r="AE128" i="1"/>
  <c r="AE126" i="1"/>
  <c r="AE124" i="1"/>
  <c r="AE122" i="1"/>
  <c r="AE120" i="1"/>
  <c r="AE118" i="1"/>
  <c r="AE116" i="1"/>
  <c r="AE114" i="1"/>
  <c r="AE112" i="1"/>
  <c r="AE110" i="1"/>
  <c r="AE108" i="1"/>
  <c r="AK107" i="1" s="1"/>
  <c r="AE106" i="1"/>
  <c r="AE104" i="1"/>
  <c r="AK103" i="1" s="1"/>
  <c r="AE102" i="1"/>
  <c r="AE100" i="1"/>
  <c r="AE98" i="1"/>
  <c r="AE96" i="1"/>
  <c r="AK95" i="1" s="1"/>
  <c r="AE94" i="1"/>
  <c r="AE92" i="1"/>
  <c r="AE90" i="1"/>
  <c r="AE88" i="1"/>
  <c r="AE86" i="1"/>
  <c r="AE84" i="1"/>
  <c r="AE82" i="1"/>
  <c r="AE80" i="1"/>
  <c r="AK79" i="1" s="1"/>
  <c r="AE78" i="1"/>
  <c r="AE76" i="1"/>
  <c r="AE74" i="1"/>
  <c r="AE72" i="1"/>
  <c r="AK71" i="1" s="1"/>
  <c r="AE70" i="1"/>
  <c r="AE68" i="1"/>
  <c r="AE66" i="1"/>
  <c r="AE64" i="1"/>
  <c r="AE62" i="1"/>
  <c r="AE60" i="1"/>
  <c r="AE58" i="1"/>
  <c r="AE56" i="1"/>
  <c r="AK55" i="1" s="1"/>
  <c r="AE54" i="1"/>
  <c r="AE52" i="1"/>
  <c r="AE50" i="1"/>
  <c r="AE48" i="1"/>
  <c r="AK47" i="1" s="1"/>
  <c r="AE46" i="1"/>
  <c r="AE44" i="1"/>
  <c r="AE42" i="1"/>
  <c r="AE40" i="1"/>
  <c r="AK39" i="1" s="1"/>
  <c r="AE38" i="1"/>
  <c r="AE36" i="1"/>
  <c r="AE34" i="1"/>
  <c r="AE32" i="1"/>
  <c r="AK31" i="1" s="1"/>
  <c r="AE30" i="1"/>
  <c r="AK29" i="1" s="1"/>
  <c r="AE28" i="1"/>
  <c r="AE26" i="1"/>
  <c r="AE24" i="1"/>
  <c r="AE22" i="1"/>
  <c r="AK21" i="1" s="1"/>
  <c r="AE19" i="1"/>
  <c r="AE17" i="1"/>
  <c r="AE15" i="1"/>
  <c r="AE13" i="1"/>
  <c r="AE11" i="1"/>
  <c r="AE9" i="1"/>
  <c r="AE7" i="1"/>
  <c r="AE5" i="1"/>
  <c r="AD998" i="1"/>
  <c r="AD996" i="1"/>
  <c r="AD994" i="1"/>
  <c r="AD992" i="1"/>
  <c r="AD990" i="1"/>
  <c r="AD988" i="1"/>
  <c r="AD986" i="1"/>
  <c r="AD984" i="1"/>
  <c r="AD982" i="1"/>
  <c r="AD980" i="1"/>
  <c r="AD978" i="1"/>
  <c r="AD19" i="1"/>
  <c r="AD17" i="1"/>
  <c r="AD15" i="1"/>
  <c r="AD13" i="1"/>
  <c r="AD11" i="1"/>
  <c r="AD9" i="1"/>
  <c r="AD7" i="1"/>
  <c r="AD5" i="1"/>
  <c r="AE3" i="1"/>
  <c r="AD1000" i="1"/>
  <c r="AD977" i="1"/>
  <c r="AD975" i="1"/>
  <c r="AD973" i="1"/>
  <c r="AD971" i="1"/>
  <c r="AD969" i="1"/>
  <c r="AD967" i="1"/>
  <c r="AD965" i="1"/>
  <c r="AD963" i="1"/>
  <c r="AD961" i="1"/>
  <c r="AD959" i="1"/>
  <c r="AD957" i="1"/>
  <c r="AD955" i="1"/>
  <c r="AD953" i="1"/>
  <c r="AD951" i="1"/>
  <c r="AD949" i="1"/>
  <c r="AD947" i="1"/>
  <c r="AD945" i="1"/>
  <c r="AD943" i="1"/>
  <c r="AD941" i="1"/>
  <c r="AD939" i="1"/>
  <c r="AD937" i="1"/>
  <c r="AD935" i="1"/>
  <c r="AD933" i="1"/>
  <c r="AD931" i="1"/>
  <c r="AD929" i="1"/>
  <c r="AD927" i="1"/>
  <c r="AD925" i="1"/>
  <c r="AD923" i="1"/>
  <c r="AD921" i="1"/>
  <c r="AD919" i="1"/>
  <c r="AD917" i="1"/>
  <c r="AD915" i="1"/>
  <c r="AD913" i="1"/>
  <c r="AD911" i="1"/>
  <c r="AD909" i="1"/>
  <c r="AD907" i="1"/>
  <c r="AD905" i="1"/>
  <c r="AD903" i="1"/>
  <c r="AD901" i="1"/>
  <c r="AD899" i="1"/>
  <c r="AD897" i="1"/>
  <c r="AD895" i="1"/>
  <c r="AD893" i="1"/>
  <c r="AD891" i="1"/>
  <c r="AD889" i="1"/>
  <c r="AD887" i="1"/>
  <c r="AD885" i="1"/>
  <c r="AD883" i="1"/>
  <c r="AD881" i="1"/>
  <c r="AD879" i="1"/>
  <c r="AD877" i="1"/>
  <c r="AD875" i="1"/>
  <c r="AD873" i="1"/>
  <c r="AD871" i="1"/>
  <c r="AD869" i="1"/>
  <c r="AD867" i="1"/>
  <c r="AD865" i="1"/>
  <c r="AD863" i="1"/>
  <c r="AD861" i="1"/>
  <c r="AD859" i="1"/>
  <c r="AD857" i="1"/>
  <c r="AD855" i="1"/>
  <c r="AD853" i="1"/>
  <c r="AD851" i="1"/>
  <c r="AD849" i="1"/>
  <c r="AD847" i="1"/>
  <c r="AD845" i="1"/>
  <c r="AD843" i="1"/>
  <c r="AD841" i="1"/>
  <c r="AD839" i="1"/>
  <c r="AD837" i="1"/>
  <c r="AD835" i="1"/>
  <c r="AD833" i="1"/>
  <c r="AD831" i="1"/>
  <c r="AD829" i="1"/>
  <c r="AD827" i="1"/>
  <c r="AD825" i="1"/>
  <c r="AD823" i="1"/>
  <c r="AD821" i="1"/>
  <c r="AD819" i="1"/>
  <c r="AD817" i="1"/>
  <c r="AD815" i="1"/>
  <c r="AD813" i="1"/>
  <c r="AD811" i="1"/>
  <c r="AD809" i="1"/>
  <c r="AD807" i="1"/>
  <c r="AD805" i="1"/>
  <c r="AD803" i="1"/>
  <c r="AD801" i="1"/>
  <c r="AD799" i="1"/>
  <c r="AD797" i="1"/>
  <c r="AD795" i="1"/>
  <c r="AD793" i="1"/>
  <c r="AD791" i="1"/>
  <c r="AD789" i="1"/>
  <c r="AD787" i="1"/>
  <c r="AD785" i="1"/>
  <c r="AD783" i="1"/>
  <c r="AD781" i="1"/>
  <c r="AD779" i="1"/>
  <c r="AD777" i="1"/>
  <c r="AD775" i="1"/>
  <c r="AD773" i="1"/>
  <c r="AD771" i="1"/>
  <c r="AD769" i="1"/>
  <c r="AD767" i="1"/>
  <c r="AD765" i="1"/>
  <c r="AD763" i="1"/>
  <c r="AD761" i="1"/>
  <c r="AD759" i="1"/>
  <c r="AD757" i="1"/>
  <c r="AD755" i="1"/>
  <c r="AD753" i="1"/>
  <c r="AD751" i="1"/>
  <c r="AD749" i="1"/>
  <c r="AD747" i="1"/>
  <c r="AD745" i="1"/>
  <c r="AD743" i="1"/>
  <c r="AD741" i="1"/>
  <c r="AD739" i="1"/>
  <c r="AD737" i="1"/>
  <c r="AD735" i="1"/>
  <c r="AD733" i="1"/>
  <c r="AD731" i="1"/>
  <c r="AD729" i="1"/>
  <c r="AD727" i="1"/>
  <c r="AD725" i="1"/>
  <c r="AD723" i="1"/>
  <c r="AD721" i="1"/>
  <c r="AD719" i="1"/>
  <c r="AD717" i="1"/>
  <c r="AD715" i="1"/>
  <c r="AD713" i="1"/>
  <c r="AD711" i="1"/>
  <c r="AD709" i="1"/>
  <c r="AD707" i="1"/>
  <c r="AD705" i="1"/>
  <c r="AD703" i="1"/>
  <c r="AD701" i="1"/>
  <c r="AD699" i="1"/>
  <c r="AD697" i="1"/>
  <c r="AD999" i="1"/>
  <c r="AD997" i="1"/>
  <c r="AD995" i="1"/>
  <c r="AD993" i="1"/>
  <c r="AD991" i="1"/>
  <c r="AD989" i="1"/>
  <c r="AD987" i="1"/>
  <c r="AD985" i="1"/>
  <c r="AD983" i="1"/>
  <c r="AD981" i="1"/>
  <c r="AD979" i="1"/>
  <c r="AD1001" i="1"/>
  <c r="AD976" i="1"/>
  <c r="AD974" i="1"/>
  <c r="AD972" i="1"/>
  <c r="AD970" i="1"/>
  <c r="AD968" i="1"/>
  <c r="AD966" i="1"/>
  <c r="AD964" i="1"/>
  <c r="AJ963" i="1" s="1"/>
  <c r="AD962" i="1"/>
  <c r="AD960" i="1"/>
  <c r="AJ959" i="1" s="1"/>
  <c r="AD958" i="1"/>
  <c r="AD956" i="1"/>
  <c r="AD954" i="1"/>
  <c r="AD952" i="1"/>
  <c r="AD950" i="1"/>
  <c r="AD948" i="1"/>
  <c r="AJ947" i="1" s="1"/>
  <c r="AD946" i="1"/>
  <c r="AD944" i="1"/>
  <c r="AJ943" i="1" s="1"/>
  <c r="AD942" i="1"/>
  <c r="AD940" i="1"/>
  <c r="AD938" i="1"/>
  <c r="AD936" i="1"/>
  <c r="AJ935" i="1" s="1"/>
  <c r="AD934" i="1"/>
  <c r="AD932" i="1"/>
  <c r="AD930" i="1"/>
  <c r="AD928" i="1"/>
  <c r="AJ927" i="1" s="1"/>
  <c r="AD926" i="1"/>
  <c r="AD924" i="1"/>
  <c r="AD922" i="1"/>
  <c r="AD920" i="1"/>
  <c r="AJ919" i="1" s="1"/>
  <c r="AD918" i="1"/>
  <c r="AD916" i="1"/>
  <c r="AD914" i="1"/>
  <c r="AD912" i="1"/>
  <c r="AJ911" i="1" s="1"/>
  <c r="AD910" i="1"/>
  <c r="AD908" i="1"/>
  <c r="AD906" i="1"/>
  <c r="AD904" i="1"/>
  <c r="AJ903" i="1" s="1"/>
  <c r="AD902" i="1"/>
  <c r="AD900" i="1"/>
  <c r="AD898" i="1"/>
  <c r="AD896" i="1"/>
  <c r="AJ895" i="1" s="1"/>
  <c r="AD894" i="1"/>
  <c r="AD892" i="1"/>
  <c r="AD890" i="1"/>
  <c r="AD888" i="1"/>
  <c r="AD886" i="1"/>
  <c r="AD884" i="1"/>
  <c r="AD882" i="1"/>
  <c r="AD880" i="1"/>
  <c r="AD878" i="1"/>
  <c r="AD876" i="1"/>
  <c r="AJ875" i="1" s="1"/>
  <c r="AD874" i="1"/>
  <c r="AD872" i="1"/>
  <c r="AD870" i="1"/>
  <c r="AD868" i="1"/>
  <c r="AD866" i="1"/>
  <c r="AD864" i="1"/>
  <c r="AJ863" i="1" s="1"/>
  <c r="AD862" i="1"/>
  <c r="AD860" i="1"/>
  <c r="AD858" i="1"/>
  <c r="AD856" i="1"/>
  <c r="AD854" i="1"/>
  <c r="AD852" i="1"/>
  <c r="AD850" i="1"/>
  <c r="AD848" i="1"/>
  <c r="AJ847" i="1" s="1"/>
  <c r="AD846" i="1"/>
  <c r="AD844" i="1"/>
  <c r="AD842" i="1"/>
  <c r="AD840" i="1"/>
  <c r="AJ839" i="1" s="1"/>
  <c r="AD838" i="1"/>
  <c r="AD836" i="1"/>
  <c r="AD834" i="1"/>
  <c r="AD832" i="1"/>
  <c r="AJ831" i="1" s="1"/>
  <c r="AD830" i="1"/>
  <c r="AD828" i="1"/>
  <c r="AD826" i="1"/>
  <c r="AD824" i="1"/>
  <c r="AJ823" i="1" s="1"/>
  <c r="AD822" i="1"/>
  <c r="AD820" i="1"/>
  <c r="AD818" i="1"/>
  <c r="AD816" i="1"/>
  <c r="AJ815" i="1" s="1"/>
  <c r="AD814" i="1"/>
  <c r="AD812" i="1"/>
  <c r="AD810" i="1"/>
  <c r="AD808" i="1"/>
  <c r="AD806" i="1"/>
  <c r="AD804" i="1"/>
  <c r="AD802" i="1"/>
  <c r="AD800" i="1"/>
  <c r="AD798" i="1"/>
  <c r="AD796" i="1"/>
  <c r="AD794" i="1"/>
  <c r="AD792" i="1"/>
  <c r="AD790" i="1"/>
  <c r="AD788" i="1"/>
  <c r="AD786" i="1"/>
  <c r="AD784" i="1"/>
  <c r="AD782" i="1"/>
  <c r="AD780" i="1"/>
  <c r="AD778" i="1"/>
  <c r="AD776" i="1"/>
  <c r="AJ775" i="1" s="1"/>
  <c r="AD774" i="1"/>
  <c r="AD772" i="1"/>
  <c r="AD770" i="1"/>
  <c r="AD768" i="1"/>
  <c r="AJ767" i="1" s="1"/>
  <c r="AD766" i="1"/>
  <c r="AD764" i="1"/>
  <c r="AD762" i="1"/>
  <c r="AD760" i="1"/>
  <c r="AD758" i="1"/>
  <c r="AJ757" i="1" s="1"/>
  <c r="AD756" i="1"/>
  <c r="AD754" i="1"/>
  <c r="AD752" i="1"/>
  <c r="AD750" i="1"/>
  <c r="AD748" i="1"/>
  <c r="AD746" i="1"/>
  <c r="AD744" i="1"/>
  <c r="AJ743" i="1" s="1"/>
  <c r="AD742" i="1"/>
  <c r="AD740" i="1"/>
  <c r="AD738" i="1"/>
  <c r="AD736" i="1"/>
  <c r="AJ735" i="1" s="1"/>
  <c r="AD734" i="1"/>
  <c r="AD732" i="1"/>
  <c r="AD730" i="1"/>
  <c r="AD728" i="1"/>
  <c r="AJ727" i="1" s="1"/>
  <c r="AD726" i="1"/>
  <c r="AD724" i="1"/>
  <c r="AD722" i="1"/>
  <c r="AD720" i="1"/>
  <c r="AJ719" i="1" s="1"/>
  <c r="AD718" i="1"/>
  <c r="AD716" i="1"/>
  <c r="AD714" i="1"/>
  <c r="AD712" i="1"/>
  <c r="AJ711" i="1" s="1"/>
  <c r="AD710" i="1"/>
  <c r="AD708" i="1"/>
  <c r="AD706" i="1"/>
  <c r="AD704" i="1"/>
  <c r="AD702" i="1"/>
  <c r="AD700" i="1"/>
  <c r="AD698" i="1"/>
  <c r="AD696" i="1"/>
  <c r="AD694" i="1"/>
  <c r="AD695" i="1"/>
  <c r="AD693" i="1"/>
  <c r="AD691" i="1"/>
  <c r="AD689" i="1"/>
  <c r="AD687" i="1"/>
  <c r="AD685" i="1"/>
  <c r="AD683" i="1"/>
  <c r="AD681" i="1"/>
  <c r="AD679" i="1"/>
  <c r="AD677" i="1"/>
  <c r="AD675" i="1"/>
  <c r="AD673" i="1"/>
  <c r="AD671" i="1"/>
  <c r="AD669" i="1"/>
  <c r="AD667" i="1"/>
  <c r="AD665" i="1"/>
  <c r="AD663" i="1"/>
  <c r="AD661" i="1"/>
  <c r="AD659" i="1"/>
  <c r="AD657" i="1"/>
  <c r="AD655" i="1"/>
  <c r="AD653" i="1"/>
  <c r="AD651" i="1"/>
  <c r="AD649" i="1"/>
  <c r="AD647" i="1"/>
  <c r="AD645" i="1"/>
  <c r="AD643" i="1"/>
  <c r="AD641" i="1"/>
  <c r="AD639" i="1"/>
  <c r="AD637" i="1"/>
  <c r="AD635" i="1"/>
  <c r="AD633" i="1"/>
  <c r="AD631" i="1"/>
  <c r="AD629" i="1"/>
  <c r="AD627" i="1"/>
  <c r="AD625" i="1"/>
  <c r="AD623" i="1"/>
  <c r="AD621" i="1"/>
  <c r="AD619" i="1"/>
  <c r="AD617" i="1"/>
  <c r="AD615" i="1"/>
  <c r="AD613" i="1"/>
  <c r="AD611" i="1"/>
  <c r="AD609" i="1"/>
  <c r="AD607" i="1"/>
  <c r="AD605" i="1"/>
  <c r="AD603" i="1"/>
  <c r="AD601" i="1"/>
  <c r="AD599" i="1"/>
  <c r="AD597" i="1"/>
  <c r="AD595" i="1"/>
  <c r="AD593" i="1"/>
  <c r="AD591" i="1"/>
  <c r="AD589" i="1"/>
  <c r="AD587" i="1"/>
  <c r="AD585" i="1"/>
  <c r="AD583" i="1"/>
  <c r="AD581" i="1"/>
  <c r="AD579" i="1"/>
  <c r="AD577" i="1"/>
  <c r="AD575" i="1"/>
  <c r="AD573" i="1"/>
  <c r="AD571" i="1"/>
  <c r="AD569" i="1"/>
  <c r="AD567" i="1"/>
  <c r="AD565" i="1"/>
  <c r="AD563" i="1"/>
  <c r="AD561" i="1"/>
  <c r="AD559" i="1"/>
  <c r="AD557" i="1"/>
  <c r="AD555" i="1"/>
  <c r="AD553" i="1"/>
  <c r="AD551" i="1"/>
  <c r="AD549" i="1"/>
  <c r="AD547" i="1"/>
  <c r="AD545" i="1"/>
  <c r="AD543" i="1"/>
  <c r="AD541" i="1"/>
  <c r="AD539" i="1"/>
  <c r="AD537" i="1"/>
  <c r="AD535" i="1"/>
  <c r="AD533" i="1"/>
  <c r="AD531" i="1"/>
  <c r="AD529" i="1"/>
  <c r="AD527" i="1"/>
  <c r="AD525" i="1"/>
  <c r="AD523" i="1"/>
  <c r="AD521" i="1"/>
  <c r="AD519" i="1"/>
  <c r="AD517" i="1"/>
  <c r="AD515" i="1"/>
  <c r="AD513" i="1"/>
  <c r="AD511" i="1"/>
  <c r="AD509" i="1"/>
  <c r="AD507" i="1"/>
  <c r="AD505" i="1"/>
  <c r="AD503" i="1"/>
  <c r="AD501" i="1"/>
  <c r="AD499" i="1"/>
  <c r="AD497" i="1"/>
  <c r="AD495" i="1"/>
  <c r="AD493" i="1"/>
  <c r="AD491" i="1"/>
  <c r="AD489" i="1"/>
  <c r="AD487" i="1"/>
  <c r="AD485" i="1"/>
  <c r="AD483" i="1"/>
  <c r="AD481" i="1"/>
  <c r="AD479" i="1"/>
  <c r="AD477" i="1"/>
  <c r="AD475" i="1"/>
  <c r="AD473" i="1"/>
  <c r="AD471" i="1"/>
  <c r="AD469" i="1"/>
  <c r="AD467" i="1"/>
  <c r="AD465" i="1"/>
  <c r="AD463" i="1"/>
  <c r="AD461" i="1"/>
  <c r="AD459" i="1"/>
  <c r="AD457" i="1"/>
  <c r="AD455" i="1"/>
  <c r="AD453" i="1"/>
  <c r="AD451" i="1"/>
  <c r="AD449" i="1"/>
  <c r="AD447" i="1"/>
  <c r="AD445" i="1"/>
  <c r="AD443" i="1"/>
  <c r="AD441" i="1"/>
  <c r="AD439" i="1"/>
  <c r="AD437" i="1"/>
  <c r="AD435" i="1"/>
  <c r="AD433" i="1"/>
  <c r="AD431" i="1"/>
  <c r="AD429" i="1"/>
  <c r="AD427" i="1"/>
  <c r="AD425" i="1"/>
  <c r="AD423" i="1"/>
  <c r="AD421" i="1"/>
  <c r="AD419" i="1"/>
  <c r="AD417" i="1"/>
  <c r="AD415" i="1"/>
  <c r="AD413" i="1"/>
  <c r="AD411" i="1"/>
  <c r="AD409" i="1"/>
  <c r="AD407" i="1"/>
  <c r="AD405" i="1"/>
  <c r="AD403" i="1"/>
  <c r="AD401" i="1"/>
  <c r="AD399" i="1"/>
  <c r="AD397" i="1"/>
  <c r="AD395" i="1"/>
  <c r="AD393" i="1"/>
  <c r="AD391" i="1"/>
  <c r="AD389" i="1"/>
  <c r="AD387" i="1"/>
  <c r="AD385" i="1"/>
  <c r="AD383" i="1"/>
  <c r="AD381" i="1"/>
  <c r="AD379" i="1"/>
  <c r="AD377" i="1"/>
  <c r="AD375" i="1"/>
  <c r="AD373" i="1"/>
  <c r="AD371" i="1"/>
  <c r="AD369" i="1"/>
  <c r="AD367" i="1"/>
  <c r="AD365" i="1"/>
  <c r="AD363" i="1"/>
  <c r="AD361" i="1"/>
  <c r="AD359" i="1"/>
  <c r="AD357" i="1"/>
  <c r="AD692" i="1"/>
  <c r="AD690" i="1"/>
  <c r="AD688" i="1"/>
  <c r="AD686" i="1"/>
  <c r="AD684" i="1"/>
  <c r="AD682" i="1"/>
  <c r="AD680" i="1"/>
  <c r="AD678" i="1"/>
  <c r="AD676" i="1"/>
  <c r="AJ675" i="1" s="1"/>
  <c r="AD674" i="1"/>
  <c r="AJ673" i="1" s="1"/>
  <c r="AD672" i="1"/>
  <c r="AD670" i="1"/>
  <c r="AD668" i="1"/>
  <c r="AD666" i="1"/>
  <c r="AD664" i="1"/>
  <c r="AD662" i="1"/>
  <c r="AD660" i="1"/>
  <c r="AJ659" i="1" s="1"/>
  <c r="AD658" i="1"/>
  <c r="AD656" i="1"/>
  <c r="AD654" i="1"/>
  <c r="AD652" i="1"/>
  <c r="AD650" i="1"/>
  <c r="AD648" i="1"/>
  <c r="AD646" i="1"/>
  <c r="AD644" i="1"/>
  <c r="AD642" i="1"/>
  <c r="AD640" i="1"/>
  <c r="AD638" i="1"/>
  <c r="AJ637" i="1" s="1"/>
  <c r="AD636" i="1"/>
  <c r="AJ635" i="1" s="1"/>
  <c r="AD634" i="1"/>
  <c r="AD632" i="1"/>
  <c r="AD630" i="1"/>
  <c r="AD628" i="1"/>
  <c r="AD626" i="1"/>
  <c r="AD624" i="1"/>
  <c r="AD622" i="1"/>
  <c r="AJ621" i="1" s="1"/>
  <c r="AD620" i="1"/>
  <c r="AJ619" i="1" s="1"/>
  <c r="AD618" i="1"/>
  <c r="AD616" i="1"/>
  <c r="AD614" i="1"/>
  <c r="AJ613" i="1" s="1"/>
  <c r="AD612" i="1"/>
  <c r="AJ611" i="1" s="1"/>
  <c r="AD610" i="1"/>
  <c r="AJ609" i="1" s="1"/>
  <c r="AD608" i="1"/>
  <c r="AD606" i="1"/>
  <c r="AD604" i="1"/>
  <c r="AD602" i="1"/>
  <c r="AD600" i="1"/>
  <c r="AD598" i="1"/>
  <c r="AD596" i="1"/>
  <c r="AD594" i="1"/>
  <c r="AJ593" i="1" s="1"/>
  <c r="AD592" i="1"/>
  <c r="AD590" i="1"/>
  <c r="AD588" i="1"/>
  <c r="AD586" i="1"/>
  <c r="AD584" i="1"/>
  <c r="AD582" i="1"/>
  <c r="AD580" i="1"/>
  <c r="AJ579" i="1" s="1"/>
  <c r="AD578" i="1"/>
  <c r="AD576" i="1"/>
  <c r="AD574" i="1"/>
  <c r="AD572" i="1"/>
  <c r="AJ571" i="1" s="1"/>
  <c r="AD570" i="1"/>
  <c r="AD568" i="1"/>
  <c r="AD566" i="1"/>
  <c r="AD564" i="1"/>
  <c r="AJ563" i="1" s="1"/>
  <c r="AD562" i="1"/>
  <c r="AD560" i="1"/>
  <c r="AD558" i="1"/>
  <c r="AD556" i="1"/>
  <c r="AJ555" i="1" s="1"/>
  <c r="AD554" i="1"/>
  <c r="AD552" i="1"/>
  <c r="AD550" i="1"/>
  <c r="AD548" i="1"/>
  <c r="AD546" i="1"/>
  <c r="AD544" i="1"/>
  <c r="AD542" i="1"/>
  <c r="AD540" i="1"/>
  <c r="AD538" i="1"/>
  <c r="AD536" i="1"/>
  <c r="AD534" i="1"/>
  <c r="AJ533" i="1" s="1"/>
  <c r="AD532" i="1"/>
  <c r="AD530" i="1"/>
  <c r="AD528" i="1"/>
  <c r="AD526" i="1"/>
  <c r="AD524" i="1"/>
  <c r="AD522" i="1"/>
  <c r="AD520" i="1"/>
  <c r="AD518" i="1"/>
  <c r="AD516" i="1"/>
  <c r="AJ515" i="1" s="1"/>
  <c r="AD514" i="1"/>
  <c r="AD512" i="1"/>
  <c r="AD510" i="1"/>
  <c r="AD508" i="1"/>
  <c r="AJ507" i="1" s="1"/>
  <c r="AD506" i="1"/>
  <c r="AD504" i="1"/>
  <c r="AD502" i="1"/>
  <c r="AD500" i="1"/>
  <c r="AD498" i="1"/>
  <c r="AD496" i="1"/>
  <c r="AD494" i="1"/>
  <c r="AD492" i="1"/>
  <c r="AD490" i="1"/>
  <c r="AD488" i="1"/>
  <c r="AD486" i="1"/>
  <c r="AD484" i="1"/>
  <c r="AD482" i="1"/>
  <c r="AD480" i="1"/>
  <c r="AD478" i="1"/>
  <c r="AD476" i="1"/>
  <c r="AJ475" i="1" s="1"/>
  <c r="AD474" i="1"/>
  <c r="AD472" i="1"/>
  <c r="AD470" i="1"/>
  <c r="AD468" i="1"/>
  <c r="AD466" i="1"/>
  <c r="AD464" i="1"/>
  <c r="AD462" i="1"/>
  <c r="AD460" i="1"/>
  <c r="AJ459" i="1" s="1"/>
  <c r="AD458" i="1"/>
  <c r="AD456" i="1"/>
  <c r="AD454" i="1"/>
  <c r="AD452" i="1"/>
  <c r="AD450" i="1"/>
  <c r="AD448" i="1"/>
  <c r="AD446" i="1"/>
  <c r="AD444" i="1"/>
  <c r="AD442" i="1"/>
  <c r="AD440" i="1"/>
  <c r="AD438" i="1"/>
  <c r="AD436" i="1"/>
  <c r="AD434" i="1"/>
  <c r="AD432" i="1"/>
  <c r="AJ431" i="1" s="1"/>
  <c r="AD430" i="1"/>
  <c r="AD428" i="1"/>
  <c r="AD426" i="1"/>
  <c r="AD424" i="1"/>
  <c r="AJ423" i="1" s="1"/>
  <c r="AD422" i="1"/>
  <c r="AD420" i="1"/>
  <c r="AD418" i="1"/>
  <c r="AD416" i="1"/>
  <c r="AD414" i="1"/>
  <c r="AD412" i="1"/>
  <c r="AD410" i="1"/>
  <c r="AD408" i="1"/>
  <c r="AD406" i="1"/>
  <c r="AD404" i="1"/>
  <c r="AD402" i="1"/>
  <c r="AD400" i="1"/>
  <c r="AD398" i="1"/>
  <c r="AJ397" i="1" s="1"/>
  <c r="AD396" i="1"/>
  <c r="AD394" i="1"/>
  <c r="AD392" i="1"/>
  <c r="AJ391" i="1" s="1"/>
  <c r="AD390" i="1"/>
  <c r="AJ389" i="1" s="1"/>
  <c r="AD388" i="1"/>
  <c r="AD386" i="1"/>
  <c r="AD384" i="1"/>
  <c r="AD382" i="1"/>
  <c r="AD380" i="1"/>
  <c r="AJ379" i="1" s="1"/>
  <c r="AD378" i="1"/>
  <c r="AD376" i="1"/>
  <c r="AD374" i="1"/>
  <c r="AD372" i="1"/>
  <c r="AD370" i="1"/>
  <c r="AD368" i="1"/>
  <c r="AD366" i="1"/>
  <c r="AD364" i="1"/>
  <c r="AD362" i="1"/>
  <c r="AD355" i="1"/>
  <c r="AD353" i="1"/>
  <c r="AD351" i="1"/>
  <c r="AD349" i="1"/>
  <c r="AD347" i="1"/>
  <c r="AD345" i="1"/>
  <c r="AD343" i="1"/>
  <c r="AD341" i="1"/>
  <c r="AD339" i="1"/>
  <c r="AD337" i="1"/>
  <c r="AD335" i="1"/>
  <c r="AD333" i="1"/>
  <c r="AD331" i="1"/>
  <c r="AD329" i="1"/>
  <c r="AD327" i="1"/>
  <c r="AD325" i="1"/>
  <c r="AD323" i="1"/>
  <c r="AD321" i="1"/>
  <c r="AD319" i="1"/>
  <c r="AD317" i="1"/>
  <c r="AD315" i="1"/>
  <c r="AD313" i="1"/>
  <c r="AD311" i="1"/>
  <c r="AD309" i="1"/>
  <c r="AD307" i="1"/>
  <c r="AD305" i="1"/>
  <c r="AD303" i="1"/>
  <c r="AD301" i="1"/>
  <c r="AD299" i="1"/>
  <c r="AD297" i="1"/>
  <c r="AD295" i="1"/>
  <c r="AD293" i="1"/>
  <c r="AD291" i="1"/>
  <c r="AD289" i="1"/>
  <c r="AD287" i="1"/>
  <c r="AD285" i="1"/>
  <c r="AD283" i="1"/>
  <c r="AD281" i="1"/>
  <c r="AD279" i="1"/>
  <c r="AD277" i="1"/>
  <c r="AD275" i="1"/>
  <c r="AD273" i="1"/>
  <c r="AD271" i="1"/>
  <c r="AD269" i="1"/>
  <c r="AD267" i="1"/>
  <c r="AD265" i="1"/>
  <c r="AD263" i="1"/>
  <c r="AD261" i="1"/>
  <c r="AD259" i="1"/>
  <c r="AD257" i="1"/>
  <c r="AD255" i="1"/>
  <c r="AD253" i="1"/>
  <c r="AD251" i="1"/>
  <c r="AD249" i="1"/>
  <c r="AD247" i="1"/>
  <c r="AD245" i="1"/>
  <c r="AD243" i="1"/>
  <c r="AD241" i="1"/>
  <c r="AD239" i="1"/>
  <c r="AD237" i="1"/>
  <c r="AD235" i="1"/>
  <c r="AD233" i="1"/>
  <c r="AD231" i="1"/>
  <c r="AD229" i="1"/>
  <c r="AD227" i="1"/>
  <c r="AD225" i="1"/>
  <c r="AD223" i="1"/>
  <c r="AD221" i="1"/>
  <c r="AD219" i="1"/>
  <c r="AD217" i="1"/>
  <c r="AD215" i="1"/>
  <c r="AD213" i="1"/>
  <c r="AD211" i="1"/>
  <c r="AD209" i="1"/>
  <c r="AD207" i="1"/>
  <c r="AD205" i="1"/>
  <c r="AD203" i="1"/>
  <c r="AD201" i="1"/>
  <c r="AD199" i="1"/>
  <c r="AD197" i="1"/>
  <c r="AD195" i="1"/>
  <c r="AD193" i="1"/>
  <c r="AD191" i="1"/>
  <c r="AD189" i="1"/>
  <c r="AD187" i="1"/>
  <c r="AD185" i="1"/>
  <c r="AD183" i="1"/>
  <c r="AD181" i="1"/>
  <c r="AD179" i="1"/>
  <c r="AD177" i="1"/>
  <c r="AD175" i="1"/>
  <c r="AD173" i="1"/>
  <c r="AD171" i="1"/>
  <c r="AD169" i="1"/>
  <c r="AD167" i="1"/>
  <c r="AD165" i="1"/>
  <c r="AD163" i="1"/>
  <c r="AD161" i="1"/>
  <c r="AD159" i="1"/>
  <c r="AD157" i="1"/>
  <c r="AD155" i="1"/>
  <c r="AD153" i="1"/>
  <c r="AD151" i="1"/>
  <c r="AD149" i="1"/>
  <c r="AD147" i="1"/>
  <c r="AD145" i="1"/>
  <c r="AD143" i="1"/>
  <c r="AD141" i="1"/>
  <c r="AD139" i="1"/>
  <c r="AD137" i="1"/>
  <c r="AD135" i="1"/>
  <c r="AD133" i="1"/>
  <c r="AD131" i="1"/>
  <c r="AD129" i="1"/>
  <c r="AD127" i="1"/>
  <c r="AD125" i="1"/>
  <c r="AD123" i="1"/>
  <c r="AD121" i="1"/>
  <c r="AD119" i="1"/>
  <c r="AD117" i="1"/>
  <c r="AD115" i="1"/>
  <c r="AD113" i="1"/>
  <c r="AD111" i="1"/>
  <c r="AD109" i="1"/>
  <c r="AD107" i="1"/>
  <c r="AD105" i="1"/>
  <c r="AD103" i="1"/>
  <c r="AD101" i="1"/>
  <c r="AD99" i="1"/>
  <c r="AD97" i="1"/>
  <c r="AD95" i="1"/>
  <c r="AD93" i="1"/>
  <c r="AD91" i="1"/>
  <c r="AD89" i="1"/>
  <c r="AD87" i="1"/>
  <c r="AD85" i="1"/>
  <c r="AD83" i="1"/>
  <c r="AD81" i="1"/>
  <c r="AD79" i="1"/>
  <c r="AD77" i="1"/>
  <c r="AD75" i="1"/>
  <c r="AD73" i="1"/>
  <c r="AD71" i="1"/>
  <c r="AD69" i="1"/>
  <c r="AD67" i="1"/>
  <c r="AD65" i="1"/>
  <c r="AD63" i="1"/>
  <c r="AD61" i="1"/>
  <c r="AD59" i="1"/>
  <c r="AD57" i="1"/>
  <c r="AD55" i="1"/>
  <c r="AD53" i="1"/>
  <c r="AD51" i="1"/>
  <c r="AD49" i="1"/>
  <c r="AD47" i="1"/>
  <c r="AD45" i="1"/>
  <c r="AD43" i="1"/>
  <c r="AD41" i="1"/>
  <c r="AD39" i="1"/>
  <c r="AD37" i="1"/>
  <c r="AD35" i="1"/>
  <c r="AD33" i="1"/>
  <c r="AD31" i="1"/>
  <c r="AD29" i="1"/>
  <c r="AD27" i="1"/>
  <c r="AD25" i="1"/>
  <c r="AD23" i="1"/>
  <c r="AD21" i="1"/>
  <c r="AD20" i="1"/>
  <c r="AD18" i="1"/>
  <c r="AD16" i="1"/>
  <c r="AD14" i="1"/>
  <c r="AD12" i="1"/>
  <c r="AD10" i="1"/>
  <c r="AD8" i="1"/>
  <c r="AD6" i="1"/>
  <c r="AD4" i="1"/>
  <c r="AD360" i="1"/>
  <c r="AD358" i="1"/>
  <c r="AD356" i="1"/>
  <c r="AD354" i="1"/>
  <c r="AD352" i="1"/>
  <c r="AD350" i="1"/>
  <c r="AD348" i="1"/>
  <c r="AD346" i="1"/>
  <c r="AD344" i="1"/>
  <c r="AD342" i="1"/>
  <c r="AD340" i="1"/>
  <c r="AD338" i="1"/>
  <c r="AD336" i="1"/>
  <c r="AD334" i="1"/>
  <c r="AD332" i="1"/>
  <c r="AD330" i="1"/>
  <c r="AD328" i="1"/>
  <c r="AD326" i="1"/>
  <c r="AD324" i="1"/>
  <c r="AD322" i="1"/>
  <c r="AD320" i="1"/>
  <c r="AD318" i="1"/>
  <c r="AD316" i="1"/>
  <c r="AD314" i="1"/>
  <c r="AD312" i="1"/>
  <c r="AD310" i="1"/>
  <c r="AD308" i="1"/>
  <c r="AD306" i="1"/>
  <c r="AD304" i="1"/>
  <c r="AD302" i="1"/>
  <c r="AD300" i="1"/>
  <c r="AD298" i="1"/>
  <c r="AD296" i="1"/>
  <c r="AD294" i="1"/>
  <c r="AD292" i="1"/>
  <c r="AD290" i="1"/>
  <c r="AD288" i="1"/>
  <c r="AD286" i="1"/>
  <c r="AD284" i="1"/>
  <c r="AD282" i="1"/>
  <c r="AD280" i="1"/>
  <c r="AD278" i="1"/>
  <c r="AD276" i="1"/>
  <c r="AD274" i="1"/>
  <c r="AD272" i="1"/>
  <c r="AD270" i="1"/>
  <c r="AD268" i="1"/>
  <c r="AD266" i="1"/>
  <c r="AD264" i="1"/>
  <c r="AD262" i="1"/>
  <c r="AD260" i="1"/>
  <c r="AD258" i="1"/>
  <c r="AD256" i="1"/>
  <c r="AD254" i="1"/>
  <c r="AD252" i="1"/>
  <c r="AD250" i="1"/>
  <c r="AD248" i="1"/>
  <c r="AD246" i="1"/>
  <c r="AD244" i="1"/>
  <c r="AD242" i="1"/>
  <c r="AD240" i="1"/>
  <c r="AD238" i="1"/>
  <c r="AD236" i="1"/>
  <c r="AD234" i="1"/>
  <c r="AD232" i="1"/>
  <c r="AD230" i="1"/>
  <c r="AD228" i="1"/>
  <c r="AD226" i="1"/>
  <c r="AD224" i="1"/>
  <c r="AD222" i="1"/>
  <c r="AD220" i="1"/>
  <c r="AD218" i="1"/>
  <c r="AD216" i="1"/>
  <c r="AD214" i="1"/>
  <c r="AD212" i="1"/>
  <c r="AD210" i="1"/>
  <c r="AD208" i="1"/>
  <c r="AD206" i="1"/>
  <c r="AD204" i="1"/>
  <c r="AD202" i="1"/>
  <c r="AD200" i="1"/>
  <c r="AD198" i="1"/>
  <c r="AD196" i="1"/>
  <c r="AD194" i="1"/>
  <c r="AD192" i="1"/>
  <c r="AD190" i="1"/>
  <c r="AD188" i="1"/>
  <c r="AD186" i="1"/>
  <c r="AD184" i="1"/>
  <c r="AD182" i="1"/>
  <c r="AD180" i="1"/>
  <c r="AD178" i="1"/>
  <c r="AD176" i="1"/>
  <c r="AD174" i="1"/>
  <c r="AD172" i="1"/>
  <c r="AD170" i="1"/>
  <c r="AD168" i="1"/>
  <c r="AD166" i="1"/>
  <c r="AD164" i="1"/>
  <c r="AD162" i="1"/>
  <c r="AD160" i="1"/>
  <c r="AD158" i="1"/>
  <c r="AD156" i="1"/>
  <c r="AD154" i="1"/>
  <c r="AD152" i="1"/>
  <c r="AD150" i="1"/>
  <c r="AD148" i="1"/>
  <c r="AD146" i="1"/>
  <c r="AD144" i="1"/>
  <c r="AD142" i="1"/>
  <c r="AD140" i="1"/>
  <c r="AD138" i="1"/>
  <c r="AD136" i="1"/>
  <c r="AD134" i="1"/>
  <c r="AD132" i="1"/>
  <c r="AD130" i="1"/>
  <c r="AD128" i="1"/>
  <c r="AD126" i="1"/>
  <c r="AD124" i="1"/>
  <c r="AD122" i="1"/>
  <c r="AD120" i="1"/>
  <c r="AD118" i="1"/>
  <c r="AD116" i="1"/>
  <c r="AD114" i="1"/>
  <c r="AD112" i="1"/>
  <c r="AD110" i="1"/>
  <c r="AD108" i="1"/>
  <c r="AD106" i="1"/>
  <c r="AD104" i="1"/>
  <c r="AD102" i="1"/>
  <c r="AD100" i="1"/>
  <c r="AD98" i="1"/>
  <c r="AD96" i="1"/>
  <c r="AD94" i="1"/>
  <c r="AD92" i="1"/>
  <c r="AD90" i="1"/>
  <c r="AD88" i="1"/>
  <c r="AD86" i="1"/>
  <c r="AD84" i="1"/>
  <c r="AD82" i="1"/>
  <c r="AD80" i="1"/>
  <c r="AD78" i="1"/>
  <c r="AD76" i="1"/>
  <c r="AD74" i="1"/>
  <c r="AD72" i="1"/>
  <c r="AD70" i="1"/>
  <c r="AD68" i="1"/>
  <c r="AD66" i="1"/>
  <c r="AD64" i="1"/>
  <c r="AD62" i="1"/>
  <c r="AD60" i="1"/>
  <c r="AD58" i="1"/>
  <c r="AD56" i="1"/>
  <c r="AD54" i="1"/>
  <c r="AD52" i="1"/>
  <c r="AD50" i="1"/>
  <c r="AD48" i="1"/>
  <c r="AD46" i="1"/>
  <c r="AD44" i="1"/>
  <c r="AD42" i="1"/>
  <c r="AD40" i="1"/>
  <c r="AD38" i="1"/>
  <c r="AD36" i="1"/>
  <c r="AD34" i="1"/>
  <c r="AD32" i="1"/>
  <c r="AD30" i="1"/>
  <c r="AD28" i="1"/>
  <c r="AD26" i="1"/>
  <c r="AD24" i="1"/>
  <c r="AD22" i="1"/>
  <c r="AD3" i="1"/>
  <c r="AC1001" i="1"/>
  <c r="AC1000" i="1"/>
  <c r="AC999" i="1"/>
  <c r="AC998" i="1"/>
  <c r="AC997" i="1"/>
  <c r="AC996" i="1"/>
  <c r="AC995" i="1"/>
  <c r="AC994" i="1"/>
  <c r="AC993" i="1"/>
  <c r="AC992" i="1"/>
  <c r="AC991" i="1"/>
  <c r="AC990" i="1"/>
  <c r="AC989" i="1"/>
  <c r="AC988" i="1"/>
  <c r="AC987" i="1"/>
  <c r="AC986" i="1"/>
  <c r="AC985" i="1"/>
  <c r="AC984" i="1"/>
  <c r="AC983" i="1"/>
  <c r="AC982" i="1"/>
  <c r="AC981" i="1"/>
  <c r="AC980" i="1"/>
  <c r="AC979" i="1"/>
  <c r="AC978" i="1"/>
  <c r="AC977" i="1"/>
  <c r="AC976" i="1"/>
  <c r="AC975" i="1"/>
  <c r="AC974" i="1"/>
  <c r="AC973" i="1"/>
  <c r="AC972" i="1"/>
  <c r="AC971" i="1"/>
  <c r="AC970" i="1"/>
  <c r="AC969" i="1"/>
  <c r="AC968" i="1"/>
  <c r="AC967" i="1"/>
  <c r="AC966" i="1"/>
  <c r="AC965" i="1"/>
  <c r="AC964" i="1"/>
  <c r="AC963" i="1"/>
  <c r="AC962" i="1"/>
  <c r="AC961" i="1"/>
  <c r="AC960" i="1"/>
  <c r="AC959" i="1"/>
  <c r="AC958" i="1"/>
  <c r="AC957" i="1"/>
  <c r="AC956" i="1"/>
  <c r="AC955" i="1"/>
  <c r="AC954" i="1"/>
  <c r="AC953" i="1"/>
  <c r="AC952" i="1"/>
  <c r="AC951" i="1"/>
  <c r="AC950" i="1"/>
  <c r="AC949" i="1"/>
  <c r="AC948" i="1"/>
  <c r="AC947" i="1"/>
  <c r="AC946" i="1"/>
  <c r="AC945" i="1"/>
  <c r="AC944" i="1"/>
  <c r="AC943" i="1"/>
  <c r="AC942" i="1"/>
  <c r="AC941" i="1"/>
  <c r="AC940" i="1"/>
  <c r="AC939" i="1"/>
  <c r="AC938" i="1"/>
  <c r="AC937" i="1"/>
  <c r="AC936" i="1"/>
  <c r="AC935" i="1"/>
  <c r="AC934" i="1"/>
  <c r="AC933" i="1"/>
  <c r="AC932" i="1"/>
  <c r="AC931" i="1"/>
  <c r="AC930" i="1"/>
  <c r="AC929" i="1"/>
  <c r="AC928" i="1"/>
  <c r="AC927" i="1"/>
  <c r="AC926" i="1"/>
  <c r="AC925" i="1"/>
  <c r="AC924" i="1"/>
  <c r="AC923" i="1"/>
  <c r="AC922" i="1"/>
  <c r="AC921" i="1"/>
  <c r="AC920" i="1"/>
  <c r="AC919" i="1"/>
  <c r="AC918" i="1"/>
  <c r="AC917" i="1"/>
  <c r="AC916" i="1"/>
  <c r="AC915" i="1"/>
  <c r="AC914" i="1"/>
  <c r="AC913" i="1"/>
  <c r="AC912" i="1"/>
  <c r="AC911" i="1"/>
  <c r="AC910" i="1"/>
  <c r="AC909" i="1"/>
  <c r="AC908" i="1"/>
  <c r="AC907" i="1"/>
  <c r="AC906" i="1"/>
  <c r="AC905" i="1"/>
  <c r="AC904" i="1"/>
  <c r="AC903" i="1"/>
  <c r="AC902" i="1"/>
  <c r="AC901" i="1"/>
  <c r="AC900" i="1"/>
  <c r="AC899" i="1"/>
  <c r="AC898" i="1"/>
  <c r="AC897" i="1"/>
  <c r="AC896" i="1"/>
  <c r="AC895" i="1"/>
  <c r="AC894" i="1"/>
  <c r="AC893" i="1"/>
  <c r="AC892" i="1"/>
  <c r="AC891" i="1"/>
  <c r="AC890" i="1"/>
  <c r="AC889" i="1"/>
  <c r="AC888" i="1"/>
  <c r="AC887" i="1"/>
  <c r="AC886" i="1"/>
  <c r="AC885" i="1"/>
  <c r="AC884" i="1"/>
  <c r="AC883" i="1"/>
  <c r="AC882" i="1"/>
  <c r="AC881" i="1"/>
  <c r="AC880" i="1"/>
  <c r="AC879" i="1"/>
  <c r="AC878" i="1"/>
  <c r="AC877" i="1"/>
  <c r="AC876" i="1"/>
  <c r="AC875" i="1"/>
  <c r="AC874" i="1"/>
  <c r="AC873" i="1"/>
  <c r="AC872" i="1"/>
  <c r="AC871" i="1"/>
  <c r="AC870" i="1"/>
  <c r="AC869" i="1"/>
  <c r="AC868" i="1"/>
  <c r="AC867" i="1"/>
  <c r="AC866" i="1"/>
  <c r="AC865" i="1"/>
  <c r="AC864" i="1"/>
  <c r="AC863" i="1"/>
  <c r="AC862" i="1"/>
  <c r="AC861" i="1"/>
  <c r="AC860" i="1"/>
  <c r="AC859" i="1"/>
  <c r="AC858" i="1"/>
  <c r="AC857" i="1"/>
  <c r="AC856" i="1"/>
  <c r="AC855" i="1"/>
  <c r="AC854" i="1"/>
  <c r="AC853" i="1"/>
  <c r="AC852" i="1"/>
  <c r="AC851" i="1"/>
  <c r="AC850" i="1"/>
  <c r="AC849" i="1"/>
  <c r="AC848" i="1"/>
  <c r="AC847" i="1"/>
  <c r="AC846" i="1"/>
  <c r="AC845" i="1"/>
  <c r="AC844" i="1"/>
  <c r="AC843" i="1"/>
  <c r="AC842" i="1"/>
  <c r="AC841" i="1"/>
  <c r="AC840" i="1"/>
  <c r="AC839" i="1"/>
  <c r="AC838" i="1"/>
  <c r="AC837" i="1"/>
  <c r="AC836" i="1"/>
  <c r="AC835" i="1"/>
  <c r="AC834" i="1"/>
  <c r="AC833" i="1"/>
  <c r="AC832" i="1"/>
  <c r="AC831" i="1"/>
  <c r="AC830" i="1"/>
  <c r="AC829" i="1"/>
  <c r="AC828" i="1"/>
  <c r="AC827" i="1"/>
  <c r="AC826" i="1"/>
  <c r="AC825" i="1"/>
  <c r="AC824" i="1"/>
  <c r="AC823" i="1"/>
  <c r="AC822" i="1"/>
  <c r="AC821" i="1"/>
  <c r="AC820" i="1"/>
  <c r="AC819" i="1"/>
  <c r="AC818" i="1"/>
  <c r="AC817" i="1"/>
  <c r="AC816" i="1"/>
  <c r="AC815" i="1"/>
  <c r="AC814" i="1"/>
  <c r="AC813" i="1"/>
  <c r="AC812" i="1"/>
  <c r="AC811" i="1"/>
  <c r="AC810" i="1"/>
  <c r="AC809" i="1"/>
  <c r="AC808" i="1"/>
  <c r="AC807" i="1"/>
  <c r="AC806" i="1"/>
  <c r="AC805" i="1"/>
  <c r="AC804" i="1"/>
  <c r="AC803" i="1"/>
  <c r="AC802" i="1"/>
  <c r="AC801" i="1"/>
  <c r="AC800" i="1"/>
  <c r="AC799" i="1"/>
  <c r="AC798" i="1"/>
  <c r="AC797" i="1"/>
  <c r="AC796" i="1"/>
  <c r="AC795" i="1"/>
  <c r="AC794" i="1"/>
  <c r="AC793" i="1"/>
  <c r="AC792" i="1"/>
  <c r="AC791" i="1"/>
  <c r="AC790" i="1"/>
  <c r="AC789" i="1"/>
  <c r="AC788" i="1"/>
  <c r="AC787" i="1"/>
  <c r="AC786" i="1"/>
  <c r="AC785" i="1"/>
  <c r="AC784" i="1"/>
  <c r="AC783" i="1"/>
  <c r="AC782" i="1"/>
  <c r="AC781" i="1"/>
  <c r="AC780" i="1"/>
  <c r="AC779" i="1"/>
  <c r="AC778" i="1"/>
  <c r="AC777" i="1"/>
  <c r="AC776" i="1"/>
  <c r="AC775" i="1"/>
  <c r="AC774" i="1"/>
  <c r="AC773" i="1"/>
  <c r="AC772" i="1"/>
  <c r="AC771" i="1"/>
  <c r="AC770" i="1"/>
  <c r="AC769" i="1"/>
  <c r="AC768" i="1"/>
  <c r="AC767" i="1"/>
  <c r="AC766" i="1"/>
  <c r="AC765" i="1"/>
  <c r="AC764" i="1"/>
  <c r="AC763" i="1"/>
  <c r="AC762" i="1"/>
  <c r="AC761" i="1"/>
  <c r="AC760" i="1"/>
  <c r="AC759" i="1"/>
  <c r="AC758" i="1"/>
  <c r="AC757" i="1"/>
  <c r="AC756" i="1"/>
  <c r="AC755" i="1"/>
  <c r="AC754" i="1"/>
  <c r="AC753" i="1"/>
  <c r="AC752" i="1"/>
  <c r="AC751" i="1"/>
  <c r="AC750" i="1"/>
  <c r="AC749" i="1"/>
  <c r="AC748" i="1"/>
  <c r="AC747" i="1"/>
  <c r="AC746" i="1"/>
  <c r="AC745" i="1"/>
  <c r="AC744" i="1"/>
  <c r="AC743" i="1"/>
  <c r="AC742" i="1"/>
  <c r="AC741" i="1"/>
  <c r="AC740" i="1"/>
  <c r="AC739" i="1"/>
  <c r="AC738" i="1"/>
  <c r="AC737" i="1"/>
  <c r="AC736" i="1"/>
  <c r="AC735" i="1"/>
  <c r="AC734" i="1"/>
  <c r="AC733" i="1"/>
  <c r="AC732" i="1"/>
  <c r="AC731" i="1"/>
  <c r="AC730" i="1"/>
  <c r="AC729" i="1"/>
  <c r="AC728" i="1"/>
  <c r="AC727" i="1"/>
  <c r="AC726" i="1"/>
  <c r="AC725" i="1"/>
  <c r="AC724" i="1"/>
  <c r="AC723" i="1"/>
  <c r="AC722" i="1"/>
  <c r="AC721" i="1"/>
  <c r="AC720" i="1"/>
  <c r="AC719" i="1"/>
  <c r="AC718" i="1"/>
  <c r="AC717" i="1"/>
  <c r="AC716" i="1"/>
  <c r="AC715" i="1"/>
  <c r="AC714" i="1"/>
  <c r="AC713" i="1"/>
  <c r="AC712" i="1"/>
  <c r="AC711" i="1"/>
  <c r="AC710" i="1"/>
  <c r="AC709" i="1"/>
  <c r="AC708" i="1"/>
  <c r="AC707" i="1"/>
  <c r="AC706" i="1"/>
  <c r="AC705" i="1"/>
  <c r="AC704" i="1"/>
  <c r="AC703" i="1"/>
  <c r="AC702" i="1"/>
  <c r="AC701" i="1"/>
  <c r="AC700" i="1"/>
  <c r="AC699" i="1"/>
  <c r="AC698" i="1"/>
  <c r="AC697" i="1"/>
  <c r="AC696" i="1"/>
  <c r="AC695" i="1"/>
  <c r="AC694" i="1"/>
  <c r="AC693" i="1"/>
  <c r="AC692" i="1"/>
  <c r="AC691" i="1"/>
  <c r="AC690" i="1"/>
  <c r="AC689" i="1"/>
  <c r="AC688" i="1"/>
  <c r="AC687" i="1"/>
  <c r="AC686" i="1"/>
  <c r="AC685" i="1"/>
  <c r="AC684" i="1"/>
  <c r="AC683" i="1"/>
  <c r="AC682" i="1"/>
  <c r="AC681" i="1"/>
  <c r="AC680" i="1"/>
  <c r="AC679" i="1"/>
  <c r="AC678" i="1"/>
  <c r="AC677" i="1"/>
  <c r="AC676" i="1"/>
  <c r="AC675" i="1"/>
  <c r="AC674" i="1"/>
  <c r="AC673" i="1"/>
  <c r="AC672" i="1"/>
  <c r="AC671" i="1"/>
  <c r="AC670" i="1"/>
  <c r="AC669" i="1"/>
  <c r="AC668" i="1"/>
  <c r="AC667" i="1"/>
  <c r="AC666" i="1"/>
  <c r="AC665" i="1"/>
  <c r="AC664" i="1"/>
  <c r="AC663" i="1"/>
  <c r="AC662" i="1"/>
  <c r="AC661" i="1"/>
  <c r="AC660" i="1"/>
  <c r="AC659" i="1"/>
  <c r="AC658" i="1"/>
  <c r="AC657" i="1"/>
  <c r="AC656" i="1"/>
  <c r="AC655" i="1"/>
  <c r="AC654" i="1"/>
  <c r="AC653" i="1"/>
  <c r="AC652" i="1"/>
  <c r="AC651" i="1"/>
  <c r="AC650" i="1"/>
  <c r="AC649" i="1"/>
  <c r="AC648" i="1"/>
  <c r="AC647" i="1"/>
  <c r="AC646" i="1"/>
  <c r="AC645" i="1"/>
  <c r="AC644" i="1"/>
  <c r="AC643" i="1"/>
  <c r="AC642" i="1"/>
  <c r="AC641" i="1"/>
  <c r="AC640" i="1"/>
  <c r="AC639" i="1"/>
  <c r="AC638" i="1"/>
  <c r="AC637" i="1"/>
  <c r="AC636" i="1"/>
  <c r="AC635" i="1"/>
  <c r="AC634" i="1"/>
  <c r="AC633" i="1"/>
  <c r="AC632" i="1"/>
  <c r="AC631" i="1"/>
  <c r="AC630" i="1"/>
  <c r="AC629" i="1"/>
  <c r="AC628" i="1"/>
  <c r="AC627" i="1"/>
  <c r="AC626" i="1"/>
  <c r="AC625" i="1"/>
  <c r="AC624" i="1"/>
  <c r="AC623" i="1"/>
  <c r="AC622" i="1"/>
  <c r="AC621" i="1"/>
  <c r="AC620" i="1"/>
  <c r="AC619" i="1"/>
  <c r="AC618" i="1"/>
  <c r="AC617" i="1"/>
  <c r="AC616" i="1"/>
  <c r="AC615" i="1"/>
  <c r="AC614" i="1"/>
  <c r="AC613" i="1"/>
  <c r="AC612" i="1"/>
  <c r="AC611" i="1"/>
  <c r="AC610" i="1"/>
  <c r="AC609" i="1"/>
  <c r="AC608" i="1"/>
  <c r="AC607" i="1"/>
  <c r="AC606" i="1"/>
  <c r="AC605" i="1"/>
  <c r="AC604" i="1"/>
  <c r="AC603" i="1"/>
  <c r="AC602" i="1"/>
  <c r="AC601" i="1"/>
  <c r="AC600" i="1"/>
  <c r="AC599" i="1"/>
  <c r="AC598" i="1"/>
  <c r="AC597" i="1"/>
  <c r="AC596" i="1"/>
  <c r="AC595" i="1"/>
  <c r="AC594" i="1"/>
  <c r="AC593" i="1"/>
  <c r="AC592" i="1"/>
  <c r="AC591" i="1"/>
  <c r="AC590" i="1"/>
  <c r="AC589" i="1"/>
  <c r="AC588" i="1"/>
  <c r="AC587" i="1"/>
  <c r="AC586" i="1"/>
  <c r="AC585" i="1"/>
  <c r="AC584" i="1"/>
  <c r="AC583" i="1"/>
  <c r="AC582" i="1"/>
  <c r="AC581" i="1"/>
  <c r="AC580" i="1"/>
  <c r="AC579" i="1"/>
  <c r="AC578" i="1"/>
  <c r="AC577" i="1"/>
  <c r="AC576" i="1"/>
  <c r="AC575" i="1"/>
  <c r="AC574" i="1"/>
  <c r="AC573" i="1"/>
  <c r="AC572" i="1"/>
  <c r="AC571" i="1"/>
  <c r="AC570" i="1"/>
  <c r="AC569" i="1"/>
  <c r="AC568" i="1"/>
  <c r="AC567" i="1"/>
  <c r="AC566" i="1"/>
  <c r="AC565" i="1"/>
  <c r="AC564" i="1"/>
  <c r="AC563" i="1"/>
  <c r="AC562" i="1"/>
  <c r="AC561" i="1"/>
  <c r="AC560" i="1"/>
  <c r="AC559" i="1"/>
  <c r="AC558" i="1"/>
  <c r="AC557" i="1"/>
  <c r="AC556" i="1"/>
  <c r="AC555" i="1"/>
  <c r="AC554" i="1"/>
  <c r="AC553" i="1"/>
  <c r="AC552" i="1"/>
  <c r="AC551" i="1"/>
  <c r="AC550" i="1"/>
  <c r="AC549" i="1"/>
  <c r="AC548" i="1"/>
  <c r="AC547" i="1"/>
  <c r="AC546" i="1"/>
  <c r="AC545" i="1"/>
  <c r="AC544" i="1"/>
  <c r="AC543" i="1"/>
  <c r="AC542" i="1"/>
  <c r="AC541" i="1"/>
  <c r="AC540" i="1"/>
  <c r="AC539" i="1"/>
  <c r="AC538" i="1"/>
  <c r="AC537" i="1"/>
  <c r="AC536" i="1"/>
  <c r="AC535" i="1"/>
  <c r="AC534" i="1"/>
  <c r="AC533" i="1"/>
  <c r="AC532" i="1"/>
  <c r="AC531" i="1"/>
  <c r="AC530" i="1"/>
  <c r="AC529" i="1"/>
  <c r="AC528" i="1"/>
  <c r="AC527" i="1"/>
  <c r="AC526" i="1"/>
  <c r="AC525" i="1"/>
  <c r="AC524" i="1"/>
  <c r="AC523" i="1"/>
  <c r="AC522" i="1"/>
  <c r="AC521" i="1"/>
  <c r="AC520" i="1"/>
  <c r="AC519" i="1"/>
  <c r="AC518" i="1"/>
  <c r="AC517" i="1"/>
  <c r="AC516" i="1"/>
  <c r="AC515" i="1"/>
  <c r="AC514" i="1"/>
  <c r="AC513" i="1"/>
  <c r="AC512" i="1"/>
  <c r="AC511" i="1"/>
  <c r="AC510" i="1"/>
  <c r="AC509" i="1"/>
  <c r="AC508" i="1"/>
  <c r="AC507" i="1"/>
  <c r="AC506" i="1"/>
  <c r="AC505" i="1"/>
  <c r="AC504" i="1"/>
  <c r="AC503" i="1"/>
  <c r="AC502" i="1"/>
  <c r="AC501" i="1"/>
  <c r="AC500" i="1"/>
  <c r="AC499" i="1"/>
  <c r="AC498" i="1"/>
  <c r="AC497" i="1"/>
  <c r="AC496" i="1"/>
  <c r="AC495" i="1"/>
  <c r="AC494" i="1"/>
  <c r="AC493" i="1"/>
  <c r="AC492" i="1"/>
  <c r="AC491" i="1"/>
  <c r="AC490" i="1"/>
  <c r="AC489" i="1"/>
  <c r="AC488" i="1"/>
  <c r="AC487" i="1"/>
  <c r="AC486" i="1"/>
  <c r="AC485" i="1"/>
  <c r="AC484" i="1"/>
  <c r="AC483" i="1"/>
  <c r="AC482" i="1"/>
  <c r="AC481" i="1"/>
  <c r="AC480" i="1"/>
  <c r="AC479" i="1"/>
  <c r="AC478" i="1"/>
  <c r="AC477" i="1"/>
  <c r="AC476" i="1"/>
  <c r="AC475" i="1"/>
  <c r="AC474" i="1"/>
  <c r="AC473" i="1"/>
  <c r="AC472" i="1"/>
  <c r="AC471" i="1"/>
  <c r="AC470" i="1"/>
  <c r="AC469" i="1"/>
  <c r="AC468" i="1"/>
  <c r="AC467" i="1"/>
  <c r="AC466" i="1"/>
  <c r="AC465" i="1"/>
  <c r="AC464" i="1"/>
  <c r="AC463" i="1"/>
  <c r="AC462" i="1"/>
  <c r="AC461" i="1"/>
  <c r="AC460" i="1"/>
  <c r="AC459" i="1"/>
  <c r="AC458" i="1"/>
  <c r="AC457" i="1"/>
  <c r="AC456" i="1"/>
  <c r="AC455" i="1"/>
  <c r="AC454" i="1"/>
  <c r="AC453" i="1"/>
  <c r="AC452" i="1"/>
  <c r="AC451" i="1"/>
  <c r="AC450" i="1"/>
  <c r="AC449" i="1"/>
  <c r="AC448" i="1"/>
  <c r="AC447" i="1"/>
  <c r="AC446" i="1"/>
  <c r="AC445" i="1"/>
  <c r="AC444" i="1"/>
  <c r="AC443" i="1"/>
  <c r="AC442" i="1"/>
  <c r="AC441" i="1"/>
  <c r="AC440" i="1"/>
  <c r="AC439" i="1"/>
  <c r="AC438" i="1"/>
  <c r="AC437" i="1"/>
  <c r="AC436" i="1"/>
  <c r="AC435" i="1"/>
  <c r="AC434" i="1"/>
  <c r="AC433" i="1"/>
  <c r="AC432" i="1"/>
  <c r="AC431" i="1"/>
  <c r="AC430" i="1"/>
  <c r="AC429" i="1"/>
  <c r="AC428" i="1"/>
  <c r="AC427" i="1"/>
  <c r="AC426" i="1"/>
  <c r="AC425" i="1"/>
  <c r="AC424" i="1"/>
  <c r="AC423" i="1"/>
  <c r="AC422" i="1"/>
  <c r="AC421" i="1"/>
  <c r="AC420" i="1"/>
  <c r="AC419" i="1"/>
  <c r="AC418" i="1"/>
  <c r="AC417" i="1"/>
  <c r="AC416" i="1"/>
  <c r="AC415" i="1"/>
  <c r="AC414" i="1"/>
  <c r="AC413" i="1"/>
  <c r="AC412" i="1"/>
  <c r="AC411" i="1"/>
  <c r="AC410" i="1"/>
  <c r="AC409" i="1"/>
  <c r="AC408" i="1"/>
  <c r="AC407" i="1"/>
  <c r="AC406" i="1"/>
  <c r="AC405" i="1"/>
  <c r="AC404" i="1"/>
  <c r="AC403" i="1"/>
  <c r="AC402" i="1"/>
  <c r="AC401" i="1"/>
  <c r="AC400" i="1"/>
  <c r="AC399" i="1"/>
  <c r="AC398" i="1"/>
  <c r="AC397" i="1"/>
  <c r="AC396" i="1"/>
  <c r="AC395" i="1"/>
  <c r="AC394" i="1"/>
  <c r="AC393" i="1"/>
  <c r="AC392" i="1"/>
  <c r="AC391" i="1"/>
  <c r="AC390" i="1"/>
  <c r="AC389" i="1"/>
  <c r="AC388" i="1"/>
  <c r="AC387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AC374" i="1"/>
  <c r="AC373" i="1"/>
  <c r="AC372" i="1"/>
  <c r="AC371" i="1"/>
  <c r="AC370" i="1"/>
  <c r="AC369" i="1"/>
  <c r="AC368" i="1"/>
  <c r="AC367" i="1"/>
  <c r="AC366" i="1"/>
  <c r="AC365" i="1"/>
  <c r="AC364" i="1"/>
  <c r="AC363" i="1"/>
  <c r="AC362" i="1"/>
  <c r="AC361" i="1"/>
  <c r="AC360" i="1"/>
  <c r="AC359" i="1"/>
  <c r="AC358" i="1"/>
  <c r="AC357" i="1"/>
  <c r="AC356" i="1"/>
  <c r="AC355" i="1"/>
  <c r="AC354" i="1"/>
  <c r="AC353" i="1"/>
  <c r="AC352" i="1"/>
  <c r="AC351" i="1"/>
  <c r="AC350" i="1"/>
  <c r="AC349" i="1"/>
  <c r="AC348" i="1"/>
  <c r="AC347" i="1"/>
  <c r="AC346" i="1"/>
  <c r="AC345" i="1"/>
  <c r="AC344" i="1"/>
  <c r="AC343" i="1"/>
  <c r="AC342" i="1"/>
  <c r="AC341" i="1"/>
  <c r="AC340" i="1"/>
  <c r="AC339" i="1"/>
  <c r="AC338" i="1"/>
  <c r="AC337" i="1"/>
  <c r="AC336" i="1"/>
  <c r="AC335" i="1"/>
  <c r="AC334" i="1"/>
  <c r="AC333" i="1"/>
  <c r="AC332" i="1"/>
  <c r="AC331" i="1"/>
  <c r="AC330" i="1"/>
  <c r="AC329" i="1"/>
  <c r="AC328" i="1"/>
  <c r="AC327" i="1"/>
  <c r="AC326" i="1"/>
  <c r="AC325" i="1"/>
  <c r="AC324" i="1"/>
  <c r="AC323" i="1"/>
  <c r="AC322" i="1"/>
  <c r="AC321" i="1"/>
  <c r="AC320" i="1"/>
  <c r="AC319" i="1"/>
  <c r="AC318" i="1"/>
  <c r="AC317" i="1"/>
  <c r="AC316" i="1"/>
  <c r="AC315" i="1"/>
  <c r="AC314" i="1"/>
  <c r="AC313" i="1"/>
  <c r="AC312" i="1"/>
  <c r="AC311" i="1"/>
  <c r="AC310" i="1"/>
  <c r="AC309" i="1"/>
  <c r="AC308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B25" i="1"/>
  <c r="AB21" i="1"/>
  <c r="AB17" i="1"/>
  <c r="AB13" i="1"/>
  <c r="AB9" i="1"/>
  <c r="AB5" i="1"/>
  <c r="AC3" i="1"/>
  <c r="AB1001" i="1"/>
  <c r="AB998" i="1"/>
  <c r="AB995" i="1"/>
  <c r="AB992" i="1"/>
  <c r="AB989" i="1"/>
  <c r="AB986" i="1"/>
  <c r="AB983" i="1"/>
  <c r="AB980" i="1"/>
  <c r="AB977" i="1"/>
  <c r="AB974" i="1"/>
  <c r="AB971" i="1"/>
  <c r="AB968" i="1"/>
  <c r="AB965" i="1"/>
  <c r="AB962" i="1"/>
  <c r="AB961" i="1"/>
  <c r="AB958" i="1"/>
  <c r="AB955" i="1"/>
  <c r="AB952" i="1"/>
  <c r="AB949" i="1"/>
  <c r="AB946" i="1"/>
  <c r="AB943" i="1"/>
  <c r="AB940" i="1"/>
  <c r="AB937" i="1"/>
  <c r="AB934" i="1"/>
  <c r="AB931" i="1"/>
  <c r="AB928" i="1"/>
  <c r="AB925" i="1"/>
  <c r="AB922" i="1"/>
  <c r="AB919" i="1"/>
  <c r="AB918" i="1"/>
  <c r="AB915" i="1"/>
  <c r="AB912" i="1"/>
  <c r="AB909" i="1"/>
  <c r="AB906" i="1"/>
  <c r="AB903" i="1"/>
  <c r="AB900" i="1"/>
  <c r="AB897" i="1"/>
  <c r="AB894" i="1"/>
  <c r="AB891" i="1"/>
  <c r="AB888" i="1"/>
  <c r="AB885" i="1"/>
  <c r="AB882" i="1"/>
  <c r="AB879" i="1"/>
  <c r="AB878" i="1"/>
  <c r="AB875" i="1"/>
  <c r="AB872" i="1"/>
  <c r="AB869" i="1"/>
  <c r="AB866" i="1"/>
  <c r="AB863" i="1"/>
  <c r="AB860" i="1"/>
  <c r="AB857" i="1"/>
  <c r="AB854" i="1"/>
  <c r="AB853" i="1"/>
  <c r="AB850" i="1"/>
  <c r="AB847" i="1"/>
  <c r="AB844" i="1"/>
  <c r="AB841" i="1"/>
  <c r="AB838" i="1"/>
  <c r="AB835" i="1"/>
  <c r="AB832" i="1"/>
  <c r="AB829" i="1"/>
  <c r="AB826" i="1"/>
  <c r="AB823" i="1"/>
  <c r="AB820" i="1"/>
  <c r="AB817" i="1"/>
  <c r="AB814" i="1"/>
  <c r="AB811" i="1"/>
  <c r="AB808" i="1"/>
  <c r="AB805" i="1"/>
  <c r="AB802" i="1"/>
  <c r="AB799" i="1"/>
  <c r="AB797" i="1"/>
  <c r="AB796" i="1"/>
  <c r="AB794" i="1"/>
  <c r="AB792" i="1"/>
  <c r="AB790" i="1"/>
  <c r="AB788" i="1"/>
  <c r="AB786" i="1"/>
  <c r="AB783" i="1"/>
  <c r="AB780" i="1"/>
  <c r="AB777" i="1"/>
  <c r="AB774" i="1"/>
  <c r="AB773" i="1"/>
  <c r="AB770" i="1"/>
  <c r="AB767" i="1"/>
  <c r="AB764" i="1"/>
  <c r="AB761" i="1"/>
  <c r="AB758" i="1"/>
  <c r="AB755" i="1"/>
  <c r="AB752" i="1"/>
  <c r="AB749" i="1"/>
  <c r="AB747" i="1"/>
  <c r="AB745" i="1"/>
  <c r="AB742" i="1"/>
  <c r="AB739" i="1"/>
  <c r="AB738" i="1"/>
  <c r="AB737" i="1"/>
  <c r="AB736" i="1"/>
  <c r="AB735" i="1"/>
  <c r="AB734" i="1"/>
  <c r="AB733" i="1"/>
  <c r="AB732" i="1"/>
  <c r="AB731" i="1"/>
  <c r="AB730" i="1"/>
  <c r="AB729" i="1"/>
  <c r="AB727" i="1"/>
  <c r="AB725" i="1"/>
  <c r="AB724" i="1"/>
  <c r="AB723" i="1"/>
  <c r="AB722" i="1"/>
  <c r="AB721" i="1"/>
  <c r="AB720" i="1"/>
  <c r="AB719" i="1"/>
  <c r="AB718" i="1"/>
  <c r="AB717" i="1"/>
  <c r="AB716" i="1"/>
  <c r="AB715" i="1"/>
  <c r="AB714" i="1"/>
  <c r="AB713" i="1"/>
  <c r="AB712" i="1"/>
  <c r="AB711" i="1"/>
  <c r="AB710" i="1"/>
  <c r="AB709" i="1"/>
  <c r="AB708" i="1"/>
  <c r="AB707" i="1"/>
  <c r="AB706" i="1"/>
  <c r="AB705" i="1"/>
  <c r="AB704" i="1"/>
  <c r="AB703" i="1"/>
  <c r="AB702" i="1"/>
  <c r="AB701" i="1"/>
  <c r="AB700" i="1"/>
  <c r="AB699" i="1"/>
  <c r="AB698" i="1"/>
  <c r="AB697" i="1"/>
  <c r="AB696" i="1"/>
  <c r="AB695" i="1"/>
  <c r="AB694" i="1"/>
  <c r="AB693" i="1"/>
  <c r="AB692" i="1"/>
  <c r="AB691" i="1"/>
  <c r="AB690" i="1"/>
  <c r="AB689" i="1"/>
  <c r="AB688" i="1"/>
  <c r="AB687" i="1"/>
  <c r="AB686" i="1"/>
  <c r="AB685" i="1"/>
  <c r="AB684" i="1"/>
  <c r="AB683" i="1"/>
  <c r="AB682" i="1"/>
  <c r="AB681" i="1"/>
  <c r="AB680" i="1"/>
  <c r="AB679" i="1"/>
  <c r="AB678" i="1"/>
  <c r="AB677" i="1"/>
  <c r="AB676" i="1"/>
  <c r="AB675" i="1"/>
  <c r="AB674" i="1"/>
  <c r="AB673" i="1"/>
  <c r="AB672" i="1"/>
  <c r="AB671" i="1"/>
  <c r="AB670" i="1"/>
  <c r="AB669" i="1"/>
  <c r="AB668" i="1"/>
  <c r="AB667" i="1"/>
  <c r="AB666" i="1"/>
  <c r="AB665" i="1"/>
  <c r="AB664" i="1"/>
  <c r="AB663" i="1"/>
  <c r="AB662" i="1"/>
  <c r="AB661" i="1"/>
  <c r="AB660" i="1"/>
  <c r="AB659" i="1"/>
  <c r="AB658" i="1"/>
  <c r="AB657" i="1"/>
  <c r="AB656" i="1"/>
  <c r="AB655" i="1"/>
  <c r="AB654" i="1"/>
  <c r="AB653" i="1"/>
  <c r="AB652" i="1"/>
  <c r="AB651" i="1"/>
  <c r="AB650" i="1"/>
  <c r="AB649" i="1"/>
  <c r="AB648" i="1"/>
  <c r="AB647" i="1"/>
  <c r="AB646" i="1"/>
  <c r="AB645" i="1"/>
  <c r="AB644" i="1"/>
  <c r="AB643" i="1"/>
  <c r="AB642" i="1"/>
  <c r="AB641" i="1"/>
  <c r="AB640" i="1"/>
  <c r="AB639" i="1"/>
  <c r="AB638" i="1"/>
  <c r="AB637" i="1"/>
  <c r="AB636" i="1"/>
  <c r="AB635" i="1"/>
  <c r="AB634" i="1"/>
  <c r="AB633" i="1"/>
  <c r="AB632" i="1"/>
  <c r="AB631" i="1"/>
  <c r="AB630" i="1"/>
  <c r="AB629" i="1"/>
  <c r="AB628" i="1"/>
  <c r="AB627" i="1"/>
  <c r="AB626" i="1"/>
  <c r="AB625" i="1"/>
  <c r="AB624" i="1"/>
  <c r="AB623" i="1"/>
  <c r="AB622" i="1"/>
  <c r="AB621" i="1"/>
  <c r="AB620" i="1"/>
  <c r="AB619" i="1"/>
  <c r="AB618" i="1"/>
  <c r="AB617" i="1"/>
  <c r="AB616" i="1"/>
  <c r="AB615" i="1"/>
  <c r="AB614" i="1"/>
  <c r="AB613" i="1"/>
  <c r="AB612" i="1"/>
  <c r="AB611" i="1"/>
  <c r="AB610" i="1"/>
  <c r="AB609" i="1"/>
  <c r="AB608" i="1"/>
  <c r="AB607" i="1"/>
  <c r="AB606" i="1"/>
  <c r="AB605" i="1"/>
  <c r="AB604" i="1"/>
  <c r="AB603" i="1"/>
  <c r="AB602" i="1"/>
  <c r="AB601" i="1"/>
  <c r="AB600" i="1"/>
  <c r="AB599" i="1"/>
  <c r="AB598" i="1"/>
  <c r="AB597" i="1"/>
  <c r="AB596" i="1"/>
  <c r="AB595" i="1"/>
  <c r="AB594" i="1"/>
  <c r="AB593" i="1"/>
  <c r="AB592" i="1"/>
  <c r="AB591" i="1"/>
  <c r="AB590" i="1"/>
  <c r="AB589" i="1"/>
  <c r="AB588" i="1"/>
  <c r="AB587" i="1"/>
  <c r="AB586" i="1"/>
  <c r="AB585" i="1"/>
  <c r="AB584" i="1"/>
  <c r="AB583" i="1"/>
  <c r="AB582" i="1"/>
  <c r="AB581" i="1"/>
  <c r="AB580" i="1"/>
  <c r="AB579" i="1"/>
  <c r="AB578" i="1"/>
  <c r="AB577" i="1"/>
  <c r="AB576" i="1"/>
  <c r="AB575" i="1"/>
  <c r="AB574" i="1"/>
  <c r="AB573" i="1"/>
  <c r="AB572" i="1"/>
  <c r="AB571" i="1"/>
  <c r="AB570" i="1"/>
  <c r="AB569" i="1"/>
  <c r="AB568" i="1"/>
  <c r="AB567" i="1"/>
  <c r="AB566" i="1"/>
  <c r="AB565" i="1"/>
  <c r="AB564" i="1"/>
  <c r="AB563" i="1"/>
  <c r="AB562" i="1"/>
  <c r="AB561" i="1"/>
  <c r="AB560" i="1"/>
  <c r="AB559" i="1"/>
  <c r="AB558" i="1"/>
  <c r="AB557" i="1"/>
  <c r="AB556" i="1"/>
  <c r="AB555" i="1"/>
  <c r="AB554" i="1"/>
  <c r="AB553" i="1"/>
  <c r="AB552" i="1"/>
  <c r="AB551" i="1"/>
  <c r="AB550" i="1"/>
  <c r="AB549" i="1"/>
  <c r="AB548" i="1"/>
  <c r="AB547" i="1"/>
  <c r="AB546" i="1"/>
  <c r="AB545" i="1"/>
  <c r="AB544" i="1"/>
  <c r="AB543" i="1"/>
  <c r="AB542" i="1"/>
  <c r="AB541" i="1"/>
  <c r="AB540" i="1"/>
  <c r="AB539" i="1"/>
  <c r="AB1000" i="1"/>
  <c r="AB996" i="1"/>
  <c r="AH995" i="1" s="1"/>
  <c r="AB993" i="1"/>
  <c r="AB990" i="1"/>
  <c r="AB987" i="1"/>
  <c r="AH986" i="1" s="1"/>
  <c r="AB984" i="1"/>
  <c r="AB981" i="1"/>
  <c r="AH980" i="1" s="1"/>
  <c r="AB978" i="1"/>
  <c r="AB975" i="1"/>
  <c r="AH974" i="1" s="1"/>
  <c r="AB973" i="1"/>
  <c r="AB970" i="1"/>
  <c r="AB967" i="1"/>
  <c r="AB964" i="1"/>
  <c r="AB959" i="1"/>
  <c r="AB956" i="1"/>
  <c r="AB953" i="1"/>
  <c r="AB951" i="1"/>
  <c r="AB947" i="1"/>
  <c r="AB945" i="1"/>
  <c r="AB942" i="1"/>
  <c r="AB939" i="1"/>
  <c r="AB935" i="1"/>
  <c r="AB932" i="1"/>
  <c r="AB929" i="1"/>
  <c r="AB926" i="1"/>
  <c r="AB923" i="1"/>
  <c r="AB920" i="1"/>
  <c r="AB916" i="1"/>
  <c r="AB913" i="1"/>
  <c r="AB910" i="1"/>
  <c r="AB908" i="1"/>
  <c r="AB904" i="1"/>
  <c r="AB902" i="1"/>
  <c r="AB898" i="1"/>
  <c r="AB896" i="1"/>
  <c r="AB893" i="1"/>
  <c r="AB889" i="1"/>
  <c r="AB886" i="1"/>
  <c r="AB883" i="1"/>
  <c r="AB880" i="1"/>
  <c r="AB877" i="1"/>
  <c r="AB874" i="1"/>
  <c r="AB871" i="1"/>
  <c r="AB868" i="1"/>
  <c r="AB864" i="1"/>
  <c r="AB861" i="1"/>
  <c r="AB859" i="1"/>
  <c r="AB856" i="1"/>
  <c r="AB851" i="1"/>
  <c r="AB848" i="1"/>
  <c r="AB846" i="1"/>
  <c r="AB843" i="1"/>
  <c r="AB840" i="1"/>
  <c r="AB836" i="1"/>
  <c r="AB834" i="1"/>
  <c r="AB831" i="1"/>
  <c r="AB828" i="1"/>
  <c r="AB825" i="1"/>
  <c r="AB822" i="1"/>
  <c r="AB819" i="1"/>
  <c r="AB816" i="1"/>
  <c r="AB812" i="1"/>
  <c r="AB809" i="1"/>
  <c r="AB806" i="1"/>
  <c r="AB803" i="1"/>
  <c r="AB801" i="1"/>
  <c r="AB798" i="1"/>
  <c r="AB795" i="1"/>
  <c r="AB793" i="1"/>
  <c r="AB791" i="1"/>
  <c r="AB789" i="1"/>
  <c r="AB787" i="1"/>
  <c r="AB785" i="1"/>
  <c r="AB782" i="1"/>
  <c r="AB779" i="1"/>
  <c r="AB776" i="1"/>
  <c r="AB772" i="1"/>
  <c r="AB769" i="1"/>
  <c r="AB766" i="1"/>
  <c r="AB762" i="1"/>
  <c r="AB759" i="1"/>
  <c r="AB757" i="1"/>
  <c r="AB754" i="1"/>
  <c r="AB751" i="1"/>
  <c r="AB748" i="1"/>
  <c r="AB744" i="1"/>
  <c r="AB740" i="1"/>
  <c r="AB728" i="1"/>
  <c r="AB24" i="1"/>
  <c r="AB16" i="1"/>
  <c r="AB4" i="1"/>
  <c r="AB999" i="1"/>
  <c r="AB997" i="1"/>
  <c r="AB994" i="1"/>
  <c r="AB991" i="1"/>
  <c r="AB988" i="1"/>
  <c r="AB985" i="1"/>
  <c r="AB982" i="1"/>
  <c r="AB979" i="1"/>
  <c r="AB976" i="1"/>
  <c r="AB972" i="1"/>
  <c r="AB969" i="1"/>
  <c r="AB966" i="1"/>
  <c r="AB963" i="1"/>
  <c r="AB960" i="1"/>
  <c r="AB957" i="1"/>
  <c r="AB954" i="1"/>
  <c r="AB950" i="1"/>
  <c r="AB948" i="1"/>
  <c r="AB944" i="1"/>
  <c r="AB941" i="1"/>
  <c r="AB938" i="1"/>
  <c r="AB936" i="1"/>
  <c r="AB933" i="1"/>
  <c r="AB930" i="1"/>
  <c r="AB927" i="1"/>
  <c r="AB924" i="1"/>
  <c r="AB921" i="1"/>
  <c r="AB917" i="1"/>
  <c r="AB914" i="1"/>
  <c r="AB911" i="1"/>
  <c r="AB907" i="1"/>
  <c r="AB905" i="1"/>
  <c r="AB901" i="1"/>
  <c r="AB899" i="1"/>
  <c r="AB895" i="1"/>
  <c r="AB892" i="1"/>
  <c r="AB890" i="1"/>
  <c r="AB887" i="1"/>
  <c r="AB884" i="1"/>
  <c r="AB881" i="1"/>
  <c r="AB876" i="1"/>
  <c r="AB873" i="1"/>
  <c r="AB870" i="1"/>
  <c r="AH869" i="1" s="1"/>
  <c r="AB867" i="1"/>
  <c r="AB865" i="1"/>
  <c r="AB862" i="1"/>
  <c r="AB858" i="1"/>
  <c r="AB855" i="1"/>
  <c r="AB852" i="1"/>
  <c r="AB849" i="1"/>
  <c r="AB845" i="1"/>
  <c r="AB842" i="1"/>
  <c r="AB839" i="1"/>
  <c r="AB837" i="1"/>
  <c r="AB833" i="1"/>
  <c r="AB830" i="1"/>
  <c r="AB827" i="1"/>
  <c r="AB824" i="1"/>
  <c r="AB821" i="1"/>
  <c r="AB818" i="1"/>
  <c r="AB815" i="1"/>
  <c r="AB813" i="1"/>
  <c r="AB810" i="1"/>
  <c r="AB807" i="1"/>
  <c r="AB804" i="1"/>
  <c r="AB800" i="1"/>
  <c r="AB784" i="1"/>
  <c r="AH783" i="1" s="1"/>
  <c r="AB781" i="1"/>
  <c r="AB778" i="1"/>
  <c r="AB775" i="1"/>
  <c r="AB771" i="1"/>
  <c r="AB768" i="1"/>
  <c r="AB765" i="1"/>
  <c r="AB763" i="1"/>
  <c r="AB760" i="1"/>
  <c r="AB756" i="1"/>
  <c r="AB753" i="1"/>
  <c r="AB750" i="1"/>
  <c r="AB746" i="1"/>
  <c r="AB743" i="1"/>
  <c r="AB741" i="1"/>
  <c r="AB726" i="1"/>
  <c r="AB20" i="1"/>
  <c r="AB12" i="1"/>
  <c r="AB8" i="1"/>
  <c r="AB27" i="1"/>
  <c r="AB23" i="1"/>
  <c r="AB19" i="1"/>
  <c r="AB15" i="1"/>
  <c r="AH14" i="1" s="1"/>
  <c r="AB11" i="1"/>
  <c r="AB7" i="1"/>
  <c r="AH6" i="1" s="1"/>
  <c r="AB538" i="1"/>
  <c r="AB537" i="1"/>
  <c r="AB536" i="1"/>
  <c r="AB535" i="1"/>
  <c r="AB534" i="1"/>
  <c r="AB533" i="1"/>
  <c r="AB532" i="1"/>
  <c r="AB531" i="1"/>
  <c r="AB530" i="1"/>
  <c r="AB529" i="1"/>
  <c r="AB528" i="1"/>
  <c r="AB527" i="1"/>
  <c r="AB526" i="1"/>
  <c r="AB525" i="1"/>
  <c r="AB524" i="1"/>
  <c r="AB523" i="1"/>
  <c r="AB522" i="1"/>
  <c r="AB521" i="1"/>
  <c r="AB520" i="1"/>
  <c r="AB519" i="1"/>
  <c r="AB518" i="1"/>
  <c r="AB517" i="1"/>
  <c r="AB516" i="1"/>
  <c r="AB515" i="1"/>
  <c r="AB514" i="1"/>
  <c r="AB513" i="1"/>
  <c r="AB512" i="1"/>
  <c r="AB511" i="1"/>
  <c r="AB510" i="1"/>
  <c r="AB509" i="1"/>
  <c r="AB508" i="1"/>
  <c r="AB507" i="1"/>
  <c r="AB506" i="1"/>
  <c r="AB505" i="1"/>
  <c r="AB504" i="1"/>
  <c r="AB503" i="1"/>
  <c r="AB502" i="1"/>
  <c r="AB501" i="1"/>
  <c r="AB500" i="1"/>
  <c r="AB499" i="1"/>
  <c r="AB498" i="1"/>
  <c r="AB497" i="1"/>
  <c r="AB496" i="1"/>
  <c r="AB495" i="1"/>
  <c r="AB494" i="1"/>
  <c r="AB493" i="1"/>
  <c r="AB492" i="1"/>
  <c r="AB491" i="1"/>
  <c r="AB490" i="1"/>
  <c r="AB489" i="1"/>
  <c r="AB488" i="1"/>
  <c r="AB487" i="1"/>
  <c r="AB486" i="1"/>
  <c r="AB485" i="1"/>
  <c r="AB484" i="1"/>
  <c r="AB483" i="1"/>
  <c r="AB482" i="1"/>
  <c r="AB481" i="1"/>
  <c r="AB480" i="1"/>
  <c r="AB479" i="1"/>
  <c r="AB478" i="1"/>
  <c r="AB477" i="1"/>
  <c r="AB476" i="1"/>
  <c r="AB475" i="1"/>
  <c r="AB474" i="1"/>
  <c r="AB473" i="1"/>
  <c r="AB472" i="1"/>
  <c r="AB471" i="1"/>
  <c r="AB470" i="1"/>
  <c r="AB469" i="1"/>
  <c r="AB468" i="1"/>
  <c r="AB467" i="1"/>
  <c r="AB466" i="1"/>
  <c r="AB465" i="1"/>
  <c r="AB464" i="1"/>
  <c r="AB463" i="1"/>
  <c r="AB462" i="1"/>
  <c r="AB461" i="1"/>
  <c r="AB460" i="1"/>
  <c r="AB459" i="1"/>
  <c r="AB458" i="1"/>
  <c r="AB457" i="1"/>
  <c r="AB456" i="1"/>
  <c r="AB455" i="1"/>
  <c r="AB454" i="1"/>
  <c r="AB453" i="1"/>
  <c r="AB452" i="1"/>
  <c r="AB451" i="1"/>
  <c r="AB450" i="1"/>
  <c r="AB449" i="1"/>
  <c r="AB448" i="1"/>
  <c r="AB447" i="1"/>
  <c r="AB446" i="1"/>
  <c r="AB445" i="1"/>
  <c r="AB444" i="1"/>
  <c r="AB443" i="1"/>
  <c r="AB442" i="1"/>
  <c r="AB441" i="1"/>
  <c r="AB440" i="1"/>
  <c r="AB439" i="1"/>
  <c r="AB438" i="1"/>
  <c r="AB437" i="1"/>
  <c r="AB436" i="1"/>
  <c r="AB435" i="1"/>
  <c r="AB434" i="1"/>
  <c r="AB433" i="1"/>
  <c r="AB432" i="1"/>
  <c r="AB431" i="1"/>
  <c r="AB430" i="1"/>
  <c r="AB429" i="1"/>
  <c r="AB428" i="1"/>
  <c r="AB427" i="1"/>
  <c r="AB426" i="1"/>
  <c r="AB425" i="1"/>
  <c r="AB424" i="1"/>
  <c r="AB423" i="1"/>
  <c r="AB422" i="1"/>
  <c r="AB421" i="1"/>
  <c r="AB420" i="1"/>
  <c r="AB419" i="1"/>
  <c r="AB418" i="1"/>
  <c r="AB417" i="1"/>
  <c r="AB416" i="1"/>
  <c r="AB415" i="1"/>
  <c r="AB414" i="1"/>
  <c r="AB413" i="1"/>
  <c r="AB412" i="1"/>
  <c r="AB411" i="1"/>
  <c r="AB410" i="1"/>
  <c r="AB409" i="1"/>
  <c r="AB408" i="1"/>
  <c r="AB407" i="1"/>
  <c r="AB406" i="1"/>
  <c r="AB405" i="1"/>
  <c r="AB404" i="1"/>
  <c r="AB403" i="1"/>
  <c r="AB402" i="1"/>
  <c r="AB401" i="1"/>
  <c r="AB400" i="1"/>
  <c r="AB399" i="1"/>
  <c r="AB398" i="1"/>
  <c r="AB397" i="1"/>
  <c r="AB396" i="1"/>
  <c r="AB395" i="1"/>
  <c r="AB394" i="1"/>
  <c r="AB393" i="1"/>
  <c r="AB392" i="1"/>
  <c r="AB391" i="1"/>
  <c r="AB390" i="1"/>
  <c r="AB389" i="1"/>
  <c r="AB388" i="1"/>
  <c r="AB387" i="1"/>
  <c r="AB386" i="1"/>
  <c r="AB385" i="1"/>
  <c r="AB384" i="1"/>
  <c r="AB383" i="1"/>
  <c r="AB382" i="1"/>
  <c r="AB381" i="1"/>
  <c r="AB380" i="1"/>
  <c r="AB379" i="1"/>
  <c r="AB378" i="1"/>
  <c r="AB377" i="1"/>
  <c r="AB376" i="1"/>
  <c r="AB375" i="1"/>
  <c r="AB374" i="1"/>
  <c r="AB373" i="1"/>
  <c r="AB372" i="1"/>
  <c r="AB371" i="1"/>
  <c r="AB370" i="1"/>
  <c r="AB369" i="1"/>
  <c r="AB368" i="1"/>
  <c r="AB367" i="1"/>
  <c r="AB366" i="1"/>
  <c r="AB365" i="1"/>
  <c r="AB364" i="1"/>
  <c r="AB363" i="1"/>
  <c r="AB362" i="1"/>
  <c r="AB361" i="1"/>
  <c r="AB360" i="1"/>
  <c r="AB359" i="1"/>
  <c r="AB358" i="1"/>
  <c r="AB357" i="1"/>
  <c r="AB356" i="1"/>
  <c r="AB355" i="1"/>
  <c r="AB354" i="1"/>
  <c r="AB353" i="1"/>
  <c r="AB352" i="1"/>
  <c r="AB351" i="1"/>
  <c r="AB350" i="1"/>
  <c r="AB349" i="1"/>
  <c r="AB348" i="1"/>
  <c r="AB347" i="1"/>
  <c r="AB346" i="1"/>
  <c r="AB345" i="1"/>
  <c r="AB344" i="1"/>
  <c r="AB343" i="1"/>
  <c r="AB342" i="1"/>
  <c r="AB341" i="1"/>
  <c r="AB340" i="1"/>
  <c r="AB339" i="1"/>
  <c r="AB338" i="1"/>
  <c r="AB337" i="1"/>
  <c r="AB336" i="1"/>
  <c r="AB335" i="1"/>
  <c r="AB334" i="1"/>
  <c r="AB333" i="1"/>
  <c r="AB332" i="1"/>
  <c r="AB331" i="1"/>
  <c r="AB330" i="1"/>
  <c r="AB329" i="1"/>
  <c r="AB328" i="1"/>
  <c r="AB327" i="1"/>
  <c r="AB326" i="1"/>
  <c r="AB325" i="1"/>
  <c r="AB324" i="1"/>
  <c r="AB323" i="1"/>
  <c r="AB322" i="1"/>
  <c r="AB321" i="1"/>
  <c r="AB320" i="1"/>
  <c r="AB319" i="1"/>
  <c r="AB318" i="1"/>
  <c r="AB317" i="1"/>
  <c r="AB316" i="1"/>
  <c r="AB315" i="1"/>
  <c r="AB314" i="1"/>
  <c r="AB313" i="1"/>
  <c r="AB312" i="1"/>
  <c r="AB311" i="1"/>
  <c r="AB310" i="1"/>
  <c r="AB309" i="1"/>
  <c r="AB308" i="1"/>
  <c r="AB307" i="1"/>
  <c r="AB306" i="1"/>
  <c r="AB305" i="1"/>
  <c r="AB304" i="1"/>
  <c r="AB303" i="1"/>
  <c r="AB302" i="1"/>
  <c r="AB301" i="1"/>
  <c r="AB300" i="1"/>
  <c r="AB299" i="1"/>
  <c r="AB298" i="1"/>
  <c r="AB297" i="1"/>
  <c r="AB296" i="1"/>
  <c r="AB295" i="1"/>
  <c r="AB294" i="1"/>
  <c r="AB293" i="1"/>
  <c r="AB292" i="1"/>
  <c r="AB291" i="1"/>
  <c r="AB290" i="1"/>
  <c r="AB289" i="1"/>
  <c r="AB288" i="1"/>
  <c r="AB287" i="1"/>
  <c r="AB286" i="1"/>
  <c r="AB285" i="1"/>
  <c r="AB284" i="1"/>
  <c r="AB283" i="1"/>
  <c r="AB282" i="1"/>
  <c r="AB281" i="1"/>
  <c r="AB280" i="1"/>
  <c r="AB279" i="1"/>
  <c r="AB278" i="1"/>
  <c r="AB277" i="1"/>
  <c r="AB276" i="1"/>
  <c r="AB275" i="1"/>
  <c r="AB274" i="1"/>
  <c r="AB273" i="1"/>
  <c r="AB272" i="1"/>
  <c r="AB271" i="1"/>
  <c r="AB270" i="1"/>
  <c r="AB269" i="1"/>
  <c r="AB268" i="1"/>
  <c r="AB267" i="1"/>
  <c r="AB266" i="1"/>
  <c r="AB265" i="1"/>
  <c r="AB264" i="1"/>
  <c r="AB263" i="1"/>
  <c r="AB262" i="1"/>
  <c r="AB261" i="1"/>
  <c r="AB260" i="1"/>
  <c r="AB259" i="1"/>
  <c r="AB258" i="1"/>
  <c r="AB257" i="1"/>
  <c r="AB256" i="1"/>
  <c r="AB255" i="1"/>
  <c r="AB254" i="1"/>
  <c r="AB253" i="1"/>
  <c r="AB252" i="1"/>
  <c r="AB251" i="1"/>
  <c r="AB250" i="1"/>
  <c r="AB249" i="1"/>
  <c r="AB248" i="1"/>
  <c r="AB247" i="1"/>
  <c r="AB246" i="1"/>
  <c r="AB245" i="1"/>
  <c r="AB244" i="1"/>
  <c r="AB243" i="1"/>
  <c r="AB242" i="1"/>
  <c r="AB241" i="1"/>
  <c r="AB240" i="1"/>
  <c r="AB239" i="1"/>
  <c r="AB238" i="1"/>
  <c r="AB237" i="1"/>
  <c r="AB236" i="1"/>
  <c r="AB235" i="1"/>
  <c r="AB234" i="1"/>
  <c r="AB233" i="1"/>
  <c r="AB232" i="1"/>
  <c r="AB231" i="1"/>
  <c r="AB230" i="1"/>
  <c r="AB229" i="1"/>
  <c r="AB228" i="1"/>
  <c r="AB227" i="1"/>
  <c r="AB226" i="1"/>
  <c r="AB225" i="1"/>
  <c r="AB224" i="1"/>
  <c r="AB223" i="1"/>
  <c r="AB222" i="1"/>
  <c r="AB221" i="1"/>
  <c r="AB220" i="1"/>
  <c r="AB219" i="1"/>
  <c r="AB218" i="1"/>
  <c r="AB217" i="1"/>
  <c r="AB216" i="1"/>
  <c r="AB215" i="1"/>
  <c r="AB214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3" i="1"/>
  <c r="AA1001" i="1"/>
  <c r="AA1000" i="1"/>
  <c r="AA999" i="1"/>
  <c r="AA998" i="1"/>
  <c r="AA997" i="1"/>
  <c r="AA996" i="1"/>
  <c r="AA995" i="1"/>
  <c r="AA994" i="1"/>
  <c r="AA993" i="1"/>
  <c r="AA992" i="1"/>
  <c r="AA991" i="1"/>
  <c r="AA990" i="1"/>
  <c r="AA989" i="1"/>
  <c r="AA988" i="1"/>
  <c r="AA987" i="1"/>
  <c r="AA986" i="1"/>
  <c r="AA985" i="1"/>
  <c r="AA984" i="1"/>
  <c r="AA983" i="1"/>
  <c r="AA982" i="1"/>
  <c r="AA981" i="1"/>
  <c r="AA980" i="1"/>
  <c r="AA979" i="1"/>
  <c r="AA978" i="1"/>
  <c r="AA977" i="1"/>
  <c r="AA976" i="1"/>
  <c r="AA975" i="1"/>
  <c r="AA974" i="1"/>
  <c r="AA973" i="1"/>
  <c r="AA972" i="1"/>
  <c r="AA971" i="1"/>
  <c r="AA970" i="1"/>
  <c r="AA969" i="1"/>
  <c r="AA968" i="1"/>
  <c r="AA967" i="1"/>
  <c r="AA966" i="1"/>
  <c r="AA965" i="1"/>
  <c r="AA964" i="1"/>
  <c r="AA963" i="1"/>
  <c r="AA962" i="1"/>
  <c r="AA961" i="1"/>
  <c r="AA960" i="1"/>
  <c r="AA959" i="1"/>
  <c r="AA958" i="1"/>
  <c r="AA957" i="1"/>
  <c r="AA956" i="1"/>
  <c r="AA955" i="1"/>
  <c r="AA954" i="1"/>
  <c r="AA953" i="1"/>
  <c r="AA952" i="1"/>
  <c r="AA951" i="1"/>
  <c r="AA950" i="1"/>
  <c r="AA949" i="1"/>
  <c r="AA948" i="1"/>
  <c r="AA947" i="1"/>
  <c r="AA946" i="1"/>
  <c r="AA945" i="1"/>
  <c r="AA944" i="1"/>
  <c r="AA943" i="1"/>
  <c r="AA942" i="1"/>
  <c r="AA941" i="1"/>
  <c r="AA940" i="1"/>
  <c r="AA939" i="1"/>
  <c r="AA938" i="1"/>
  <c r="AA937" i="1"/>
  <c r="AA936" i="1"/>
  <c r="AA935" i="1"/>
  <c r="AA934" i="1"/>
  <c r="AA933" i="1"/>
  <c r="AA932" i="1"/>
  <c r="AA931" i="1"/>
  <c r="AA930" i="1"/>
  <c r="AA929" i="1"/>
  <c r="AA928" i="1"/>
  <c r="AA927" i="1"/>
  <c r="AA926" i="1"/>
  <c r="AA925" i="1"/>
  <c r="AA924" i="1"/>
  <c r="AA923" i="1"/>
  <c r="AA922" i="1"/>
  <c r="AA921" i="1"/>
  <c r="AA920" i="1"/>
  <c r="AA919" i="1"/>
  <c r="AA918" i="1"/>
  <c r="AA917" i="1"/>
  <c r="AA916" i="1"/>
  <c r="AA915" i="1"/>
  <c r="AA914" i="1"/>
  <c r="AA913" i="1"/>
  <c r="AA912" i="1"/>
  <c r="AA911" i="1"/>
  <c r="AA910" i="1"/>
  <c r="AA909" i="1"/>
  <c r="AA908" i="1"/>
  <c r="AA907" i="1"/>
  <c r="AA906" i="1"/>
  <c r="AA905" i="1"/>
  <c r="AA904" i="1"/>
  <c r="AA903" i="1"/>
  <c r="AA902" i="1"/>
  <c r="AA901" i="1"/>
  <c r="AA900" i="1"/>
  <c r="AA899" i="1"/>
  <c r="AA898" i="1"/>
  <c r="AA897" i="1"/>
  <c r="AA896" i="1"/>
  <c r="AA895" i="1"/>
  <c r="AA894" i="1"/>
  <c r="AA893" i="1"/>
  <c r="AA892" i="1"/>
  <c r="AA891" i="1"/>
  <c r="AA890" i="1"/>
  <c r="AA889" i="1"/>
  <c r="AA888" i="1"/>
  <c r="AA887" i="1"/>
  <c r="AA886" i="1"/>
  <c r="AA885" i="1"/>
  <c r="AA884" i="1"/>
  <c r="AA883" i="1"/>
  <c r="AA882" i="1"/>
  <c r="AA881" i="1"/>
  <c r="AA880" i="1"/>
  <c r="AA879" i="1"/>
  <c r="AA878" i="1"/>
  <c r="AA877" i="1"/>
  <c r="AA876" i="1"/>
  <c r="AA875" i="1"/>
  <c r="AA874" i="1"/>
  <c r="AA873" i="1"/>
  <c r="AA872" i="1"/>
  <c r="AA871" i="1"/>
  <c r="AA870" i="1"/>
  <c r="AA869" i="1"/>
  <c r="AA868" i="1"/>
  <c r="AA867" i="1"/>
  <c r="AA866" i="1"/>
  <c r="AA865" i="1"/>
  <c r="AA864" i="1"/>
  <c r="AA863" i="1"/>
  <c r="AA862" i="1"/>
  <c r="AA861" i="1"/>
  <c r="AA860" i="1"/>
  <c r="AA859" i="1"/>
  <c r="AA858" i="1"/>
  <c r="AA857" i="1"/>
  <c r="AA856" i="1"/>
  <c r="AA855" i="1"/>
  <c r="AA854" i="1"/>
  <c r="AA853" i="1"/>
  <c r="AA852" i="1"/>
  <c r="AA851" i="1"/>
  <c r="AA850" i="1"/>
  <c r="AA849" i="1"/>
  <c r="AA848" i="1"/>
  <c r="AA847" i="1"/>
  <c r="AA846" i="1"/>
  <c r="AA845" i="1"/>
  <c r="AA844" i="1"/>
  <c r="AA843" i="1"/>
  <c r="AA842" i="1"/>
  <c r="AA841" i="1"/>
  <c r="AA840" i="1"/>
  <c r="AA839" i="1"/>
  <c r="AA838" i="1"/>
  <c r="AA837" i="1"/>
  <c r="AA836" i="1"/>
  <c r="AA835" i="1"/>
  <c r="AA834" i="1"/>
  <c r="AA833" i="1"/>
  <c r="AA832" i="1"/>
  <c r="AA831" i="1"/>
  <c r="AA830" i="1"/>
  <c r="AA829" i="1"/>
  <c r="AA828" i="1"/>
  <c r="AA827" i="1"/>
  <c r="AA826" i="1"/>
  <c r="AA825" i="1"/>
  <c r="AA824" i="1"/>
  <c r="AA823" i="1"/>
  <c r="AA822" i="1"/>
  <c r="AA821" i="1"/>
  <c r="AA820" i="1"/>
  <c r="AA819" i="1"/>
  <c r="AA818" i="1"/>
  <c r="AA817" i="1"/>
  <c r="AA816" i="1"/>
  <c r="AA815" i="1"/>
  <c r="AA814" i="1"/>
  <c r="AA813" i="1"/>
  <c r="AA812" i="1"/>
  <c r="AA811" i="1"/>
  <c r="AA810" i="1"/>
  <c r="AA809" i="1"/>
  <c r="AA808" i="1"/>
  <c r="AA807" i="1"/>
  <c r="AA806" i="1"/>
  <c r="AA805" i="1"/>
  <c r="AA804" i="1"/>
  <c r="AA803" i="1"/>
  <c r="AA802" i="1"/>
  <c r="AA801" i="1"/>
  <c r="AA800" i="1"/>
  <c r="AA799" i="1"/>
  <c r="AA798" i="1"/>
  <c r="AA797" i="1"/>
  <c r="AA796" i="1"/>
  <c r="AA795" i="1"/>
  <c r="AA794" i="1"/>
  <c r="AA793" i="1"/>
  <c r="AA792" i="1"/>
  <c r="AA791" i="1"/>
  <c r="AA790" i="1"/>
  <c r="AA789" i="1"/>
  <c r="AA788" i="1"/>
  <c r="AA787" i="1"/>
  <c r="AA786" i="1"/>
  <c r="AA785" i="1"/>
  <c r="AA784" i="1"/>
  <c r="AA783" i="1"/>
  <c r="AA782" i="1"/>
  <c r="AA781" i="1"/>
  <c r="AA780" i="1"/>
  <c r="AA779" i="1"/>
  <c r="AA778" i="1"/>
  <c r="AA777" i="1"/>
  <c r="AA776" i="1"/>
  <c r="AA775" i="1"/>
  <c r="AA774" i="1"/>
  <c r="AA773" i="1"/>
  <c r="AA772" i="1"/>
  <c r="AA771" i="1"/>
  <c r="AA770" i="1"/>
  <c r="AA769" i="1"/>
  <c r="AA768" i="1"/>
  <c r="AA767" i="1"/>
  <c r="AA766" i="1"/>
  <c r="AA765" i="1"/>
  <c r="AA764" i="1"/>
  <c r="AA763" i="1"/>
  <c r="AA762" i="1"/>
  <c r="AA761" i="1"/>
  <c r="AA760" i="1"/>
  <c r="AA759" i="1"/>
  <c r="AA758" i="1"/>
  <c r="AA757" i="1"/>
  <c r="AA756" i="1"/>
  <c r="AA755" i="1"/>
  <c r="AA754" i="1"/>
  <c r="AA753" i="1"/>
  <c r="AA752" i="1"/>
  <c r="AA751" i="1"/>
  <c r="AA750" i="1"/>
  <c r="AA749" i="1"/>
  <c r="AA748" i="1"/>
  <c r="AA747" i="1"/>
  <c r="AA746" i="1"/>
  <c r="AA745" i="1"/>
  <c r="AA744" i="1"/>
  <c r="AA743" i="1"/>
  <c r="AA742" i="1"/>
  <c r="AA741" i="1"/>
  <c r="AA740" i="1"/>
  <c r="AA739" i="1"/>
  <c r="AA738" i="1"/>
  <c r="AA737" i="1"/>
  <c r="AA736" i="1"/>
  <c r="AA735" i="1"/>
  <c r="AA734" i="1"/>
  <c r="AA733" i="1"/>
  <c r="AA732" i="1"/>
  <c r="AA731" i="1"/>
  <c r="AA730" i="1"/>
  <c r="AA729" i="1"/>
  <c r="AA728" i="1"/>
  <c r="AA727" i="1"/>
  <c r="AA726" i="1"/>
  <c r="AA725" i="1"/>
  <c r="AA724" i="1"/>
  <c r="AA723" i="1"/>
  <c r="AA722" i="1"/>
  <c r="AA721" i="1"/>
  <c r="AA720" i="1"/>
  <c r="AA719" i="1"/>
  <c r="AA718" i="1"/>
  <c r="AA717" i="1"/>
  <c r="AA716" i="1"/>
  <c r="AA715" i="1"/>
  <c r="AA714" i="1"/>
  <c r="AA713" i="1"/>
  <c r="AA712" i="1"/>
  <c r="AA711" i="1"/>
  <c r="AA710" i="1"/>
  <c r="AA709" i="1"/>
  <c r="AA708" i="1"/>
  <c r="AA707" i="1"/>
  <c r="AA706" i="1"/>
  <c r="AA705" i="1"/>
  <c r="AA704" i="1"/>
  <c r="AA703" i="1"/>
  <c r="AA702" i="1"/>
  <c r="AA701" i="1"/>
  <c r="AA700" i="1"/>
  <c r="AA699" i="1"/>
  <c r="AA698" i="1"/>
  <c r="AA697" i="1"/>
  <c r="AA696" i="1"/>
  <c r="AA695" i="1"/>
  <c r="AA694" i="1"/>
  <c r="AA693" i="1"/>
  <c r="AA692" i="1"/>
  <c r="AA691" i="1"/>
  <c r="AA690" i="1"/>
  <c r="AA689" i="1"/>
  <c r="AA688" i="1"/>
  <c r="AA687" i="1"/>
  <c r="AA686" i="1"/>
  <c r="AA685" i="1"/>
  <c r="AA684" i="1"/>
  <c r="AA683" i="1"/>
  <c r="AA682" i="1"/>
  <c r="AA681" i="1"/>
  <c r="AA680" i="1"/>
  <c r="AA679" i="1"/>
  <c r="AA678" i="1"/>
  <c r="AA677" i="1"/>
  <c r="AA676" i="1"/>
  <c r="AA675" i="1"/>
  <c r="AA674" i="1"/>
  <c r="AA673" i="1"/>
  <c r="AA672" i="1"/>
  <c r="AA671" i="1"/>
  <c r="AA670" i="1"/>
  <c r="AA669" i="1"/>
  <c r="AA668" i="1"/>
  <c r="AA667" i="1"/>
  <c r="AA666" i="1"/>
  <c r="AA665" i="1"/>
  <c r="AA664" i="1"/>
  <c r="AA663" i="1"/>
  <c r="AA662" i="1"/>
  <c r="AA661" i="1"/>
  <c r="AA660" i="1"/>
  <c r="AA659" i="1"/>
  <c r="AA658" i="1"/>
  <c r="AA657" i="1"/>
  <c r="AA656" i="1"/>
  <c r="AA655" i="1"/>
  <c r="AA654" i="1"/>
  <c r="AA653" i="1"/>
  <c r="AA652" i="1"/>
  <c r="AA651" i="1"/>
  <c r="AA650" i="1"/>
  <c r="AA649" i="1"/>
  <c r="AA648" i="1"/>
  <c r="AA647" i="1"/>
  <c r="AA646" i="1"/>
  <c r="AA645" i="1"/>
  <c r="AA644" i="1"/>
  <c r="AA643" i="1"/>
  <c r="AA642" i="1"/>
  <c r="AA641" i="1"/>
  <c r="AA640" i="1"/>
  <c r="AA639" i="1"/>
  <c r="AA638" i="1"/>
  <c r="AA637" i="1"/>
  <c r="AA636" i="1"/>
  <c r="AA635" i="1"/>
  <c r="AA634" i="1"/>
  <c r="AA633" i="1"/>
  <c r="AA632" i="1"/>
  <c r="AA631" i="1"/>
  <c r="AA630" i="1"/>
  <c r="AA629" i="1"/>
  <c r="AA628" i="1"/>
  <c r="AA627" i="1"/>
  <c r="AA626" i="1"/>
  <c r="AA625" i="1"/>
  <c r="AA624" i="1"/>
  <c r="AA623" i="1"/>
  <c r="AA622" i="1"/>
  <c r="AA621" i="1"/>
  <c r="AA620" i="1"/>
  <c r="AA619" i="1"/>
  <c r="AA618" i="1"/>
  <c r="AA617" i="1"/>
  <c r="AA616" i="1"/>
  <c r="AA615" i="1"/>
  <c r="AA614" i="1"/>
  <c r="AA613" i="1"/>
  <c r="AA612" i="1"/>
  <c r="AA611" i="1"/>
  <c r="AA610" i="1"/>
  <c r="AA609" i="1"/>
  <c r="AA608" i="1"/>
  <c r="AA607" i="1"/>
  <c r="AA606" i="1"/>
  <c r="AA605" i="1"/>
  <c r="AA604" i="1"/>
  <c r="AA603" i="1"/>
  <c r="AA602" i="1"/>
  <c r="AA601" i="1"/>
  <c r="AA600" i="1"/>
  <c r="AA599" i="1"/>
  <c r="AA598" i="1"/>
  <c r="AA597" i="1"/>
  <c r="AA596" i="1"/>
  <c r="AA595" i="1"/>
  <c r="AA594" i="1"/>
  <c r="AA593" i="1"/>
  <c r="AA592" i="1"/>
  <c r="AA591" i="1"/>
  <c r="AA590" i="1"/>
  <c r="AA589" i="1"/>
  <c r="AA588" i="1"/>
  <c r="AA587" i="1"/>
  <c r="AA586" i="1"/>
  <c r="AA585" i="1"/>
  <c r="AA584" i="1"/>
  <c r="AA583" i="1"/>
  <c r="AA582" i="1"/>
  <c r="AA581" i="1"/>
  <c r="AA580" i="1"/>
  <c r="AA579" i="1"/>
  <c r="AA578" i="1"/>
  <c r="AA577" i="1"/>
  <c r="AA576" i="1"/>
  <c r="AA575" i="1"/>
  <c r="AA574" i="1"/>
  <c r="AA573" i="1"/>
  <c r="AA572" i="1"/>
  <c r="AA571" i="1"/>
  <c r="AA570" i="1"/>
  <c r="AA569" i="1"/>
  <c r="AA568" i="1"/>
  <c r="AA567" i="1"/>
  <c r="AA566" i="1"/>
  <c r="AA565" i="1"/>
  <c r="AA564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541" i="1"/>
  <c r="AA540" i="1"/>
  <c r="AA539" i="1"/>
  <c r="AA538" i="1"/>
  <c r="AA537" i="1"/>
  <c r="AA536" i="1"/>
  <c r="AA535" i="1"/>
  <c r="AA534" i="1"/>
  <c r="AA533" i="1"/>
  <c r="AA532" i="1"/>
  <c r="AA531" i="1"/>
  <c r="AA530" i="1"/>
  <c r="AA529" i="1"/>
  <c r="AA528" i="1"/>
  <c r="AA527" i="1"/>
  <c r="AA526" i="1"/>
  <c r="AA525" i="1"/>
  <c r="AA524" i="1"/>
  <c r="AA523" i="1"/>
  <c r="AA522" i="1"/>
  <c r="AA521" i="1"/>
  <c r="AA520" i="1"/>
  <c r="AA519" i="1"/>
  <c r="AA518" i="1"/>
  <c r="AA517" i="1"/>
  <c r="AA516" i="1"/>
  <c r="AA515" i="1"/>
  <c r="AA514" i="1"/>
  <c r="AA513" i="1"/>
  <c r="AA512" i="1"/>
  <c r="AA511" i="1"/>
  <c r="AA510" i="1"/>
  <c r="AA509" i="1"/>
  <c r="AA508" i="1"/>
  <c r="AA507" i="1"/>
  <c r="AA506" i="1"/>
  <c r="AA505" i="1"/>
  <c r="AA504" i="1"/>
  <c r="AA503" i="1"/>
  <c r="AA502" i="1"/>
  <c r="AA501" i="1"/>
  <c r="AA500" i="1"/>
  <c r="AA499" i="1"/>
  <c r="AA498" i="1"/>
  <c r="AA497" i="1"/>
  <c r="AA496" i="1"/>
  <c r="AA495" i="1"/>
  <c r="AA494" i="1"/>
  <c r="AA493" i="1"/>
  <c r="AA492" i="1"/>
  <c r="AA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J587" i="1" l="1"/>
  <c r="AJ807" i="1"/>
  <c r="AJ759" i="1"/>
  <c r="AJ387" i="1"/>
  <c r="AJ467" i="1"/>
  <c r="AK119" i="1"/>
  <c r="AS119" i="1" s="1"/>
  <c r="AJ783" i="1"/>
  <c r="AR783" i="1" s="1"/>
  <c r="AK381" i="1"/>
  <c r="AS381" i="1" s="1"/>
  <c r="AJ427" i="1"/>
  <c r="AR427" i="1" s="1"/>
  <c r="AJ443" i="1"/>
  <c r="AR443" i="1" s="1"/>
  <c r="AJ967" i="1"/>
  <c r="AR967" i="1" s="1"/>
  <c r="AK183" i="1"/>
  <c r="AS183" i="1" s="1"/>
  <c r="AK397" i="1"/>
  <c r="AS397" i="1" s="1"/>
  <c r="AH10" i="1"/>
  <c r="AP10" i="1" s="1"/>
  <c r="AJ975" i="1"/>
  <c r="AR975" i="1" s="1"/>
  <c r="AJ951" i="1"/>
  <c r="AR951" i="1" s="1"/>
  <c r="AJ483" i="1"/>
  <c r="AR483" i="1" s="1"/>
  <c r="AH22" i="1"/>
  <c r="AP22" i="1" s="1"/>
  <c r="AH850" i="1"/>
  <c r="AP850" i="1" s="1"/>
  <c r="AJ547" i="1"/>
  <c r="AR547" i="1" s="1"/>
  <c r="AJ769" i="1"/>
  <c r="AR769" i="1" s="1"/>
  <c r="AK903" i="1"/>
  <c r="AS903" i="1" s="1"/>
  <c r="AK565" i="1"/>
  <c r="AS565" i="1" s="1"/>
  <c r="AK573" i="1"/>
  <c r="AS573" i="1" s="1"/>
  <c r="AK581" i="1"/>
  <c r="AS581" i="1" s="1"/>
  <c r="AK589" i="1"/>
  <c r="AS589" i="1" s="1"/>
  <c r="AK597" i="1"/>
  <c r="AS597" i="1" s="1"/>
  <c r="AK605" i="1"/>
  <c r="AS605" i="1" s="1"/>
  <c r="AK613" i="1"/>
  <c r="AS613" i="1" s="1"/>
  <c r="AK621" i="1"/>
  <c r="AS621" i="1" s="1"/>
  <c r="AK629" i="1"/>
  <c r="AS629" i="1" s="1"/>
  <c r="AK637" i="1"/>
  <c r="AS637" i="1" s="1"/>
  <c r="AK645" i="1"/>
  <c r="AS645" i="1" s="1"/>
  <c r="AK653" i="1"/>
  <c r="AS653" i="1" s="1"/>
  <c r="AK661" i="1"/>
  <c r="AS661" i="1" s="1"/>
  <c r="AK669" i="1"/>
  <c r="AS669" i="1" s="1"/>
  <c r="AK677" i="1"/>
  <c r="AS677" i="1" s="1"/>
  <c r="AK685" i="1"/>
  <c r="AS685" i="1" s="1"/>
  <c r="AK749" i="1"/>
  <c r="AS749" i="1" s="1"/>
  <c r="AK757" i="1"/>
  <c r="AS757" i="1" s="1"/>
  <c r="AK765" i="1"/>
  <c r="AS765" i="1" s="1"/>
  <c r="AK773" i="1"/>
  <c r="AS773" i="1" s="1"/>
  <c r="AK781" i="1"/>
  <c r="AS781" i="1" s="1"/>
  <c r="AK789" i="1"/>
  <c r="AS789" i="1" s="1"/>
  <c r="AK797" i="1"/>
  <c r="AS797" i="1" s="1"/>
  <c r="AK805" i="1"/>
  <c r="AS805" i="1" s="1"/>
  <c r="AK813" i="1"/>
  <c r="AS813" i="1" s="1"/>
  <c r="AK821" i="1"/>
  <c r="AS821" i="1" s="1"/>
  <c r="AG3" i="1"/>
  <c r="AJ11" i="1"/>
  <c r="AR11" i="1" s="1"/>
  <c r="AJ19" i="1"/>
  <c r="AR19" i="1" s="1"/>
  <c r="AK195" i="1"/>
  <c r="AS195" i="1" s="1"/>
  <c r="AK203" i="1"/>
  <c r="AS203" i="1" s="1"/>
  <c r="AK211" i="1"/>
  <c r="AS211" i="1" s="1"/>
  <c r="AK219" i="1"/>
  <c r="AS219" i="1" s="1"/>
  <c r="AK227" i="1"/>
  <c r="AS227" i="1" s="1"/>
  <c r="AK235" i="1"/>
  <c r="AS235" i="1" s="1"/>
  <c r="AK243" i="1"/>
  <c r="AS243" i="1" s="1"/>
  <c r="AK251" i="1"/>
  <c r="AS251" i="1" s="1"/>
  <c r="AK259" i="1"/>
  <c r="AS259" i="1" s="1"/>
  <c r="AK267" i="1"/>
  <c r="AS267" i="1" s="1"/>
  <c r="AK275" i="1"/>
  <c r="AS275" i="1" s="1"/>
  <c r="AK283" i="1"/>
  <c r="AS283" i="1" s="1"/>
  <c r="AK291" i="1"/>
  <c r="AS291" i="1" s="1"/>
  <c r="AK299" i="1"/>
  <c r="AS299" i="1" s="1"/>
  <c r="AK307" i="1"/>
  <c r="AS307" i="1" s="1"/>
  <c r="AK315" i="1"/>
  <c r="AS315" i="1" s="1"/>
  <c r="AK323" i="1"/>
  <c r="AS323" i="1" s="1"/>
  <c r="AK331" i="1"/>
  <c r="AS331" i="1" s="1"/>
  <c r="AK339" i="1"/>
  <c r="AS339" i="1" s="1"/>
  <c r="AK347" i="1"/>
  <c r="AS347" i="1" s="1"/>
  <c r="AK193" i="1"/>
  <c r="AS193" i="1" s="1"/>
  <c r="AK201" i="1"/>
  <c r="AS201" i="1" s="1"/>
  <c r="AK209" i="1"/>
  <c r="AS209" i="1" s="1"/>
  <c r="AK217" i="1"/>
  <c r="AS217" i="1" s="1"/>
  <c r="AK225" i="1"/>
  <c r="AS225" i="1" s="1"/>
  <c r="AK233" i="1"/>
  <c r="AS233" i="1" s="1"/>
  <c r="AK241" i="1"/>
  <c r="AS241" i="1" s="1"/>
  <c r="AK249" i="1"/>
  <c r="AS249" i="1" s="1"/>
  <c r="AK257" i="1"/>
  <c r="AS257" i="1" s="1"/>
  <c r="AK265" i="1"/>
  <c r="AS265" i="1" s="1"/>
  <c r="AK273" i="1"/>
  <c r="AS273" i="1" s="1"/>
  <c r="AK281" i="1"/>
  <c r="AS281" i="1" s="1"/>
  <c r="AK289" i="1"/>
  <c r="AS289" i="1" s="1"/>
  <c r="AK297" i="1"/>
  <c r="AS297" i="1" s="1"/>
  <c r="AK305" i="1"/>
  <c r="AS305" i="1" s="1"/>
  <c r="AK313" i="1"/>
  <c r="AS313" i="1" s="1"/>
  <c r="AK321" i="1"/>
  <c r="AS321" i="1" s="1"/>
  <c r="AK329" i="1"/>
  <c r="AS329" i="1" s="1"/>
  <c r="AK337" i="1"/>
  <c r="AS337" i="1" s="1"/>
  <c r="AK345" i="1"/>
  <c r="AS345" i="1" s="1"/>
  <c r="AK353" i="1"/>
  <c r="AS353" i="1" s="1"/>
  <c r="AK423" i="1"/>
  <c r="AS423" i="1" s="1"/>
  <c r="AK431" i="1"/>
  <c r="AS431" i="1" s="1"/>
  <c r="AK519" i="1"/>
  <c r="AS519" i="1" s="1"/>
  <c r="AK527" i="1"/>
  <c r="AS527" i="1" s="1"/>
  <c r="AK535" i="1"/>
  <c r="AS535" i="1" s="1"/>
  <c r="AK543" i="1"/>
  <c r="AS543" i="1" s="1"/>
  <c r="AK551" i="1"/>
  <c r="AS551" i="1" s="1"/>
  <c r="AK847" i="1"/>
  <c r="AS847" i="1" s="1"/>
  <c r="AK855" i="1"/>
  <c r="AS855" i="1" s="1"/>
  <c r="AK863" i="1"/>
  <c r="AS863" i="1" s="1"/>
  <c r="AK63" i="1"/>
  <c r="AS63" i="1" s="1"/>
  <c r="AK407" i="1"/>
  <c r="AS407" i="1" s="1"/>
  <c r="AK415" i="1"/>
  <c r="AS415" i="1" s="1"/>
  <c r="AK511" i="1"/>
  <c r="AS511" i="1" s="1"/>
  <c r="AK695" i="1"/>
  <c r="AS695" i="1" s="1"/>
  <c r="AK703" i="1"/>
  <c r="AS703" i="1" s="1"/>
  <c r="AK711" i="1"/>
  <c r="AS711" i="1" s="1"/>
  <c r="AK719" i="1"/>
  <c r="AS719" i="1" s="1"/>
  <c r="AK831" i="1"/>
  <c r="AS831" i="1" s="1"/>
  <c r="AK839" i="1"/>
  <c r="AS839" i="1" s="1"/>
  <c r="AK887" i="1"/>
  <c r="AS887" i="1" s="1"/>
  <c r="AK895" i="1"/>
  <c r="AS895" i="1" s="1"/>
  <c r="AK355" i="1"/>
  <c r="AS355" i="1" s="1"/>
  <c r="AK425" i="1"/>
  <c r="AS425" i="1" s="1"/>
  <c r="AK433" i="1"/>
  <c r="AS433" i="1" s="1"/>
  <c r="AK521" i="1"/>
  <c r="AS521" i="1" s="1"/>
  <c r="AK529" i="1"/>
  <c r="AS529" i="1" s="1"/>
  <c r="AK537" i="1"/>
  <c r="AS537" i="1" s="1"/>
  <c r="AK545" i="1"/>
  <c r="AS545" i="1" s="1"/>
  <c r="AK553" i="1"/>
  <c r="AS553" i="1" s="1"/>
  <c r="AK849" i="1"/>
  <c r="AS849" i="1" s="1"/>
  <c r="AK857" i="1"/>
  <c r="AS857" i="1" s="1"/>
  <c r="AK865" i="1"/>
  <c r="AS865" i="1" s="1"/>
  <c r="AK905" i="1"/>
  <c r="AS905" i="1" s="1"/>
  <c r="AK1000" i="1"/>
  <c r="AS1000" i="1" s="1"/>
  <c r="AH26" i="1"/>
  <c r="AP26" i="1" s="1"/>
  <c r="AK405" i="1"/>
  <c r="AS405" i="1" s="1"/>
  <c r="AK413" i="1"/>
  <c r="AS413" i="1" s="1"/>
  <c r="AK421" i="1"/>
  <c r="AS421" i="1" s="1"/>
  <c r="AK509" i="1"/>
  <c r="AS509" i="1" s="1"/>
  <c r="AK701" i="1"/>
  <c r="AS701" i="1" s="1"/>
  <c r="AK709" i="1"/>
  <c r="AS709" i="1" s="1"/>
  <c r="AK717" i="1"/>
  <c r="AS717" i="1" s="1"/>
  <c r="AK829" i="1"/>
  <c r="AS829" i="1" s="1"/>
  <c r="AK837" i="1"/>
  <c r="AS837" i="1" s="1"/>
  <c r="AK893" i="1"/>
  <c r="AS893" i="1" s="1"/>
  <c r="AK977" i="1"/>
  <c r="AS977" i="1" s="1"/>
  <c r="AK957" i="1"/>
  <c r="AS957" i="1" s="1"/>
  <c r="AK965" i="1"/>
  <c r="AS965" i="1" s="1"/>
  <c r="AK973" i="1"/>
  <c r="AS973" i="1" s="1"/>
  <c r="AK403" i="1"/>
  <c r="AS403" i="1" s="1"/>
  <c r="AK563" i="1"/>
  <c r="AS563" i="1" s="1"/>
  <c r="AK571" i="1"/>
  <c r="AS571" i="1" s="1"/>
  <c r="AK579" i="1"/>
  <c r="AS579" i="1" s="1"/>
  <c r="AK587" i="1"/>
  <c r="AS587" i="1" s="1"/>
  <c r="AK595" i="1"/>
  <c r="AS595" i="1" s="1"/>
  <c r="AK603" i="1"/>
  <c r="AS603" i="1" s="1"/>
  <c r="AK611" i="1"/>
  <c r="AS611" i="1" s="1"/>
  <c r="AK619" i="1"/>
  <c r="AS619" i="1" s="1"/>
  <c r="AK627" i="1"/>
  <c r="AS627" i="1" s="1"/>
  <c r="AK635" i="1"/>
  <c r="AS635" i="1" s="1"/>
  <c r="AK643" i="1"/>
  <c r="AS643" i="1" s="1"/>
  <c r="AK651" i="1"/>
  <c r="AS651" i="1" s="1"/>
  <c r="AK659" i="1"/>
  <c r="AS659" i="1" s="1"/>
  <c r="AK667" i="1"/>
  <c r="AS667" i="1" s="1"/>
  <c r="AK675" i="1"/>
  <c r="AS675" i="1" s="1"/>
  <c r="AK683" i="1"/>
  <c r="AS683" i="1" s="1"/>
  <c r="AK691" i="1"/>
  <c r="AS691" i="1" s="1"/>
  <c r="AK747" i="1"/>
  <c r="AS747" i="1" s="1"/>
  <c r="AK755" i="1"/>
  <c r="AS755" i="1" s="1"/>
  <c r="AK763" i="1"/>
  <c r="AS763" i="1" s="1"/>
  <c r="AK771" i="1"/>
  <c r="AS771" i="1" s="1"/>
  <c r="AK779" i="1"/>
  <c r="AS779" i="1" s="1"/>
  <c r="AK787" i="1"/>
  <c r="AS787" i="1" s="1"/>
  <c r="AK795" i="1"/>
  <c r="AS795" i="1" s="1"/>
  <c r="AK803" i="1"/>
  <c r="AS803" i="1" s="1"/>
  <c r="AK811" i="1"/>
  <c r="AS811" i="1" s="1"/>
  <c r="AK819" i="1"/>
  <c r="AS819" i="1" s="1"/>
  <c r="AK883" i="1"/>
  <c r="AS883" i="1" s="1"/>
  <c r="AK947" i="1"/>
  <c r="AS947" i="1" s="1"/>
  <c r="AK693" i="1"/>
  <c r="AS693" i="1" s="1"/>
  <c r="AK741" i="1"/>
  <c r="AS741" i="1" s="1"/>
  <c r="AK901" i="1"/>
  <c r="AS901" i="1" s="1"/>
  <c r="AK949" i="1"/>
  <c r="AS949" i="1" s="1"/>
  <c r="AK8" i="1"/>
  <c r="AS8" i="1" s="1"/>
  <c r="AK16" i="1"/>
  <c r="AS16" i="1" s="1"/>
  <c r="AK959" i="1"/>
  <c r="AS959" i="1" s="1"/>
  <c r="AK967" i="1"/>
  <c r="AS967" i="1" s="1"/>
  <c r="AK899" i="1"/>
  <c r="AS899" i="1" s="1"/>
  <c r="AK979" i="1"/>
  <c r="AS979" i="1" s="1"/>
  <c r="AK987" i="1"/>
  <c r="AS987" i="1" s="1"/>
  <c r="AK995" i="1"/>
  <c r="AS995" i="1" s="1"/>
  <c r="AH937" i="1"/>
  <c r="AP937" i="1" s="1"/>
  <c r="AH949" i="1"/>
  <c r="AP949" i="1" s="1"/>
  <c r="AH971" i="1"/>
  <c r="AP971" i="1" s="1"/>
  <c r="AH925" i="1"/>
  <c r="AP925" i="1" s="1"/>
  <c r="AH891" i="1"/>
  <c r="AP891" i="1" s="1"/>
  <c r="AH725" i="1"/>
  <c r="AP725" i="1" s="1"/>
  <c r="AH749" i="1"/>
  <c r="AP749" i="1" s="1"/>
  <c r="AH799" i="1"/>
  <c r="AP799" i="1" s="1"/>
  <c r="AH823" i="1"/>
  <c r="AP823" i="1" s="1"/>
  <c r="AH792" i="1"/>
  <c r="AP792" i="1" s="1"/>
  <c r="AG10" i="1"/>
  <c r="AO10" i="1" s="1"/>
  <c r="AG18" i="1"/>
  <c r="AO18" i="1" s="1"/>
  <c r="AG30" i="1"/>
  <c r="AO30" i="1" s="1"/>
  <c r="AG42" i="1"/>
  <c r="AO42" i="1" s="1"/>
  <c r="AG54" i="1"/>
  <c r="AO54" i="1" s="1"/>
  <c r="AG66" i="1"/>
  <c r="AO66" i="1" s="1"/>
  <c r="AG82" i="1"/>
  <c r="AO82" i="1" s="1"/>
  <c r="AG110" i="1"/>
  <c r="AO110" i="1" s="1"/>
  <c r="AG6" i="1"/>
  <c r="AO6" i="1" s="1"/>
  <c r="AG22" i="1"/>
  <c r="AO22" i="1" s="1"/>
  <c r="AG38" i="1"/>
  <c r="AO38" i="1" s="1"/>
  <c r="AG50" i="1"/>
  <c r="AO50" i="1" s="1"/>
  <c r="AG62" i="1"/>
  <c r="AO62" i="1" s="1"/>
  <c r="AG74" i="1"/>
  <c r="AO74" i="1" s="1"/>
  <c r="AG86" i="1"/>
  <c r="AO86" i="1" s="1"/>
  <c r="AG94" i="1"/>
  <c r="AO94" i="1" s="1"/>
  <c r="AG98" i="1"/>
  <c r="AO98" i="1" s="1"/>
  <c r="AG106" i="1"/>
  <c r="AO106" i="1" s="1"/>
  <c r="AG14" i="1"/>
  <c r="AO14" i="1" s="1"/>
  <c r="AG26" i="1"/>
  <c r="AO26" i="1" s="1"/>
  <c r="AG34" i="1"/>
  <c r="AO34" i="1" s="1"/>
  <c r="AG46" i="1"/>
  <c r="AO46" i="1" s="1"/>
  <c r="AG58" i="1"/>
  <c r="AO58" i="1" s="1"/>
  <c r="AG70" i="1"/>
  <c r="AO70" i="1" s="1"/>
  <c r="AG78" i="1"/>
  <c r="AO78" i="1" s="1"/>
  <c r="AG90" i="1"/>
  <c r="AO90" i="1" s="1"/>
  <c r="AG102" i="1"/>
  <c r="AO102" i="1" s="1"/>
  <c r="AG114" i="1"/>
  <c r="AO114" i="1" s="1"/>
  <c r="AG122" i="1"/>
  <c r="AO122" i="1" s="1"/>
  <c r="AG138" i="1"/>
  <c r="AO138" i="1" s="1"/>
  <c r="AG150" i="1"/>
  <c r="AO150" i="1" s="1"/>
  <c r="AG162" i="1"/>
  <c r="AO162" i="1" s="1"/>
  <c r="AG170" i="1"/>
  <c r="AO170" i="1" s="1"/>
  <c r="AG182" i="1"/>
  <c r="AO182" i="1" s="1"/>
  <c r="AG194" i="1"/>
  <c r="AO194" i="1" s="1"/>
  <c r="AG206" i="1"/>
  <c r="AO206" i="1" s="1"/>
  <c r="AG218" i="1"/>
  <c r="AO218" i="1" s="1"/>
  <c r="AG234" i="1"/>
  <c r="AO234" i="1" s="1"/>
  <c r="AG242" i="1"/>
  <c r="AO242" i="1" s="1"/>
  <c r="AG254" i="1"/>
  <c r="AO254" i="1" s="1"/>
  <c r="AG262" i="1"/>
  <c r="AO262" i="1" s="1"/>
  <c r="AG274" i="1"/>
  <c r="AO274" i="1" s="1"/>
  <c r="AG286" i="1"/>
  <c r="AO286" i="1" s="1"/>
  <c r="AG298" i="1"/>
  <c r="AO298" i="1" s="1"/>
  <c r="AG310" i="1"/>
  <c r="AO310" i="1" s="1"/>
  <c r="AG322" i="1"/>
  <c r="AO322" i="1" s="1"/>
  <c r="AG330" i="1"/>
  <c r="AO330" i="1" s="1"/>
  <c r="AG342" i="1"/>
  <c r="AO342" i="1" s="1"/>
  <c r="AG354" i="1"/>
  <c r="AO354" i="1" s="1"/>
  <c r="AG366" i="1"/>
  <c r="AO366" i="1" s="1"/>
  <c r="AG378" i="1"/>
  <c r="AO378" i="1" s="1"/>
  <c r="AG390" i="1"/>
  <c r="AO390" i="1" s="1"/>
  <c r="AG398" i="1"/>
  <c r="AO398" i="1" s="1"/>
  <c r="AG410" i="1"/>
  <c r="AO410" i="1" s="1"/>
  <c r="AG418" i="1"/>
  <c r="AO418" i="1" s="1"/>
  <c r="AG426" i="1"/>
  <c r="AO426" i="1" s="1"/>
  <c r="AG430" i="1"/>
  <c r="AO430" i="1" s="1"/>
  <c r="AG434" i="1"/>
  <c r="AO434" i="1" s="1"/>
  <c r="AG438" i="1"/>
  <c r="AO438" i="1" s="1"/>
  <c r="AG442" i="1"/>
  <c r="AO442" i="1" s="1"/>
  <c r="AG446" i="1"/>
  <c r="AO446" i="1" s="1"/>
  <c r="AG450" i="1"/>
  <c r="AO450" i="1" s="1"/>
  <c r="AG454" i="1"/>
  <c r="AO454" i="1" s="1"/>
  <c r="AG462" i="1"/>
  <c r="AO462" i="1" s="1"/>
  <c r="AG466" i="1"/>
  <c r="AO466" i="1" s="1"/>
  <c r="AG474" i="1"/>
  <c r="AO474" i="1" s="1"/>
  <c r="AG478" i="1"/>
  <c r="AO478" i="1" s="1"/>
  <c r="AG482" i="1"/>
  <c r="AO482" i="1" s="1"/>
  <c r="AG486" i="1"/>
  <c r="AO486" i="1" s="1"/>
  <c r="AG490" i="1"/>
  <c r="AO490" i="1" s="1"/>
  <c r="AG494" i="1"/>
  <c r="AO494" i="1" s="1"/>
  <c r="AG498" i="1"/>
  <c r="AO498" i="1" s="1"/>
  <c r="AG502" i="1"/>
  <c r="AO502" i="1" s="1"/>
  <c r="AG506" i="1"/>
  <c r="AO506" i="1" s="1"/>
  <c r="AG510" i="1"/>
  <c r="AO510" i="1" s="1"/>
  <c r="AG514" i="1"/>
  <c r="AO514" i="1" s="1"/>
  <c r="AG518" i="1"/>
  <c r="AO518" i="1" s="1"/>
  <c r="AG522" i="1"/>
  <c r="AO522" i="1" s="1"/>
  <c r="AG526" i="1"/>
  <c r="AO526" i="1" s="1"/>
  <c r="AG530" i="1"/>
  <c r="AO530" i="1" s="1"/>
  <c r="AG534" i="1"/>
  <c r="AO534" i="1" s="1"/>
  <c r="AG538" i="1"/>
  <c r="AO538" i="1" s="1"/>
  <c r="AG542" i="1"/>
  <c r="AO542" i="1" s="1"/>
  <c r="AG546" i="1"/>
  <c r="AO546" i="1" s="1"/>
  <c r="AG550" i="1"/>
  <c r="AO550" i="1" s="1"/>
  <c r="AG554" i="1"/>
  <c r="AO554" i="1" s="1"/>
  <c r="AG558" i="1"/>
  <c r="AO558" i="1" s="1"/>
  <c r="AG562" i="1"/>
  <c r="AO562" i="1" s="1"/>
  <c r="AG566" i="1"/>
  <c r="AO566" i="1" s="1"/>
  <c r="AG570" i="1"/>
  <c r="AO570" i="1" s="1"/>
  <c r="AG574" i="1"/>
  <c r="AO574" i="1" s="1"/>
  <c r="AG578" i="1"/>
  <c r="AO578" i="1" s="1"/>
  <c r="AG582" i="1"/>
  <c r="AO582" i="1" s="1"/>
  <c r="AG586" i="1"/>
  <c r="AO586" i="1" s="1"/>
  <c r="AG590" i="1"/>
  <c r="AO590" i="1" s="1"/>
  <c r="AG594" i="1"/>
  <c r="AO594" i="1" s="1"/>
  <c r="AG598" i="1"/>
  <c r="AO598" i="1" s="1"/>
  <c r="AG602" i="1"/>
  <c r="AO602" i="1" s="1"/>
  <c r="AG606" i="1"/>
  <c r="AO606" i="1" s="1"/>
  <c r="AG610" i="1"/>
  <c r="AO610" i="1" s="1"/>
  <c r="AG614" i="1"/>
  <c r="AO614" i="1" s="1"/>
  <c r="AG618" i="1"/>
  <c r="AO618" i="1" s="1"/>
  <c r="AG622" i="1"/>
  <c r="AO622" i="1" s="1"/>
  <c r="AG626" i="1"/>
  <c r="AO626" i="1" s="1"/>
  <c r="AG630" i="1"/>
  <c r="AO630" i="1" s="1"/>
  <c r="AG634" i="1"/>
  <c r="AO634" i="1" s="1"/>
  <c r="AG638" i="1"/>
  <c r="AO638" i="1" s="1"/>
  <c r="AG642" i="1"/>
  <c r="AO642" i="1" s="1"/>
  <c r="AG646" i="1"/>
  <c r="AO646" i="1" s="1"/>
  <c r="AG650" i="1"/>
  <c r="AO650" i="1" s="1"/>
  <c r="AG654" i="1"/>
  <c r="AO654" i="1" s="1"/>
  <c r="AG658" i="1"/>
  <c r="AO658" i="1" s="1"/>
  <c r="AG662" i="1"/>
  <c r="AO662" i="1" s="1"/>
  <c r="AG666" i="1"/>
  <c r="AO666" i="1" s="1"/>
  <c r="AG670" i="1"/>
  <c r="AO670" i="1" s="1"/>
  <c r="AG674" i="1"/>
  <c r="AO674" i="1" s="1"/>
  <c r="AG678" i="1"/>
  <c r="AO678" i="1" s="1"/>
  <c r="AG682" i="1"/>
  <c r="AO682" i="1" s="1"/>
  <c r="AG686" i="1"/>
  <c r="AO686" i="1" s="1"/>
  <c r="AG690" i="1"/>
  <c r="AO690" i="1" s="1"/>
  <c r="AG694" i="1"/>
  <c r="AO694" i="1" s="1"/>
  <c r="AG698" i="1"/>
  <c r="AO698" i="1" s="1"/>
  <c r="AG702" i="1"/>
  <c r="AO702" i="1" s="1"/>
  <c r="AG706" i="1"/>
  <c r="AO706" i="1" s="1"/>
  <c r="AG710" i="1"/>
  <c r="AO710" i="1" s="1"/>
  <c r="AG714" i="1"/>
  <c r="AO714" i="1" s="1"/>
  <c r="AG718" i="1"/>
  <c r="AO718" i="1" s="1"/>
  <c r="AG722" i="1"/>
  <c r="AO722" i="1" s="1"/>
  <c r="AG726" i="1"/>
  <c r="AO726" i="1" s="1"/>
  <c r="AG730" i="1"/>
  <c r="AO730" i="1" s="1"/>
  <c r="AG734" i="1"/>
  <c r="AO734" i="1" s="1"/>
  <c r="AG738" i="1"/>
  <c r="AO738" i="1" s="1"/>
  <c r="AG742" i="1"/>
  <c r="AO742" i="1" s="1"/>
  <c r="AG746" i="1"/>
  <c r="AO746" i="1" s="1"/>
  <c r="AG750" i="1"/>
  <c r="AO750" i="1" s="1"/>
  <c r="AG754" i="1"/>
  <c r="AO754" i="1" s="1"/>
  <c r="AG758" i="1"/>
  <c r="AO758" i="1" s="1"/>
  <c r="AG762" i="1"/>
  <c r="AO762" i="1" s="1"/>
  <c r="AG766" i="1"/>
  <c r="AO766" i="1" s="1"/>
  <c r="AG770" i="1"/>
  <c r="AO770" i="1" s="1"/>
  <c r="AG774" i="1"/>
  <c r="AO774" i="1" s="1"/>
  <c r="AG778" i="1"/>
  <c r="AO778" i="1" s="1"/>
  <c r="AG782" i="1"/>
  <c r="AO782" i="1" s="1"/>
  <c r="AG786" i="1"/>
  <c r="AO786" i="1" s="1"/>
  <c r="AG790" i="1"/>
  <c r="AO790" i="1" s="1"/>
  <c r="AG794" i="1"/>
  <c r="AO794" i="1" s="1"/>
  <c r="AG798" i="1"/>
  <c r="AO798" i="1" s="1"/>
  <c r="AG802" i="1"/>
  <c r="AO802" i="1" s="1"/>
  <c r="AG806" i="1"/>
  <c r="AO806" i="1" s="1"/>
  <c r="AG810" i="1"/>
  <c r="AO810" i="1" s="1"/>
  <c r="AG814" i="1"/>
  <c r="AO814" i="1" s="1"/>
  <c r="AG818" i="1"/>
  <c r="AO818" i="1" s="1"/>
  <c r="AG822" i="1"/>
  <c r="AO822" i="1" s="1"/>
  <c r="AG826" i="1"/>
  <c r="AO826" i="1" s="1"/>
  <c r="AG830" i="1"/>
  <c r="AO830" i="1" s="1"/>
  <c r="AG834" i="1"/>
  <c r="AO834" i="1" s="1"/>
  <c r="AG838" i="1"/>
  <c r="AO838" i="1" s="1"/>
  <c r="AG842" i="1"/>
  <c r="AO842" i="1" s="1"/>
  <c r="AG846" i="1"/>
  <c r="AO846" i="1" s="1"/>
  <c r="AG850" i="1"/>
  <c r="AO850" i="1" s="1"/>
  <c r="AG854" i="1"/>
  <c r="AO854" i="1" s="1"/>
  <c r="AG858" i="1"/>
  <c r="AO858" i="1" s="1"/>
  <c r="AG862" i="1"/>
  <c r="AO862" i="1" s="1"/>
  <c r="AG866" i="1"/>
  <c r="AO866" i="1" s="1"/>
  <c r="AG870" i="1"/>
  <c r="AO870" i="1" s="1"/>
  <c r="AG874" i="1"/>
  <c r="AO874" i="1" s="1"/>
  <c r="AG878" i="1"/>
  <c r="AO878" i="1" s="1"/>
  <c r="AG882" i="1"/>
  <c r="AO882" i="1" s="1"/>
  <c r="AG886" i="1"/>
  <c r="AO886" i="1" s="1"/>
  <c r="AG890" i="1"/>
  <c r="AO890" i="1" s="1"/>
  <c r="AG894" i="1"/>
  <c r="AO894" i="1" s="1"/>
  <c r="AG898" i="1"/>
  <c r="AO898" i="1" s="1"/>
  <c r="AG902" i="1"/>
  <c r="AO902" i="1" s="1"/>
  <c r="AG906" i="1"/>
  <c r="AO906" i="1" s="1"/>
  <c r="AG910" i="1"/>
  <c r="AO910" i="1" s="1"/>
  <c r="AG914" i="1"/>
  <c r="AO914" i="1" s="1"/>
  <c r="AG918" i="1"/>
  <c r="AO918" i="1" s="1"/>
  <c r="AG922" i="1"/>
  <c r="AO922" i="1" s="1"/>
  <c r="AG926" i="1"/>
  <c r="AO926" i="1" s="1"/>
  <c r="AG930" i="1"/>
  <c r="AO930" i="1" s="1"/>
  <c r="AG934" i="1"/>
  <c r="AO934" i="1" s="1"/>
  <c r="AG938" i="1"/>
  <c r="AO938" i="1" s="1"/>
  <c r="AG942" i="1"/>
  <c r="AO942" i="1" s="1"/>
  <c r="AG946" i="1"/>
  <c r="AO946" i="1" s="1"/>
  <c r="AG950" i="1"/>
  <c r="AO950" i="1" s="1"/>
  <c r="AG954" i="1"/>
  <c r="AO954" i="1" s="1"/>
  <c r="AG958" i="1"/>
  <c r="AO958" i="1" s="1"/>
  <c r="AG962" i="1"/>
  <c r="AO962" i="1" s="1"/>
  <c r="AG966" i="1"/>
  <c r="AO966" i="1" s="1"/>
  <c r="AG970" i="1"/>
  <c r="AO970" i="1" s="1"/>
  <c r="AG974" i="1"/>
  <c r="AO974" i="1" s="1"/>
  <c r="AG978" i="1"/>
  <c r="AO978" i="1" s="1"/>
  <c r="AG982" i="1"/>
  <c r="AO982" i="1" s="1"/>
  <c r="AG986" i="1"/>
  <c r="AO986" i="1" s="1"/>
  <c r="AG990" i="1"/>
  <c r="AO990" i="1" s="1"/>
  <c r="AG994" i="1"/>
  <c r="AO994" i="1" s="1"/>
  <c r="AG998" i="1"/>
  <c r="AO998" i="1" s="1"/>
  <c r="AH31" i="1"/>
  <c r="AP31" i="1" s="1"/>
  <c r="AG118" i="1"/>
  <c r="AO118" i="1" s="1"/>
  <c r="AG134" i="1"/>
  <c r="AO134" i="1" s="1"/>
  <c r="AG146" i="1"/>
  <c r="AO146" i="1" s="1"/>
  <c r="AG158" i="1"/>
  <c r="AO158" i="1" s="1"/>
  <c r="AG174" i="1"/>
  <c r="AO174" i="1" s="1"/>
  <c r="AG190" i="1"/>
  <c r="AO190" i="1" s="1"/>
  <c r="AG202" i="1"/>
  <c r="AO202" i="1" s="1"/>
  <c r="AG214" i="1"/>
  <c r="AO214" i="1" s="1"/>
  <c r="AG226" i="1"/>
  <c r="AO226" i="1" s="1"/>
  <c r="AG238" i="1"/>
  <c r="AO238" i="1" s="1"/>
  <c r="AG250" i="1"/>
  <c r="AO250" i="1" s="1"/>
  <c r="AG266" i="1"/>
  <c r="AO266" i="1" s="1"/>
  <c r="AG278" i="1"/>
  <c r="AO278" i="1" s="1"/>
  <c r="AG294" i="1"/>
  <c r="AO294" i="1" s="1"/>
  <c r="AG306" i="1"/>
  <c r="AO306" i="1" s="1"/>
  <c r="AG318" i="1"/>
  <c r="AO318" i="1" s="1"/>
  <c r="AG334" i="1"/>
  <c r="AO334" i="1" s="1"/>
  <c r="AG350" i="1"/>
  <c r="AO350" i="1" s="1"/>
  <c r="AG362" i="1"/>
  <c r="AO362" i="1" s="1"/>
  <c r="AG374" i="1"/>
  <c r="AO374" i="1" s="1"/>
  <c r="AG386" i="1"/>
  <c r="AO386" i="1" s="1"/>
  <c r="AG406" i="1"/>
  <c r="AO406" i="1" s="1"/>
  <c r="AG458" i="1"/>
  <c r="AO458" i="1" s="1"/>
  <c r="AG126" i="1"/>
  <c r="AO126" i="1" s="1"/>
  <c r="AG130" i="1"/>
  <c r="AO130" i="1" s="1"/>
  <c r="AG142" i="1"/>
  <c r="AO142" i="1" s="1"/>
  <c r="AG154" i="1"/>
  <c r="AO154" i="1" s="1"/>
  <c r="AG166" i="1"/>
  <c r="AO166" i="1" s="1"/>
  <c r="AG178" i="1"/>
  <c r="AO178" i="1" s="1"/>
  <c r="AG186" i="1"/>
  <c r="AO186" i="1" s="1"/>
  <c r="AG198" i="1"/>
  <c r="AO198" i="1" s="1"/>
  <c r="AG210" i="1"/>
  <c r="AO210" i="1" s="1"/>
  <c r="AG222" i="1"/>
  <c r="AO222" i="1" s="1"/>
  <c r="AG230" i="1"/>
  <c r="AO230" i="1" s="1"/>
  <c r="AG246" i="1"/>
  <c r="AO246" i="1" s="1"/>
  <c r="AG258" i="1"/>
  <c r="AO258" i="1" s="1"/>
  <c r="AG270" i="1"/>
  <c r="AO270" i="1" s="1"/>
  <c r="AG282" i="1"/>
  <c r="AO282" i="1" s="1"/>
  <c r="AG290" i="1"/>
  <c r="AO290" i="1" s="1"/>
  <c r="AG302" i="1"/>
  <c r="AO302" i="1" s="1"/>
  <c r="AG314" i="1"/>
  <c r="AO314" i="1" s="1"/>
  <c r="AG326" i="1"/>
  <c r="AO326" i="1" s="1"/>
  <c r="AG338" i="1"/>
  <c r="AO338" i="1" s="1"/>
  <c r="AG346" i="1"/>
  <c r="AO346" i="1" s="1"/>
  <c r="AG358" i="1"/>
  <c r="AO358" i="1" s="1"/>
  <c r="AG370" i="1"/>
  <c r="AO370" i="1" s="1"/>
  <c r="AG382" i="1"/>
  <c r="AO382" i="1" s="1"/>
  <c r="AG394" i="1"/>
  <c r="AO394" i="1" s="1"/>
  <c r="AG402" i="1"/>
  <c r="AO402" i="1" s="1"/>
  <c r="AG414" i="1"/>
  <c r="AO414" i="1" s="1"/>
  <c r="AG422" i="1"/>
  <c r="AO422" i="1" s="1"/>
  <c r="AG470" i="1"/>
  <c r="AO470" i="1" s="1"/>
  <c r="AH35" i="1"/>
  <c r="AP35" i="1" s="1"/>
  <c r="AH39" i="1"/>
  <c r="AP39" i="1" s="1"/>
  <c r="AH43" i="1"/>
  <c r="AP43" i="1" s="1"/>
  <c r="AH47" i="1"/>
  <c r="AP47" i="1" s="1"/>
  <c r="AH51" i="1"/>
  <c r="AP51" i="1" s="1"/>
  <c r="AH55" i="1"/>
  <c r="AP55" i="1" s="1"/>
  <c r="AH59" i="1"/>
  <c r="AP59" i="1" s="1"/>
  <c r="AH63" i="1"/>
  <c r="AP63" i="1" s="1"/>
  <c r="AH67" i="1"/>
  <c r="AP67" i="1" s="1"/>
  <c r="AH71" i="1"/>
  <c r="AP71" i="1" s="1"/>
  <c r="AH75" i="1"/>
  <c r="AP75" i="1" s="1"/>
  <c r="AH79" i="1"/>
  <c r="AP79" i="1" s="1"/>
  <c r="AH83" i="1"/>
  <c r="AP83" i="1" s="1"/>
  <c r="AH87" i="1"/>
  <c r="AP87" i="1" s="1"/>
  <c r="AH91" i="1"/>
  <c r="AP91" i="1" s="1"/>
  <c r="AH95" i="1"/>
  <c r="AP95" i="1" s="1"/>
  <c r="AH99" i="1"/>
  <c r="AP99" i="1" s="1"/>
  <c r="AH443" i="1"/>
  <c r="AP443" i="1" s="1"/>
  <c r="AH447" i="1"/>
  <c r="AP447" i="1" s="1"/>
  <c r="AH451" i="1"/>
  <c r="AP451" i="1" s="1"/>
  <c r="AH455" i="1"/>
  <c r="AP455" i="1" s="1"/>
  <c r="AH459" i="1"/>
  <c r="AP459" i="1" s="1"/>
  <c r="AH463" i="1"/>
  <c r="AP463" i="1" s="1"/>
  <c r="AH467" i="1"/>
  <c r="AP467" i="1" s="1"/>
  <c r="AH471" i="1"/>
  <c r="AP471" i="1" s="1"/>
  <c r="AH475" i="1"/>
  <c r="AP475" i="1" s="1"/>
  <c r="AH479" i="1"/>
  <c r="AP479" i="1" s="1"/>
  <c r="AH483" i="1"/>
  <c r="AP483" i="1" s="1"/>
  <c r="AH487" i="1"/>
  <c r="AP487" i="1" s="1"/>
  <c r="AH491" i="1"/>
  <c r="AP491" i="1" s="1"/>
  <c r="AH495" i="1"/>
  <c r="AP495" i="1" s="1"/>
  <c r="AH499" i="1"/>
  <c r="AP499" i="1" s="1"/>
  <c r="AH503" i="1"/>
  <c r="AP503" i="1" s="1"/>
  <c r="AH507" i="1"/>
  <c r="AP507" i="1" s="1"/>
  <c r="AH511" i="1"/>
  <c r="AP511" i="1" s="1"/>
  <c r="AH515" i="1"/>
  <c r="AP515" i="1" s="1"/>
  <c r="AH519" i="1"/>
  <c r="AP519" i="1" s="1"/>
  <c r="AH523" i="1"/>
  <c r="AP523" i="1" s="1"/>
  <c r="AH527" i="1"/>
  <c r="AP527" i="1" s="1"/>
  <c r="AH531" i="1"/>
  <c r="AP531" i="1" s="1"/>
  <c r="AH535" i="1"/>
  <c r="AP535" i="1" s="1"/>
  <c r="AH812" i="1"/>
  <c r="AP812" i="1" s="1"/>
  <c r="AH836" i="1"/>
  <c r="AP836" i="1" s="1"/>
  <c r="AH848" i="1"/>
  <c r="AP848" i="1" s="1"/>
  <c r="AH861" i="1"/>
  <c r="AP861" i="1" s="1"/>
  <c r="AH886" i="1"/>
  <c r="AP886" i="1" s="1"/>
  <c r="AH898" i="1"/>
  <c r="AP898" i="1" s="1"/>
  <c r="AH910" i="1"/>
  <c r="AP910" i="1" s="1"/>
  <c r="AH923" i="1"/>
  <c r="AP923" i="1" s="1"/>
  <c r="AH935" i="1"/>
  <c r="AP935" i="1" s="1"/>
  <c r="AH947" i="1"/>
  <c r="AP947" i="1" s="1"/>
  <c r="AH959" i="1"/>
  <c r="AP959" i="1" s="1"/>
  <c r="AH984" i="1"/>
  <c r="AP984" i="1" s="1"/>
  <c r="AH996" i="1"/>
  <c r="AP996" i="1" s="1"/>
  <c r="AH23" i="1"/>
  <c r="AP23" i="1" s="1"/>
  <c r="AH771" i="1"/>
  <c r="AP771" i="1" s="1"/>
  <c r="AH784" i="1"/>
  <c r="AP784" i="1" s="1"/>
  <c r="AH541" i="1"/>
  <c r="AP541" i="1" s="1"/>
  <c r="AH545" i="1"/>
  <c r="AP545" i="1" s="1"/>
  <c r="AH549" i="1"/>
  <c r="AP549" i="1" s="1"/>
  <c r="AH553" i="1"/>
  <c r="AP553" i="1" s="1"/>
  <c r="AH557" i="1"/>
  <c r="AP557" i="1" s="1"/>
  <c r="AH561" i="1"/>
  <c r="AP561" i="1" s="1"/>
  <c r="AH565" i="1"/>
  <c r="AP565" i="1" s="1"/>
  <c r="AH569" i="1"/>
  <c r="AP569" i="1" s="1"/>
  <c r="AH573" i="1"/>
  <c r="AP573" i="1" s="1"/>
  <c r="AH577" i="1"/>
  <c r="AP577" i="1" s="1"/>
  <c r="AH581" i="1"/>
  <c r="AP581" i="1" s="1"/>
  <c r="AH585" i="1"/>
  <c r="AP585" i="1" s="1"/>
  <c r="AH589" i="1"/>
  <c r="AP589" i="1" s="1"/>
  <c r="AH593" i="1"/>
  <c r="AP593" i="1" s="1"/>
  <c r="AH597" i="1"/>
  <c r="AP597" i="1" s="1"/>
  <c r="AH601" i="1"/>
  <c r="AP601" i="1" s="1"/>
  <c r="AH605" i="1"/>
  <c r="AP605" i="1" s="1"/>
  <c r="AH609" i="1"/>
  <c r="AP609" i="1" s="1"/>
  <c r="AH613" i="1"/>
  <c r="AP613" i="1" s="1"/>
  <c r="AH617" i="1"/>
  <c r="AP617" i="1" s="1"/>
  <c r="AH621" i="1"/>
  <c r="AP621" i="1" s="1"/>
  <c r="AH625" i="1"/>
  <c r="AP625" i="1" s="1"/>
  <c r="AH629" i="1"/>
  <c r="AP629" i="1" s="1"/>
  <c r="AH633" i="1"/>
  <c r="AP633" i="1" s="1"/>
  <c r="AH637" i="1"/>
  <c r="AP637" i="1" s="1"/>
  <c r="AH641" i="1"/>
  <c r="AP641" i="1" s="1"/>
  <c r="AH645" i="1"/>
  <c r="AP645" i="1" s="1"/>
  <c r="AH649" i="1"/>
  <c r="AP649" i="1" s="1"/>
  <c r="AH653" i="1"/>
  <c r="AP653" i="1" s="1"/>
  <c r="AH657" i="1"/>
  <c r="AP657" i="1" s="1"/>
  <c r="AH661" i="1"/>
  <c r="AP661" i="1" s="1"/>
  <c r="AH665" i="1"/>
  <c r="AP665" i="1" s="1"/>
  <c r="AH669" i="1"/>
  <c r="AP669" i="1" s="1"/>
  <c r="AH673" i="1"/>
  <c r="AP673" i="1" s="1"/>
  <c r="AH677" i="1"/>
  <c r="AP677" i="1" s="1"/>
  <c r="AH681" i="1"/>
  <c r="AP681" i="1" s="1"/>
  <c r="AH685" i="1"/>
  <c r="AP685" i="1" s="1"/>
  <c r="AH689" i="1"/>
  <c r="AP689" i="1" s="1"/>
  <c r="AH693" i="1"/>
  <c r="AP693" i="1" s="1"/>
  <c r="AH697" i="1"/>
  <c r="AP697" i="1" s="1"/>
  <c r="AH701" i="1"/>
  <c r="AP701" i="1" s="1"/>
  <c r="AH705" i="1"/>
  <c r="AP705" i="1" s="1"/>
  <c r="AH709" i="1"/>
  <c r="AP709" i="1" s="1"/>
  <c r="AH713" i="1"/>
  <c r="AP713" i="1" s="1"/>
  <c r="AH717" i="1"/>
  <c r="AP717" i="1" s="1"/>
  <c r="AH721" i="1"/>
  <c r="AP721" i="1" s="1"/>
  <c r="AH731" i="1"/>
  <c r="AP731" i="1" s="1"/>
  <c r="AH735" i="1"/>
  <c r="AP735" i="1" s="1"/>
  <c r="AH773" i="1"/>
  <c r="AP773" i="1" s="1"/>
  <c r="AH961" i="1"/>
  <c r="AP961" i="1" s="1"/>
  <c r="AI6" i="1"/>
  <c r="AQ6" i="1" s="1"/>
  <c r="AI10" i="1"/>
  <c r="AQ10" i="1" s="1"/>
  <c r="AI14" i="1"/>
  <c r="AQ14" i="1" s="1"/>
  <c r="AI18" i="1"/>
  <c r="AQ18" i="1" s="1"/>
  <c r="AI22" i="1"/>
  <c r="AQ22" i="1" s="1"/>
  <c r="AI26" i="1"/>
  <c r="AQ26" i="1" s="1"/>
  <c r="AI30" i="1"/>
  <c r="AQ30" i="1" s="1"/>
  <c r="AI34" i="1"/>
  <c r="AQ34" i="1" s="1"/>
  <c r="AI38" i="1"/>
  <c r="AQ38" i="1" s="1"/>
  <c r="AI42" i="1"/>
  <c r="AQ42" i="1" s="1"/>
  <c r="AI46" i="1"/>
  <c r="AQ46" i="1" s="1"/>
  <c r="AI50" i="1"/>
  <c r="AQ50" i="1" s="1"/>
  <c r="AI54" i="1"/>
  <c r="AQ54" i="1" s="1"/>
  <c r="AI58" i="1"/>
  <c r="AQ58" i="1" s="1"/>
  <c r="AH801" i="1"/>
  <c r="AP801" i="1" s="1"/>
  <c r="AH825" i="1"/>
  <c r="AP825" i="1" s="1"/>
  <c r="AH973" i="1"/>
  <c r="AP973" i="1" s="1"/>
  <c r="AI62" i="1"/>
  <c r="AQ62" i="1" s="1"/>
  <c r="AI66" i="1"/>
  <c r="AQ66" i="1" s="1"/>
  <c r="AI70" i="1"/>
  <c r="AQ70" i="1" s="1"/>
  <c r="AI74" i="1"/>
  <c r="AQ74" i="1" s="1"/>
  <c r="AI78" i="1"/>
  <c r="AQ78" i="1" s="1"/>
  <c r="AI82" i="1"/>
  <c r="AQ82" i="1" s="1"/>
  <c r="AI86" i="1"/>
  <c r="AQ86" i="1" s="1"/>
  <c r="AI90" i="1"/>
  <c r="AQ90" i="1" s="1"/>
  <c r="AI94" i="1"/>
  <c r="AQ94" i="1" s="1"/>
  <c r="AI98" i="1"/>
  <c r="AQ98" i="1" s="1"/>
  <c r="AI102" i="1"/>
  <c r="AQ102" i="1" s="1"/>
  <c r="AI106" i="1"/>
  <c r="AQ106" i="1" s="1"/>
  <c r="AI110" i="1"/>
  <c r="AQ110" i="1" s="1"/>
  <c r="AI114" i="1"/>
  <c r="AQ114" i="1" s="1"/>
  <c r="AI118" i="1"/>
  <c r="AQ118" i="1" s="1"/>
  <c r="AI122" i="1"/>
  <c r="AQ122" i="1" s="1"/>
  <c r="AI126" i="1"/>
  <c r="AQ126" i="1" s="1"/>
  <c r="AI130" i="1"/>
  <c r="AQ130" i="1" s="1"/>
  <c r="AI134" i="1"/>
  <c r="AQ134" i="1" s="1"/>
  <c r="AI138" i="1"/>
  <c r="AQ138" i="1" s="1"/>
  <c r="AI142" i="1"/>
  <c r="AQ142" i="1" s="1"/>
  <c r="AI146" i="1"/>
  <c r="AQ146" i="1" s="1"/>
  <c r="AI150" i="1"/>
  <c r="AQ150" i="1" s="1"/>
  <c r="AI154" i="1"/>
  <c r="AQ154" i="1" s="1"/>
  <c r="AI158" i="1"/>
  <c r="AQ158" i="1" s="1"/>
  <c r="AI162" i="1"/>
  <c r="AQ162" i="1" s="1"/>
  <c r="AI166" i="1"/>
  <c r="AQ166" i="1" s="1"/>
  <c r="AI170" i="1"/>
  <c r="AQ170" i="1" s="1"/>
  <c r="AI174" i="1"/>
  <c r="AQ174" i="1" s="1"/>
  <c r="AI178" i="1"/>
  <c r="AQ178" i="1" s="1"/>
  <c r="AI182" i="1"/>
  <c r="AQ182" i="1" s="1"/>
  <c r="AI186" i="1"/>
  <c r="AQ186" i="1" s="1"/>
  <c r="AI190" i="1"/>
  <c r="AQ190" i="1" s="1"/>
  <c r="AI194" i="1"/>
  <c r="AQ194" i="1" s="1"/>
  <c r="AI198" i="1"/>
  <c r="AQ198" i="1" s="1"/>
  <c r="AI202" i="1"/>
  <c r="AQ202" i="1" s="1"/>
  <c r="AI206" i="1"/>
  <c r="AQ206" i="1" s="1"/>
  <c r="AI210" i="1"/>
  <c r="AQ210" i="1" s="1"/>
  <c r="AI214" i="1"/>
  <c r="AQ214" i="1" s="1"/>
  <c r="AI218" i="1"/>
  <c r="AQ218" i="1" s="1"/>
  <c r="AI222" i="1"/>
  <c r="AQ222" i="1" s="1"/>
  <c r="AI226" i="1"/>
  <c r="AQ226" i="1" s="1"/>
  <c r="AI230" i="1"/>
  <c r="AQ230" i="1" s="1"/>
  <c r="AI234" i="1"/>
  <c r="AQ234" i="1" s="1"/>
  <c r="AI238" i="1"/>
  <c r="AQ238" i="1" s="1"/>
  <c r="AI242" i="1"/>
  <c r="AQ242" i="1" s="1"/>
  <c r="AI246" i="1"/>
  <c r="AQ246" i="1" s="1"/>
  <c r="AI250" i="1"/>
  <c r="AQ250" i="1" s="1"/>
  <c r="AI254" i="1"/>
  <c r="AQ254" i="1" s="1"/>
  <c r="AI258" i="1"/>
  <c r="AQ258" i="1" s="1"/>
  <c r="AI262" i="1"/>
  <c r="AQ262" i="1" s="1"/>
  <c r="AI266" i="1"/>
  <c r="AQ266" i="1" s="1"/>
  <c r="AI270" i="1"/>
  <c r="AQ270" i="1" s="1"/>
  <c r="AI274" i="1"/>
  <c r="AQ274" i="1" s="1"/>
  <c r="AI278" i="1"/>
  <c r="AQ278" i="1" s="1"/>
  <c r="AI282" i="1"/>
  <c r="AQ282" i="1" s="1"/>
  <c r="AI286" i="1"/>
  <c r="AQ286" i="1" s="1"/>
  <c r="AI290" i="1"/>
  <c r="AQ290" i="1" s="1"/>
  <c r="AI294" i="1"/>
  <c r="AQ294" i="1" s="1"/>
  <c r="AI298" i="1"/>
  <c r="AQ298" i="1" s="1"/>
  <c r="AI302" i="1"/>
  <c r="AQ302" i="1" s="1"/>
  <c r="AI306" i="1"/>
  <c r="AQ306" i="1" s="1"/>
  <c r="AI310" i="1"/>
  <c r="AQ310" i="1" s="1"/>
  <c r="AI314" i="1"/>
  <c r="AQ314" i="1" s="1"/>
  <c r="AI318" i="1"/>
  <c r="AQ318" i="1" s="1"/>
  <c r="AI322" i="1"/>
  <c r="AQ322" i="1" s="1"/>
  <c r="AI326" i="1"/>
  <c r="AQ326" i="1" s="1"/>
  <c r="AI330" i="1"/>
  <c r="AQ330" i="1" s="1"/>
  <c r="AI334" i="1"/>
  <c r="AQ334" i="1" s="1"/>
  <c r="AI338" i="1"/>
  <c r="AQ338" i="1" s="1"/>
  <c r="AI342" i="1"/>
  <c r="AQ342" i="1" s="1"/>
  <c r="AI346" i="1"/>
  <c r="AQ346" i="1" s="1"/>
  <c r="AI350" i="1"/>
  <c r="AQ350" i="1" s="1"/>
  <c r="AI354" i="1"/>
  <c r="AQ354" i="1" s="1"/>
  <c r="AI358" i="1"/>
  <c r="AQ358" i="1" s="1"/>
  <c r="AI362" i="1"/>
  <c r="AQ362" i="1" s="1"/>
  <c r="AI366" i="1"/>
  <c r="AQ366" i="1" s="1"/>
  <c r="AI370" i="1"/>
  <c r="AQ370" i="1" s="1"/>
  <c r="AI374" i="1"/>
  <c r="AQ374" i="1" s="1"/>
  <c r="AI378" i="1"/>
  <c r="AQ378" i="1" s="1"/>
  <c r="AI382" i="1"/>
  <c r="AQ382" i="1" s="1"/>
  <c r="AI386" i="1"/>
  <c r="AQ386" i="1" s="1"/>
  <c r="AI390" i="1"/>
  <c r="AQ390" i="1" s="1"/>
  <c r="AI394" i="1"/>
  <c r="AQ394" i="1" s="1"/>
  <c r="AI398" i="1"/>
  <c r="AQ398" i="1" s="1"/>
  <c r="AI402" i="1"/>
  <c r="AQ402" i="1" s="1"/>
  <c r="AI406" i="1"/>
  <c r="AQ406" i="1" s="1"/>
  <c r="AI410" i="1"/>
  <c r="AQ410" i="1" s="1"/>
  <c r="AI414" i="1"/>
  <c r="AQ414" i="1" s="1"/>
  <c r="AI418" i="1"/>
  <c r="AQ418" i="1" s="1"/>
  <c r="AI422" i="1"/>
  <c r="AQ422" i="1" s="1"/>
  <c r="AI426" i="1"/>
  <c r="AQ426" i="1" s="1"/>
  <c r="AI430" i="1"/>
  <c r="AQ430" i="1" s="1"/>
  <c r="AI434" i="1"/>
  <c r="AQ434" i="1" s="1"/>
  <c r="AI438" i="1"/>
  <c r="AQ438" i="1" s="1"/>
  <c r="AI442" i="1"/>
  <c r="AQ442" i="1" s="1"/>
  <c r="AI446" i="1"/>
  <c r="AQ446" i="1" s="1"/>
  <c r="AI450" i="1"/>
  <c r="AQ450" i="1" s="1"/>
  <c r="AI454" i="1"/>
  <c r="AQ454" i="1" s="1"/>
  <c r="AI458" i="1"/>
  <c r="AQ458" i="1" s="1"/>
  <c r="AI462" i="1"/>
  <c r="AQ462" i="1" s="1"/>
  <c r="AI466" i="1"/>
  <c r="AQ466" i="1" s="1"/>
  <c r="AI470" i="1"/>
  <c r="AQ470" i="1" s="1"/>
  <c r="AI474" i="1"/>
  <c r="AQ474" i="1" s="1"/>
  <c r="AI478" i="1"/>
  <c r="AQ478" i="1" s="1"/>
  <c r="AI482" i="1"/>
  <c r="AQ482" i="1" s="1"/>
  <c r="AI486" i="1"/>
  <c r="AQ486" i="1" s="1"/>
  <c r="AI490" i="1"/>
  <c r="AQ490" i="1" s="1"/>
  <c r="AI494" i="1"/>
  <c r="AQ494" i="1" s="1"/>
  <c r="AI498" i="1"/>
  <c r="AQ498" i="1" s="1"/>
  <c r="AI502" i="1"/>
  <c r="AQ502" i="1" s="1"/>
  <c r="AI506" i="1"/>
  <c r="AQ506" i="1" s="1"/>
  <c r="AI510" i="1"/>
  <c r="AQ510" i="1" s="1"/>
  <c r="AI514" i="1"/>
  <c r="AQ514" i="1" s="1"/>
  <c r="AI518" i="1"/>
  <c r="AQ518" i="1" s="1"/>
  <c r="AI522" i="1"/>
  <c r="AQ522" i="1" s="1"/>
  <c r="AI526" i="1"/>
  <c r="AQ526" i="1" s="1"/>
  <c r="AI530" i="1"/>
  <c r="AQ530" i="1" s="1"/>
  <c r="AI534" i="1"/>
  <c r="AQ534" i="1" s="1"/>
  <c r="AI538" i="1"/>
  <c r="AQ538" i="1" s="1"/>
  <c r="AI542" i="1"/>
  <c r="AQ542" i="1" s="1"/>
  <c r="AI546" i="1"/>
  <c r="AQ546" i="1" s="1"/>
  <c r="AI550" i="1"/>
  <c r="AQ550" i="1" s="1"/>
  <c r="AI554" i="1"/>
  <c r="AQ554" i="1" s="1"/>
  <c r="AI558" i="1"/>
  <c r="AQ558" i="1" s="1"/>
  <c r="AI562" i="1"/>
  <c r="AQ562" i="1" s="1"/>
  <c r="AK985" i="1"/>
  <c r="AS985" i="1" s="1"/>
  <c r="AH863" i="1"/>
  <c r="AP863" i="1" s="1"/>
  <c r="AJ7" i="1"/>
  <c r="AR7" i="1" s="1"/>
  <c r="AJ15" i="1"/>
  <c r="AR15" i="1" s="1"/>
  <c r="AK191" i="1"/>
  <c r="AS191" i="1" s="1"/>
  <c r="AK199" i="1"/>
  <c r="AS199" i="1" s="1"/>
  <c r="AK207" i="1"/>
  <c r="AS207" i="1" s="1"/>
  <c r="AK215" i="1"/>
  <c r="AS215" i="1" s="1"/>
  <c r="AK223" i="1"/>
  <c r="AS223" i="1" s="1"/>
  <c r="AK231" i="1"/>
  <c r="AS231" i="1" s="1"/>
  <c r="AK239" i="1"/>
  <c r="AS239" i="1" s="1"/>
  <c r="AK247" i="1"/>
  <c r="AS247" i="1" s="1"/>
  <c r="AK255" i="1"/>
  <c r="AS255" i="1" s="1"/>
  <c r="AK263" i="1"/>
  <c r="AS263" i="1" s="1"/>
  <c r="AK271" i="1"/>
  <c r="AS271" i="1" s="1"/>
  <c r="AK279" i="1"/>
  <c r="AS279" i="1" s="1"/>
  <c r="AK287" i="1"/>
  <c r="AS287" i="1" s="1"/>
  <c r="AK295" i="1"/>
  <c r="AS295" i="1" s="1"/>
  <c r="AK303" i="1"/>
  <c r="AS303" i="1" s="1"/>
  <c r="AK311" i="1"/>
  <c r="AS311" i="1" s="1"/>
  <c r="AK319" i="1"/>
  <c r="AS319" i="1" s="1"/>
  <c r="AK327" i="1"/>
  <c r="AS327" i="1" s="1"/>
  <c r="AK335" i="1"/>
  <c r="AS335" i="1" s="1"/>
  <c r="AK343" i="1"/>
  <c r="AS343" i="1" s="1"/>
  <c r="AK351" i="1"/>
  <c r="AS351" i="1" s="1"/>
  <c r="AK359" i="1"/>
  <c r="AS359" i="1" s="1"/>
  <c r="AK429" i="1"/>
  <c r="AS429" i="1" s="1"/>
  <c r="AK437" i="1"/>
  <c r="AS437" i="1" s="1"/>
  <c r="AK517" i="1"/>
  <c r="AS517" i="1" s="1"/>
  <c r="AK525" i="1"/>
  <c r="AS525" i="1" s="1"/>
  <c r="AK533" i="1"/>
  <c r="AS533" i="1" s="1"/>
  <c r="AK541" i="1"/>
  <c r="AS541" i="1" s="1"/>
  <c r="AK549" i="1"/>
  <c r="AS549" i="1" s="1"/>
  <c r="AK557" i="1"/>
  <c r="AS557" i="1" s="1"/>
  <c r="AK845" i="1"/>
  <c r="AS845" i="1" s="1"/>
  <c r="AK853" i="1"/>
  <c r="AS853" i="1" s="1"/>
  <c r="AK861" i="1"/>
  <c r="AS861" i="1" s="1"/>
  <c r="AK885" i="1"/>
  <c r="AS885" i="1" s="1"/>
  <c r="AH755" i="1"/>
  <c r="AP755" i="1" s="1"/>
  <c r="AH767" i="1"/>
  <c r="AP767" i="1" s="1"/>
  <c r="AH817" i="1"/>
  <c r="AP817" i="1" s="1"/>
  <c r="AH829" i="1"/>
  <c r="AP829" i="1" s="1"/>
  <c r="AH841" i="1"/>
  <c r="AP841" i="1" s="1"/>
  <c r="AH965" i="1"/>
  <c r="AP965" i="1" s="1"/>
  <c r="AH788" i="1"/>
  <c r="AP788" i="1" s="1"/>
  <c r="AH919" i="1"/>
  <c r="AP919" i="1" s="1"/>
  <c r="AH931" i="1"/>
  <c r="AP931" i="1" s="1"/>
  <c r="AH955" i="1"/>
  <c r="AP955" i="1" s="1"/>
  <c r="AK569" i="1"/>
  <c r="AS569" i="1" s="1"/>
  <c r="AK577" i="1"/>
  <c r="AS577" i="1" s="1"/>
  <c r="AK585" i="1"/>
  <c r="AS585" i="1" s="1"/>
  <c r="AK593" i="1"/>
  <c r="AS593" i="1" s="1"/>
  <c r="AK601" i="1"/>
  <c r="AS601" i="1" s="1"/>
  <c r="AK609" i="1"/>
  <c r="AS609" i="1" s="1"/>
  <c r="AK617" i="1"/>
  <c r="AS617" i="1" s="1"/>
  <c r="AK625" i="1"/>
  <c r="AS625" i="1" s="1"/>
  <c r="AK633" i="1"/>
  <c r="AS633" i="1" s="1"/>
  <c r="AK641" i="1"/>
  <c r="AS641" i="1" s="1"/>
  <c r="AK649" i="1"/>
  <c r="AS649" i="1" s="1"/>
  <c r="AK657" i="1"/>
  <c r="AS657" i="1" s="1"/>
  <c r="AK665" i="1"/>
  <c r="AS665" i="1" s="1"/>
  <c r="AK673" i="1"/>
  <c r="AS673" i="1" s="1"/>
  <c r="AK681" i="1"/>
  <c r="AS681" i="1" s="1"/>
  <c r="AK689" i="1"/>
  <c r="AS689" i="1" s="1"/>
  <c r="AK745" i="1"/>
  <c r="AS745" i="1" s="1"/>
  <c r="AK753" i="1"/>
  <c r="AS753" i="1" s="1"/>
  <c r="AK761" i="1"/>
  <c r="AS761" i="1" s="1"/>
  <c r="AK769" i="1"/>
  <c r="AS769" i="1" s="1"/>
  <c r="AK777" i="1"/>
  <c r="AS777" i="1" s="1"/>
  <c r="AK785" i="1"/>
  <c r="AS785" i="1" s="1"/>
  <c r="AK793" i="1"/>
  <c r="AS793" i="1" s="1"/>
  <c r="AK801" i="1"/>
  <c r="AS801" i="1" s="1"/>
  <c r="AK809" i="1"/>
  <c r="AS809" i="1" s="1"/>
  <c r="AK817" i="1"/>
  <c r="AS817" i="1" s="1"/>
  <c r="AK825" i="1"/>
  <c r="AS825" i="1" s="1"/>
  <c r="AK881" i="1"/>
  <c r="AS881" i="1" s="1"/>
  <c r="AK897" i="1"/>
  <c r="AS897" i="1" s="1"/>
  <c r="AK945" i="1"/>
  <c r="AS945" i="1" s="1"/>
  <c r="AK411" i="1"/>
  <c r="AS411" i="1" s="1"/>
  <c r="AK419" i="1"/>
  <c r="AS419" i="1" s="1"/>
  <c r="AK699" i="1"/>
  <c r="AS699" i="1" s="1"/>
  <c r="AK707" i="1"/>
  <c r="AS707" i="1" s="1"/>
  <c r="AK715" i="1"/>
  <c r="AS715" i="1" s="1"/>
  <c r="AK835" i="1"/>
  <c r="AS835" i="1" s="1"/>
  <c r="AK891" i="1"/>
  <c r="AS891" i="1" s="1"/>
  <c r="AK955" i="1"/>
  <c r="AS955" i="1" s="1"/>
  <c r="AK963" i="1"/>
  <c r="AS963" i="1" s="1"/>
  <c r="AK971" i="1"/>
  <c r="AS971" i="1" s="1"/>
  <c r="AH103" i="1"/>
  <c r="AP103" i="1" s="1"/>
  <c r="AH107" i="1"/>
  <c r="AP107" i="1" s="1"/>
  <c r="AH111" i="1"/>
  <c r="AP111" i="1" s="1"/>
  <c r="AH115" i="1"/>
  <c r="AP115" i="1" s="1"/>
  <c r="AH119" i="1"/>
  <c r="AP119" i="1" s="1"/>
  <c r="AH123" i="1"/>
  <c r="AP123" i="1" s="1"/>
  <c r="AH127" i="1"/>
  <c r="AP127" i="1" s="1"/>
  <c r="AH131" i="1"/>
  <c r="AP131" i="1" s="1"/>
  <c r="AH135" i="1"/>
  <c r="AP135" i="1" s="1"/>
  <c r="AH139" i="1"/>
  <c r="AP139" i="1" s="1"/>
  <c r="AH143" i="1"/>
  <c r="AP143" i="1" s="1"/>
  <c r="AH147" i="1"/>
  <c r="AP147" i="1" s="1"/>
  <c r="AH151" i="1"/>
  <c r="AP151" i="1" s="1"/>
  <c r="AH155" i="1"/>
  <c r="AP155" i="1" s="1"/>
  <c r="AH159" i="1"/>
  <c r="AP159" i="1" s="1"/>
  <c r="AH163" i="1"/>
  <c r="AP163" i="1" s="1"/>
  <c r="AH167" i="1"/>
  <c r="AP167" i="1" s="1"/>
  <c r="AH171" i="1"/>
  <c r="AP171" i="1" s="1"/>
  <c r="AH175" i="1"/>
  <c r="AP175" i="1" s="1"/>
  <c r="AH179" i="1"/>
  <c r="AP179" i="1" s="1"/>
  <c r="AH183" i="1"/>
  <c r="AP183" i="1" s="1"/>
  <c r="AH187" i="1"/>
  <c r="AP187" i="1" s="1"/>
  <c r="AH191" i="1"/>
  <c r="AP191" i="1" s="1"/>
  <c r="AH195" i="1"/>
  <c r="AP195" i="1" s="1"/>
  <c r="AH199" i="1"/>
  <c r="AP199" i="1" s="1"/>
  <c r="AH203" i="1"/>
  <c r="AP203" i="1" s="1"/>
  <c r="AH207" i="1"/>
  <c r="AP207" i="1" s="1"/>
  <c r="AH211" i="1"/>
  <c r="AP211" i="1" s="1"/>
  <c r="AH215" i="1"/>
  <c r="AP215" i="1" s="1"/>
  <c r="AH219" i="1"/>
  <c r="AP219" i="1" s="1"/>
  <c r="AH223" i="1"/>
  <c r="AP223" i="1" s="1"/>
  <c r="AH227" i="1"/>
  <c r="AP227" i="1" s="1"/>
  <c r="AH231" i="1"/>
  <c r="AP231" i="1" s="1"/>
  <c r="AH235" i="1"/>
  <c r="AP235" i="1" s="1"/>
  <c r="AH239" i="1"/>
  <c r="AP239" i="1" s="1"/>
  <c r="AH243" i="1"/>
  <c r="AP243" i="1" s="1"/>
  <c r="AH247" i="1"/>
  <c r="AP247" i="1" s="1"/>
  <c r="AH251" i="1"/>
  <c r="AP251" i="1" s="1"/>
  <c r="AH255" i="1"/>
  <c r="AP255" i="1" s="1"/>
  <c r="AH259" i="1"/>
  <c r="AP259" i="1" s="1"/>
  <c r="AH263" i="1"/>
  <c r="AP263" i="1" s="1"/>
  <c r="AH267" i="1"/>
  <c r="AP267" i="1" s="1"/>
  <c r="AH271" i="1"/>
  <c r="AP271" i="1" s="1"/>
  <c r="AH275" i="1"/>
  <c r="AP275" i="1" s="1"/>
  <c r="AH279" i="1"/>
  <c r="AP279" i="1" s="1"/>
  <c r="AH283" i="1"/>
  <c r="AP283" i="1" s="1"/>
  <c r="AH287" i="1"/>
  <c r="AP287" i="1" s="1"/>
  <c r="AH291" i="1"/>
  <c r="AP291" i="1" s="1"/>
  <c r="AH295" i="1"/>
  <c r="AP295" i="1" s="1"/>
  <c r="AH299" i="1"/>
  <c r="AP299" i="1" s="1"/>
  <c r="AH303" i="1"/>
  <c r="AP303" i="1" s="1"/>
  <c r="AH307" i="1"/>
  <c r="AP307" i="1" s="1"/>
  <c r="AH311" i="1"/>
  <c r="AP311" i="1" s="1"/>
  <c r="AH315" i="1"/>
  <c r="AP315" i="1" s="1"/>
  <c r="AH319" i="1"/>
  <c r="AP319" i="1" s="1"/>
  <c r="AH323" i="1"/>
  <c r="AP323" i="1" s="1"/>
  <c r="AH327" i="1"/>
  <c r="AP327" i="1" s="1"/>
  <c r="AH331" i="1"/>
  <c r="AP331" i="1" s="1"/>
  <c r="AH335" i="1"/>
  <c r="AP335" i="1" s="1"/>
  <c r="AH339" i="1"/>
  <c r="AP339" i="1" s="1"/>
  <c r="AH343" i="1"/>
  <c r="AP343" i="1" s="1"/>
  <c r="AH347" i="1"/>
  <c r="AP347" i="1" s="1"/>
  <c r="AH351" i="1"/>
  <c r="AP351" i="1" s="1"/>
  <c r="AH355" i="1"/>
  <c r="AP355" i="1" s="1"/>
  <c r="AH359" i="1"/>
  <c r="AP359" i="1" s="1"/>
  <c r="AH363" i="1"/>
  <c r="AP363" i="1" s="1"/>
  <c r="AH367" i="1"/>
  <c r="AP367" i="1" s="1"/>
  <c r="AH371" i="1"/>
  <c r="AP371" i="1" s="1"/>
  <c r="AH375" i="1"/>
  <c r="AP375" i="1" s="1"/>
  <c r="AH379" i="1"/>
  <c r="AP379" i="1" s="1"/>
  <c r="AH383" i="1"/>
  <c r="AP383" i="1" s="1"/>
  <c r="AH387" i="1"/>
  <c r="AP387" i="1" s="1"/>
  <c r="AH391" i="1"/>
  <c r="AP391" i="1" s="1"/>
  <c r="AH395" i="1"/>
  <c r="AP395" i="1" s="1"/>
  <c r="AH399" i="1"/>
  <c r="AP399" i="1" s="1"/>
  <c r="AH403" i="1"/>
  <c r="AP403" i="1" s="1"/>
  <c r="AH407" i="1"/>
  <c r="AP407" i="1" s="1"/>
  <c r="AH411" i="1"/>
  <c r="AP411" i="1" s="1"/>
  <c r="AH415" i="1"/>
  <c r="AP415" i="1" s="1"/>
  <c r="AH419" i="1"/>
  <c r="AP419" i="1" s="1"/>
  <c r="AH423" i="1"/>
  <c r="AP423" i="1" s="1"/>
  <c r="AH427" i="1"/>
  <c r="AP427" i="1" s="1"/>
  <c r="AH431" i="1"/>
  <c r="AP431" i="1" s="1"/>
  <c r="AH435" i="1"/>
  <c r="AP435" i="1" s="1"/>
  <c r="AH439" i="1"/>
  <c r="AP439" i="1" s="1"/>
  <c r="AI566" i="1"/>
  <c r="AQ566" i="1" s="1"/>
  <c r="AI570" i="1"/>
  <c r="AQ570" i="1" s="1"/>
  <c r="AI574" i="1"/>
  <c r="AQ574" i="1" s="1"/>
  <c r="AI578" i="1"/>
  <c r="AQ578" i="1" s="1"/>
  <c r="AI582" i="1"/>
  <c r="AQ582" i="1" s="1"/>
  <c r="AI586" i="1"/>
  <c r="AQ586" i="1" s="1"/>
  <c r="AI590" i="1"/>
  <c r="AQ590" i="1" s="1"/>
  <c r="AI594" i="1"/>
  <c r="AQ594" i="1" s="1"/>
  <c r="AI598" i="1"/>
  <c r="AQ598" i="1" s="1"/>
  <c r="AI602" i="1"/>
  <c r="AQ602" i="1" s="1"/>
  <c r="AI606" i="1"/>
  <c r="AQ606" i="1" s="1"/>
  <c r="AI610" i="1"/>
  <c r="AQ610" i="1" s="1"/>
  <c r="AI614" i="1"/>
  <c r="AQ614" i="1" s="1"/>
  <c r="AI618" i="1"/>
  <c r="AQ618" i="1" s="1"/>
  <c r="AI622" i="1"/>
  <c r="AQ622" i="1" s="1"/>
  <c r="AI626" i="1"/>
  <c r="AQ626" i="1" s="1"/>
  <c r="AI630" i="1"/>
  <c r="AQ630" i="1" s="1"/>
  <c r="AI634" i="1"/>
  <c r="AQ634" i="1" s="1"/>
  <c r="AI638" i="1"/>
  <c r="AQ638" i="1" s="1"/>
  <c r="AI642" i="1"/>
  <c r="AQ642" i="1" s="1"/>
  <c r="AI646" i="1"/>
  <c r="AQ646" i="1" s="1"/>
  <c r="AI650" i="1"/>
  <c r="AQ650" i="1" s="1"/>
  <c r="AI654" i="1"/>
  <c r="AQ654" i="1" s="1"/>
  <c r="AI658" i="1"/>
  <c r="AQ658" i="1" s="1"/>
  <c r="AI662" i="1"/>
  <c r="AQ662" i="1" s="1"/>
  <c r="AI666" i="1"/>
  <c r="AQ666" i="1" s="1"/>
  <c r="AI670" i="1"/>
  <c r="AQ670" i="1" s="1"/>
  <c r="AI674" i="1"/>
  <c r="AQ674" i="1" s="1"/>
  <c r="AI678" i="1"/>
  <c r="AQ678" i="1" s="1"/>
  <c r="AI682" i="1"/>
  <c r="AQ682" i="1" s="1"/>
  <c r="AI686" i="1"/>
  <c r="AQ686" i="1" s="1"/>
  <c r="AI690" i="1"/>
  <c r="AQ690" i="1" s="1"/>
  <c r="AI694" i="1"/>
  <c r="AQ694" i="1" s="1"/>
  <c r="AI698" i="1"/>
  <c r="AQ698" i="1" s="1"/>
  <c r="AI702" i="1"/>
  <c r="AQ702" i="1" s="1"/>
  <c r="AI706" i="1"/>
  <c r="AQ706" i="1" s="1"/>
  <c r="AI710" i="1"/>
  <c r="AQ710" i="1" s="1"/>
  <c r="AI714" i="1"/>
  <c r="AQ714" i="1" s="1"/>
  <c r="AI718" i="1"/>
  <c r="AQ718" i="1" s="1"/>
  <c r="AI722" i="1"/>
  <c r="AQ722" i="1" s="1"/>
  <c r="AI726" i="1"/>
  <c r="AQ726" i="1" s="1"/>
  <c r="AI730" i="1"/>
  <c r="AQ730" i="1" s="1"/>
  <c r="AI734" i="1"/>
  <c r="AQ734" i="1" s="1"/>
  <c r="AI738" i="1"/>
  <c r="AQ738" i="1" s="1"/>
  <c r="AI742" i="1"/>
  <c r="AQ742" i="1" s="1"/>
  <c r="AI746" i="1"/>
  <c r="AQ746" i="1" s="1"/>
  <c r="AI750" i="1"/>
  <c r="AQ750" i="1" s="1"/>
  <c r="AI754" i="1"/>
  <c r="AQ754" i="1" s="1"/>
  <c r="AI758" i="1"/>
  <c r="AQ758" i="1" s="1"/>
  <c r="AI762" i="1"/>
  <c r="AQ762" i="1" s="1"/>
  <c r="AI766" i="1"/>
  <c r="AQ766" i="1" s="1"/>
  <c r="AI770" i="1"/>
  <c r="AQ770" i="1" s="1"/>
  <c r="AI774" i="1"/>
  <c r="AQ774" i="1" s="1"/>
  <c r="AI778" i="1"/>
  <c r="AQ778" i="1" s="1"/>
  <c r="AI782" i="1"/>
  <c r="AQ782" i="1" s="1"/>
  <c r="AI786" i="1"/>
  <c r="AQ786" i="1" s="1"/>
  <c r="AI790" i="1"/>
  <c r="AQ790" i="1" s="1"/>
  <c r="AI794" i="1"/>
  <c r="AQ794" i="1" s="1"/>
  <c r="AI798" i="1"/>
  <c r="AQ798" i="1" s="1"/>
  <c r="AI802" i="1"/>
  <c r="AQ802" i="1" s="1"/>
  <c r="AI806" i="1"/>
  <c r="AQ806" i="1" s="1"/>
  <c r="AI810" i="1"/>
  <c r="AQ810" i="1" s="1"/>
  <c r="AI814" i="1"/>
  <c r="AQ814" i="1" s="1"/>
  <c r="AI818" i="1"/>
  <c r="AQ818" i="1" s="1"/>
  <c r="AI822" i="1"/>
  <c r="AQ822" i="1" s="1"/>
  <c r="AI826" i="1"/>
  <c r="AQ826" i="1" s="1"/>
  <c r="AH761" i="1"/>
  <c r="AP761" i="1" s="1"/>
  <c r="AH879" i="1"/>
  <c r="AP879" i="1" s="1"/>
  <c r="AH903" i="1"/>
  <c r="AP903" i="1" s="1"/>
  <c r="AH915" i="1"/>
  <c r="AP915" i="1" s="1"/>
  <c r="AH739" i="1"/>
  <c r="AP739" i="1" s="1"/>
  <c r="AI830" i="1"/>
  <c r="AQ830" i="1" s="1"/>
  <c r="AI834" i="1"/>
  <c r="AQ834" i="1" s="1"/>
  <c r="AI838" i="1"/>
  <c r="AQ838" i="1" s="1"/>
  <c r="AI842" i="1"/>
  <c r="AQ842" i="1" s="1"/>
  <c r="AI846" i="1"/>
  <c r="AQ846" i="1" s="1"/>
  <c r="AI850" i="1"/>
  <c r="AQ850" i="1" s="1"/>
  <c r="AI854" i="1"/>
  <c r="AQ854" i="1" s="1"/>
  <c r="AI858" i="1"/>
  <c r="AQ858" i="1" s="1"/>
  <c r="AI862" i="1"/>
  <c r="AQ862" i="1" s="1"/>
  <c r="AI866" i="1"/>
  <c r="AQ866" i="1" s="1"/>
  <c r="AI870" i="1"/>
  <c r="AQ870" i="1" s="1"/>
  <c r="AI874" i="1"/>
  <c r="AQ874" i="1" s="1"/>
  <c r="AI878" i="1"/>
  <c r="AQ878" i="1" s="1"/>
  <c r="AI882" i="1"/>
  <c r="AQ882" i="1" s="1"/>
  <c r="AI886" i="1"/>
  <c r="AQ886" i="1" s="1"/>
  <c r="AI890" i="1"/>
  <c r="AQ890" i="1" s="1"/>
  <c r="AI894" i="1"/>
  <c r="AQ894" i="1" s="1"/>
  <c r="AI898" i="1"/>
  <c r="AQ898" i="1" s="1"/>
  <c r="AI902" i="1"/>
  <c r="AQ902" i="1" s="1"/>
  <c r="AI906" i="1"/>
  <c r="AQ906" i="1" s="1"/>
  <c r="AI910" i="1"/>
  <c r="AQ910" i="1" s="1"/>
  <c r="AI914" i="1"/>
  <c r="AQ914" i="1" s="1"/>
  <c r="AI918" i="1"/>
  <c r="AQ918" i="1" s="1"/>
  <c r="AI922" i="1"/>
  <c r="AQ922" i="1" s="1"/>
  <c r="AI926" i="1"/>
  <c r="AQ926" i="1" s="1"/>
  <c r="AI930" i="1"/>
  <c r="AQ930" i="1" s="1"/>
  <c r="AI934" i="1"/>
  <c r="AQ934" i="1" s="1"/>
  <c r="AI938" i="1"/>
  <c r="AQ938" i="1" s="1"/>
  <c r="AI942" i="1"/>
  <c r="AQ942" i="1" s="1"/>
  <c r="AI946" i="1"/>
  <c r="AQ946" i="1" s="1"/>
  <c r="AI950" i="1"/>
  <c r="AQ950" i="1" s="1"/>
  <c r="AI954" i="1"/>
  <c r="AQ954" i="1" s="1"/>
  <c r="AI958" i="1"/>
  <c r="AQ958" i="1" s="1"/>
  <c r="AI962" i="1"/>
  <c r="AQ962" i="1" s="1"/>
  <c r="AI966" i="1"/>
  <c r="AQ966" i="1" s="1"/>
  <c r="AI970" i="1"/>
  <c r="AQ970" i="1" s="1"/>
  <c r="AI974" i="1"/>
  <c r="AQ974" i="1" s="1"/>
  <c r="AI978" i="1"/>
  <c r="AQ978" i="1" s="1"/>
  <c r="AI982" i="1"/>
  <c r="AQ982" i="1" s="1"/>
  <c r="AI986" i="1"/>
  <c r="AQ986" i="1" s="1"/>
  <c r="AI990" i="1"/>
  <c r="AQ990" i="1" s="1"/>
  <c r="AI994" i="1"/>
  <c r="AQ994" i="1" s="1"/>
  <c r="AI998" i="1"/>
  <c r="AQ998" i="1" s="1"/>
  <c r="AJ21" i="1"/>
  <c r="AR21" i="1" s="1"/>
  <c r="AJ29" i="1"/>
  <c r="AR29" i="1" s="1"/>
  <c r="AJ37" i="1"/>
  <c r="AR37" i="1" s="1"/>
  <c r="AJ45" i="1"/>
  <c r="AR45" i="1" s="1"/>
  <c r="AJ53" i="1"/>
  <c r="AR53" i="1" s="1"/>
  <c r="AJ61" i="1"/>
  <c r="AR61" i="1" s="1"/>
  <c r="AJ69" i="1"/>
  <c r="AR69" i="1" s="1"/>
  <c r="AJ77" i="1"/>
  <c r="AR77" i="1" s="1"/>
  <c r="AJ85" i="1"/>
  <c r="AR85" i="1" s="1"/>
  <c r="AJ93" i="1"/>
  <c r="AR93" i="1" s="1"/>
  <c r="AJ101" i="1"/>
  <c r="AR101" i="1" s="1"/>
  <c r="AJ109" i="1"/>
  <c r="AR109" i="1" s="1"/>
  <c r="AJ117" i="1"/>
  <c r="AR117" i="1" s="1"/>
  <c r="AJ125" i="1"/>
  <c r="AR125" i="1" s="1"/>
  <c r="AJ133" i="1"/>
  <c r="AR133" i="1" s="1"/>
  <c r="AJ141" i="1"/>
  <c r="AR141" i="1" s="1"/>
  <c r="AJ149" i="1"/>
  <c r="AR149" i="1" s="1"/>
  <c r="AJ157" i="1"/>
  <c r="AR157" i="1" s="1"/>
  <c r="AJ165" i="1"/>
  <c r="AR165" i="1" s="1"/>
  <c r="AJ173" i="1"/>
  <c r="AR173" i="1" s="1"/>
  <c r="AJ181" i="1"/>
  <c r="AR181" i="1" s="1"/>
  <c r="AJ189" i="1"/>
  <c r="AR189" i="1" s="1"/>
  <c r="AJ197" i="1"/>
  <c r="AR197" i="1" s="1"/>
  <c r="AJ205" i="1"/>
  <c r="AR205" i="1" s="1"/>
  <c r="AJ213" i="1"/>
  <c r="AR213" i="1" s="1"/>
  <c r="AJ221" i="1"/>
  <c r="AR221" i="1" s="1"/>
  <c r="AJ229" i="1"/>
  <c r="AR229" i="1" s="1"/>
  <c r="AJ237" i="1"/>
  <c r="AR237" i="1" s="1"/>
  <c r="AJ245" i="1"/>
  <c r="AR245" i="1" s="1"/>
  <c r="AJ253" i="1"/>
  <c r="AR253" i="1" s="1"/>
  <c r="AJ261" i="1"/>
  <c r="AR261" i="1" s="1"/>
  <c r="AJ269" i="1"/>
  <c r="AR269" i="1" s="1"/>
  <c r="AJ277" i="1"/>
  <c r="AR277" i="1" s="1"/>
  <c r="AJ285" i="1"/>
  <c r="AR285" i="1" s="1"/>
  <c r="AJ293" i="1"/>
  <c r="AR293" i="1" s="1"/>
  <c r="AJ301" i="1"/>
  <c r="AR301" i="1" s="1"/>
  <c r="AJ309" i="1"/>
  <c r="AR309" i="1" s="1"/>
  <c r="AJ317" i="1"/>
  <c r="AR317" i="1" s="1"/>
  <c r="AJ325" i="1"/>
  <c r="AR325" i="1" s="1"/>
  <c r="AJ333" i="1"/>
  <c r="AR333" i="1" s="1"/>
  <c r="AJ341" i="1"/>
  <c r="AR341" i="1" s="1"/>
  <c r="AJ349" i="1"/>
  <c r="AR349" i="1" s="1"/>
  <c r="AJ984" i="1"/>
  <c r="AR984" i="1" s="1"/>
  <c r="AJ992" i="1"/>
  <c r="AR992" i="1" s="1"/>
  <c r="AK993" i="1"/>
  <c r="AS993" i="1" s="1"/>
  <c r="AG4" i="1"/>
  <c r="AO4" i="1" s="1"/>
  <c r="AG12" i="1"/>
  <c r="AO12" i="1" s="1"/>
  <c r="AG24" i="1"/>
  <c r="AO24" i="1" s="1"/>
  <c r="AG32" i="1"/>
  <c r="AO32" i="1" s="1"/>
  <c r="AG40" i="1"/>
  <c r="AO40" i="1" s="1"/>
  <c r="AG52" i="1"/>
  <c r="AO52" i="1" s="1"/>
  <c r="AG60" i="1"/>
  <c r="AO60" i="1" s="1"/>
  <c r="AG72" i="1"/>
  <c r="AO72" i="1" s="1"/>
  <c r="AG80" i="1"/>
  <c r="AO80" i="1" s="1"/>
  <c r="AG92" i="1"/>
  <c r="AO92" i="1" s="1"/>
  <c r="AG104" i="1"/>
  <c r="AO104" i="1" s="1"/>
  <c r="AG112" i="1"/>
  <c r="AO112" i="1" s="1"/>
  <c r="AG124" i="1"/>
  <c r="AO124" i="1" s="1"/>
  <c r="AG132" i="1"/>
  <c r="AO132" i="1" s="1"/>
  <c r="AG144" i="1"/>
  <c r="AO144" i="1" s="1"/>
  <c r="AG156" i="1"/>
  <c r="AO156" i="1" s="1"/>
  <c r="AG164" i="1"/>
  <c r="AO164" i="1" s="1"/>
  <c r="AG172" i="1"/>
  <c r="AO172" i="1" s="1"/>
  <c r="AG180" i="1"/>
  <c r="AO180" i="1" s="1"/>
  <c r="AG188" i="1"/>
  <c r="AO188" i="1" s="1"/>
  <c r="AG192" i="1"/>
  <c r="AO192" i="1" s="1"/>
  <c r="AG196" i="1"/>
  <c r="AO196" i="1" s="1"/>
  <c r="AG204" i="1"/>
  <c r="AO204" i="1" s="1"/>
  <c r="AG208" i="1"/>
  <c r="AO208" i="1" s="1"/>
  <c r="AG212" i="1"/>
  <c r="AO212" i="1" s="1"/>
  <c r="AG216" i="1"/>
  <c r="AO216" i="1" s="1"/>
  <c r="AG220" i="1"/>
  <c r="AO220" i="1" s="1"/>
  <c r="AG224" i="1"/>
  <c r="AO224" i="1" s="1"/>
  <c r="AG228" i="1"/>
  <c r="AO228" i="1" s="1"/>
  <c r="AG232" i="1"/>
  <c r="AO232" i="1" s="1"/>
  <c r="AG236" i="1"/>
  <c r="AO236" i="1" s="1"/>
  <c r="AG240" i="1"/>
  <c r="AO240" i="1" s="1"/>
  <c r="AG244" i="1"/>
  <c r="AO244" i="1" s="1"/>
  <c r="AG248" i="1"/>
  <c r="AO248" i="1" s="1"/>
  <c r="AG252" i="1"/>
  <c r="AO252" i="1" s="1"/>
  <c r="AG256" i="1"/>
  <c r="AO256" i="1" s="1"/>
  <c r="AG260" i="1"/>
  <c r="AO260" i="1" s="1"/>
  <c r="AG264" i="1"/>
  <c r="AO264" i="1" s="1"/>
  <c r="AG268" i="1"/>
  <c r="AO268" i="1" s="1"/>
  <c r="AG272" i="1"/>
  <c r="AO272" i="1" s="1"/>
  <c r="AG276" i="1"/>
  <c r="AO276" i="1" s="1"/>
  <c r="AG280" i="1"/>
  <c r="AO280" i="1" s="1"/>
  <c r="AG284" i="1"/>
  <c r="AO284" i="1" s="1"/>
  <c r="AG288" i="1"/>
  <c r="AO288" i="1" s="1"/>
  <c r="AG292" i="1"/>
  <c r="AO292" i="1" s="1"/>
  <c r="AG296" i="1"/>
  <c r="AO296" i="1" s="1"/>
  <c r="AG300" i="1"/>
  <c r="AO300" i="1" s="1"/>
  <c r="AG304" i="1"/>
  <c r="AO304" i="1" s="1"/>
  <c r="AG308" i="1"/>
  <c r="AO308" i="1" s="1"/>
  <c r="AG312" i="1"/>
  <c r="AO312" i="1" s="1"/>
  <c r="AG316" i="1"/>
  <c r="AO316" i="1" s="1"/>
  <c r="AG320" i="1"/>
  <c r="AO320" i="1" s="1"/>
  <c r="AG324" i="1"/>
  <c r="AO324" i="1" s="1"/>
  <c r="AG328" i="1"/>
  <c r="AO328" i="1" s="1"/>
  <c r="AG332" i="1"/>
  <c r="AO332" i="1" s="1"/>
  <c r="AG336" i="1"/>
  <c r="AO336" i="1" s="1"/>
  <c r="AG340" i="1"/>
  <c r="AO340" i="1" s="1"/>
  <c r="AG344" i="1"/>
  <c r="AO344" i="1" s="1"/>
  <c r="AG348" i="1"/>
  <c r="AO348" i="1" s="1"/>
  <c r="AG352" i="1"/>
  <c r="AO352" i="1" s="1"/>
  <c r="AG8" i="1"/>
  <c r="AO8" i="1" s="1"/>
  <c r="AG16" i="1"/>
  <c r="AO16" i="1" s="1"/>
  <c r="AG20" i="1"/>
  <c r="AO20" i="1" s="1"/>
  <c r="AG28" i="1"/>
  <c r="AO28" i="1" s="1"/>
  <c r="AG36" i="1"/>
  <c r="AO36" i="1" s="1"/>
  <c r="AG44" i="1"/>
  <c r="AO44" i="1" s="1"/>
  <c r="AG48" i="1"/>
  <c r="AO48" i="1" s="1"/>
  <c r="AG56" i="1"/>
  <c r="AO56" i="1" s="1"/>
  <c r="AG64" i="1"/>
  <c r="AO64" i="1" s="1"/>
  <c r="AG68" i="1"/>
  <c r="AO68" i="1" s="1"/>
  <c r="AG76" i="1"/>
  <c r="AO76" i="1" s="1"/>
  <c r="AG84" i="1"/>
  <c r="AO84" i="1" s="1"/>
  <c r="AG88" i="1"/>
  <c r="AO88" i="1" s="1"/>
  <c r="AG96" i="1"/>
  <c r="AO96" i="1" s="1"/>
  <c r="AG100" i="1"/>
  <c r="AO100" i="1" s="1"/>
  <c r="AG108" i="1"/>
  <c r="AO108" i="1" s="1"/>
  <c r="AG116" i="1"/>
  <c r="AO116" i="1" s="1"/>
  <c r="AG120" i="1"/>
  <c r="AO120" i="1" s="1"/>
  <c r="AG128" i="1"/>
  <c r="AO128" i="1" s="1"/>
  <c r="AG136" i="1"/>
  <c r="AO136" i="1" s="1"/>
  <c r="AG140" i="1"/>
  <c r="AO140" i="1" s="1"/>
  <c r="AG148" i="1"/>
  <c r="AO148" i="1" s="1"/>
  <c r="AG152" i="1"/>
  <c r="AO152" i="1" s="1"/>
  <c r="AG160" i="1"/>
  <c r="AO160" i="1" s="1"/>
  <c r="AG168" i="1"/>
  <c r="AO168" i="1" s="1"/>
  <c r="AG176" i="1"/>
  <c r="AO176" i="1" s="1"/>
  <c r="AG184" i="1"/>
  <c r="AO184" i="1" s="1"/>
  <c r="AG200" i="1"/>
  <c r="AO200" i="1" s="1"/>
  <c r="AG356" i="1"/>
  <c r="AO356" i="1" s="1"/>
  <c r="AG360" i="1"/>
  <c r="AO360" i="1" s="1"/>
  <c r="AG364" i="1"/>
  <c r="AO364" i="1" s="1"/>
  <c r="AG368" i="1"/>
  <c r="AO368" i="1" s="1"/>
  <c r="AG372" i="1"/>
  <c r="AO372" i="1" s="1"/>
  <c r="AG376" i="1"/>
  <c r="AO376" i="1" s="1"/>
  <c r="AG380" i="1"/>
  <c r="AO380" i="1" s="1"/>
  <c r="AG384" i="1"/>
  <c r="AO384" i="1" s="1"/>
  <c r="AG388" i="1"/>
  <c r="AO388" i="1" s="1"/>
  <c r="AG392" i="1"/>
  <c r="AO392" i="1" s="1"/>
  <c r="AG396" i="1"/>
  <c r="AO396" i="1" s="1"/>
  <c r="AG400" i="1"/>
  <c r="AO400" i="1" s="1"/>
  <c r="AG404" i="1"/>
  <c r="AO404" i="1" s="1"/>
  <c r="AG408" i="1"/>
  <c r="AO408" i="1" s="1"/>
  <c r="AG412" i="1"/>
  <c r="AO412" i="1" s="1"/>
  <c r="AG416" i="1"/>
  <c r="AO416" i="1" s="1"/>
  <c r="AG420" i="1"/>
  <c r="AO420" i="1" s="1"/>
  <c r="AG424" i="1"/>
  <c r="AO424" i="1" s="1"/>
  <c r="AG428" i="1"/>
  <c r="AO428" i="1" s="1"/>
  <c r="AG432" i="1"/>
  <c r="AO432" i="1" s="1"/>
  <c r="AG436" i="1"/>
  <c r="AO436" i="1" s="1"/>
  <c r="AG440" i="1"/>
  <c r="AO440" i="1" s="1"/>
  <c r="AG444" i="1"/>
  <c r="AO444" i="1" s="1"/>
  <c r="AG448" i="1"/>
  <c r="AO448" i="1" s="1"/>
  <c r="AG452" i="1"/>
  <c r="AO452" i="1" s="1"/>
  <c r="AG456" i="1"/>
  <c r="AO456" i="1" s="1"/>
  <c r="AG460" i="1"/>
  <c r="AO460" i="1" s="1"/>
  <c r="AG464" i="1"/>
  <c r="AO464" i="1" s="1"/>
  <c r="AG468" i="1"/>
  <c r="AO468" i="1" s="1"/>
  <c r="AG472" i="1"/>
  <c r="AO472" i="1" s="1"/>
  <c r="AG476" i="1"/>
  <c r="AO476" i="1" s="1"/>
  <c r="AG480" i="1"/>
  <c r="AO480" i="1" s="1"/>
  <c r="AG484" i="1"/>
  <c r="AO484" i="1" s="1"/>
  <c r="AG488" i="1"/>
  <c r="AO488" i="1" s="1"/>
  <c r="AG492" i="1"/>
  <c r="AO492" i="1" s="1"/>
  <c r="AG496" i="1"/>
  <c r="AO496" i="1" s="1"/>
  <c r="AG500" i="1"/>
  <c r="AO500" i="1" s="1"/>
  <c r="AG504" i="1"/>
  <c r="AO504" i="1" s="1"/>
  <c r="AG508" i="1"/>
  <c r="AO508" i="1" s="1"/>
  <c r="AG512" i="1"/>
  <c r="AO512" i="1" s="1"/>
  <c r="AG516" i="1"/>
  <c r="AO516" i="1" s="1"/>
  <c r="AG520" i="1"/>
  <c r="AO520" i="1" s="1"/>
  <c r="AG524" i="1"/>
  <c r="AO524" i="1" s="1"/>
  <c r="AG528" i="1"/>
  <c r="AO528" i="1" s="1"/>
  <c r="AG532" i="1"/>
  <c r="AO532" i="1" s="1"/>
  <c r="AG536" i="1"/>
  <c r="AO536" i="1" s="1"/>
  <c r="AG540" i="1"/>
  <c r="AO540" i="1" s="1"/>
  <c r="AG544" i="1"/>
  <c r="AO544" i="1" s="1"/>
  <c r="AG548" i="1"/>
  <c r="AO548" i="1" s="1"/>
  <c r="AG552" i="1"/>
  <c r="AO552" i="1" s="1"/>
  <c r="AG556" i="1"/>
  <c r="AO556" i="1" s="1"/>
  <c r="AG560" i="1"/>
  <c r="AO560" i="1" s="1"/>
  <c r="AG564" i="1"/>
  <c r="AO564" i="1" s="1"/>
  <c r="AG568" i="1"/>
  <c r="AO568" i="1" s="1"/>
  <c r="AG572" i="1"/>
  <c r="AO572" i="1" s="1"/>
  <c r="AG576" i="1"/>
  <c r="AO576" i="1" s="1"/>
  <c r="AG580" i="1"/>
  <c r="AO580" i="1" s="1"/>
  <c r="AG584" i="1"/>
  <c r="AO584" i="1" s="1"/>
  <c r="AG588" i="1"/>
  <c r="AO588" i="1" s="1"/>
  <c r="AG592" i="1"/>
  <c r="AO592" i="1" s="1"/>
  <c r="AG596" i="1"/>
  <c r="AO596" i="1" s="1"/>
  <c r="AG600" i="1"/>
  <c r="AO600" i="1" s="1"/>
  <c r="AG604" i="1"/>
  <c r="AO604" i="1" s="1"/>
  <c r="AG608" i="1"/>
  <c r="AO608" i="1" s="1"/>
  <c r="AG612" i="1"/>
  <c r="AO612" i="1" s="1"/>
  <c r="AG616" i="1"/>
  <c r="AO616" i="1" s="1"/>
  <c r="AG620" i="1"/>
  <c r="AO620" i="1" s="1"/>
  <c r="AG624" i="1"/>
  <c r="AO624" i="1" s="1"/>
  <c r="AG628" i="1"/>
  <c r="AO628" i="1" s="1"/>
  <c r="AG632" i="1"/>
  <c r="AO632" i="1" s="1"/>
  <c r="AG636" i="1"/>
  <c r="AO636" i="1" s="1"/>
  <c r="AG640" i="1"/>
  <c r="AO640" i="1" s="1"/>
  <c r="AG644" i="1"/>
  <c r="AO644" i="1" s="1"/>
  <c r="AG648" i="1"/>
  <c r="AO648" i="1" s="1"/>
  <c r="AG652" i="1"/>
  <c r="AO652" i="1" s="1"/>
  <c r="AG656" i="1"/>
  <c r="AO656" i="1" s="1"/>
  <c r="AG660" i="1"/>
  <c r="AO660" i="1" s="1"/>
  <c r="AG664" i="1"/>
  <c r="AO664" i="1" s="1"/>
  <c r="AG668" i="1"/>
  <c r="AO668" i="1" s="1"/>
  <c r="AG672" i="1"/>
  <c r="AO672" i="1" s="1"/>
  <c r="AG676" i="1"/>
  <c r="AO676" i="1" s="1"/>
  <c r="AG680" i="1"/>
  <c r="AO680" i="1" s="1"/>
  <c r="AG684" i="1"/>
  <c r="AO684" i="1" s="1"/>
  <c r="AG688" i="1"/>
  <c r="AO688" i="1" s="1"/>
  <c r="AG692" i="1"/>
  <c r="AO692" i="1" s="1"/>
  <c r="AG696" i="1"/>
  <c r="AO696" i="1" s="1"/>
  <c r="AG700" i="1"/>
  <c r="AO700" i="1" s="1"/>
  <c r="AG704" i="1"/>
  <c r="AO704" i="1" s="1"/>
  <c r="AG708" i="1"/>
  <c r="AO708" i="1" s="1"/>
  <c r="AG712" i="1"/>
  <c r="AO712" i="1" s="1"/>
  <c r="AG716" i="1"/>
  <c r="AO716" i="1" s="1"/>
  <c r="AG720" i="1"/>
  <c r="AO720" i="1" s="1"/>
  <c r="AG724" i="1"/>
  <c r="AO724" i="1" s="1"/>
  <c r="AG728" i="1"/>
  <c r="AO728" i="1" s="1"/>
  <c r="AG732" i="1"/>
  <c r="AO732" i="1" s="1"/>
  <c r="AG736" i="1"/>
  <c r="AO736" i="1" s="1"/>
  <c r="AG740" i="1"/>
  <c r="AO740" i="1" s="1"/>
  <c r="AG744" i="1"/>
  <c r="AO744" i="1" s="1"/>
  <c r="AG748" i="1"/>
  <c r="AO748" i="1" s="1"/>
  <c r="AG752" i="1"/>
  <c r="AO752" i="1" s="1"/>
  <c r="AG756" i="1"/>
  <c r="AO756" i="1" s="1"/>
  <c r="AG760" i="1"/>
  <c r="AO760" i="1" s="1"/>
  <c r="AG764" i="1"/>
  <c r="AO764" i="1" s="1"/>
  <c r="AG768" i="1"/>
  <c r="AO768" i="1" s="1"/>
  <c r="AG772" i="1"/>
  <c r="AO772" i="1" s="1"/>
  <c r="AG776" i="1"/>
  <c r="AO776" i="1" s="1"/>
  <c r="AG780" i="1"/>
  <c r="AO780" i="1" s="1"/>
  <c r="AG784" i="1"/>
  <c r="AO784" i="1" s="1"/>
  <c r="AG788" i="1"/>
  <c r="AO788" i="1" s="1"/>
  <c r="AG792" i="1"/>
  <c r="AO792" i="1" s="1"/>
  <c r="AG796" i="1"/>
  <c r="AO796" i="1" s="1"/>
  <c r="AG800" i="1"/>
  <c r="AO800" i="1" s="1"/>
  <c r="AG804" i="1"/>
  <c r="AO804" i="1" s="1"/>
  <c r="AG808" i="1"/>
  <c r="AO808" i="1" s="1"/>
  <c r="AG812" i="1"/>
  <c r="AO812" i="1" s="1"/>
  <c r="AG816" i="1"/>
  <c r="AO816" i="1" s="1"/>
  <c r="AG820" i="1"/>
  <c r="AO820" i="1" s="1"/>
  <c r="AG824" i="1"/>
  <c r="AO824" i="1" s="1"/>
  <c r="AG828" i="1"/>
  <c r="AO828" i="1" s="1"/>
  <c r="AG832" i="1"/>
  <c r="AO832" i="1" s="1"/>
  <c r="AG836" i="1"/>
  <c r="AO836" i="1" s="1"/>
  <c r="AG840" i="1"/>
  <c r="AO840" i="1" s="1"/>
  <c r="AG844" i="1"/>
  <c r="AO844" i="1" s="1"/>
  <c r="AG848" i="1"/>
  <c r="AO848" i="1" s="1"/>
  <c r="AG852" i="1"/>
  <c r="AO852" i="1" s="1"/>
  <c r="AG856" i="1"/>
  <c r="AO856" i="1" s="1"/>
  <c r="AG860" i="1"/>
  <c r="AO860" i="1" s="1"/>
  <c r="AG864" i="1"/>
  <c r="AO864" i="1" s="1"/>
  <c r="AG868" i="1"/>
  <c r="AO868" i="1" s="1"/>
  <c r="AG872" i="1"/>
  <c r="AO872" i="1" s="1"/>
  <c r="AG876" i="1"/>
  <c r="AO876" i="1" s="1"/>
  <c r="AG880" i="1"/>
  <c r="AO880" i="1" s="1"/>
  <c r="AG884" i="1"/>
  <c r="AO884" i="1" s="1"/>
  <c r="AG888" i="1"/>
  <c r="AO888" i="1" s="1"/>
  <c r="AG892" i="1"/>
  <c r="AO892" i="1" s="1"/>
  <c r="AG896" i="1"/>
  <c r="AO896" i="1" s="1"/>
  <c r="AG900" i="1"/>
  <c r="AO900" i="1" s="1"/>
  <c r="AG904" i="1"/>
  <c r="AO904" i="1" s="1"/>
  <c r="AG908" i="1"/>
  <c r="AO908" i="1" s="1"/>
  <c r="AG912" i="1"/>
  <c r="AO912" i="1" s="1"/>
  <c r="AG916" i="1"/>
  <c r="AO916" i="1" s="1"/>
  <c r="AG920" i="1"/>
  <c r="AO920" i="1" s="1"/>
  <c r="AG924" i="1"/>
  <c r="AO924" i="1" s="1"/>
  <c r="AG928" i="1"/>
  <c r="AO928" i="1" s="1"/>
  <c r="AG932" i="1"/>
  <c r="AO932" i="1" s="1"/>
  <c r="AG936" i="1"/>
  <c r="AO936" i="1" s="1"/>
  <c r="AG940" i="1"/>
  <c r="AO940" i="1" s="1"/>
  <c r="AG944" i="1"/>
  <c r="AO944" i="1" s="1"/>
  <c r="AG948" i="1"/>
  <c r="AO948" i="1" s="1"/>
  <c r="AG952" i="1"/>
  <c r="AO952" i="1" s="1"/>
  <c r="AG956" i="1"/>
  <c r="AO956" i="1" s="1"/>
  <c r="AG960" i="1"/>
  <c r="AO960" i="1" s="1"/>
  <c r="AG964" i="1"/>
  <c r="AO964" i="1" s="1"/>
  <c r="AG968" i="1"/>
  <c r="AO968" i="1" s="1"/>
  <c r="AG972" i="1"/>
  <c r="AO972" i="1" s="1"/>
  <c r="AG976" i="1"/>
  <c r="AO976" i="1" s="1"/>
  <c r="AG980" i="1"/>
  <c r="AO980" i="1" s="1"/>
  <c r="AG984" i="1"/>
  <c r="AO984" i="1" s="1"/>
  <c r="AG988" i="1"/>
  <c r="AO988" i="1" s="1"/>
  <c r="AG992" i="1"/>
  <c r="AO992" i="1" s="1"/>
  <c r="AG996" i="1"/>
  <c r="AO996" i="1" s="1"/>
  <c r="AG1000" i="1"/>
  <c r="AO1000" i="1" s="1"/>
  <c r="AH29" i="1"/>
  <c r="AP29" i="1" s="1"/>
  <c r="AH33" i="1"/>
  <c r="AP33" i="1" s="1"/>
  <c r="AH37" i="1"/>
  <c r="AP37" i="1" s="1"/>
  <c r="AH41" i="1"/>
  <c r="AP41" i="1" s="1"/>
  <c r="AH45" i="1"/>
  <c r="AP45" i="1" s="1"/>
  <c r="AH49" i="1"/>
  <c r="AP49" i="1" s="1"/>
  <c r="AH53" i="1"/>
  <c r="AP53" i="1" s="1"/>
  <c r="AH57" i="1"/>
  <c r="AP57" i="1" s="1"/>
  <c r="AH61" i="1"/>
  <c r="AP61" i="1" s="1"/>
  <c r="AH65" i="1"/>
  <c r="AP65" i="1" s="1"/>
  <c r="AH69" i="1"/>
  <c r="AP69" i="1" s="1"/>
  <c r="AH73" i="1"/>
  <c r="AP73" i="1" s="1"/>
  <c r="AH77" i="1"/>
  <c r="AP77" i="1" s="1"/>
  <c r="AH81" i="1"/>
  <c r="AP81" i="1" s="1"/>
  <c r="AH85" i="1"/>
  <c r="AP85" i="1" s="1"/>
  <c r="AH89" i="1"/>
  <c r="AP89" i="1" s="1"/>
  <c r="AH93" i="1"/>
  <c r="AP93" i="1" s="1"/>
  <c r="AH97" i="1"/>
  <c r="AP97" i="1" s="1"/>
  <c r="AH101" i="1"/>
  <c r="AP101" i="1" s="1"/>
  <c r="AH105" i="1"/>
  <c r="AP105" i="1" s="1"/>
  <c r="AH109" i="1"/>
  <c r="AP109" i="1" s="1"/>
  <c r="AH113" i="1"/>
  <c r="AP113" i="1" s="1"/>
  <c r="AH117" i="1"/>
  <c r="AP117" i="1" s="1"/>
  <c r="AH121" i="1"/>
  <c r="AP121" i="1" s="1"/>
  <c r="AH125" i="1"/>
  <c r="AP125" i="1" s="1"/>
  <c r="AH129" i="1"/>
  <c r="AP129" i="1" s="1"/>
  <c r="AH133" i="1"/>
  <c r="AP133" i="1" s="1"/>
  <c r="AH137" i="1"/>
  <c r="AP137" i="1" s="1"/>
  <c r="AH141" i="1"/>
  <c r="AP141" i="1" s="1"/>
  <c r="AH145" i="1"/>
  <c r="AP145" i="1" s="1"/>
  <c r="AH149" i="1"/>
  <c r="AP149" i="1" s="1"/>
  <c r="AH153" i="1"/>
  <c r="AP153" i="1" s="1"/>
  <c r="AH157" i="1"/>
  <c r="AP157" i="1" s="1"/>
  <c r="AH161" i="1"/>
  <c r="AP161" i="1" s="1"/>
  <c r="AH165" i="1"/>
  <c r="AP165" i="1" s="1"/>
  <c r="AH169" i="1"/>
  <c r="AP169" i="1" s="1"/>
  <c r="AH173" i="1"/>
  <c r="AP173" i="1" s="1"/>
  <c r="AH177" i="1"/>
  <c r="AP177" i="1" s="1"/>
  <c r="AH181" i="1"/>
  <c r="AP181" i="1" s="1"/>
  <c r="AH185" i="1"/>
  <c r="AP185" i="1" s="1"/>
  <c r="AH189" i="1"/>
  <c r="AP189" i="1" s="1"/>
  <c r="AH193" i="1"/>
  <c r="AP193" i="1" s="1"/>
  <c r="AH197" i="1"/>
  <c r="AP197" i="1" s="1"/>
  <c r="AH201" i="1"/>
  <c r="AP201" i="1" s="1"/>
  <c r="AH205" i="1"/>
  <c r="AP205" i="1" s="1"/>
  <c r="AH209" i="1"/>
  <c r="AP209" i="1" s="1"/>
  <c r="AH213" i="1"/>
  <c r="AP213" i="1" s="1"/>
  <c r="AH217" i="1"/>
  <c r="AP217" i="1" s="1"/>
  <c r="AH221" i="1"/>
  <c r="AP221" i="1" s="1"/>
  <c r="AH225" i="1"/>
  <c r="AP225" i="1" s="1"/>
  <c r="AH229" i="1"/>
  <c r="AP229" i="1" s="1"/>
  <c r="AH233" i="1"/>
  <c r="AP233" i="1" s="1"/>
  <c r="AH237" i="1"/>
  <c r="AP237" i="1" s="1"/>
  <c r="AH241" i="1"/>
  <c r="AP241" i="1" s="1"/>
  <c r="AH245" i="1"/>
  <c r="AP245" i="1" s="1"/>
  <c r="AH249" i="1"/>
  <c r="AP249" i="1" s="1"/>
  <c r="AH253" i="1"/>
  <c r="AP253" i="1" s="1"/>
  <c r="AH257" i="1"/>
  <c r="AP257" i="1" s="1"/>
  <c r="AH261" i="1"/>
  <c r="AP261" i="1" s="1"/>
  <c r="AH265" i="1"/>
  <c r="AP265" i="1" s="1"/>
  <c r="AH269" i="1"/>
  <c r="AP269" i="1" s="1"/>
  <c r="AH273" i="1"/>
  <c r="AP273" i="1" s="1"/>
  <c r="AH277" i="1"/>
  <c r="AP277" i="1" s="1"/>
  <c r="AH281" i="1"/>
  <c r="AP281" i="1" s="1"/>
  <c r="AH285" i="1"/>
  <c r="AP285" i="1" s="1"/>
  <c r="AH289" i="1"/>
  <c r="AP289" i="1" s="1"/>
  <c r="AH293" i="1"/>
  <c r="AP293" i="1" s="1"/>
  <c r="AH297" i="1"/>
  <c r="AP297" i="1" s="1"/>
  <c r="AH301" i="1"/>
  <c r="AP301" i="1" s="1"/>
  <c r="AH305" i="1"/>
  <c r="AP305" i="1" s="1"/>
  <c r="AH309" i="1"/>
  <c r="AP309" i="1" s="1"/>
  <c r="AH313" i="1"/>
  <c r="AP313" i="1" s="1"/>
  <c r="AH317" i="1"/>
  <c r="AP317" i="1" s="1"/>
  <c r="AH321" i="1"/>
  <c r="AP321" i="1" s="1"/>
  <c r="AH325" i="1"/>
  <c r="AP325" i="1" s="1"/>
  <c r="AH329" i="1"/>
  <c r="AP329" i="1" s="1"/>
  <c r="AH333" i="1"/>
  <c r="AP333" i="1" s="1"/>
  <c r="AH337" i="1"/>
  <c r="AP337" i="1" s="1"/>
  <c r="AH341" i="1"/>
  <c r="AP341" i="1" s="1"/>
  <c r="AH345" i="1"/>
  <c r="AP345" i="1" s="1"/>
  <c r="AH349" i="1"/>
  <c r="AP349" i="1" s="1"/>
  <c r="AH353" i="1"/>
  <c r="AP353" i="1" s="1"/>
  <c r="AH357" i="1"/>
  <c r="AP357" i="1" s="1"/>
  <c r="AH361" i="1"/>
  <c r="AP361" i="1" s="1"/>
  <c r="AH365" i="1"/>
  <c r="AP365" i="1" s="1"/>
  <c r="AH369" i="1"/>
  <c r="AP369" i="1" s="1"/>
  <c r="AH373" i="1"/>
  <c r="AP373" i="1" s="1"/>
  <c r="AH377" i="1"/>
  <c r="AP377" i="1" s="1"/>
  <c r="AH381" i="1"/>
  <c r="AP381" i="1" s="1"/>
  <c r="AH385" i="1"/>
  <c r="AP385" i="1" s="1"/>
  <c r="AH389" i="1"/>
  <c r="AP389" i="1" s="1"/>
  <c r="AH393" i="1"/>
  <c r="AP393" i="1" s="1"/>
  <c r="AH397" i="1"/>
  <c r="AP397" i="1" s="1"/>
  <c r="AH401" i="1"/>
  <c r="AP401" i="1" s="1"/>
  <c r="AH405" i="1"/>
  <c r="AP405" i="1" s="1"/>
  <c r="AH409" i="1"/>
  <c r="AP409" i="1" s="1"/>
  <c r="AH413" i="1"/>
  <c r="AP413" i="1" s="1"/>
  <c r="AH417" i="1"/>
  <c r="AP417" i="1" s="1"/>
  <c r="AH421" i="1"/>
  <c r="AP421" i="1" s="1"/>
  <c r="AH425" i="1"/>
  <c r="AP425" i="1" s="1"/>
  <c r="AH429" i="1"/>
  <c r="AP429" i="1" s="1"/>
  <c r="AH433" i="1"/>
  <c r="AP433" i="1" s="1"/>
  <c r="AH437" i="1"/>
  <c r="AP437" i="1" s="1"/>
  <c r="AH441" i="1"/>
  <c r="AP441" i="1" s="1"/>
  <c r="AH445" i="1"/>
  <c r="AP445" i="1" s="1"/>
  <c r="AH449" i="1"/>
  <c r="AP449" i="1" s="1"/>
  <c r="AH453" i="1"/>
  <c r="AP453" i="1" s="1"/>
  <c r="AH457" i="1"/>
  <c r="AP457" i="1" s="1"/>
  <c r="AH461" i="1"/>
  <c r="AP461" i="1" s="1"/>
  <c r="AH465" i="1"/>
  <c r="AP465" i="1" s="1"/>
  <c r="AH469" i="1"/>
  <c r="AP469" i="1" s="1"/>
  <c r="AH473" i="1"/>
  <c r="AP473" i="1" s="1"/>
  <c r="AH477" i="1"/>
  <c r="AP477" i="1" s="1"/>
  <c r="AH481" i="1"/>
  <c r="AP481" i="1" s="1"/>
  <c r="AH485" i="1"/>
  <c r="AP485" i="1" s="1"/>
  <c r="AH489" i="1"/>
  <c r="AP489" i="1" s="1"/>
  <c r="AH806" i="1"/>
  <c r="AP806" i="1" s="1"/>
  <c r="AH880" i="1"/>
  <c r="AP880" i="1" s="1"/>
  <c r="AH904" i="1"/>
  <c r="AP904" i="1" s="1"/>
  <c r="AH916" i="1"/>
  <c r="AP916" i="1" s="1"/>
  <c r="AH929" i="1"/>
  <c r="AP929" i="1" s="1"/>
  <c r="AH953" i="1"/>
  <c r="AP953" i="1" s="1"/>
  <c r="AH978" i="1"/>
  <c r="AP978" i="1" s="1"/>
  <c r="AH493" i="1"/>
  <c r="AP493" i="1" s="1"/>
  <c r="AH497" i="1"/>
  <c r="AP497" i="1" s="1"/>
  <c r="AH501" i="1"/>
  <c r="AP501" i="1" s="1"/>
  <c r="AH505" i="1"/>
  <c r="AP505" i="1" s="1"/>
  <c r="AH509" i="1"/>
  <c r="AP509" i="1" s="1"/>
  <c r="AH513" i="1"/>
  <c r="AP513" i="1" s="1"/>
  <c r="AH517" i="1"/>
  <c r="AP517" i="1" s="1"/>
  <c r="AH521" i="1"/>
  <c r="AP521" i="1" s="1"/>
  <c r="AH525" i="1"/>
  <c r="AP525" i="1" s="1"/>
  <c r="AH529" i="1"/>
  <c r="AP529" i="1" s="1"/>
  <c r="AH533" i="1"/>
  <c r="AP533" i="1" s="1"/>
  <c r="AH537" i="1"/>
  <c r="AP537" i="1" s="1"/>
  <c r="AH990" i="1"/>
  <c r="AP990" i="1" s="1"/>
  <c r="AH753" i="1"/>
  <c r="AP753" i="1" s="1"/>
  <c r="AH765" i="1"/>
  <c r="AP765" i="1" s="1"/>
  <c r="AH778" i="1"/>
  <c r="AP778" i="1" s="1"/>
  <c r="AH821" i="1"/>
  <c r="AP821" i="1" s="1"/>
  <c r="AH833" i="1"/>
  <c r="AP833" i="1" s="1"/>
  <c r="AH845" i="1"/>
  <c r="AP845" i="1" s="1"/>
  <c r="AH858" i="1"/>
  <c r="AP858" i="1" s="1"/>
  <c r="AH870" i="1"/>
  <c r="AP870" i="1" s="1"/>
  <c r="AH895" i="1"/>
  <c r="AP895" i="1" s="1"/>
  <c r="AH907" i="1"/>
  <c r="AP907" i="1" s="1"/>
  <c r="AH944" i="1"/>
  <c r="AP944" i="1" s="1"/>
  <c r="AH969" i="1"/>
  <c r="AP969" i="1" s="1"/>
  <c r="AH539" i="1"/>
  <c r="AP539" i="1" s="1"/>
  <c r="AH543" i="1"/>
  <c r="AP543" i="1" s="1"/>
  <c r="AH547" i="1"/>
  <c r="AP547" i="1" s="1"/>
  <c r="AH551" i="1"/>
  <c r="AP551" i="1" s="1"/>
  <c r="AH555" i="1"/>
  <c r="AP555" i="1" s="1"/>
  <c r="AH559" i="1"/>
  <c r="AP559" i="1" s="1"/>
  <c r="AH563" i="1"/>
  <c r="AP563" i="1" s="1"/>
  <c r="AH567" i="1"/>
  <c r="AP567" i="1" s="1"/>
  <c r="AH571" i="1"/>
  <c r="AP571" i="1" s="1"/>
  <c r="AH575" i="1"/>
  <c r="AP575" i="1" s="1"/>
  <c r="AH579" i="1"/>
  <c r="AP579" i="1" s="1"/>
  <c r="AH583" i="1"/>
  <c r="AP583" i="1" s="1"/>
  <c r="AH587" i="1"/>
  <c r="AP587" i="1" s="1"/>
  <c r="AH591" i="1"/>
  <c r="AP591" i="1" s="1"/>
  <c r="AH595" i="1"/>
  <c r="AP595" i="1" s="1"/>
  <c r="AH599" i="1"/>
  <c r="AP599" i="1" s="1"/>
  <c r="AH603" i="1"/>
  <c r="AP603" i="1" s="1"/>
  <c r="AH607" i="1"/>
  <c r="AP607" i="1" s="1"/>
  <c r="AH611" i="1"/>
  <c r="AP611" i="1" s="1"/>
  <c r="AH615" i="1"/>
  <c r="AP615" i="1" s="1"/>
  <c r="AH619" i="1"/>
  <c r="AP619" i="1" s="1"/>
  <c r="AH623" i="1"/>
  <c r="AP623" i="1" s="1"/>
  <c r="AH627" i="1"/>
  <c r="AP627" i="1" s="1"/>
  <c r="AH631" i="1"/>
  <c r="AP631" i="1" s="1"/>
  <c r="AH635" i="1"/>
  <c r="AP635" i="1" s="1"/>
  <c r="AH639" i="1"/>
  <c r="AP639" i="1" s="1"/>
  <c r="AH643" i="1"/>
  <c r="AP643" i="1" s="1"/>
  <c r="AH647" i="1"/>
  <c r="AP647" i="1" s="1"/>
  <c r="AH651" i="1"/>
  <c r="AP651" i="1" s="1"/>
  <c r="AH655" i="1"/>
  <c r="AP655" i="1" s="1"/>
  <c r="AH659" i="1"/>
  <c r="AP659" i="1" s="1"/>
  <c r="AH663" i="1"/>
  <c r="AP663" i="1" s="1"/>
  <c r="AH667" i="1"/>
  <c r="AP667" i="1" s="1"/>
  <c r="AH671" i="1"/>
  <c r="AP671" i="1" s="1"/>
  <c r="AH675" i="1"/>
  <c r="AP675" i="1" s="1"/>
  <c r="AH679" i="1"/>
  <c r="AP679" i="1" s="1"/>
  <c r="AH683" i="1"/>
  <c r="AP683" i="1" s="1"/>
  <c r="AH687" i="1"/>
  <c r="AP687" i="1" s="1"/>
  <c r="AH691" i="1"/>
  <c r="AP691" i="1" s="1"/>
  <c r="AH695" i="1"/>
  <c r="AP695" i="1" s="1"/>
  <c r="AH699" i="1"/>
  <c r="AP699" i="1" s="1"/>
  <c r="AH703" i="1"/>
  <c r="AP703" i="1" s="1"/>
  <c r="AH707" i="1"/>
  <c r="AP707" i="1" s="1"/>
  <c r="AH711" i="1"/>
  <c r="AP711" i="1" s="1"/>
  <c r="AH715" i="1"/>
  <c r="AP715" i="1" s="1"/>
  <c r="AH719" i="1"/>
  <c r="AP719" i="1" s="1"/>
  <c r="AH723" i="1"/>
  <c r="AP723" i="1" s="1"/>
  <c r="AH729" i="1"/>
  <c r="AP729" i="1" s="1"/>
  <c r="AH733" i="1"/>
  <c r="AP733" i="1" s="1"/>
  <c r="AH737" i="1"/>
  <c r="AP737" i="1" s="1"/>
  <c r="AH796" i="1"/>
  <c r="AP796" i="1" s="1"/>
  <c r="AH853" i="1"/>
  <c r="AP853" i="1" s="1"/>
  <c r="AI4" i="1"/>
  <c r="AQ4" i="1" s="1"/>
  <c r="AI8" i="1"/>
  <c r="AQ8" i="1" s="1"/>
  <c r="AI12" i="1"/>
  <c r="AQ12" i="1" s="1"/>
  <c r="AI16" i="1"/>
  <c r="AQ16" i="1" s="1"/>
  <c r="AI20" i="1"/>
  <c r="AQ20" i="1" s="1"/>
  <c r="AI24" i="1"/>
  <c r="AQ24" i="1" s="1"/>
  <c r="AI28" i="1"/>
  <c r="AQ28" i="1" s="1"/>
  <c r="AI32" i="1"/>
  <c r="AQ32" i="1" s="1"/>
  <c r="AH746" i="1"/>
  <c r="AP746" i="1" s="1"/>
  <c r="AH757" i="1"/>
  <c r="AP757" i="1" s="1"/>
  <c r="AH769" i="1"/>
  <c r="AP769" i="1" s="1"/>
  <c r="AH819" i="1"/>
  <c r="AP819" i="1" s="1"/>
  <c r="AH831" i="1"/>
  <c r="AP831" i="1" s="1"/>
  <c r="AH843" i="1"/>
  <c r="AP843" i="1" s="1"/>
  <c r="AH865" i="1"/>
  <c r="AP865" i="1" s="1"/>
  <c r="AH921" i="1"/>
  <c r="AP921" i="1" s="1"/>
  <c r="AH933" i="1"/>
  <c r="AP933" i="1" s="1"/>
  <c r="AH957" i="1"/>
  <c r="AP957" i="1" s="1"/>
  <c r="AH967" i="1"/>
  <c r="AP967" i="1" s="1"/>
  <c r="AH16" i="1"/>
  <c r="AP16" i="1" s="1"/>
  <c r="AI36" i="1"/>
  <c r="AQ36" i="1" s="1"/>
  <c r="AI40" i="1"/>
  <c r="AQ40" i="1" s="1"/>
  <c r="AI44" i="1"/>
  <c r="AQ44" i="1" s="1"/>
  <c r="AI48" i="1"/>
  <c r="AQ48" i="1" s="1"/>
  <c r="AI52" i="1"/>
  <c r="AQ52" i="1" s="1"/>
  <c r="AI56" i="1"/>
  <c r="AQ56" i="1" s="1"/>
  <c r="AI60" i="1"/>
  <c r="AQ60" i="1" s="1"/>
  <c r="AI64" i="1"/>
  <c r="AQ64" i="1" s="1"/>
  <c r="AI68" i="1"/>
  <c r="AQ68" i="1" s="1"/>
  <c r="AI72" i="1"/>
  <c r="AQ72" i="1" s="1"/>
  <c r="AI76" i="1"/>
  <c r="AQ76" i="1" s="1"/>
  <c r="AI80" i="1"/>
  <c r="AQ80" i="1" s="1"/>
  <c r="AI84" i="1"/>
  <c r="AQ84" i="1" s="1"/>
  <c r="AI88" i="1"/>
  <c r="AQ88" i="1" s="1"/>
  <c r="AI92" i="1"/>
  <c r="AQ92" i="1" s="1"/>
  <c r="AI96" i="1"/>
  <c r="AQ96" i="1" s="1"/>
  <c r="AI100" i="1"/>
  <c r="AQ100" i="1" s="1"/>
  <c r="AI104" i="1"/>
  <c r="AQ104" i="1" s="1"/>
  <c r="AI108" i="1"/>
  <c r="AQ108" i="1" s="1"/>
  <c r="AI112" i="1"/>
  <c r="AQ112" i="1" s="1"/>
  <c r="AI116" i="1"/>
  <c r="AQ116" i="1" s="1"/>
  <c r="AI120" i="1"/>
  <c r="AQ120" i="1" s="1"/>
  <c r="AI124" i="1"/>
  <c r="AQ124" i="1" s="1"/>
  <c r="AI128" i="1"/>
  <c r="AQ128" i="1" s="1"/>
  <c r="AI132" i="1"/>
  <c r="AQ132" i="1" s="1"/>
  <c r="AI136" i="1"/>
  <c r="AQ136" i="1" s="1"/>
  <c r="AI140" i="1"/>
  <c r="AQ140" i="1" s="1"/>
  <c r="AI144" i="1"/>
  <c r="AQ144" i="1" s="1"/>
  <c r="AI148" i="1"/>
  <c r="AQ148" i="1" s="1"/>
  <c r="AI152" i="1"/>
  <c r="AQ152" i="1" s="1"/>
  <c r="AI156" i="1"/>
  <c r="AQ156" i="1" s="1"/>
  <c r="AI160" i="1"/>
  <c r="AQ160" i="1" s="1"/>
  <c r="AI164" i="1"/>
  <c r="AQ164" i="1" s="1"/>
  <c r="AI168" i="1"/>
  <c r="AQ168" i="1" s="1"/>
  <c r="AI172" i="1"/>
  <c r="AQ172" i="1" s="1"/>
  <c r="AI176" i="1"/>
  <c r="AQ176" i="1" s="1"/>
  <c r="AI180" i="1"/>
  <c r="AQ180" i="1" s="1"/>
  <c r="AI184" i="1"/>
  <c r="AQ184" i="1" s="1"/>
  <c r="AI188" i="1"/>
  <c r="AQ188" i="1" s="1"/>
  <c r="AI192" i="1"/>
  <c r="AQ192" i="1" s="1"/>
  <c r="AI196" i="1"/>
  <c r="AQ196" i="1" s="1"/>
  <c r="AI200" i="1"/>
  <c r="AQ200" i="1" s="1"/>
  <c r="AI204" i="1"/>
  <c r="AQ204" i="1" s="1"/>
  <c r="AI208" i="1"/>
  <c r="AQ208" i="1" s="1"/>
  <c r="AI212" i="1"/>
  <c r="AQ212" i="1" s="1"/>
  <c r="AI216" i="1"/>
  <c r="AQ216" i="1" s="1"/>
  <c r="AI220" i="1"/>
  <c r="AQ220" i="1" s="1"/>
  <c r="AI224" i="1"/>
  <c r="AQ224" i="1" s="1"/>
  <c r="AI228" i="1"/>
  <c r="AQ228" i="1" s="1"/>
  <c r="AI232" i="1"/>
  <c r="AQ232" i="1" s="1"/>
  <c r="AI236" i="1"/>
  <c r="AQ236" i="1" s="1"/>
  <c r="AI240" i="1"/>
  <c r="AQ240" i="1" s="1"/>
  <c r="AI244" i="1"/>
  <c r="AQ244" i="1" s="1"/>
  <c r="AI248" i="1"/>
  <c r="AQ248" i="1" s="1"/>
  <c r="AI252" i="1"/>
  <c r="AQ252" i="1" s="1"/>
  <c r="AI256" i="1"/>
  <c r="AQ256" i="1" s="1"/>
  <c r="AI260" i="1"/>
  <c r="AQ260" i="1" s="1"/>
  <c r="AI264" i="1"/>
  <c r="AQ264" i="1" s="1"/>
  <c r="AI268" i="1"/>
  <c r="AQ268" i="1" s="1"/>
  <c r="AI272" i="1"/>
  <c r="AQ272" i="1" s="1"/>
  <c r="AI276" i="1"/>
  <c r="AQ276" i="1" s="1"/>
  <c r="AI280" i="1"/>
  <c r="AQ280" i="1" s="1"/>
  <c r="AI284" i="1"/>
  <c r="AQ284" i="1" s="1"/>
  <c r="AI288" i="1"/>
  <c r="AQ288" i="1" s="1"/>
  <c r="AI292" i="1"/>
  <c r="AQ292" i="1" s="1"/>
  <c r="AI296" i="1"/>
  <c r="AQ296" i="1" s="1"/>
  <c r="AI300" i="1"/>
  <c r="AQ300" i="1" s="1"/>
  <c r="AI304" i="1"/>
  <c r="AQ304" i="1" s="1"/>
  <c r="AI308" i="1"/>
  <c r="AQ308" i="1" s="1"/>
  <c r="AI312" i="1"/>
  <c r="AQ312" i="1" s="1"/>
  <c r="AI316" i="1"/>
  <c r="AQ316" i="1" s="1"/>
  <c r="AI320" i="1"/>
  <c r="AQ320" i="1" s="1"/>
  <c r="AI324" i="1"/>
  <c r="AQ324" i="1" s="1"/>
  <c r="AI328" i="1"/>
  <c r="AQ328" i="1" s="1"/>
  <c r="AI332" i="1"/>
  <c r="AQ332" i="1" s="1"/>
  <c r="AI336" i="1"/>
  <c r="AQ336" i="1" s="1"/>
  <c r="AI340" i="1"/>
  <c r="AQ340" i="1" s="1"/>
  <c r="AI344" i="1"/>
  <c r="AQ344" i="1" s="1"/>
  <c r="AI348" i="1"/>
  <c r="AQ348" i="1" s="1"/>
  <c r="AI352" i="1"/>
  <c r="AQ352" i="1" s="1"/>
  <c r="AI356" i="1"/>
  <c r="AQ356" i="1" s="1"/>
  <c r="AI360" i="1"/>
  <c r="AQ360" i="1" s="1"/>
  <c r="AI364" i="1"/>
  <c r="AQ364" i="1" s="1"/>
  <c r="AI368" i="1"/>
  <c r="AQ368" i="1" s="1"/>
  <c r="AI372" i="1"/>
  <c r="AQ372" i="1" s="1"/>
  <c r="AI376" i="1"/>
  <c r="AQ376" i="1" s="1"/>
  <c r="AI380" i="1"/>
  <c r="AQ380" i="1" s="1"/>
  <c r="AI384" i="1"/>
  <c r="AQ384" i="1" s="1"/>
  <c r="AI388" i="1"/>
  <c r="AQ388" i="1" s="1"/>
  <c r="AI392" i="1"/>
  <c r="AQ392" i="1" s="1"/>
  <c r="AI396" i="1"/>
  <c r="AQ396" i="1" s="1"/>
  <c r="AI400" i="1"/>
  <c r="AQ400" i="1" s="1"/>
  <c r="AI404" i="1"/>
  <c r="AQ404" i="1" s="1"/>
  <c r="AI408" i="1"/>
  <c r="AQ408" i="1" s="1"/>
  <c r="AI412" i="1"/>
  <c r="AQ412" i="1" s="1"/>
  <c r="AI416" i="1"/>
  <c r="AQ416" i="1" s="1"/>
  <c r="AI420" i="1"/>
  <c r="AQ420" i="1" s="1"/>
  <c r="AI424" i="1"/>
  <c r="AQ424" i="1" s="1"/>
  <c r="AI428" i="1"/>
  <c r="AQ428" i="1" s="1"/>
  <c r="AI432" i="1"/>
  <c r="AQ432" i="1" s="1"/>
  <c r="AI436" i="1"/>
  <c r="AQ436" i="1" s="1"/>
  <c r="AI440" i="1"/>
  <c r="AQ440" i="1" s="1"/>
  <c r="AI444" i="1"/>
  <c r="AQ444" i="1" s="1"/>
  <c r="AI448" i="1"/>
  <c r="AQ448" i="1" s="1"/>
  <c r="AI452" i="1"/>
  <c r="AQ452" i="1" s="1"/>
  <c r="AI456" i="1"/>
  <c r="AQ456" i="1" s="1"/>
  <c r="AI460" i="1"/>
  <c r="AQ460" i="1" s="1"/>
  <c r="AI464" i="1"/>
  <c r="AQ464" i="1" s="1"/>
  <c r="AI468" i="1"/>
  <c r="AQ468" i="1" s="1"/>
  <c r="AI472" i="1"/>
  <c r="AQ472" i="1" s="1"/>
  <c r="AI476" i="1"/>
  <c r="AQ476" i="1" s="1"/>
  <c r="AI480" i="1"/>
  <c r="AQ480" i="1" s="1"/>
  <c r="AI484" i="1"/>
  <c r="AQ484" i="1" s="1"/>
  <c r="AI488" i="1"/>
  <c r="AQ488" i="1" s="1"/>
  <c r="AI492" i="1"/>
  <c r="AQ492" i="1" s="1"/>
  <c r="AI496" i="1"/>
  <c r="AQ496" i="1" s="1"/>
  <c r="AI500" i="1"/>
  <c r="AQ500" i="1" s="1"/>
  <c r="AI504" i="1"/>
  <c r="AQ504" i="1" s="1"/>
  <c r="AI508" i="1"/>
  <c r="AQ508" i="1" s="1"/>
  <c r="AI512" i="1"/>
  <c r="AQ512" i="1" s="1"/>
  <c r="AI516" i="1"/>
  <c r="AQ516" i="1" s="1"/>
  <c r="AI520" i="1"/>
  <c r="AQ520" i="1" s="1"/>
  <c r="AI524" i="1"/>
  <c r="AQ524" i="1" s="1"/>
  <c r="AI528" i="1"/>
  <c r="AQ528" i="1" s="1"/>
  <c r="AI532" i="1"/>
  <c r="AQ532" i="1" s="1"/>
  <c r="AI536" i="1"/>
  <c r="AQ536" i="1" s="1"/>
  <c r="AI540" i="1"/>
  <c r="AQ540" i="1" s="1"/>
  <c r="AI544" i="1"/>
  <c r="AQ544" i="1" s="1"/>
  <c r="AI548" i="1"/>
  <c r="AQ548" i="1" s="1"/>
  <c r="AI552" i="1"/>
  <c r="AQ552" i="1" s="1"/>
  <c r="AI556" i="1"/>
  <c r="AQ556" i="1" s="1"/>
  <c r="AI560" i="1"/>
  <c r="AQ560" i="1" s="1"/>
  <c r="AI564" i="1"/>
  <c r="AQ564" i="1" s="1"/>
  <c r="AI568" i="1"/>
  <c r="AQ568" i="1" s="1"/>
  <c r="AI572" i="1"/>
  <c r="AQ572" i="1" s="1"/>
  <c r="AI576" i="1"/>
  <c r="AQ576" i="1" s="1"/>
  <c r="AI580" i="1"/>
  <c r="AQ580" i="1" s="1"/>
  <c r="AI584" i="1"/>
  <c r="AQ584" i="1" s="1"/>
  <c r="AI588" i="1"/>
  <c r="AQ588" i="1" s="1"/>
  <c r="AI592" i="1"/>
  <c r="AQ592" i="1" s="1"/>
  <c r="AI596" i="1"/>
  <c r="AQ596" i="1" s="1"/>
  <c r="AI600" i="1"/>
  <c r="AQ600" i="1" s="1"/>
  <c r="AI604" i="1"/>
  <c r="AQ604" i="1" s="1"/>
  <c r="AI608" i="1"/>
  <c r="AQ608" i="1" s="1"/>
  <c r="AI612" i="1"/>
  <c r="AQ612" i="1" s="1"/>
  <c r="AI616" i="1"/>
  <c r="AQ616" i="1" s="1"/>
  <c r="AI620" i="1"/>
  <c r="AQ620" i="1" s="1"/>
  <c r="AI624" i="1"/>
  <c r="AQ624" i="1" s="1"/>
  <c r="AI628" i="1"/>
  <c r="AQ628" i="1" s="1"/>
  <c r="AI632" i="1"/>
  <c r="AQ632" i="1" s="1"/>
  <c r="AI636" i="1"/>
  <c r="AQ636" i="1" s="1"/>
  <c r="AI640" i="1"/>
  <c r="AQ640" i="1" s="1"/>
  <c r="AI644" i="1"/>
  <c r="AQ644" i="1" s="1"/>
  <c r="AI648" i="1"/>
  <c r="AQ648" i="1" s="1"/>
  <c r="AI652" i="1"/>
  <c r="AQ652" i="1" s="1"/>
  <c r="AI656" i="1"/>
  <c r="AQ656" i="1" s="1"/>
  <c r="AI660" i="1"/>
  <c r="AQ660" i="1" s="1"/>
  <c r="AI664" i="1"/>
  <c r="AQ664" i="1" s="1"/>
  <c r="AI668" i="1"/>
  <c r="AQ668" i="1" s="1"/>
  <c r="AI672" i="1"/>
  <c r="AQ672" i="1" s="1"/>
  <c r="AI676" i="1"/>
  <c r="AQ676" i="1" s="1"/>
  <c r="AI680" i="1"/>
  <c r="AQ680" i="1" s="1"/>
  <c r="AI684" i="1"/>
  <c r="AQ684" i="1" s="1"/>
  <c r="AI688" i="1"/>
  <c r="AQ688" i="1" s="1"/>
  <c r="AI692" i="1"/>
  <c r="AQ692" i="1" s="1"/>
  <c r="AI696" i="1"/>
  <c r="AQ696" i="1" s="1"/>
  <c r="AI700" i="1"/>
  <c r="AQ700" i="1" s="1"/>
  <c r="AI704" i="1"/>
  <c r="AQ704" i="1" s="1"/>
  <c r="AI708" i="1"/>
  <c r="AQ708" i="1" s="1"/>
  <c r="AI712" i="1"/>
  <c r="AQ712" i="1" s="1"/>
  <c r="AI716" i="1"/>
  <c r="AQ716" i="1" s="1"/>
  <c r="AI720" i="1"/>
  <c r="AQ720" i="1" s="1"/>
  <c r="AI724" i="1"/>
  <c r="AQ724" i="1" s="1"/>
  <c r="AI728" i="1"/>
  <c r="AQ728" i="1" s="1"/>
  <c r="AI732" i="1"/>
  <c r="AQ732" i="1" s="1"/>
  <c r="AI736" i="1"/>
  <c r="AQ736" i="1" s="1"/>
  <c r="AI740" i="1"/>
  <c r="AQ740" i="1" s="1"/>
  <c r="AI744" i="1"/>
  <c r="AQ744" i="1" s="1"/>
  <c r="AI748" i="1"/>
  <c r="AQ748" i="1" s="1"/>
  <c r="AI752" i="1"/>
  <c r="AQ752" i="1" s="1"/>
  <c r="AI756" i="1"/>
  <c r="AQ756" i="1" s="1"/>
  <c r="AI760" i="1"/>
  <c r="AQ760" i="1" s="1"/>
  <c r="AI764" i="1"/>
  <c r="AQ764" i="1" s="1"/>
  <c r="AI768" i="1"/>
  <c r="AQ768" i="1" s="1"/>
  <c r="AI772" i="1"/>
  <c r="AQ772" i="1" s="1"/>
  <c r="AI776" i="1"/>
  <c r="AQ776" i="1" s="1"/>
  <c r="AI780" i="1"/>
  <c r="AQ780" i="1" s="1"/>
  <c r="AI784" i="1"/>
  <c r="AQ784" i="1" s="1"/>
  <c r="AI788" i="1"/>
  <c r="AQ788" i="1" s="1"/>
  <c r="AI792" i="1"/>
  <c r="AQ792" i="1" s="1"/>
  <c r="AI796" i="1"/>
  <c r="AQ796" i="1" s="1"/>
  <c r="AI800" i="1"/>
  <c r="AQ800" i="1" s="1"/>
  <c r="AI804" i="1"/>
  <c r="AQ804" i="1" s="1"/>
  <c r="AI808" i="1"/>
  <c r="AQ808" i="1" s="1"/>
  <c r="AI812" i="1"/>
  <c r="AQ812" i="1" s="1"/>
  <c r="AI816" i="1"/>
  <c r="AQ816" i="1" s="1"/>
  <c r="AI820" i="1"/>
  <c r="AQ820" i="1" s="1"/>
  <c r="AI824" i="1"/>
  <c r="AQ824" i="1" s="1"/>
  <c r="AI828" i="1"/>
  <c r="AQ828" i="1" s="1"/>
  <c r="AI832" i="1"/>
  <c r="AQ832" i="1" s="1"/>
  <c r="AI836" i="1"/>
  <c r="AQ836" i="1" s="1"/>
  <c r="AI840" i="1"/>
  <c r="AQ840" i="1" s="1"/>
  <c r="AI844" i="1"/>
  <c r="AQ844" i="1" s="1"/>
  <c r="AI848" i="1"/>
  <c r="AQ848" i="1" s="1"/>
  <c r="AI852" i="1"/>
  <c r="AQ852" i="1" s="1"/>
  <c r="AI856" i="1"/>
  <c r="AQ856" i="1" s="1"/>
  <c r="AI860" i="1"/>
  <c r="AQ860" i="1" s="1"/>
  <c r="AI864" i="1"/>
  <c r="AQ864" i="1" s="1"/>
  <c r="AI868" i="1"/>
  <c r="AQ868" i="1" s="1"/>
  <c r="AI872" i="1"/>
  <c r="AQ872" i="1" s="1"/>
  <c r="AI876" i="1"/>
  <c r="AQ876" i="1" s="1"/>
  <c r="AI880" i="1"/>
  <c r="AQ880" i="1" s="1"/>
  <c r="AI884" i="1"/>
  <c r="AQ884" i="1" s="1"/>
  <c r="AJ25" i="1"/>
  <c r="AR25" i="1" s="1"/>
  <c r="AJ33" i="1"/>
  <c r="AR33" i="1" s="1"/>
  <c r="AJ41" i="1"/>
  <c r="AR41" i="1" s="1"/>
  <c r="AJ49" i="1"/>
  <c r="AR49" i="1" s="1"/>
  <c r="AJ57" i="1"/>
  <c r="AR57" i="1" s="1"/>
  <c r="AJ65" i="1"/>
  <c r="AR65" i="1" s="1"/>
  <c r="AJ73" i="1"/>
  <c r="AR73" i="1" s="1"/>
  <c r="AJ81" i="1"/>
  <c r="AR81" i="1" s="1"/>
  <c r="AJ89" i="1"/>
  <c r="AR89" i="1" s="1"/>
  <c r="AJ97" i="1"/>
  <c r="AR97" i="1" s="1"/>
  <c r="AJ105" i="1"/>
  <c r="AR105" i="1" s="1"/>
  <c r="AJ113" i="1"/>
  <c r="AR113" i="1" s="1"/>
  <c r="AJ121" i="1"/>
  <c r="AR121" i="1" s="1"/>
  <c r="AJ129" i="1"/>
  <c r="AR129" i="1" s="1"/>
  <c r="AJ137" i="1"/>
  <c r="AR137" i="1" s="1"/>
  <c r="AJ145" i="1"/>
  <c r="AR145" i="1" s="1"/>
  <c r="AJ153" i="1"/>
  <c r="AR153" i="1" s="1"/>
  <c r="AJ161" i="1"/>
  <c r="AR161" i="1" s="1"/>
  <c r="AJ169" i="1"/>
  <c r="AR169" i="1" s="1"/>
  <c r="AJ177" i="1"/>
  <c r="AR177" i="1" s="1"/>
  <c r="AJ185" i="1"/>
  <c r="AR185" i="1" s="1"/>
  <c r="AJ193" i="1"/>
  <c r="AR193" i="1" s="1"/>
  <c r="AJ201" i="1"/>
  <c r="AR201" i="1" s="1"/>
  <c r="AJ209" i="1"/>
  <c r="AR209" i="1" s="1"/>
  <c r="AJ217" i="1"/>
  <c r="AR217" i="1" s="1"/>
  <c r="AJ225" i="1"/>
  <c r="AR225" i="1" s="1"/>
  <c r="AJ233" i="1"/>
  <c r="AR233" i="1" s="1"/>
  <c r="AJ241" i="1"/>
  <c r="AR241" i="1" s="1"/>
  <c r="AJ249" i="1"/>
  <c r="AR249" i="1" s="1"/>
  <c r="AJ257" i="1"/>
  <c r="AR257" i="1" s="1"/>
  <c r="AJ265" i="1"/>
  <c r="AR265" i="1" s="1"/>
  <c r="AJ273" i="1"/>
  <c r="AR273" i="1" s="1"/>
  <c r="AJ281" i="1"/>
  <c r="AR281" i="1" s="1"/>
  <c r="AJ289" i="1"/>
  <c r="AR289" i="1" s="1"/>
  <c r="AJ297" i="1"/>
  <c r="AR297" i="1" s="1"/>
  <c r="AJ305" i="1"/>
  <c r="AR305" i="1" s="1"/>
  <c r="AJ313" i="1"/>
  <c r="AR313" i="1" s="1"/>
  <c r="AJ321" i="1"/>
  <c r="AR321" i="1" s="1"/>
  <c r="AJ329" i="1"/>
  <c r="AR329" i="1" s="1"/>
  <c r="AJ337" i="1"/>
  <c r="AR337" i="1" s="1"/>
  <c r="AJ345" i="1"/>
  <c r="AR345" i="1" s="1"/>
  <c r="AJ353" i="1"/>
  <c r="AR353" i="1" s="1"/>
  <c r="AK4" i="1"/>
  <c r="AS4" i="1" s="1"/>
  <c r="AK12" i="1"/>
  <c r="AS12" i="1" s="1"/>
  <c r="AK867" i="1"/>
  <c r="AS867" i="1" s="1"/>
  <c r="AK983" i="1"/>
  <c r="AS983" i="1" s="1"/>
  <c r="AK991" i="1"/>
  <c r="AS991" i="1" s="1"/>
  <c r="AH762" i="1"/>
  <c r="AP762" i="1" s="1"/>
  <c r="AH747" i="1"/>
  <c r="AP747" i="1" s="1"/>
  <c r="AH758" i="1"/>
  <c r="AP758" i="1" s="1"/>
  <c r="AH815" i="1"/>
  <c r="AP815" i="1" s="1"/>
  <c r="AH827" i="1"/>
  <c r="AP827" i="1" s="1"/>
  <c r="AH839" i="1"/>
  <c r="AP839" i="1" s="1"/>
  <c r="AH876" i="1"/>
  <c r="AP876" i="1" s="1"/>
  <c r="AH888" i="1"/>
  <c r="AP888" i="1" s="1"/>
  <c r="AH901" i="1"/>
  <c r="AP901" i="1" s="1"/>
  <c r="AH912" i="1"/>
  <c r="AP912" i="1" s="1"/>
  <c r="AH938" i="1"/>
  <c r="AP938" i="1" s="1"/>
  <c r="AH950" i="1"/>
  <c r="AP950" i="1" s="1"/>
  <c r="AH963" i="1"/>
  <c r="AP963" i="1" s="1"/>
  <c r="AH999" i="1"/>
  <c r="AP999" i="1" s="1"/>
  <c r="AH741" i="1"/>
  <c r="AP741" i="1" s="1"/>
  <c r="AH751" i="1"/>
  <c r="AP751" i="1" s="1"/>
  <c r="AH893" i="1"/>
  <c r="AP893" i="1" s="1"/>
  <c r="AH927" i="1"/>
  <c r="AP927" i="1" s="1"/>
  <c r="AH8" i="1"/>
  <c r="AP8" i="1" s="1"/>
  <c r="AJ357" i="1"/>
  <c r="AR357" i="1" s="1"/>
  <c r="AJ695" i="1"/>
  <c r="AR695" i="1" s="1"/>
  <c r="AJ982" i="1"/>
  <c r="AR982" i="1" s="1"/>
  <c r="AJ990" i="1"/>
  <c r="AR990" i="1" s="1"/>
  <c r="AJ998" i="1"/>
  <c r="AR998" i="1" s="1"/>
  <c r="AJ977" i="1"/>
  <c r="AR977" i="1" s="1"/>
  <c r="AK6" i="1"/>
  <c r="AS6" i="1" s="1"/>
  <c r="AK14" i="1"/>
  <c r="AS14" i="1" s="1"/>
  <c r="AJ359" i="1"/>
  <c r="AR359" i="1" s="1"/>
  <c r="AJ9" i="1"/>
  <c r="AR9" i="1" s="1"/>
  <c r="AJ17" i="1"/>
  <c r="AR17" i="1" s="1"/>
  <c r="AH745" i="1"/>
  <c r="AP745" i="1" s="1"/>
  <c r="AH943" i="1"/>
  <c r="AP943" i="1" s="1"/>
  <c r="AH885" i="1"/>
  <c r="AP885" i="1" s="1"/>
  <c r="AH897" i="1"/>
  <c r="AP897" i="1" s="1"/>
  <c r="AJ980" i="1"/>
  <c r="AR980" i="1" s="1"/>
  <c r="AJ988" i="1"/>
  <c r="AR988" i="1" s="1"/>
  <c r="AJ996" i="1"/>
  <c r="AR996" i="1" s="1"/>
  <c r="AJ362" i="1"/>
  <c r="AR362" i="1" s="1"/>
  <c r="AJ370" i="1"/>
  <c r="AR370" i="1" s="1"/>
  <c r="AJ378" i="1"/>
  <c r="AR378" i="1" s="1"/>
  <c r="AJ386" i="1"/>
  <c r="AR386" i="1" s="1"/>
  <c r="AJ394" i="1"/>
  <c r="AR394" i="1" s="1"/>
  <c r="AJ402" i="1"/>
  <c r="AR402" i="1" s="1"/>
  <c r="AJ410" i="1"/>
  <c r="AR410" i="1" s="1"/>
  <c r="AJ418" i="1"/>
  <c r="AR418" i="1" s="1"/>
  <c r="AJ426" i="1"/>
  <c r="AR426" i="1" s="1"/>
  <c r="AJ434" i="1"/>
  <c r="AR434" i="1" s="1"/>
  <c r="AJ442" i="1"/>
  <c r="AR442" i="1" s="1"/>
  <c r="AJ450" i="1"/>
  <c r="AR450" i="1" s="1"/>
  <c r="AJ458" i="1"/>
  <c r="AR458" i="1" s="1"/>
  <c r="AJ466" i="1"/>
  <c r="AR466" i="1" s="1"/>
  <c r="AJ474" i="1"/>
  <c r="AR474" i="1" s="1"/>
  <c r="AJ482" i="1"/>
  <c r="AR482" i="1" s="1"/>
  <c r="AJ490" i="1"/>
  <c r="AR490" i="1" s="1"/>
  <c r="AJ498" i="1"/>
  <c r="AR498" i="1" s="1"/>
  <c r="AJ506" i="1"/>
  <c r="AR506" i="1" s="1"/>
  <c r="AJ514" i="1"/>
  <c r="AR514" i="1" s="1"/>
  <c r="AJ522" i="1"/>
  <c r="AR522" i="1" s="1"/>
  <c r="AJ530" i="1"/>
  <c r="AR530" i="1" s="1"/>
  <c r="AJ538" i="1"/>
  <c r="AR538" i="1" s="1"/>
  <c r="AJ546" i="1"/>
  <c r="AR546" i="1" s="1"/>
  <c r="AJ554" i="1"/>
  <c r="AR554" i="1" s="1"/>
  <c r="AJ562" i="1"/>
  <c r="AR562" i="1" s="1"/>
  <c r="AJ570" i="1"/>
  <c r="AR570" i="1" s="1"/>
  <c r="AJ578" i="1"/>
  <c r="AR578" i="1" s="1"/>
  <c r="AJ586" i="1"/>
  <c r="AR586" i="1" s="1"/>
  <c r="AJ594" i="1"/>
  <c r="AR594" i="1" s="1"/>
  <c r="AJ602" i="1"/>
  <c r="AR602" i="1" s="1"/>
  <c r="AJ610" i="1"/>
  <c r="AR610" i="1" s="1"/>
  <c r="AJ618" i="1"/>
  <c r="AR618" i="1" s="1"/>
  <c r="AJ626" i="1"/>
  <c r="AR626" i="1" s="1"/>
  <c r="AJ634" i="1"/>
  <c r="AR634" i="1" s="1"/>
  <c r="AJ642" i="1"/>
  <c r="AR642" i="1" s="1"/>
  <c r="AJ650" i="1"/>
  <c r="AR650" i="1" s="1"/>
  <c r="AJ658" i="1"/>
  <c r="AR658" i="1" s="1"/>
  <c r="AJ666" i="1"/>
  <c r="AR666" i="1" s="1"/>
  <c r="AJ674" i="1"/>
  <c r="AR674" i="1" s="1"/>
  <c r="AJ682" i="1"/>
  <c r="AR682" i="1" s="1"/>
  <c r="AJ690" i="1"/>
  <c r="AR690" i="1" s="1"/>
  <c r="AJ702" i="1"/>
  <c r="AR702" i="1" s="1"/>
  <c r="AJ710" i="1"/>
  <c r="AR710" i="1" s="1"/>
  <c r="AJ718" i="1"/>
  <c r="AR718" i="1" s="1"/>
  <c r="AJ726" i="1"/>
  <c r="AR726" i="1" s="1"/>
  <c r="AJ734" i="1"/>
  <c r="AR734" i="1" s="1"/>
  <c r="AJ742" i="1"/>
  <c r="AR742" i="1" s="1"/>
  <c r="AJ750" i="1"/>
  <c r="AR750" i="1" s="1"/>
  <c r="AJ758" i="1"/>
  <c r="AR758" i="1" s="1"/>
  <c r="AJ766" i="1"/>
  <c r="AR766" i="1" s="1"/>
  <c r="AJ774" i="1"/>
  <c r="AR774" i="1" s="1"/>
  <c r="AJ782" i="1"/>
  <c r="AR782" i="1" s="1"/>
  <c r="AJ790" i="1"/>
  <c r="AR790" i="1" s="1"/>
  <c r="AJ798" i="1"/>
  <c r="AR798" i="1" s="1"/>
  <c r="AJ806" i="1"/>
  <c r="AR806" i="1" s="1"/>
  <c r="AJ814" i="1"/>
  <c r="AR814" i="1" s="1"/>
  <c r="AJ822" i="1"/>
  <c r="AR822" i="1" s="1"/>
  <c r="AJ830" i="1"/>
  <c r="AR830" i="1" s="1"/>
  <c r="AJ838" i="1"/>
  <c r="AR838" i="1" s="1"/>
  <c r="AJ846" i="1"/>
  <c r="AR846" i="1" s="1"/>
  <c r="AJ854" i="1"/>
  <c r="AR854" i="1" s="1"/>
  <c r="AJ862" i="1"/>
  <c r="AR862" i="1" s="1"/>
  <c r="AJ870" i="1"/>
  <c r="AR870" i="1" s="1"/>
  <c r="AJ878" i="1"/>
  <c r="AR878" i="1" s="1"/>
  <c r="AJ886" i="1"/>
  <c r="AR886" i="1" s="1"/>
  <c r="AJ894" i="1"/>
  <c r="AR894" i="1" s="1"/>
  <c r="AJ902" i="1"/>
  <c r="AR902" i="1" s="1"/>
  <c r="AJ910" i="1"/>
  <c r="AR910" i="1" s="1"/>
  <c r="AJ918" i="1"/>
  <c r="AR918" i="1" s="1"/>
  <c r="AJ926" i="1"/>
  <c r="AR926" i="1" s="1"/>
  <c r="AJ934" i="1"/>
  <c r="AR934" i="1" s="1"/>
  <c r="AJ942" i="1"/>
  <c r="AR942" i="1" s="1"/>
  <c r="AJ950" i="1"/>
  <c r="AR950" i="1" s="1"/>
  <c r="AJ958" i="1"/>
  <c r="AR958" i="1" s="1"/>
  <c r="AJ966" i="1"/>
  <c r="AR966" i="1" s="1"/>
  <c r="AJ974" i="1"/>
  <c r="AR974" i="1" s="1"/>
  <c r="AJ985" i="1"/>
  <c r="AR985" i="1" s="1"/>
  <c r="AJ993" i="1"/>
  <c r="AR993" i="1" s="1"/>
  <c r="AK980" i="1"/>
  <c r="AS980" i="1" s="1"/>
  <c r="AK988" i="1"/>
  <c r="AS988" i="1" s="1"/>
  <c r="AK996" i="1"/>
  <c r="AS996" i="1" s="1"/>
  <c r="AJ1000" i="1"/>
  <c r="AR1000" i="1" s="1"/>
  <c r="AH859" i="1"/>
  <c r="AP859" i="1" s="1"/>
  <c r="AH871" i="1"/>
  <c r="AP871" i="1" s="1"/>
  <c r="AH881" i="1"/>
  <c r="AP881" i="1" s="1"/>
  <c r="AH905" i="1"/>
  <c r="AP905" i="1" s="1"/>
  <c r="AH917" i="1"/>
  <c r="AP917" i="1" s="1"/>
  <c r="AI888" i="1"/>
  <c r="AQ888" i="1" s="1"/>
  <c r="AI892" i="1"/>
  <c r="AQ892" i="1" s="1"/>
  <c r="AI896" i="1"/>
  <c r="AQ896" i="1" s="1"/>
  <c r="AI900" i="1"/>
  <c r="AQ900" i="1" s="1"/>
  <c r="AI904" i="1"/>
  <c r="AQ904" i="1" s="1"/>
  <c r="AI908" i="1"/>
  <c r="AQ908" i="1" s="1"/>
  <c r="AI912" i="1"/>
  <c r="AQ912" i="1" s="1"/>
  <c r="AI916" i="1"/>
  <c r="AQ916" i="1" s="1"/>
  <c r="AH909" i="1"/>
  <c r="AP909" i="1" s="1"/>
  <c r="AJ4" i="1"/>
  <c r="AR4" i="1" s="1"/>
  <c r="AJ12" i="1"/>
  <c r="AR12" i="1" s="1"/>
  <c r="AK9" i="1"/>
  <c r="AS9" i="1" s="1"/>
  <c r="AK17" i="1"/>
  <c r="AS17" i="1" s="1"/>
  <c r="AK22" i="1"/>
  <c r="AS22" i="1" s="1"/>
  <c r="AK30" i="1"/>
  <c r="AS30" i="1" s="1"/>
  <c r="AK38" i="1"/>
  <c r="AS38" i="1" s="1"/>
  <c r="AK46" i="1"/>
  <c r="AS46" i="1" s="1"/>
  <c r="AK54" i="1"/>
  <c r="AS54" i="1" s="1"/>
  <c r="AI920" i="1"/>
  <c r="AQ920" i="1" s="1"/>
  <c r="AI924" i="1"/>
  <c r="AQ924" i="1" s="1"/>
  <c r="AI928" i="1"/>
  <c r="AQ928" i="1" s="1"/>
  <c r="AI932" i="1"/>
  <c r="AQ932" i="1" s="1"/>
  <c r="AI936" i="1"/>
  <c r="AQ936" i="1" s="1"/>
  <c r="AI940" i="1"/>
  <c r="AQ940" i="1" s="1"/>
  <c r="AI944" i="1"/>
  <c r="AQ944" i="1" s="1"/>
  <c r="AI948" i="1"/>
  <c r="AQ948" i="1" s="1"/>
  <c r="AI952" i="1"/>
  <c r="AQ952" i="1" s="1"/>
  <c r="AI956" i="1"/>
  <c r="AQ956" i="1" s="1"/>
  <c r="AI960" i="1"/>
  <c r="AQ960" i="1" s="1"/>
  <c r="AI964" i="1"/>
  <c r="AQ964" i="1" s="1"/>
  <c r="AI968" i="1"/>
  <c r="AQ968" i="1" s="1"/>
  <c r="AI972" i="1"/>
  <c r="AQ972" i="1" s="1"/>
  <c r="AI976" i="1"/>
  <c r="AQ976" i="1" s="1"/>
  <c r="AI980" i="1"/>
  <c r="AQ980" i="1" s="1"/>
  <c r="AI984" i="1"/>
  <c r="AQ984" i="1" s="1"/>
  <c r="AI988" i="1"/>
  <c r="AQ988" i="1" s="1"/>
  <c r="AI992" i="1"/>
  <c r="AQ992" i="1" s="1"/>
  <c r="AI996" i="1"/>
  <c r="AQ996" i="1" s="1"/>
  <c r="AI1000" i="1"/>
  <c r="AQ1000" i="1" s="1"/>
  <c r="AJ366" i="1"/>
  <c r="AR366" i="1" s="1"/>
  <c r="AJ374" i="1"/>
  <c r="AR374" i="1" s="1"/>
  <c r="AJ382" i="1"/>
  <c r="AR382" i="1" s="1"/>
  <c r="AJ390" i="1"/>
  <c r="AR390" i="1" s="1"/>
  <c r="AJ398" i="1"/>
  <c r="AR398" i="1" s="1"/>
  <c r="AJ406" i="1"/>
  <c r="AR406" i="1" s="1"/>
  <c r="AJ414" i="1"/>
  <c r="AR414" i="1" s="1"/>
  <c r="AJ422" i="1"/>
  <c r="AR422" i="1" s="1"/>
  <c r="AJ430" i="1"/>
  <c r="AR430" i="1" s="1"/>
  <c r="AJ438" i="1"/>
  <c r="AR438" i="1" s="1"/>
  <c r="AJ446" i="1"/>
  <c r="AR446" i="1" s="1"/>
  <c r="AJ454" i="1"/>
  <c r="AR454" i="1" s="1"/>
  <c r="AJ462" i="1"/>
  <c r="AR462" i="1" s="1"/>
  <c r="AJ470" i="1"/>
  <c r="AR470" i="1" s="1"/>
  <c r="AJ478" i="1"/>
  <c r="AR478" i="1" s="1"/>
  <c r="AJ486" i="1"/>
  <c r="AR486" i="1" s="1"/>
  <c r="AJ494" i="1"/>
  <c r="AR494" i="1" s="1"/>
  <c r="AJ502" i="1"/>
  <c r="AR502" i="1" s="1"/>
  <c r="AJ510" i="1"/>
  <c r="AR510" i="1" s="1"/>
  <c r="AJ518" i="1"/>
  <c r="AR518" i="1" s="1"/>
  <c r="AJ526" i="1"/>
  <c r="AR526" i="1" s="1"/>
  <c r="AJ534" i="1"/>
  <c r="AR534" i="1" s="1"/>
  <c r="AJ542" i="1"/>
  <c r="AR542" i="1" s="1"/>
  <c r="AJ550" i="1"/>
  <c r="AR550" i="1" s="1"/>
  <c r="AJ558" i="1"/>
  <c r="AR558" i="1" s="1"/>
  <c r="AJ566" i="1"/>
  <c r="AR566" i="1" s="1"/>
  <c r="AJ574" i="1"/>
  <c r="AR574" i="1" s="1"/>
  <c r="AJ582" i="1"/>
  <c r="AR582" i="1" s="1"/>
  <c r="AJ590" i="1"/>
  <c r="AR590" i="1" s="1"/>
  <c r="AJ598" i="1"/>
  <c r="AR598" i="1" s="1"/>
  <c r="AJ606" i="1"/>
  <c r="AR606" i="1" s="1"/>
  <c r="AJ614" i="1"/>
  <c r="AR614" i="1" s="1"/>
  <c r="AJ622" i="1"/>
  <c r="AR622" i="1" s="1"/>
  <c r="AJ630" i="1"/>
  <c r="AR630" i="1" s="1"/>
  <c r="AJ638" i="1"/>
  <c r="AR638" i="1" s="1"/>
  <c r="AJ646" i="1"/>
  <c r="AR646" i="1" s="1"/>
  <c r="AJ654" i="1"/>
  <c r="AR654" i="1" s="1"/>
  <c r="AJ662" i="1"/>
  <c r="AR662" i="1" s="1"/>
  <c r="AJ670" i="1"/>
  <c r="AR670" i="1" s="1"/>
  <c r="AJ678" i="1"/>
  <c r="AR678" i="1" s="1"/>
  <c r="AJ686" i="1"/>
  <c r="AR686" i="1" s="1"/>
  <c r="AJ694" i="1"/>
  <c r="AR694" i="1" s="1"/>
  <c r="AJ698" i="1"/>
  <c r="AR698" i="1" s="1"/>
  <c r="AJ706" i="1"/>
  <c r="AR706" i="1" s="1"/>
  <c r="AJ714" i="1"/>
  <c r="AR714" i="1" s="1"/>
  <c r="AJ722" i="1"/>
  <c r="AR722" i="1" s="1"/>
  <c r="AJ730" i="1"/>
  <c r="AR730" i="1" s="1"/>
  <c r="AJ738" i="1"/>
  <c r="AR738" i="1" s="1"/>
  <c r="AJ746" i="1"/>
  <c r="AR746" i="1" s="1"/>
  <c r="AJ754" i="1"/>
  <c r="AR754" i="1" s="1"/>
  <c r="AJ762" i="1"/>
  <c r="AR762" i="1" s="1"/>
  <c r="AJ770" i="1"/>
  <c r="AR770" i="1" s="1"/>
  <c r="AJ778" i="1"/>
  <c r="AR778" i="1" s="1"/>
  <c r="AJ786" i="1"/>
  <c r="AR786" i="1" s="1"/>
  <c r="AJ794" i="1"/>
  <c r="AR794" i="1" s="1"/>
  <c r="AJ802" i="1"/>
  <c r="AR802" i="1" s="1"/>
  <c r="AJ810" i="1"/>
  <c r="AR810" i="1" s="1"/>
  <c r="AJ818" i="1"/>
  <c r="AR818" i="1" s="1"/>
  <c r="AJ826" i="1"/>
  <c r="AR826" i="1" s="1"/>
  <c r="AJ834" i="1"/>
  <c r="AR834" i="1" s="1"/>
  <c r="AJ842" i="1"/>
  <c r="AR842" i="1" s="1"/>
  <c r="AJ850" i="1"/>
  <c r="AR850" i="1" s="1"/>
  <c r="AJ858" i="1"/>
  <c r="AR858" i="1" s="1"/>
  <c r="AJ866" i="1"/>
  <c r="AR866" i="1" s="1"/>
  <c r="AJ693" i="1"/>
  <c r="AR693" i="1" s="1"/>
  <c r="AK62" i="1"/>
  <c r="AS62" i="1" s="1"/>
  <c r="AK70" i="1"/>
  <c r="AS70" i="1" s="1"/>
  <c r="AK78" i="1"/>
  <c r="AS78" i="1" s="1"/>
  <c r="AK86" i="1"/>
  <c r="AS86" i="1" s="1"/>
  <c r="AK94" i="1"/>
  <c r="AS94" i="1" s="1"/>
  <c r="AK102" i="1"/>
  <c r="AS102" i="1" s="1"/>
  <c r="AK110" i="1"/>
  <c r="AS110" i="1" s="1"/>
  <c r="AK118" i="1"/>
  <c r="AS118" i="1" s="1"/>
  <c r="AK126" i="1"/>
  <c r="AS126" i="1" s="1"/>
  <c r="AK134" i="1"/>
  <c r="AS134" i="1" s="1"/>
  <c r="AK142" i="1"/>
  <c r="AS142" i="1" s="1"/>
  <c r="AK150" i="1"/>
  <c r="AS150" i="1" s="1"/>
  <c r="AK158" i="1"/>
  <c r="AS158" i="1" s="1"/>
  <c r="AK166" i="1"/>
  <c r="AS166" i="1" s="1"/>
  <c r="AK174" i="1"/>
  <c r="AS174" i="1" s="1"/>
  <c r="AK182" i="1"/>
  <c r="AS182" i="1" s="1"/>
  <c r="AK400" i="1"/>
  <c r="AS400" i="1" s="1"/>
  <c r="AK512" i="1"/>
  <c r="AS512" i="1" s="1"/>
  <c r="AK826" i="1"/>
  <c r="AS826" i="1" s="1"/>
  <c r="AK196" i="1"/>
  <c r="AS196" i="1" s="1"/>
  <c r="AK204" i="1"/>
  <c r="AS204" i="1" s="1"/>
  <c r="AK212" i="1"/>
  <c r="AS212" i="1" s="1"/>
  <c r="AK220" i="1"/>
  <c r="AS220" i="1" s="1"/>
  <c r="AK228" i="1"/>
  <c r="AS228" i="1" s="1"/>
  <c r="AK236" i="1"/>
  <c r="AS236" i="1" s="1"/>
  <c r="AK244" i="1"/>
  <c r="AS244" i="1" s="1"/>
  <c r="AK252" i="1"/>
  <c r="AS252" i="1" s="1"/>
  <c r="AK260" i="1"/>
  <c r="AS260" i="1" s="1"/>
  <c r="AK268" i="1"/>
  <c r="AS268" i="1" s="1"/>
  <c r="AK276" i="1"/>
  <c r="AS276" i="1" s="1"/>
  <c r="AK284" i="1"/>
  <c r="AS284" i="1" s="1"/>
  <c r="AK292" i="1"/>
  <c r="AS292" i="1" s="1"/>
  <c r="AK300" i="1"/>
  <c r="AS300" i="1" s="1"/>
  <c r="AK308" i="1"/>
  <c r="AS308" i="1" s="1"/>
  <c r="AK316" i="1"/>
  <c r="AS316" i="1" s="1"/>
  <c r="AK324" i="1"/>
  <c r="AS324" i="1" s="1"/>
  <c r="AK332" i="1"/>
  <c r="AS332" i="1" s="1"/>
  <c r="AK340" i="1"/>
  <c r="AS340" i="1" s="1"/>
  <c r="AK348" i="1"/>
  <c r="AS348" i="1" s="1"/>
  <c r="AK356" i="1"/>
  <c r="AS356" i="1" s="1"/>
  <c r="AK364" i="1"/>
  <c r="AS364" i="1" s="1"/>
  <c r="AK372" i="1"/>
  <c r="AS372" i="1" s="1"/>
  <c r="AK380" i="1"/>
  <c r="AS380" i="1" s="1"/>
  <c r="AK388" i="1"/>
  <c r="AS388" i="1" s="1"/>
  <c r="AK396" i="1"/>
  <c r="AS396" i="1" s="1"/>
  <c r="AK408" i="1"/>
  <c r="AS408" i="1" s="1"/>
  <c r="AK416" i="1"/>
  <c r="AS416" i="1" s="1"/>
  <c r="AK426" i="1"/>
  <c r="AS426" i="1" s="1"/>
  <c r="AK434" i="1"/>
  <c r="AS434" i="1" s="1"/>
  <c r="AK444" i="1"/>
  <c r="AS444" i="1" s="1"/>
  <c r="AK452" i="1"/>
  <c r="AS452" i="1" s="1"/>
  <c r="AK460" i="1"/>
  <c r="AS460" i="1" s="1"/>
  <c r="AK468" i="1"/>
  <c r="AS468" i="1" s="1"/>
  <c r="AK476" i="1"/>
  <c r="AS476" i="1" s="1"/>
  <c r="AK484" i="1"/>
  <c r="AS484" i="1" s="1"/>
  <c r="AK492" i="1"/>
  <c r="AS492" i="1" s="1"/>
  <c r="AK500" i="1"/>
  <c r="AS500" i="1" s="1"/>
  <c r="AK514" i="1"/>
  <c r="AS514" i="1" s="1"/>
  <c r="AK522" i="1"/>
  <c r="AS522" i="1" s="1"/>
  <c r="AK530" i="1"/>
  <c r="AS530" i="1" s="1"/>
  <c r="AK538" i="1"/>
  <c r="AS538" i="1" s="1"/>
  <c r="AK546" i="1"/>
  <c r="AS546" i="1" s="1"/>
  <c r="AK554" i="1"/>
  <c r="AS554" i="1" s="1"/>
  <c r="AK696" i="1"/>
  <c r="AS696" i="1" s="1"/>
  <c r="AK704" i="1"/>
  <c r="AS704" i="1" s="1"/>
  <c r="AK712" i="1"/>
  <c r="AS712" i="1" s="1"/>
  <c r="AK724" i="1"/>
  <c r="AS724" i="1" s="1"/>
  <c r="AK732" i="1"/>
  <c r="AS732" i="1" s="1"/>
  <c r="AK832" i="1"/>
  <c r="AS832" i="1" s="1"/>
  <c r="AK840" i="1"/>
  <c r="AS840" i="1" s="1"/>
  <c r="AK850" i="1"/>
  <c r="AS850" i="1" s="1"/>
  <c r="AK858" i="1"/>
  <c r="AS858" i="1" s="1"/>
  <c r="AK868" i="1"/>
  <c r="AS868" i="1" s="1"/>
  <c r="AK876" i="1"/>
  <c r="AS876" i="1" s="1"/>
  <c r="AK888" i="1"/>
  <c r="AS888" i="1" s="1"/>
  <c r="AK908" i="1"/>
  <c r="AS908" i="1" s="1"/>
  <c r="AK906" i="1"/>
  <c r="AS906" i="1" s="1"/>
  <c r="AK916" i="1"/>
  <c r="AS916" i="1" s="1"/>
  <c r="AK924" i="1"/>
  <c r="AS924" i="1" s="1"/>
  <c r="AK932" i="1"/>
  <c r="AS932" i="1" s="1"/>
  <c r="AK940" i="1"/>
  <c r="AS940" i="1" s="1"/>
  <c r="AK952" i="1"/>
  <c r="AS952" i="1" s="1"/>
  <c r="AK960" i="1"/>
  <c r="AS960" i="1" s="1"/>
  <c r="AK968" i="1"/>
  <c r="AS968" i="1" s="1"/>
  <c r="AH17" i="1"/>
  <c r="AP17" i="1" s="1"/>
  <c r="AH774" i="1"/>
  <c r="AP774" i="1" s="1"/>
  <c r="AH793" i="1"/>
  <c r="AP793" i="1" s="1"/>
  <c r="AH813" i="1"/>
  <c r="AP813" i="1" s="1"/>
  <c r="AH849" i="1"/>
  <c r="AP849" i="1" s="1"/>
  <c r="AH951" i="1"/>
  <c r="AP951" i="1" s="1"/>
  <c r="AH997" i="1"/>
  <c r="AP997" i="1" s="1"/>
  <c r="AJ38" i="1"/>
  <c r="AR38" i="1" s="1"/>
  <c r="AJ62" i="1"/>
  <c r="AR62" i="1" s="1"/>
  <c r="AJ78" i="1"/>
  <c r="AR78" i="1" s="1"/>
  <c r="AJ94" i="1"/>
  <c r="AR94" i="1" s="1"/>
  <c r="AJ110" i="1"/>
  <c r="AR110" i="1" s="1"/>
  <c r="AJ134" i="1"/>
  <c r="AR134" i="1" s="1"/>
  <c r="AJ158" i="1"/>
  <c r="AR158" i="1" s="1"/>
  <c r="AJ182" i="1"/>
  <c r="AR182" i="1" s="1"/>
  <c r="AJ206" i="1"/>
  <c r="AR206" i="1" s="1"/>
  <c r="AJ286" i="1"/>
  <c r="AR286" i="1" s="1"/>
  <c r="AJ302" i="1"/>
  <c r="AR302" i="1" s="1"/>
  <c r="AJ326" i="1"/>
  <c r="AR326" i="1" s="1"/>
  <c r="AJ350" i="1"/>
  <c r="AR350" i="1" s="1"/>
  <c r="AJ411" i="1"/>
  <c r="AR411" i="1" s="1"/>
  <c r="AJ451" i="1"/>
  <c r="AR451" i="1" s="1"/>
  <c r="AJ491" i="1"/>
  <c r="AR491" i="1" s="1"/>
  <c r="AJ531" i="1"/>
  <c r="AR531" i="1" s="1"/>
  <c r="AJ595" i="1"/>
  <c r="AR595" i="1" s="1"/>
  <c r="AJ627" i="1"/>
  <c r="AR627" i="1" s="1"/>
  <c r="AJ643" i="1"/>
  <c r="AR643" i="1" s="1"/>
  <c r="AJ683" i="1"/>
  <c r="AR683" i="1" s="1"/>
  <c r="AJ751" i="1"/>
  <c r="AR751" i="1" s="1"/>
  <c r="AJ799" i="1"/>
  <c r="AR799" i="1" s="1"/>
  <c r="AJ855" i="1"/>
  <c r="AR855" i="1" s="1"/>
  <c r="AJ871" i="1"/>
  <c r="AR871" i="1" s="1"/>
  <c r="AK87" i="1"/>
  <c r="AS87" i="1" s="1"/>
  <c r="AK111" i="1"/>
  <c r="AS111" i="1" s="1"/>
  <c r="AK127" i="1"/>
  <c r="AS127" i="1" s="1"/>
  <c r="AK477" i="1"/>
  <c r="AS477" i="1" s="1"/>
  <c r="AK501" i="1"/>
  <c r="AS501" i="1" s="1"/>
  <c r="AK877" i="1"/>
  <c r="AS877" i="1" s="1"/>
  <c r="AK909" i="1"/>
  <c r="AS909" i="1" s="1"/>
  <c r="AK917" i="1"/>
  <c r="AS917" i="1" s="1"/>
  <c r="AK878" i="1"/>
  <c r="AS878" i="1" s="1"/>
  <c r="AK974" i="1"/>
  <c r="AS974" i="1" s="1"/>
  <c r="AK566" i="1"/>
  <c r="AS566" i="1" s="1"/>
  <c r="AK574" i="1"/>
  <c r="AS574" i="1" s="1"/>
  <c r="AK582" i="1"/>
  <c r="AS582" i="1" s="1"/>
  <c r="AK590" i="1"/>
  <c r="AS590" i="1" s="1"/>
  <c r="AK598" i="1"/>
  <c r="AS598" i="1" s="1"/>
  <c r="AK606" i="1"/>
  <c r="AS606" i="1" s="1"/>
  <c r="AK614" i="1"/>
  <c r="AS614" i="1" s="1"/>
  <c r="AK622" i="1"/>
  <c r="AS622" i="1" s="1"/>
  <c r="AK630" i="1"/>
  <c r="AS630" i="1" s="1"/>
  <c r="AK638" i="1"/>
  <c r="AS638" i="1" s="1"/>
  <c r="AK646" i="1"/>
  <c r="AS646" i="1" s="1"/>
  <c r="AK654" i="1"/>
  <c r="AS654" i="1" s="1"/>
  <c r="AK662" i="1"/>
  <c r="AS662" i="1" s="1"/>
  <c r="AK670" i="1"/>
  <c r="AS670" i="1" s="1"/>
  <c r="AK678" i="1"/>
  <c r="AS678" i="1" s="1"/>
  <c r="AK686" i="1"/>
  <c r="AS686" i="1" s="1"/>
  <c r="AK950" i="1"/>
  <c r="AS950" i="1" s="1"/>
  <c r="AK742" i="1"/>
  <c r="AS742" i="1" s="1"/>
  <c r="AK750" i="1"/>
  <c r="AS750" i="1" s="1"/>
  <c r="AK758" i="1"/>
  <c r="AS758" i="1" s="1"/>
  <c r="AK766" i="1"/>
  <c r="AS766" i="1" s="1"/>
  <c r="AK774" i="1"/>
  <c r="AS774" i="1" s="1"/>
  <c r="AK782" i="1"/>
  <c r="AS782" i="1" s="1"/>
  <c r="AK790" i="1"/>
  <c r="AS790" i="1" s="1"/>
  <c r="AK798" i="1"/>
  <c r="AS798" i="1" s="1"/>
  <c r="AK806" i="1"/>
  <c r="AS806" i="1" s="1"/>
  <c r="AK814" i="1"/>
  <c r="AS814" i="1" s="1"/>
  <c r="AK822" i="1"/>
  <c r="AS822" i="1" s="1"/>
  <c r="AG7" i="1"/>
  <c r="AO7" i="1" s="1"/>
  <c r="AG11" i="1"/>
  <c r="AO11" i="1" s="1"/>
  <c r="AG15" i="1"/>
  <c r="AO15" i="1" s="1"/>
  <c r="AG19" i="1"/>
  <c r="AO19" i="1" s="1"/>
  <c r="AG23" i="1"/>
  <c r="AO23" i="1" s="1"/>
  <c r="AG27" i="1"/>
  <c r="AO27" i="1" s="1"/>
  <c r="AG31" i="1"/>
  <c r="AO31" i="1" s="1"/>
  <c r="AG35" i="1"/>
  <c r="AO35" i="1" s="1"/>
  <c r="AG39" i="1"/>
  <c r="AO39" i="1" s="1"/>
  <c r="AG43" i="1"/>
  <c r="AO43" i="1" s="1"/>
  <c r="AG47" i="1"/>
  <c r="AO47" i="1" s="1"/>
  <c r="AG51" i="1"/>
  <c r="AO51" i="1" s="1"/>
  <c r="AG55" i="1"/>
  <c r="AO55" i="1" s="1"/>
  <c r="AG59" i="1"/>
  <c r="AO59" i="1" s="1"/>
  <c r="AG63" i="1"/>
  <c r="AO63" i="1" s="1"/>
  <c r="AG67" i="1"/>
  <c r="AO67" i="1" s="1"/>
  <c r="AG71" i="1"/>
  <c r="AO71" i="1" s="1"/>
  <c r="AG75" i="1"/>
  <c r="AO75" i="1" s="1"/>
  <c r="AG79" i="1"/>
  <c r="AO79" i="1" s="1"/>
  <c r="AG83" i="1"/>
  <c r="AO83" i="1" s="1"/>
  <c r="AG87" i="1"/>
  <c r="AO87" i="1" s="1"/>
  <c r="AG91" i="1"/>
  <c r="AO91" i="1" s="1"/>
  <c r="AG95" i="1"/>
  <c r="AO95" i="1" s="1"/>
  <c r="AG99" i="1"/>
  <c r="AO99" i="1" s="1"/>
  <c r="AG103" i="1"/>
  <c r="AO103" i="1" s="1"/>
  <c r="AG107" i="1"/>
  <c r="AO107" i="1" s="1"/>
  <c r="AG111" i="1"/>
  <c r="AO111" i="1" s="1"/>
  <c r="AG115" i="1"/>
  <c r="AO115" i="1" s="1"/>
  <c r="AG119" i="1"/>
  <c r="AO119" i="1" s="1"/>
  <c r="AG123" i="1"/>
  <c r="AO123" i="1" s="1"/>
  <c r="AG127" i="1"/>
  <c r="AO127" i="1" s="1"/>
  <c r="AG131" i="1"/>
  <c r="AO131" i="1" s="1"/>
  <c r="AG135" i="1"/>
  <c r="AO135" i="1" s="1"/>
  <c r="AG139" i="1"/>
  <c r="AO139" i="1" s="1"/>
  <c r="AG143" i="1"/>
  <c r="AO143" i="1" s="1"/>
  <c r="AG147" i="1"/>
  <c r="AO147" i="1" s="1"/>
  <c r="AG151" i="1"/>
  <c r="AO151" i="1" s="1"/>
  <c r="AG155" i="1"/>
  <c r="AO155" i="1" s="1"/>
  <c r="AG159" i="1"/>
  <c r="AO159" i="1" s="1"/>
  <c r="AG163" i="1"/>
  <c r="AO163" i="1" s="1"/>
  <c r="AG167" i="1"/>
  <c r="AO167" i="1" s="1"/>
  <c r="AG171" i="1"/>
  <c r="AO171" i="1" s="1"/>
  <c r="AG175" i="1"/>
  <c r="AO175" i="1" s="1"/>
  <c r="AG179" i="1"/>
  <c r="AO179" i="1" s="1"/>
  <c r="AG183" i="1"/>
  <c r="AO183" i="1" s="1"/>
  <c r="AG187" i="1"/>
  <c r="AO187" i="1" s="1"/>
  <c r="AG191" i="1"/>
  <c r="AO191" i="1" s="1"/>
  <c r="AG195" i="1"/>
  <c r="AO195" i="1" s="1"/>
  <c r="AG199" i="1"/>
  <c r="AO199" i="1" s="1"/>
  <c r="AG203" i="1"/>
  <c r="AO203" i="1" s="1"/>
  <c r="AG207" i="1"/>
  <c r="AO207" i="1" s="1"/>
  <c r="AG211" i="1"/>
  <c r="AO211" i="1" s="1"/>
  <c r="AG215" i="1"/>
  <c r="AO215" i="1" s="1"/>
  <c r="AG219" i="1"/>
  <c r="AO219" i="1" s="1"/>
  <c r="AG223" i="1"/>
  <c r="AO223" i="1" s="1"/>
  <c r="AG227" i="1"/>
  <c r="AO227" i="1" s="1"/>
  <c r="AG231" i="1"/>
  <c r="AO231" i="1" s="1"/>
  <c r="AG235" i="1"/>
  <c r="AO235" i="1" s="1"/>
  <c r="AG239" i="1"/>
  <c r="AO239" i="1" s="1"/>
  <c r="AG243" i="1"/>
  <c r="AO243" i="1" s="1"/>
  <c r="AG247" i="1"/>
  <c r="AO247" i="1" s="1"/>
  <c r="AG251" i="1"/>
  <c r="AO251" i="1" s="1"/>
  <c r="AG255" i="1"/>
  <c r="AO255" i="1" s="1"/>
  <c r="AG259" i="1"/>
  <c r="AO259" i="1" s="1"/>
  <c r="AG263" i="1"/>
  <c r="AO263" i="1" s="1"/>
  <c r="AG267" i="1"/>
  <c r="AO267" i="1" s="1"/>
  <c r="AG271" i="1"/>
  <c r="AO271" i="1" s="1"/>
  <c r="AG275" i="1"/>
  <c r="AO275" i="1" s="1"/>
  <c r="AG279" i="1"/>
  <c r="AO279" i="1" s="1"/>
  <c r="AG283" i="1"/>
  <c r="AO283" i="1" s="1"/>
  <c r="AG287" i="1"/>
  <c r="AO287" i="1" s="1"/>
  <c r="AG291" i="1"/>
  <c r="AO291" i="1" s="1"/>
  <c r="AG295" i="1"/>
  <c r="AO295" i="1" s="1"/>
  <c r="AG299" i="1"/>
  <c r="AO299" i="1" s="1"/>
  <c r="AG303" i="1"/>
  <c r="AO303" i="1" s="1"/>
  <c r="AH27" i="1"/>
  <c r="AP27" i="1" s="1"/>
  <c r="AH872" i="1"/>
  <c r="AP872" i="1" s="1"/>
  <c r="AH939" i="1"/>
  <c r="AP939" i="1" s="1"/>
  <c r="AJ22" i="1"/>
  <c r="AR22" i="1" s="1"/>
  <c r="AJ54" i="1"/>
  <c r="AR54" i="1" s="1"/>
  <c r="AJ86" i="1"/>
  <c r="AR86" i="1" s="1"/>
  <c r="AJ118" i="1"/>
  <c r="AR118" i="1" s="1"/>
  <c r="AJ150" i="1"/>
  <c r="AR150" i="1" s="1"/>
  <c r="AJ174" i="1"/>
  <c r="AR174" i="1" s="1"/>
  <c r="AJ198" i="1"/>
  <c r="AR198" i="1" s="1"/>
  <c r="AJ222" i="1"/>
  <c r="AR222" i="1" s="1"/>
  <c r="AJ230" i="1"/>
  <c r="AR230" i="1" s="1"/>
  <c r="AJ246" i="1"/>
  <c r="AR246" i="1" s="1"/>
  <c r="AJ262" i="1"/>
  <c r="AR262" i="1" s="1"/>
  <c r="AJ278" i="1"/>
  <c r="AR278" i="1" s="1"/>
  <c r="AJ310" i="1"/>
  <c r="AR310" i="1" s="1"/>
  <c r="AJ342" i="1"/>
  <c r="AR342" i="1" s="1"/>
  <c r="AJ371" i="1"/>
  <c r="AR371" i="1" s="1"/>
  <c r="AJ403" i="1"/>
  <c r="AR403" i="1" s="1"/>
  <c r="AJ703" i="1"/>
  <c r="AR703" i="1" s="1"/>
  <c r="AJ791" i="1"/>
  <c r="AR791" i="1" s="1"/>
  <c r="AJ879" i="1"/>
  <c r="AR879" i="1" s="1"/>
  <c r="AK365" i="1"/>
  <c r="AS365" i="1" s="1"/>
  <c r="AK445" i="1"/>
  <c r="AS445" i="1" s="1"/>
  <c r="AK485" i="1"/>
  <c r="AS485" i="1" s="1"/>
  <c r="AH802" i="1"/>
  <c r="AP802" i="1" s="1"/>
  <c r="AH726" i="1"/>
  <c r="AP726" i="1" s="1"/>
  <c r="AH763" i="1"/>
  <c r="AP763" i="1" s="1"/>
  <c r="AH785" i="1"/>
  <c r="AP785" i="1" s="1"/>
  <c r="AH837" i="1"/>
  <c r="AP837" i="1" s="1"/>
  <c r="AH985" i="1"/>
  <c r="AP985" i="1" s="1"/>
  <c r="AH24" i="1"/>
  <c r="AP24" i="1" s="1"/>
  <c r="AJ30" i="1"/>
  <c r="AR30" i="1" s="1"/>
  <c r="AJ46" i="1"/>
  <c r="AR46" i="1" s="1"/>
  <c r="AJ70" i="1"/>
  <c r="AR70" i="1" s="1"/>
  <c r="AJ102" i="1"/>
  <c r="AR102" i="1" s="1"/>
  <c r="AJ126" i="1"/>
  <c r="AR126" i="1" s="1"/>
  <c r="AJ142" i="1"/>
  <c r="AR142" i="1" s="1"/>
  <c r="AJ166" i="1"/>
  <c r="AR166" i="1" s="1"/>
  <c r="AJ190" i="1"/>
  <c r="AR190" i="1" s="1"/>
  <c r="AJ214" i="1"/>
  <c r="AR214" i="1" s="1"/>
  <c r="AJ238" i="1"/>
  <c r="AR238" i="1" s="1"/>
  <c r="AJ254" i="1"/>
  <c r="AR254" i="1" s="1"/>
  <c r="AJ270" i="1"/>
  <c r="AR270" i="1" s="1"/>
  <c r="AJ294" i="1"/>
  <c r="AR294" i="1" s="1"/>
  <c r="AJ318" i="1"/>
  <c r="AR318" i="1" s="1"/>
  <c r="AJ334" i="1"/>
  <c r="AR334" i="1" s="1"/>
  <c r="AJ363" i="1"/>
  <c r="AR363" i="1" s="1"/>
  <c r="AJ395" i="1"/>
  <c r="AR395" i="1" s="1"/>
  <c r="AJ419" i="1"/>
  <c r="AR419" i="1" s="1"/>
  <c r="AJ435" i="1"/>
  <c r="AR435" i="1" s="1"/>
  <c r="AJ499" i="1"/>
  <c r="AR499" i="1" s="1"/>
  <c r="AJ523" i="1"/>
  <c r="AR523" i="1" s="1"/>
  <c r="AJ539" i="1"/>
  <c r="AR539" i="1" s="1"/>
  <c r="AJ603" i="1"/>
  <c r="AR603" i="1" s="1"/>
  <c r="AJ651" i="1"/>
  <c r="AR651" i="1" s="1"/>
  <c r="AJ667" i="1"/>
  <c r="AR667" i="1" s="1"/>
  <c r="AJ691" i="1"/>
  <c r="AR691" i="1" s="1"/>
  <c r="AJ887" i="1"/>
  <c r="AR887" i="1" s="1"/>
  <c r="AK23" i="1"/>
  <c r="AS23" i="1" s="1"/>
  <c r="AK143" i="1"/>
  <c r="AS143" i="1" s="1"/>
  <c r="AK159" i="1"/>
  <c r="AS159" i="1" s="1"/>
  <c r="AK453" i="1"/>
  <c r="AS453" i="1" s="1"/>
  <c r="AK469" i="1"/>
  <c r="AS469" i="1" s="1"/>
  <c r="AK493" i="1"/>
  <c r="AS493" i="1" s="1"/>
  <c r="AG5" i="1"/>
  <c r="AO5" i="1" s="1"/>
  <c r="AG9" i="1"/>
  <c r="AO9" i="1" s="1"/>
  <c r="AG13" i="1"/>
  <c r="AG17" i="1"/>
  <c r="AO17" i="1" s="1"/>
  <c r="AG21" i="1"/>
  <c r="AO21" i="1" s="1"/>
  <c r="AG25" i="1"/>
  <c r="AO25" i="1" s="1"/>
  <c r="AG29" i="1"/>
  <c r="AO29" i="1" s="1"/>
  <c r="AG33" i="1"/>
  <c r="AO33" i="1" s="1"/>
  <c r="AG37" i="1"/>
  <c r="AO37" i="1" s="1"/>
  <c r="AG41" i="1"/>
  <c r="AO41" i="1" s="1"/>
  <c r="AG45" i="1"/>
  <c r="AO45" i="1" s="1"/>
  <c r="AG49" i="1"/>
  <c r="AO49" i="1" s="1"/>
  <c r="AG53" i="1"/>
  <c r="AO53" i="1" s="1"/>
  <c r="AG57" i="1"/>
  <c r="AO57" i="1" s="1"/>
  <c r="AG61" i="1"/>
  <c r="AO61" i="1" s="1"/>
  <c r="AG65" i="1"/>
  <c r="AO65" i="1" s="1"/>
  <c r="AG69" i="1"/>
  <c r="AO69" i="1" s="1"/>
  <c r="AG73" i="1"/>
  <c r="AO73" i="1" s="1"/>
  <c r="AG77" i="1"/>
  <c r="AO77" i="1" s="1"/>
  <c r="AG81" i="1"/>
  <c r="AO81" i="1" s="1"/>
  <c r="AG85" i="1"/>
  <c r="AO85" i="1" s="1"/>
  <c r="AG89" i="1"/>
  <c r="AO89" i="1" s="1"/>
  <c r="AG93" i="1"/>
  <c r="AO93" i="1" s="1"/>
  <c r="AG97" i="1"/>
  <c r="AO97" i="1" s="1"/>
  <c r="AG101" i="1"/>
  <c r="AO101" i="1" s="1"/>
  <c r="AG105" i="1"/>
  <c r="AO105" i="1" s="1"/>
  <c r="AG109" i="1"/>
  <c r="AO109" i="1" s="1"/>
  <c r="AG113" i="1"/>
  <c r="AO113" i="1" s="1"/>
  <c r="AG117" i="1"/>
  <c r="AO117" i="1" s="1"/>
  <c r="AG121" i="1"/>
  <c r="AO121" i="1" s="1"/>
  <c r="AG125" i="1"/>
  <c r="AO125" i="1" s="1"/>
  <c r="AG129" i="1"/>
  <c r="AO129" i="1" s="1"/>
  <c r="AG133" i="1"/>
  <c r="AO133" i="1" s="1"/>
  <c r="AG137" i="1"/>
  <c r="AO137" i="1" s="1"/>
  <c r="AG141" i="1"/>
  <c r="AO141" i="1" s="1"/>
  <c r="AG145" i="1"/>
  <c r="AO145" i="1" s="1"/>
  <c r="AG149" i="1"/>
  <c r="AO149" i="1" s="1"/>
  <c r="AG153" i="1"/>
  <c r="AO153" i="1" s="1"/>
  <c r="AG157" i="1"/>
  <c r="AO157" i="1" s="1"/>
  <c r="AG161" i="1"/>
  <c r="AO161" i="1" s="1"/>
  <c r="AG165" i="1"/>
  <c r="AO165" i="1" s="1"/>
  <c r="AG169" i="1"/>
  <c r="AO169" i="1" s="1"/>
  <c r="AG173" i="1"/>
  <c r="AO173" i="1" s="1"/>
  <c r="AG177" i="1"/>
  <c r="AO177" i="1" s="1"/>
  <c r="AG181" i="1"/>
  <c r="AO181" i="1" s="1"/>
  <c r="AG185" i="1"/>
  <c r="AO185" i="1" s="1"/>
  <c r="AG189" i="1"/>
  <c r="AO189" i="1" s="1"/>
  <c r="AG193" i="1"/>
  <c r="AO193" i="1" s="1"/>
  <c r="AG197" i="1"/>
  <c r="AO197" i="1" s="1"/>
  <c r="AG201" i="1"/>
  <c r="AO201" i="1" s="1"/>
  <c r="AG205" i="1"/>
  <c r="AO205" i="1" s="1"/>
  <c r="AG209" i="1"/>
  <c r="AO209" i="1" s="1"/>
  <c r="AG213" i="1"/>
  <c r="AO213" i="1" s="1"/>
  <c r="AG217" i="1"/>
  <c r="AO217" i="1" s="1"/>
  <c r="AG221" i="1"/>
  <c r="AO221" i="1" s="1"/>
  <c r="AG225" i="1"/>
  <c r="AO225" i="1" s="1"/>
  <c r="AG229" i="1"/>
  <c r="AO229" i="1" s="1"/>
  <c r="AG233" i="1"/>
  <c r="AO233" i="1" s="1"/>
  <c r="AG237" i="1"/>
  <c r="AO237" i="1" s="1"/>
  <c r="AG241" i="1"/>
  <c r="AO241" i="1" s="1"/>
  <c r="AG245" i="1"/>
  <c r="AO245" i="1" s="1"/>
  <c r="AG249" i="1"/>
  <c r="AO249" i="1" s="1"/>
  <c r="AG253" i="1"/>
  <c r="AO253" i="1" s="1"/>
  <c r="AG257" i="1"/>
  <c r="AO257" i="1" s="1"/>
  <c r="AG261" i="1"/>
  <c r="AO261" i="1" s="1"/>
  <c r="AG265" i="1"/>
  <c r="AO265" i="1" s="1"/>
  <c r="AG269" i="1"/>
  <c r="AO269" i="1" s="1"/>
  <c r="AG273" i="1"/>
  <c r="AO273" i="1" s="1"/>
  <c r="AG277" i="1"/>
  <c r="AO277" i="1" s="1"/>
  <c r="AG281" i="1"/>
  <c r="AO281" i="1" s="1"/>
  <c r="AG285" i="1"/>
  <c r="AO285" i="1" s="1"/>
  <c r="AG289" i="1"/>
  <c r="AO289" i="1" s="1"/>
  <c r="AG293" i="1"/>
  <c r="AO293" i="1" s="1"/>
  <c r="AG297" i="1"/>
  <c r="AO297" i="1" s="1"/>
  <c r="AG301" i="1"/>
  <c r="AO301" i="1" s="1"/>
  <c r="AG305" i="1"/>
  <c r="AO305" i="1" s="1"/>
  <c r="AH9" i="1"/>
  <c r="AP9" i="1" s="1"/>
  <c r="AG307" i="1"/>
  <c r="AO307" i="1" s="1"/>
  <c r="AG311" i="1"/>
  <c r="AO311" i="1" s="1"/>
  <c r="AG315" i="1"/>
  <c r="AO315" i="1" s="1"/>
  <c r="AG319" i="1"/>
  <c r="AO319" i="1" s="1"/>
  <c r="AG323" i="1"/>
  <c r="AO323" i="1" s="1"/>
  <c r="AG327" i="1"/>
  <c r="AO327" i="1" s="1"/>
  <c r="AG331" i="1"/>
  <c r="AO331" i="1" s="1"/>
  <c r="AG335" i="1"/>
  <c r="AO335" i="1" s="1"/>
  <c r="AG339" i="1"/>
  <c r="AO339" i="1" s="1"/>
  <c r="AG343" i="1"/>
  <c r="AO343" i="1" s="1"/>
  <c r="AG347" i="1"/>
  <c r="AO347" i="1" s="1"/>
  <c r="AG351" i="1"/>
  <c r="AO351" i="1" s="1"/>
  <c r="AG355" i="1"/>
  <c r="AO355" i="1" s="1"/>
  <c r="AG359" i="1"/>
  <c r="AO359" i="1" s="1"/>
  <c r="AG363" i="1"/>
  <c r="AO363" i="1" s="1"/>
  <c r="AG367" i="1"/>
  <c r="AO367" i="1" s="1"/>
  <c r="AG371" i="1"/>
  <c r="AO371" i="1" s="1"/>
  <c r="AG375" i="1"/>
  <c r="AO375" i="1" s="1"/>
  <c r="AG379" i="1"/>
  <c r="AO379" i="1" s="1"/>
  <c r="AG383" i="1"/>
  <c r="AO383" i="1" s="1"/>
  <c r="AG387" i="1"/>
  <c r="AO387" i="1" s="1"/>
  <c r="AG391" i="1"/>
  <c r="AO391" i="1" s="1"/>
  <c r="AG395" i="1"/>
  <c r="AO395" i="1" s="1"/>
  <c r="AG399" i="1"/>
  <c r="AO399" i="1" s="1"/>
  <c r="AG403" i="1"/>
  <c r="AO403" i="1" s="1"/>
  <c r="AG407" i="1"/>
  <c r="AO407" i="1" s="1"/>
  <c r="AG411" i="1"/>
  <c r="AO411" i="1" s="1"/>
  <c r="AG415" i="1"/>
  <c r="AO415" i="1" s="1"/>
  <c r="AG419" i="1"/>
  <c r="AO419" i="1" s="1"/>
  <c r="AG423" i="1"/>
  <c r="AO423" i="1" s="1"/>
  <c r="AG427" i="1"/>
  <c r="AO427" i="1" s="1"/>
  <c r="AG431" i="1"/>
  <c r="AO431" i="1" s="1"/>
  <c r="AG435" i="1"/>
  <c r="AO435" i="1" s="1"/>
  <c r="AG439" i="1"/>
  <c r="AO439" i="1" s="1"/>
  <c r="AG443" i="1"/>
  <c r="AO443" i="1" s="1"/>
  <c r="AG447" i="1"/>
  <c r="AO447" i="1" s="1"/>
  <c r="AG451" i="1"/>
  <c r="AO451" i="1" s="1"/>
  <c r="AG455" i="1"/>
  <c r="AO455" i="1" s="1"/>
  <c r="AG459" i="1"/>
  <c r="AO459" i="1" s="1"/>
  <c r="AG463" i="1"/>
  <c r="AO463" i="1" s="1"/>
  <c r="AG467" i="1"/>
  <c r="AO467" i="1" s="1"/>
  <c r="AG471" i="1"/>
  <c r="AO471" i="1" s="1"/>
  <c r="AG475" i="1"/>
  <c r="AO475" i="1" s="1"/>
  <c r="AG479" i="1"/>
  <c r="AO479" i="1" s="1"/>
  <c r="AG483" i="1"/>
  <c r="AO483" i="1" s="1"/>
  <c r="AG487" i="1"/>
  <c r="AO487" i="1" s="1"/>
  <c r="AG491" i="1"/>
  <c r="AO491" i="1" s="1"/>
  <c r="AG495" i="1"/>
  <c r="AO495" i="1" s="1"/>
  <c r="AG499" i="1"/>
  <c r="AO499" i="1" s="1"/>
  <c r="AG503" i="1"/>
  <c r="AO503" i="1" s="1"/>
  <c r="AG507" i="1"/>
  <c r="AO507" i="1" s="1"/>
  <c r="AG511" i="1"/>
  <c r="AO511" i="1" s="1"/>
  <c r="AG515" i="1"/>
  <c r="AO515" i="1" s="1"/>
  <c r="AG519" i="1"/>
  <c r="AO519" i="1" s="1"/>
  <c r="AG523" i="1"/>
  <c r="AO523" i="1" s="1"/>
  <c r="AG527" i="1"/>
  <c r="AO527" i="1" s="1"/>
  <c r="AG531" i="1"/>
  <c r="AO531" i="1" s="1"/>
  <c r="AG535" i="1"/>
  <c r="AO535" i="1" s="1"/>
  <c r="AG539" i="1"/>
  <c r="AO539" i="1" s="1"/>
  <c r="AG543" i="1"/>
  <c r="AO543" i="1" s="1"/>
  <c r="AG547" i="1"/>
  <c r="AO547" i="1" s="1"/>
  <c r="AG551" i="1"/>
  <c r="AO551" i="1" s="1"/>
  <c r="AG555" i="1"/>
  <c r="AO555" i="1" s="1"/>
  <c r="AG559" i="1"/>
  <c r="AO559" i="1" s="1"/>
  <c r="AG563" i="1"/>
  <c r="AO563" i="1" s="1"/>
  <c r="AG567" i="1"/>
  <c r="AO567" i="1" s="1"/>
  <c r="AG571" i="1"/>
  <c r="AO571" i="1" s="1"/>
  <c r="AG575" i="1"/>
  <c r="AO575" i="1" s="1"/>
  <c r="AG579" i="1"/>
  <c r="AO579" i="1" s="1"/>
  <c r="AG583" i="1"/>
  <c r="AO583" i="1" s="1"/>
  <c r="AG587" i="1"/>
  <c r="AO587" i="1" s="1"/>
  <c r="AG591" i="1"/>
  <c r="AO591" i="1" s="1"/>
  <c r="AG595" i="1"/>
  <c r="AO595" i="1" s="1"/>
  <c r="AG599" i="1"/>
  <c r="AO599" i="1" s="1"/>
  <c r="AG603" i="1"/>
  <c r="AO603" i="1" s="1"/>
  <c r="AG607" i="1"/>
  <c r="AO607" i="1" s="1"/>
  <c r="AG611" i="1"/>
  <c r="AO611" i="1" s="1"/>
  <c r="AG615" i="1"/>
  <c r="AO615" i="1" s="1"/>
  <c r="AG619" i="1"/>
  <c r="AO619" i="1" s="1"/>
  <c r="AG623" i="1"/>
  <c r="AO623" i="1" s="1"/>
  <c r="AG627" i="1"/>
  <c r="AO627" i="1" s="1"/>
  <c r="AG631" i="1"/>
  <c r="AO631" i="1" s="1"/>
  <c r="AG635" i="1"/>
  <c r="AO635" i="1" s="1"/>
  <c r="AG639" i="1"/>
  <c r="AO639" i="1" s="1"/>
  <c r="AG643" i="1"/>
  <c r="AO643" i="1" s="1"/>
  <c r="AG647" i="1"/>
  <c r="AO647" i="1" s="1"/>
  <c r="AG651" i="1"/>
  <c r="AO651" i="1" s="1"/>
  <c r="AG655" i="1"/>
  <c r="AO655" i="1" s="1"/>
  <c r="AG659" i="1"/>
  <c r="AO659" i="1" s="1"/>
  <c r="AG663" i="1"/>
  <c r="AO663" i="1" s="1"/>
  <c r="AG667" i="1"/>
  <c r="AO667" i="1" s="1"/>
  <c r="AG671" i="1"/>
  <c r="AO671" i="1" s="1"/>
  <c r="AG675" i="1"/>
  <c r="AO675" i="1" s="1"/>
  <c r="AG679" i="1"/>
  <c r="AO679" i="1" s="1"/>
  <c r="AG683" i="1"/>
  <c r="AO683" i="1" s="1"/>
  <c r="AG687" i="1"/>
  <c r="AO687" i="1" s="1"/>
  <c r="AG691" i="1"/>
  <c r="AO691" i="1" s="1"/>
  <c r="AG695" i="1"/>
  <c r="AO695" i="1" s="1"/>
  <c r="AG699" i="1"/>
  <c r="AO699" i="1" s="1"/>
  <c r="AG703" i="1"/>
  <c r="AO703" i="1" s="1"/>
  <c r="AG707" i="1"/>
  <c r="AO707" i="1" s="1"/>
  <c r="AG711" i="1"/>
  <c r="AO711" i="1" s="1"/>
  <c r="AG715" i="1"/>
  <c r="AO715" i="1" s="1"/>
  <c r="AG719" i="1"/>
  <c r="AO719" i="1" s="1"/>
  <c r="AG723" i="1"/>
  <c r="AO723" i="1" s="1"/>
  <c r="AG727" i="1"/>
  <c r="AO727" i="1" s="1"/>
  <c r="AG731" i="1"/>
  <c r="AO731" i="1" s="1"/>
  <c r="AG735" i="1"/>
  <c r="AO735" i="1" s="1"/>
  <c r="AG739" i="1"/>
  <c r="AO739" i="1" s="1"/>
  <c r="AG743" i="1"/>
  <c r="AO743" i="1" s="1"/>
  <c r="AG747" i="1"/>
  <c r="AO747" i="1" s="1"/>
  <c r="AG751" i="1"/>
  <c r="AO751" i="1" s="1"/>
  <c r="AG755" i="1"/>
  <c r="AO755" i="1" s="1"/>
  <c r="AG759" i="1"/>
  <c r="AO759" i="1" s="1"/>
  <c r="AG763" i="1"/>
  <c r="AO763" i="1" s="1"/>
  <c r="AG767" i="1"/>
  <c r="AO767" i="1" s="1"/>
  <c r="AG771" i="1"/>
  <c r="AO771" i="1" s="1"/>
  <c r="AG775" i="1"/>
  <c r="AO775" i="1" s="1"/>
  <c r="AG779" i="1"/>
  <c r="AO779" i="1" s="1"/>
  <c r="AG783" i="1"/>
  <c r="AO783" i="1" s="1"/>
  <c r="AG787" i="1"/>
  <c r="AO787" i="1" s="1"/>
  <c r="AG791" i="1"/>
  <c r="AO791" i="1" s="1"/>
  <c r="AG795" i="1"/>
  <c r="AO795" i="1" s="1"/>
  <c r="AG799" i="1"/>
  <c r="AO799" i="1" s="1"/>
  <c r="AG803" i="1"/>
  <c r="AO803" i="1" s="1"/>
  <c r="AG807" i="1"/>
  <c r="AO807" i="1" s="1"/>
  <c r="AG811" i="1"/>
  <c r="AO811" i="1" s="1"/>
  <c r="AG815" i="1"/>
  <c r="AO815" i="1" s="1"/>
  <c r="AG819" i="1"/>
  <c r="AO819" i="1" s="1"/>
  <c r="AG823" i="1"/>
  <c r="AO823" i="1" s="1"/>
  <c r="AG827" i="1"/>
  <c r="AO827" i="1" s="1"/>
  <c r="AG831" i="1"/>
  <c r="AO831" i="1" s="1"/>
  <c r="AG835" i="1"/>
  <c r="AO835" i="1" s="1"/>
  <c r="AG839" i="1"/>
  <c r="AO839" i="1" s="1"/>
  <c r="AG843" i="1"/>
  <c r="AO843" i="1" s="1"/>
  <c r="AG847" i="1"/>
  <c r="AO847" i="1" s="1"/>
  <c r="AG851" i="1"/>
  <c r="AO851" i="1" s="1"/>
  <c r="AG855" i="1"/>
  <c r="AO855" i="1" s="1"/>
  <c r="AG859" i="1"/>
  <c r="AO859" i="1" s="1"/>
  <c r="AG863" i="1"/>
  <c r="AO863" i="1" s="1"/>
  <c r="AG867" i="1"/>
  <c r="AO867" i="1" s="1"/>
  <c r="AG871" i="1"/>
  <c r="AO871" i="1" s="1"/>
  <c r="AG875" i="1"/>
  <c r="AO875" i="1" s="1"/>
  <c r="AG879" i="1"/>
  <c r="AO879" i="1" s="1"/>
  <c r="AG883" i="1"/>
  <c r="AO883" i="1" s="1"/>
  <c r="AG887" i="1"/>
  <c r="AO887" i="1" s="1"/>
  <c r="AG891" i="1"/>
  <c r="AO891" i="1" s="1"/>
  <c r="AG895" i="1"/>
  <c r="AO895" i="1" s="1"/>
  <c r="AG899" i="1"/>
  <c r="AO899" i="1" s="1"/>
  <c r="AG903" i="1"/>
  <c r="AO903" i="1" s="1"/>
  <c r="AG907" i="1"/>
  <c r="AO907" i="1" s="1"/>
  <c r="AG911" i="1"/>
  <c r="AO911" i="1" s="1"/>
  <c r="AG915" i="1"/>
  <c r="AO915" i="1" s="1"/>
  <c r="AG919" i="1"/>
  <c r="AO919" i="1" s="1"/>
  <c r="AG923" i="1"/>
  <c r="AO923" i="1" s="1"/>
  <c r="AG927" i="1"/>
  <c r="AO927" i="1" s="1"/>
  <c r="AG931" i="1"/>
  <c r="AO931" i="1" s="1"/>
  <c r="AG935" i="1"/>
  <c r="AO935" i="1" s="1"/>
  <c r="AG939" i="1"/>
  <c r="AO939" i="1" s="1"/>
  <c r="AG943" i="1"/>
  <c r="AO943" i="1" s="1"/>
  <c r="AG947" i="1"/>
  <c r="AO947" i="1" s="1"/>
  <c r="AG951" i="1"/>
  <c r="AO951" i="1" s="1"/>
  <c r="AG955" i="1"/>
  <c r="AO955" i="1" s="1"/>
  <c r="AG959" i="1"/>
  <c r="AO959" i="1" s="1"/>
  <c r="AG963" i="1"/>
  <c r="AO963" i="1" s="1"/>
  <c r="AG967" i="1"/>
  <c r="AO967" i="1" s="1"/>
  <c r="AG971" i="1"/>
  <c r="AO971" i="1" s="1"/>
  <c r="AG975" i="1"/>
  <c r="AO975" i="1" s="1"/>
  <c r="AG979" i="1"/>
  <c r="AO979" i="1" s="1"/>
  <c r="AG983" i="1"/>
  <c r="AO983" i="1" s="1"/>
  <c r="AG987" i="1"/>
  <c r="AO987" i="1" s="1"/>
  <c r="AG991" i="1"/>
  <c r="AO991" i="1" s="1"/>
  <c r="AG995" i="1"/>
  <c r="AO995" i="1" s="1"/>
  <c r="AG999" i="1"/>
  <c r="AO999" i="1" s="1"/>
  <c r="AH28" i="1"/>
  <c r="AP28" i="1" s="1"/>
  <c r="AH32" i="1"/>
  <c r="AP32" i="1" s="1"/>
  <c r="AH36" i="1"/>
  <c r="AP36" i="1" s="1"/>
  <c r="AH40" i="1"/>
  <c r="AP40" i="1" s="1"/>
  <c r="AH44" i="1"/>
  <c r="AP44" i="1" s="1"/>
  <c r="AH48" i="1"/>
  <c r="AP48" i="1" s="1"/>
  <c r="AH52" i="1"/>
  <c r="AP52" i="1" s="1"/>
  <c r="AH56" i="1"/>
  <c r="AP56" i="1" s="1"/>
  <c r="AH60" i="1"/>
  <c r="AP60" i="1" s="1"/>
  <c r="AH64" i="1"/>
  <c r="AP64" i="1" s="1"/>
  <c r="AH68" i="1"/>
  <c r="AP68" i="1" s="1"/>
  <c r="AH72" i="1"/>
  <c r="AP72" i="1" s="1"/>
  <c r="AH76" i="1"/>
  <c r="AP76" i="1" s="1"/>
  <c r="AH80" i="1"/>
  <c r="AP80" i="1" s="1"/>
  <c r="AH84" i="1"/>
  <c r="AP84" i="1" s="1"/>
  <c r="AH88" i="1"/>
  <c r="AP88" i="1" s="1"/>
  <c r="AH92" i="1"/>
  <c r="AP92" i="1" s="1"/>
  <c r="AH96" i="1"/>
  <c r="AP96" i="1" s="1"/>
  <c r="AH100" i="1"/>
  <c r="AP100" i="1" s="1"/>
  <c r="AH104" i="1"/>
  <c r="AP104" i="1" s="1"/>
  <c r="AH108" i="1"/>
  <c r="AP108" i="1" s="1"/>
  <c r="AH112" i="1"/>
  <c r="AP112" i="1" s="1"/>
  <c r="AH116" i="1"/>
  <c r="AP116" i="1" s="1"/>
  <c r="AH120" i="1"/>
  <c r="AP120" i="1" s="1"/>
  <c r="AH124" i="1"/>
  <c r="AP124" i="1" s="1"/>
  <c r="AH128" i="1"/>
  <c r="AP128" i="1" s="1"/>
  <c r="AH132" i="1"/>
  <c r="AP132" i="1" s="1"/>
  <c r="AH136" i="1"/>
  <c r="AP136" i="1" s="1"/>
  <c r="AH140" i="1"/>
  <c r="AP140" i="1" s="1"/>
  <c r="AH144" i="1"/>
  <c r="AP144" i="1" s="1"/>
  <c r="AH148" i="1"/>
  <c r="AP148" i="1" s="1"/>
  <c r="AH152" i="1"/>
  <c r="AP152" i="1" s="1"/>
  <c r="AH156" i="1"/>
  <c r="AP156" i="1" s="1"/>
  <c r="AH160" i="1"/>
  <c r="AP160" i="1" s="1"/>
  <c r="AH164" i="1"/>
  <c r="AP164" i="1" s="1"/>
  <c r="AH168" i="1"/>
  <c r="AP168" i="1" s="1"/>
  <c r="AH172" i="1"/>
  <c r="AP172" i="1" s="1"/>
  <c r="AH176" i="1"/>
  <c r="AP176" i="1" s="1"/>
  <c r="AH180" i="1"/>
  <c r="AP180" i="1" s="1"/>
  <c r="AH184" i="1"/>
  <c r="AP184" i="1" s="1"/>
  <c r="AH188" i="1"/>
  <c r="AP188" i="1" s="1"/>
  <c r="AH192" i="1"/>
  <c r="AP192" i="1" s="1"/>
  <c r="AH196" i="1"/>
  <c r="AP196" i="1" s="1"/>
  <c r="AH200" i="1"/>
  <c r="AP200" i="1" s="1"/>
  <c r="AH204" i="1"/>
  <c r="AP204" i="1" s="1"/>
  <c r="AH208" i="1"/>
  <c r="AP208" i="1" s="1"/>
  <c r="AH212" i="1"/>
  <c r="AP212" i="1" s="1"/>
  <c r="AH216" i="1"/>
  <c r="AP216" i="1" s="1"/>
  <c r="AH220" i="1"/>
  <c r="AP220" i="1" s="1"/>
  <c r="AH224" i="1"/>
  <c r="AP224" i="1" s="1"/>
  <c r="AH228" i="1"/>
  <c r="AP228" i="1" s="1"/>
  <c r="AH232" i="1"/>
  <c r="AP232" i="1" s="1"/>
  <c r="AH236" i="1"/>
  <c r="AP236" i="1" s="1"/>
  <c r="AH240" i="1"/>
  <c r="AP240" i="1" s="1"/>
  <c r="AH244" i="1"/>
  <c r="AP244" i="1" s="1"/>
  <c r="AH248" i="1"/>
  <c r="AP248" i="1" s="1"/>
  <c r="AH252" i="1"/>
  <c r="AP252" i="1" s="1"/>
  <c r="AH256" i="1"/>
  <c r="AP256" i="1" s="1"/>
  <c r="AH260" i="1"/>
  <c r="AP260" i="1" s="1"/>
  <c r="AH264" i="1"/>
  <c r="AP264" i="1" s="1"/>
  <c r="AH268" i="1"/>
  <c r="AP268" i="1" s="1"/>
  <c r="AH272" i="1"/>
  <c r="AP272" i="1" s="1"/>
  <c r="AH276" i="1"/>
  <c r="AP276" i="1" s="1"/>
  <c r="AH280" i="1"/>
  <c r="AP280" i="1" s="1"/>
  <c r="AH284" i="1"/>
  <c r="AP284" i="1" s="1"/>
  <c r="AH288" i="1"/>
  <c r="AP288" i="1" s="1"/>
  <c r="AH292" i="1"/>
  <c r="AP292" i="1" s="1"/>
  <c r="AH296" i="1"/>
  <c r="AP296" i="1" s="1"/>
  <c r="AH300" i="1"/>
  <c r="AP300" i="1" s="1"/>
  <c r="AH304" i="1"/>
  <c r="AP304" i="1" s="1"/>
  <c r="AH308" i="1"/>
  <c r="AP308" i="1" s="1"/>
  <c r="AH312" i="1"/>
  <c r="AP312" i="1" s="1"/>
  <c r="AH316" i="1"/>
  <c r="AP316" i="1" s="1"/>
  <c r="AH320" i="1"/>
  <c r="AP320" i="1" s="1"/>
  <c r="AH324" i="1"/>
  <c r="AP324" i="1" s="1"/>
  <c r="AH328" i="1"/>
  <c r="AP328" i="1" s="1"/>
  <c r="AH332" i="1"/>
  <c r="AP332" i="1" s="1"/>
  <c r="AH336" i="1"/>
  <c r="AP336" i="1" s="1"/>
  <c r="AH340" i="1"/>
  <c r="AP340" i="1" s="1"/>
  <c r="AH344" i="1"/>
  <c r="AP344" i="1" s="1"/>
  <c r="AH348" i="1"/>
  <c r="AP348" i="1" s="1"/>
  <c r="AH352" i="1"/>
  <c r="AP352" i="1" s="1"/>
  <c r="AH356" i="1"/>
  <c r="AP356" i="1" s="1"/>
  <c r="AH360" i="1"/>
  <c r="AP360" i="1" s="1"/>
  <c r="AH364" i="1"/>
  <c r="AP364" i="1" s="1"/>
  <c r="AH368" i="1"/>
  <c r="AP368" i="1" s="1"/>
  <c r="AH372" i="1"/>
  <c r="AP372" i="1" s="1"/>
  <c r="AH376" i="1"/>
  <c r="AP376" i="1" s="1"/>
  <c r="AH380" i="1"/>
  <c r="AP380" i="1" s="1"/>
  <c r="AH384" i="1"/>
  <c r="AP384" i="1" s="1"/>
  <c r="AH388" i="1"/>
  <c r="AP388" i="1" s="1"/>
  <c r="AH392" i="1"/>
  <c r="AP392" i="1" s="1"/>
  <c r="AH396" i="1"/>
  <c r="AP396" i="1" s="1"/>
  <c r="AH400" i="1"/>
  <c r="AP400" i="1" s="1"/>
  <c r="AH404" i="1"/>
  <c r="AP404" i="1" s="1"/>
  <c r="AH408" i="1"/>
  <c r="AP408" i="1" s="1"/>
  <c r="AH412" i="1"/>
  <c r="AP412" i="1" s="1"/>
  <c r="AH416" i="1"/>
  <c r="AP416" i="1" s="1"/>
  <c r="AH420" i="1"/>
  <c r="AP420" i="1" s="1"/>
  <c r="AH424" i="1"/>
  <c r="AP424" i="1" s="1"/>
  <c r="AH428" i="1"/>
  <c r="AP428" i="1" s="1"/>
  <c r="AH432" i="1"/>
  <c r="AP432" i="1" s="1"/>
  <c r="AH436" i="1"/>
  <c r="AP436" i="1" s="1"/>
  <c r="AH440" i="1"/>
  <c r="AP440" i="1" s="1"/>
  <c r="AH444" i="1"/>
  <c r="AP444" i="1" s="1"/>
  <c r="AH448" i="1"/>
  <c r="AP448" i="1" s="1"/>
  <c r="AH452" i="1"/>
  <c r="AP452" i="1" s="1"/>
  <c r="AH456" i="1"/>
  <c r="AP456" i="1" s="1"/>
  <c r="AH460" i="1"/>
  <c r="AP460" i="1" s="1"/>
  <c r="AH464" i="1"/>
  <c r="AP464" i="1" s="1"/>
  <c r="AH468" i="1"/>
  <c r="AP468" i="1" s="1"/>
  <c r="AH472" i="1"/>
  <c r="AP472" i="1" s="1"/>
  <c r="AH476" i="1"/>
  <c r="AP476" i="1" s="1"/>
  <c r="AH480" i="1"/>
  <c r="AP480" i="1" s="1"/>
  <c r="AH484" i="1"/>
  <c r="AP484" i="1" s="1"/>
  <c r="AH488" i="1"/>
  <c r="AP488" i="1" s="1"/>
  <c r="AH492" i="1"/>
  <c r="AP492" i="1" s="1"/>
  <c r="AH496" i="1"/>
  <c r="AP496" i="1" s="1"/>
  <c r="AH500" i="1"/>
  <c r="AP500" i="1" s="1"/>
  <c r="AH504" i="1"/>
  <c r="AP504" i="1" s="1"/>
  <c r="AH508" i="1"/>
  <c r="AP508" i="1" s="1"/>
  <c r="AH512" i="1"/>
  <c r="AP512" i="1" s="1"/>
  <c r="AH516" i="1"/>
  <c r="AP516" i="1" s="1"/>
  <c r="AH520" i="1"/>
  <c r="AP520" i="1" s="1"/>
  <c r="AH524" i="1"/>
  <c r="AP524" i="1" s="1"/>
  <c r="AH528" i="1"/>
  <c r="AP528" i="1" s="1"/>
  <c r="AH532" i="1"/>
  <c r="AP532" i="1" s="1"/>
  <c r="AH536" i="1"/>
  <c r="AP536" i="1" s="1"/>
  <c r="AH7" i="1"/>
  <c r="AP7" i="1" s="1"/>
  <c r="AH740" i="1"/>
  <c r="AP740" i="1" s="1"/>
  <c r="AH752" i="1"/>
  <c r="AP752" i="1" s="1"/>
  <c r="AH764" i="1"/>
  <c r="AP764" i="1" s="1"/>
  <c r="AH777" i="1"/>
  <c r="AP777" i="1" s="1"/>
  <c r="AH803" i="1"/>
  <c r="AP803" i="1" s="1"/>
  <c r="AH814" i="1"/>
  <c r="AP814" i="1" s="1"/>
  <c r="AH826" i="1"/>
  <c r="AP826" i="1" s="1"/>
  <c r="AH838" i="1"/>
  <c r="AP838" i="1" s="1"/>
  <c r="AH851" i="1"/>
  <c r="AP851" i="1" s="1"/>
  <c r="AH864" i="1"/>
  <c r="AP864" i="1" s="1"/>
  <c r="AH875" i="1"/>
  <c r="AP875" i="1" s="1"/>
  <c r="AH889" i="1"/>
  <c r="AP889" i="1" s="1"/>
  <c r="AH900" i="1"/>
  <c r="AP900" i="1" s="1"/>
  <c r="AH913" i="1"/>
  <c r="AP913" i="1" s="1"/>
  <c r="AH926" i="1"/>
  <c r="AP926" i="1" s="1"/>
  <c r="AH962" i="1"/>
  <c r="AP962" i="1" s="1"/>
  <c r="AH975" i="1"/>
  <c r="AP975" i="1" s="1"/>
  <c r="AH987" i="1"/>
  <c r="AP987" i="1" s="1"/>
  <c r="AH998" i="1"/>
  <c r="AP998" i="1" s="1"/>
  <c r="AH727" i="1"/>
  <c r="AP727" i="1" s="1"/>
  <c r="AH750" i="1"/>
  <c r="AP750" i="1" s="1"/>
  <c r="AH775" i="1"/>
  <c r="AP775" i="1" s="1"/>
  <c r="AH786" i="1"/>
  <c r="AP786" i="1" s="1"/>
  <c r="AH794" i="1"/>
  <c r="AP794" i="1" s="1"/>
  <c r="AH805" i="1"/>
  <c r="AP805" i="1" s="1"/>
  <c r="AH818" i="1"/>
  <c r="AP818" i="1" s="1"/>
  <c r="AH830" i="1"/>
  <c r="AP830" i="1" s="1"/>
  <c r="AH842" i="1"/>
  <c r="AP842" i="1" s="1"/>
  <c r="AH855" i="1"/>
  <c r="AP855" i="1" s="1"/>
  <c r="AH867" i="1"/>
  <c r="AP867" i="1" s="1"/>
  <c r="AH892" i="1"/>
  <c r="AP892" i="1" s="1"/>
  <c r="AH928" i="1"/>
  <c r="AP928" i="1" s="1"/>
  <c r="AH941" i="1"/>
  <c r="AP941" i="1" s="1"/>
  <c r="AH952" i="1"/>
  <c r="AP952" i="1" s="1"/>
  <c r="AH966" i="1"/>
  <c r="AP966" i="1" s="1"/>
  <c r="AH977" i="1"/>
  <c r="AP977" i="1" s="1"/>
  <c r="AH989" i="1"/>
  <c r="AP989" i="1" s="1"/>
  <c r="AH538" i="1"/>
  <c r="AP538" i="1" s="1"/>
  <c r="AH542" i="1"/>
  <c r="AP542" i="1" s="1"/>
  <c r="AH546" i="1"/>
  <c r="AP546" i="1" s="1"/>
  <c r="AH550" i="1"/>
  <c r="AP550" i="1" s="1"/>
  <c r="AH554" i="1"/>
  <c r="AP554" i="1" s="1"/>
  <c r="AH558" i="1"/>
  <c r="AP558" i="1" s="1"/>
  <c r="AH562" i="1"/>
  <c r="AP562" i="1" s="1"/>
  <c r="AH566" i="1"/>
  <c r="AP566" i="1" s="1"/>
  <c r="AH570" i="1"/>
  <c r="AP570" i="1" s="1"/>
  <c r="AH574" i="1"/>
  <c r="AP574" i="1" s="1"/>
  <c r="AH578" i="1"/>
  <c r="AP578" i="1" s="1"/>
  <c r="AH582" i="1"/>
  <c r="AP582" i="1" s="1"/>
  <c r="AH586" i="1"/>
  <c r="AP586" i="1" s="1"/>
  <c r="AH590" i="1"/>
  <c r="AP590" i="1" s="1"/>
  <c r="AH594" i="1"/>
  <c r="AP594" i="1" s="1"/>
  <c r="AH598" i="1"/>
  <c r="AP598" i="1" s="1"/>
  <c r="AH602" i="1"/>
  <c r="AP602" i="1" s="1"/>
  <c r="AH606" i="1"/>
  <c r="AP606" i="1" s="1"/>
  <c r="AH610" i="1"/>
  <c r="AP610" i="1" s="1"/>
  <c r="AH614" i="1"/>
  <c r="AP614" i="1" s="1"/>
  <c r="AH618" i="1"/>
  <c r="AP618" i="1" s="1"/>
  <c r="AH622" i="1"/>
  <c r="AP622" i="1" s="1"/>
  <c r="AH626" i="1"/>
  <c r="AP626" i="1" s="1"/>
  <c r="AH630" i="1"/>
  <c r="AP630" i="1" s="1"/>
  <c r="AH634" i="1"/>
  <c r="AP634" i="1" s="1"/>
  <c r="AH638" i="1"/>
  <c r="AP638" i="1" s="1"/>
  <c r="AH642" i="1"/>
  <c r="AP642" i="1" s="1"/>
  <c r="AH646" i="1"/>
  <c r="AP646" i="1" s="1"/>
  <c r="AH650" i="1"/>
  <c r="AP650" i="1" s="1"/>
  <c r="AH654" i="1"/>
  <c r="AP654" i="1" s="1"/>
  <c r="AH658" i="1"/>
  <c r="AP658" i="1" s="1"/>
  <c r="AH662" i="1"/>
  <c r="AP662" i="1" s="1"/>
  <c r="AH666" i="1"/>
  <c r="AP666" i="1" s="1"/>
  <c r="AH670" i="1"/>
  <c r="AP670" i="1" s="1"/>
  <c r="AH674" i="1"/>
  <c r="AP674" i="1" s="1"/>
  <c r="AH678" i="1"/>
  <c r="AP678" i="1" s="1"/>
  <c r="AH682" i="1"/>
  <c r="AP682" i="1" s="1"/>
  <c r="AH686" i="1"/>
  <c r="AP686" i="1" s="1"/>
  <c r="AH690" i="1"/>
  <c r="AP690" i="1" s="1"/>
  <c r="AH694" i="1"/>
  <c r="AP694" i="1" s="1"/>
  <c r="AH698" i="1"/>
  <c r="AP698" i="1" s="1"/>
  <c r="AH702" i="1"/>
  <c r="AP702" i="1" s="1"/>
  <c r="AH706" i="1"/>
  <c r="AP706" i="1" s="1"/>
  <c r="AH710" i="1"/>
  <c r="AP710" i="1" s="1"/>
  <c r="AH714" i="1"/>
  <c r="AP714" i="1" s="1"/>
  <c r="AH718" i="1"/>
  <c r="AP718" i="1" s="1"/>
  <c r="AH722" i="1"/>
  <c r="AP722" i="1" s="1"/>
  <c r="AH728" i="1"/>
  <c r="AP728" i="1" s="1"/>
  <c r="AH732" i="1"/>
  <c r="AP732" i="1" s="1"/>
  <c r="AH736" i="1"/>
  <c r="AP736" i="1" s="1"/>
  <c r="AH744" i="1"/>
  <c r="AP744" i="1" s="1"/>
  <c r="AH754" i="1"/>
  <c r="AP754" i="1" s="1"/>
  <c r="AH766" i="1"/>
  <c r="AP766" i="1" s="1"/>
  <c r="AH776" i="1"/>
  <c r="AP776" i="1" s="1"/>
  <c r="AH787" i="1"/>
  <c r="AP787" i="1" s="1"/>
  <c r="AH795" i="1"/>
  <c r="AP795" i="1" s="1"/>
  <c r="AH804" i="1"/>
  <c r="AP804" i="1" s="1"/>
  <c r="AH816" i="1"/>
  <c r="AP816" i="1" s="1"/>
  <c r="AH828" i="1"/>
  <c r="AP828" i="1" s="1"/>
  <c r="AH840" i="1"/>
  <c r="AP840" i="1" s="1"/>
  <c r="AH852" i="1"/>
  <c r="AP852" i="1" s="1"/>
  <c r="AH862" i="1"/>
  <c r="AP862" i="1" s="1"/>
  <c r="AH874" i="1"/>
  <c r="AP874" i="1" s="1"/>
  <c r="AH884" i="1"/>
  <c r="AP884" i="1" s="1"/>
  <c r="AH896" i="1"/>
  <c r="AP896" i="1" s="1"/>
  <c r="AH908" i="1"/>
  <c r="AP908" i="1" s="1"/>
  <c r="AH918" i="1"/>
  <c r="AP918" i="1" s="1"/>
  <c r="AH930" i="1"/>
  <c r="AP930" i="1" s="1"/>
  <c r="AH942" i="1"/>
  <c r="AP942" i="1" s="1"/>
  <c r="AH954" i="1"/>
  <c r="AP954" i="1" s="1"/>
  <c r="AH964" i="1"/>
  <c r="AP964" i="1" s="1"/>
  <c r="AH976" i="1"/>
  <c r="AP976" i="1" s="1"/>
  <c r="AH988" i="1"/>
  <c r="AP988" i="1" s="1"/>
  <c r="AH1000" i="1"/>
  <c r="AP1000" i="1" s="1"/>
  <c r="AH12" i="1"/>
  <c r="AP12" i="1" s="1"/>
  <c r="AI3" i="1"/>
  <c r="AI7" i="1"/>
  <c r="AQ7" i="1" s="1"/>
  <c r="AI11" i="1"/>
  <c r="AQ11" i="1" s="1"/>
  <c r="AI15" i="1"/>
  <c r="B14" i="2" s="1"/>
  <c r="AI19" i="1"/>
  <c r="AQ19" i="1" s="1"/>
  <c r="AI23" i="1"/>
  <c r="AQ23" i="1" s="1"/>
  <c r="AI27" i="1"/>
  <c r="AQ27" i="1" s="1"/>
  <c r="AI31" i="1"/>
  <c r="AQ31" i="1" s="1"/>
  <c r="AI35" i="1"/>
  <c r="AQ35" i="1" s="1"/>
  <c r="AI39" i="1"/>
  <c r="AQ39" i="1" s="1"/>
  <c r="AI43" i="1"/>
  <c r="AQ43" i="1" s="1"/>
  <c r="AI47" i="1"/>
  <c r="AQ47" i="1" s="1"/>
  <c r="AI51" i="1"/>
  <c r="AQ51" i="1" s="1"/>
  <c r="AI55" i="1"/>
  <c r="AQ55" i="1" s="1"/>
  <c r="AI59" i="1"/>
  <c r="AQ59" i="1" s="1"/>
  <c r="AI63" i="1"/>
  <c r="AQ63" i="1" s="1"/>
  <c r="AI67" i="1"/>
  <c r="AQ67" i="1" s="1"/>
  <c r="AI71" i="1"/>
  <c r="AQ71" i="1" s="1"/>
  <c r="AI75" i="1"/>
  <c r="AQ75" i="1" s="1"/>
  <c r="AI79" i="1"/>
  <c r="AQ79" i="1" s="1"/>
  <c r="AI83" i="1"/>
  <c r="AQ83" i="1" s="1"/>
  <c r="AI87" i="1"/>
  <c r="AQ87" i="1" s="1"/>
  <c r="AI91" i="1"/>
  <c r="AQ91" i="1" s="1"/>
  <c r="AI95" i="1"/>
  <c r="AQ95" i="1" s="1"/>
  <c r="AI99" i="1"/>
  <c r="AQ99" i="1" s="1"/>
  <c r="AI103" i="1"/>
  <c r="AQ103" i="1" s="1"/>
  <c r="AI107" i="1"/>
  <c r="AQ107" i="1" s="1"/>
  <c r="AI111" i="1"/>
  <c r="AQ111" i="1" s="1"/>
  <c r="AI115" i="1"/>
  <c r="AQ115" i="1" s="1"/>
  <c r="AI119" i="1"/>
  <c r="AQ119" i="1" s="1"/>
  <c r="AI123" i="1"/>
  <c r="AQ123" i="1" s="1"/>
  <c r="AI127" i="1"/>
  <c r="AQ127" i="1" s="1"/>
  <c r="AI131" i="1"/>
  <c r="AQ131" i="1" s="1"/>
  <c r="AI135" i="1"/>
  <c r="AQ135" i="1" s="1"/>
  <c r="AI139" i="1"/>
  <c r="AQ139" i="1" s="1"/>
  <c r="AI143" i="1"/>
  <c r="AQ143" i="1" s="1"/>
  <c r="AI147" i="1"/>
  <c r="AQ147" i="1" s="1"/>
  <c r="AI151" i="1"/>
  <c r="AQ151" i="1" s="1"/>
  <c r="AI155" i="1"/>
  <c r="AQ155" i="1" s="1"/>
  <c r="AI159" i="1"/>
  <c r="AQ159" i="1" s="1"/>
  <c r="AI163" i="1"/>
  <c r="AQ163" i="1" s="1"/>
  <c r="AI167" i="1"/>
  <c r="AQ167" i="1" s="1"/>
  <c r="AI171" i="1"/>
  <c r="AQ171" i="1" s="1"/>
  <c r="AI175" i="1"/>
  <c r="AQ175" i="1" s="1"/>
  <c r="AI179" i="1"/>
  <c r="AQ179" i="1" s="1"/>
  <c r="AI183" i="1"/>
  <c r="AQ183" i="1" s="1"/>
  <c r="AI187" i="1"/>
  <c r="AQ187" i="1" s="1"/>
  <c r="AI191" i="1"/>
  <c r="AQ191" i="1" s="1"/>
  <c r="AI195" i="1"/>
  <c r="AQ195" i="1" s="1"/>
  <c r="AI199" i="1"/>
  <c r="AQ199" i="1" s="1"/>
  <c r="AI203" i="1"/>
  <c r="AQ203" i="1" s="1"/>
  <c r="AI207" i="1"/>
  <c r="AQ207" i="1" s="1"/>
  <c r="AI211" i="1"/>
  <c r="AQ211" i="1" s="1"/>
  <c r="AI215" i="1"/>
  <c r="AQ215" i="1" s="1"/>
  <c r="AI219" i="1"/>
  <c r="AQ219" i="1" s="1"/>
  <c r="AI223" i="1"/>
  <c r="AQ223" i="1" s="1"/>
  <c r="AI227" i="1"/>
  <c r="AQ227" i="1" s="1"/>
  <c r="AI231" i="1"/>
  <c r="AQ231" i="1" s="1"/>
  <c r="AI235" i="1"/>
  <c r="AQ235" i="1" s="1"/>
  <c r="AI239" i="1"/>
  <c r="AQ239" i="1" s="1"/>
  <c r="AI243" i="1"/>
  <c r="AQ243" i="1" s="1"/>
  <c r="AI247" i="1"/>
  <c r="AQ247" i="1" s="1"/>
  <c r="AI251" i="1"/>
  <c r="AQ251" i="1" s="1"/>
  <c r="AI255" i="1"/>
  <c r="AQ255" i="1" s="1"/>
  <c r="AI259" i="1"/>
  <c r="AQ259" i="1" s="1"/>
  <c r="AI263" i="1"/>
  <c r="AQ263" i="1" s="1"/>
  <c r="AI267" i="1"/>
  <c r="AQ267" i="1" s="1"/>
  <c r="AI271" i="1"/>
  <c r="AQ271" i="1" s="1"/>
  <c r="AI275" i="1"/>
  <c r="AQ275" i="1" s="1"/>
  <c r="AI279" i="1"/>
  <c r="AQ279" i="1" s="1"/>
  <c r="AI283" i="1"/>
  <c r="AQ283" i="1" s="1"/>
  <c r="AI287" i="1"/>
  <c r="AQ287" i="1" s="1"/>
  <c r="AI291" i="1"/>
  <c r="AQ291" i="1" s="1"/>
  <c r="AI295" i="1"/>
  <c r="AQ295" i="1" s="1"/>
  <c r="AI299" i="1"/>
  <c r="AQ299" i="1" s="1"/>
  <c r="AI303" i="1"/>
  <c r="AQ303" i="1" s="1"/>
  <c r="AI307" i="1"/>
  <c r="AQ307" i="1" s="1"/>
  <c r="AI311" i="1"/>
  <c r="AQ311" i="1" s="1"/>
  <c r="AI315" i="1"/>
  <c r="AQ315" i="1" s="1"/>
  <c r="AI319" i="1"/>
  <c r="AQ319" i="1" s="1"/>
  <c r="AI323" i="1"/>
  <c r="AQ323" i="1" s="1"/>
  <c r="AI327" i="1"/>
  <c r="AQ327" i="1" s="1"/>
  <c r="AI331" i="1"/>
  <c r="AQ331" i="1" s="1"/>
  <c r="AI335" i="1"/>
  <c r="AQ335" i="1" s="1"/>
  <c r="AI339" i="1"/>
  <c r="AQ339" i="1" s="1"/>
  <c r="AI343" i="1"/>
  <c r="AQ343" i="1" s="1"/>
  <c r="AI347" i="1"/>
  <c r="AQ347" i="1" s="1"/>
  <c r="AI351" i="1"/>
  <c r="AQ351" i="1" s="1"/>
  <c r="AI355" i="1"/>
  <c r="AQ355" i="1" s="1"/>
  <c r="AI359" i="1"/>
  <c r="AQ359" i="1" s="1"/>
  <c r="AI363" i="1"/>
  <c r="AQ363" i="1" s="1"/>
  <c r="AI367" i="1"/>
  <c r="AQ367" i="1" s="1"/>
  <c r="AI371" i="1"/>
  <c r="AQ371" i="1" s="1"/>
  <c r="AI375" i="1"/>
  <c r="AQ375" i="1" s="1"/>
  <c r="AI379" i="1"/>
  <c r="AQ379" i="1" s="1"/>
  <c r="AI383" i="1"/>
  <c r="AQ383" i="1" s="1"/>
  <c r="AI387" i="1"/>
  <c r="AQ387" i="1" s="1"/>
  <c r="AI391" i="1"/>
  <c r="AQ391" i="1" s="1"/>
  <c r="AI395" i="1"/>
  <c r="AQ395" i="1" s="1"/>
  <c r="AI399" i="1"/>
  <c r="AQ399" i="1" s="1"/>
  <c r="AI403" i="1"/>
  <c r="AQ403" i="1" s="1"/>
  <c r="AI407" i="1"/>
  <c r="AQ407" i="1" s="1"/>
  <c r="AI411" i="1"/>
  <c r="AQ411" i="1" s="1"/>
  <c r="AI415" i="1"/>
  <c r="AQ415" i="1" s="1"/>
  <c r="AI419" i="1"/>
  <c r="AQ419" i="1" s="1"/>
  <c r="AI423" i="1"/>
  <c r="AQ423" i="1" s="1"/>
  <c r="AI427" i="1"/>
  <c r="AQ427" i="1" s="1"/>
  <c r="AI431" i="1"/>
  <c r="AQ431" i="1" s="1"/>
  <c r="AI435" i="1"/>
  <c r="AQ435" i="1" s="1"/>
  <c r="AI439" i="1"/>
  <c r="AQ439" i="1" s="1"/>
  <c r="AI443" i="1"/>
  <c r="AQ443" i="1" s="1"/>
  <c r="AI447" i="1"/>
  <c r="AQ447" i="1" s="1"/>
  <c r="AI451" i="1"/>
  <c r="AQ451" i="1" s="1"/>
  <c r="AI455" i="1"/>
  <c r="AQ455" i="1" s="1"/>
  <c r="AI459" i="1"/>
  <c r="AQ459" i="1" s="1"/>
  <c r="AI463" i="1"/>
  <c r="AQ463" i="1" s="1"/>
  <c r="AI467" i="1"/>
  <c r="AQ467" i="1" s="1"/>
  <c r="AI471" i="1"/>
  <c r="AQ471" i="1" s="1"/>
  <c r="AI475" i="1"/>
  <c r="AQ475" i="1" s="1"/>
  <c r="AI479" i="1"/>
  <c r="AQ479" i="1" s="1"/>
  <c r="AI483" i="1"/>
  <c r="AQ483" i="1" s="1"/>
  <c r="AI487" i="1"/>
  <c r="AQ487" i="1" s="1"/>
  <c r="AI491" i="1"/>
  <c r="AQ491" i="1" s="1"/>
  <c r="AI495" i="1"/>
  <c r="AQ495" i="1" s="1"/>
  <c r="AI499" i="1"/>
  <c r="AQ499" i="1" s="1"/>
  <c r="AI503" i="1"/>
  <c r="AQ503" i="1" s="1"/>
  <c r="AI507" i="1"/>
  <c r="AQ507" i="1" s="1"/>
  <c r="AI511" i="1"/>
  <c r="AQ511" i="1" s="1"/>
  <c r="AI515" i="1"/>
  <c r="AQ515" i="1" s="1"/>
  <c r="AI519" i="1"/>
  <c r="AQ519" i="1" s="1"/>
  <c r="AI523" i="1"/>
  <c r="AQ523" i="1" s="1"/>
  <c r="AI527" i="1"/>
  <c r="AQ527" i="1" s="1"/>
  <c r="AI531" i="1"/>
  <c r="AQ531" i="1" s="1"/>
  <c r="AI535" i="1"/>
  <c r="AQ535" i="1" s="1"/>
  <c r="AI539" i="1"/>
  <c r="AQ539" i="1" s="1"/>
  <c r="AI543" i="1"/>
  <c r="AQ543" i="1" s="1"/>
  <c r="AI547" i="1"/>
  <c r="AQ547" i="1" s="1"/>
  <c r="AI551" i="1"/>
  <c r="AQ551" i="1" s="1"/>
  <c r="AI555" i="1"/>
  <c r="AQ555" i="1" s="1"/>
  <c r="AI559" i="1"/>
  <c r="AQ559" i="1" s="1"/>
  <c r="AI563" i="1"/>
  <c r="AQ563" i="1" s="1"/>
  <c r="AI567" i="1"/>
  <c r="AQ567" i="1" s="1"/>
  <c r="AI571" i="1"/>
  <c r="AQ571" i="1" s="1"/>
  <c r="AI575" i="1"/>
  <c r="AQ575" i="1" s="1"/>
  <c r="AI579" i="1"/>
  <c r="AQ579" i="1" s="1"/>
  <c r="AI583" i="1"/>
  <c r="AQ583" i="1" s="1"/>
  <c r="AI587" i="1"/>
  <c r="AQ587" i="1" s="1"/>
  <c r="AI591" i="1"/>
  <c r="AQ591" i="1" s="1"/>
  <c r="AI595" i="1"/>
  <c r="AQ595" i="1" s="1"/>
  <c r="AI599" i="1"/>
  <c r="AQ599" i="1" s="1"/>
  <c r="AI603" i="1"/>
  <c r="AQ603" i="1" s="1"/>
  <c r="AI607" i="1"/>
  <c r="AQ607" i="1" s="1"/>
  <c r="AI611" i="1"/>
  <c r="AQ611" i="1" s="1"/>
  <c r="AI615" i="1"/>
  <c r="AQ615" i="1" s="1"/>
  <c r="AI619" i="1"/>
  <c r="AQ619" i="1" s="1"/>
  <c r="AI623" i="1"/>
  <c r="AQ623" i="1" s="1"/>
  <c r="AI627" i="1"/>
  <c r="AQ627" i="1" s="1"/>
  <c r="AI631" i="1"/>
  <c r="AQ631" i="1" s="1"/>
  <c r="AI635" i="1"/>
  <c r="AQ635" i="1" s="1"/>
  <c r="AI639" i="1"/>
  <c r="AQ639" i="1" s="1"/>
  <c r="AI643" i="1"/>
  <c r="AQ643" i="1" s="1"/>
  <c r="AI647" i="1"/>
  <c r="AQ647" i="1" s="1"/>
  <c r="AI651" i="1"/>
  <c r="AQ651" i="1" s="1"/>
  <c r="AI655" i="1"/>
  <c r="AQ655" i="1" s="1"/>
  <c r="AI659" i="1"/>
  <c r="AQ659" i="1" s="1"/>
  <c r="AI663" i="1"/>
  <c r="AQ663" i="1" s="1"/>
  <c r="AI667" i="1"/>
  <c r="AQ667" i="1" s="1"/>
  <c r="AI671" i="1"/>
  <c r="AQ671" i="1" s="1"/>
  <c r="AI675" i="1"/>
  <c r="AQ675" i="1" s="1"/>
  <c r="AI679" i="1"/>
  <c r="AQ679" i="1" s="1"/>
  <c r="AI683" i="1"/>
  <c r="AQ683" i="1" s="1"/>
  <c r="AI687" i="1"/>
  <c r="AQ687" i="1" s="1"/>
  <c r="AI691" i="1"/>
  <c r="AQ691" i="1" s="1"/>
  <c r="AI695" i="1"/>
  <c r="AQ695" i="1" s="1"/>
  <c r="AI699" i="1"/>
  <c r="AQ699" i="1" s="1"/>
  <c r="AI703" i="1"/>
  <c r="AQ703" i="1" s="1"/>
  <c r="AI707" i="1"/>
  <c r="AQ707" i="1" s="1"/>
  <c r="AI711" i="1"/>
  <c r="AQ711" i="1" s="1"/>
  <c r="AI715" i="1"/>
  <c r="AQ715" i="1" s="1"/>
  <c r="AI719" i="1"/>
  <c r="AQ719" i="1" s="1"/>
  <c r="AI723" i="1"/>
  <c r="AQ723" i="1" s="1"/>
  <c r="AI727" i="1"/>
  <c r="AQ727" i="1" s="1"/>
  <c r="AI731" i="1"/>
  <c r="AQ731" i="1" s="1"/>
  <c r="AI735" i="1"/>
  <c r="AQ735" i="1" s="1"/>
  <c r="AI739" i="1"/>
  <c r="AQ739" i="1" s="1"/>
  <c r="AI743" i="1"/>
  <c r="AQ743" i="1" s="1"/>
  <c r="AI747" i="1"/>
  <c r="AQ747" i="1" s="1"/>
  <c r="AI751" i="1"/>
  <c r="AQ751" i="1" s="1"/>
  <c r="AI755" i="1"/>
  <c r="AQ755" i="1" s="1"/>
  <c r="AI759" i="1"/>
  <c r="AQ759" i="1" s="1"/>
  <c r="AI763" i="1"/>
  <c r="AQ763" i="1" s="1"/>
  <c r="AI767" i="1"/>
  <c r="AQ767" i="1" s="1"/>
  <c r="AI771" i="1"/>
  <c r="AQ771" i="1" s="1"/>
  <c r="AI775" i="1"/>
  <c r="AQ775" i="1" s="1"/>
  <c r="AI779" i="1"/>
  <c r="AQ779" i="1" s="1"/>
  <c r="AI783" i="1"/>
  <c r="AQ783" i="1" s="1"/>
  <c r="AI787" i="1"/>
  <c r="AQ787" i="1" s="1"/>
  <c r="AI791" i="1"/>
  <c r="AQ791" i="1" s="1"/>
  <c r="AI795" i="1"/>
  <c r="AQ795" i="1" s="1"/>
  <c r="AI799" i="1"/>
  <c r="AQ799" i="1" s="1"/>
  <c r="AI803" i="1"/>
  <c r="AQ803" i="1" s="1"/>
  <c r="AI807" i="1"/>
  <c r="AQ807" i="1" s="1"/>
  <c r="AI811" i="1"/>
  <c r="AQ811" i="1" s="1"/>
  <c r="AI815" i="1"/>
  <c r="AQ815" i="1" s="1"/>
  <c r="AI819" i="1"/>
  <c r="AQ819" i="1" s="1"/>
  <c r="AI823" i="1"/>
  <c r="AQ823" i="1" s="1"/>
  <c r="AI827" i="1"/>
  <c r="AQ827" i="1" s="1"/>
  <c r="AI831" i="1"/>
  <c r="AQ831" i="1" s="1"/>
  <c r="AI835" i="1"/>
  <c r="AQ835" i="1" s="1"/>
  <c r="AI839" i="1"/>
  <c r="AQ839" i="1" s="1"/>
  <c r="AI843" i="1"/>
  <c r="AQ843" i="1" s="1"/>
  <c r="AI847" i="1"/>
  <c r="AQ847" i="1" s="1"/>
  <c r="AI851" i="1"/>
  <c r="AQ851" i="1" s="1"/>
  <c r="AI855" i="1"/>
  <c r="AQ855" i="1" s="1"/>
  <c r="AI859" i="1"/>
  <c r="AQ859" i="1" s="1"/>
  <c r="AI863" i="1"/>
  <c r="AQ863" i="1" s="1"/>
  <c r="AI867" i="1"/>
  <c r="AQ867" i="1" s="1"/>
  <c r="AI871" i="1"/>
  <c r="AQ871" i="1" s="1"/>
  <c r="AI875" i="1"/>
  <c r="AQ875" i="1" s="1"/>
  <c r="AI879" i="1"/>
  <c r="AQ879" i="1" s="1"/>
  <c r="AI883" i="1"/>
  <c r="AQ883" i="1" s="1"/>
  <c r="AI887" i="1"/>
  <c r="AQ887" i="1" s="1"/>
  <c r="AI891" i="1"/>
  <c r="AQ891" i="1" s="1"/>
  <c r="AI895" i="1"/>
  <c r="AQ895" i="1" s="1"/>
  <c r="AI899" i="1"/>
  <c r="AQ899" i="1" s="1"/>
  <c r="AI903" i="1"/>
  <c r="AQ903" i="1" s="1"/>
  <c r="AI907" i="1"/>
  <c r="AQ907" i="1" s="1"/>
  <c r="AI911" i="1"/>
  <c r="AQ911" i="1" s="1"/>
  <c r="AI915" i="1"/>
  <c r="AQ915" i="1" s="1"/>
  <c r="AI919" i="1"/>
  <c r="AQ919" i="1" s="1"/>
  <c r="AI923" i="1"/>
  <c r="AQ923" i="1" s="1"/>
  <c r="AI927" i="1"/>
  <c r="AQ927" i="1" s="1"/>
  <c r="AI931" i="1"/>
  <c r="AQ931" i="1" s="1"/>
  <c r="AI935" i="1"/>
  <c r="AQ935" i="1" s="1"/>
  <c r="AI939" i="1"/>
  <c r="AQ939" i="1" s="1"/>
  <c r="AI943" i="1"/>
  <c r="AQ943" i="1" s="1"/>
  <c r="AI947" i="1"/>
  <c r="AQ947" i="1" s="1"/>
  <c r="AI951" i="1"/>
  <c r="AQ951" i="1" s="1"/>
  <c r="AI955" i="1"/>
  <c r="AQ955" i="1" s="1"/>
  <c r="AI959" i="1"/>
  <c r="AQ959" i="1" s="1"/>
  <c r="AI963" i="1"/>
  <c r="AQ963" i="1" s="1"/>
  <c r="AI967" i="1"/>
  <c r="AQ967" i="1" s="1"/>
  <c r="AI971" i="1"/>
  <c r="AQ971" i="1" s="1"/>
  <c r="AI975" i="1"/>
  <c r="AQ975" i="1" s="1"/>
  <c r="AI979" i="1"/>
  <c r="AQ979" i="1" s="1"/>
  <c r="AI983" i="1"/>
  <c r="AQ983" i="1" s="1"/>
  <c r="AI987" i="1"/>
  <c r="AQ987" i="1" s="1"/>
  <c r="AI991" i="1"/>
  <c r="AQ991" i="1" s="1"/>
  <c r="AI995" i="1"/>
  <c r="AQ995" i="1" s="1"/>
  <c r="AI999" i="1"/>
  <c r="AQ999" i="1" s="1"/>
  <c r="AJ23" i="1"/>
  <c r="AR23" i="1" s="1"/>
  <c r="AJ31" i="1"/>
  <c r="AR31" i="1" s="1"/>
  <c r="AJ39" i="1"/>
  <c r="AR39" i="1" s="1"/>
  <c r="AJ47" i="1"/>
  <c r="AR47" i="1" s="1"/>
  <c r="AJ55" i="1"/>
  <c r="AR55" i="1" s="1"/>
  <c r="AJ63" i="1"/>
  <c r="AR63" i="1" s="1"/>
  <c r="AJ71" i="1"/>
  <c r="AR71" i="1" s="1"/>
  <c r="AJ79" i="1"/>
  <c r="AR79" i="1" s="1"/>
  <c r="AJ87" i="1"/>
  <c r="AR87" i="1" s="1"/>
  <c r="AJ95" i="1"/>
  <c r="AR95" i="1" s="1"/>
  <c r="AJ103" i="1"/>
  <c r="AR103" i="1" s="1"/>
  <c r="AJ111" i="1"/>
  <c r="AR111" i="1" s="1"/>
  <c r="AJ119" i="1"/>
  <c r="AR119" i="1" s="1"/>
  <c r="AJ127" i="1"/>
  <c r="AR127" i="1" s="1"/>
  <c r="AJ135" i="1"/>
  <c r="AR135" i="1" s="1"/>
  <c r="AJ143" i="1"/>
  <c r="AR143" i="1" s="1"/>
  <c r="AJ151" i="1"/>
  <c r="AR151" i="1" s="1"/>
  <c r="AJ159" i="1"/>
  <c r="AR159" i="1" s="1"/>
  <c r="AJ167" i="1"/>
  <c r="AR167" i="1" s="1"/>
  <c r="AJ175" i="1"/>
  <c r="AR175" i="1" s="1"/>
  <c r="AJ183" i="1"/>
  <c r="AR183" i="1" s="1"/>
  <c r="AH18" i="1"/>
  <c r="AP18" i="1" s="1"/>
  <c r="AH11" i="1"/>
  <c r="AP11" i="1" s="1"/>
  <c r="AH742" i="1"/>
  <c r="AP742" i="1" s="1"/>
  <c r="AH780" i="1"/>
  <c r="AP780" i="1" s="1"/>
  <c r="AH854" i="1"/>
  <c r="AP854" i="1" s="1"/>
  <c r="AH866" i="1"/>
  <c r="AP866" i="1" s="1"/>
  <c r="AH940" i="1"/>
  <c r="AP940" i="1" s="1"/>
  <c r="AH797" i="1"/>
  <c r="AP797" i="1" s="1"/>
  <c r="AH808" i="1"/>
  <c r="AP808" i="1" s="1"/>
  <c r="AH882" i="1"/>
  <c r="AP882" i="1" s="1"/>
  <c r="AH992" i="1"/>
  <c r="AP992" i="1" s="1"/>
  <c r="AH779" i="1"/>
  <c r="AP779" i="1" s="1"/>
  <c r="AH789" i="1"/>
  <c r="AP789" i="1" s="1"/>
  <c r="AH807" i="1"/>
  <c r="AP807" i="1" s="1"/>
  <c r="AH877" i="1"/>
  <c r="AP877" i="1" s="1"/>
  <c r="AH887" i="1"/>
  <c r="AP887" i="1" s="1"/>
  <c r="AH899" i="1"/>
  <c r="AP899" i="1" s="1"/>
  <c r="AH911" i="1"/>
  <c r="AP911" i="1" s="1"/>
  <c r="AH945" i="1"/>
  <c r="AP945" i="1" s="1"/>
  <c r="AH979" i="1"/>
  <c r="AP979" i="1" s="1"/>
  <c r="AH991" i="1"/>
  <c r="AP991" i="1" s="1"/>
  <c r="AJ26" i="1"/>
  <c r="AR26" i="1" s="1"/>
  <c r="AJ34" i="1"/>
  <c r="AR34" i="1" s="1"/>
  <c r="AJ42" i="1"/>
  <c r="AR42" i="1" s="1"/>
  <c r="AJ50" i="1"/>
  <c r="AR50" i="1" s="1"/>
  <c r="AJ58" i="1"/>
  <c r="AR58" i="1" s="1"/>
  <c r="AJ66" i="1"/>
  <c r="AR66" i="1" s="1"/>
  <c r="AJ74" i="1"/>
  <c r="AR74" i="1" s="1"/>
  <c r="AJ82" i="1"/>
  <c r="AR82" i="1" s="1"/>
  <c r="AJ90" i="1"/>
  <c r="AR90" i="1" s="1"/>
  <c r="AJ98" i="1"/>
  <c r="AR98" i="1" s="1"/>
  <c r="AJ106" i="1"/>
  <c r="AR106" i="1" s="1"/>
  <c r="AJ114" i="1"/>
  <c r="AR114" i="1" s="1"/>
  <c r="AJ122" i="1"/>
  <c r="AR122" i="1" s="1"/>
  <c r="AJ130" i="1"/>
  <c r="AR130" i="1" s="1"/>
  <c r="AJ138" i="1"/>
  <c r="AR138" i="1" s="1"/>
  <c r="AJ146" i="1"/>
  <c r="AR146" i="1" s="1"/>
  <c r="AJ154" i="1"/>
  <c r="AR154" i="1" s="1"/>
  <c r="AJ162" i="1"/>
  <c r="AR162" i="1" s="1"/>
  <c r="AJ170" i="1"/>
  <c r="AR170" i="1" s="1"/>
  <c r="AJ178" i="1"/>
  <c r="AR178" i="1" s="1"/>
  <c r="AJ186" i="1"/>
  <c r="AR186" i="1" s="1"/>
  <c r="AJ194" i="1"/>
  <c r="AR194" i="1" s="1"/>
  <c r="AJ202" i="1"/>
  <c r="AR202" i="1" s="1"/>
  <c r="AJ210" i="1"/>
  <c r="AR210" i="1" s="1"/>
  <c r="AJ218" i="1"/>
  <c r="AR218" i="1" s="1"/>
  <c r="AJ226" i="1"/>
  <c r="AR226" i="1" s="1"/>
  <c r="AJ234" i="1"/>
  <c r="AR234" i="1" s="1"/>
  <c r="AJ242" i="1"/>
  <c r="AR242" i="1" s="1"/>
  <c r="AJ250" i="1"/>
  <c r="AR250" i="1" s="1"/>
  <c r="AJ258" i="1"/>
  <c r="AR258" i="1" s="1"/>
  <c r="AJ266" i="1"/>
  <c r="AR266" i="1" s="1"/>
  <c r="AJ274" i="1"/>
  <c r="AR274" i="1" s="1"/>
  <c r="AJ282" i="1"/>
  <c r="AR282" i="1" s="1"/>
  <c r="AJ290" i="1"/>
  <c r="AR290" i="1" s="1"/>
  <c r="AJ298" i="1"/>
  <c r="AR298" i="1" s="1"/>
  <c r="AG309" i="1"/>
  <c r="AO309" i="1" s="1"/>
  <c r="AG313" i="1"/>
  <c r="AO313" i="1" s="1"/>
  <c r="AG317" i="1"/>
  <c r="AO317" i="1" s="1"/>
  <c r="AG321" i="1"/>
  <c r="AO321" i="1" s="1"/>
  <c r="AG325" i="1"/>
  <c r="AO325" i="1" s="1"/>
  <c r="AG329" i="1"/>
  <c r="AO329" i="1" s="1"/>
  <c r="AG333" i="1"/>
  <c r="AO333" i="1" s="1"/>
  <c r="AG337" i="1"/>
  <c r="AO337" i="1" s="1"/>
  <c r="AG341" i="1"/>
  <c r="AO341" i="1" s="1"/>
  <c r="AG345" i="1"/>
  <c r="AO345" i="1" s="1"/>
  <c r="AG349" i="1"/>
  <c r="AO349" i="1" s="1"/>
  <c r="AG353" i="1"/>
  <c r="AO353" i="1" s="1"/>
  <c r="AG357" i="1"/>
  <c r="AO357" i="1" s="1"/>
  <c r="AG361" i="1"/>
  <c r="AO361" i="1" s="1"/>
  <c r="AG365" i="1"/>
  <c r="AO365" i="1" s="1"/>
  <c r="AG369" i="1"/>
  <c r="AO369" i="1" s="1"/>
  <c r="AG373" i="1"/>
  <c r="AO373" i="1" s="1"/>
  <c r="AG377" i="1"/>
  <c r="AO377" i="1" s="1"/>
  <c r="AG381" i="1"/>
  <c r="AO381" i="1" s="1"/>
  <c r="AG385" i="1"/>
  <c r="AO385" i="1" s="1"/>
  <c r="AG389" i="1"/>
  <c r="AO389" i="1" s="1"/>
  <c r="AG393" i="1"/>
  <c r="AO393" i="1" s="1"/>
  <c r="AG397" i="1"/>
  <c r="AO397" i="1" s="1"/>
  <c r="AG401" i="1"/>
  <c r="AO401" i="1" s="1"/>
  <c r="AG405" i="1"/>
  <c r="AO405" i="1" s="1"/>
  <c r="AG409" i="1"/>
  <c r="AO409" i="1" s="1"/>
  <c r="AG413" i="1"/>
  <c r="AO413" i="1" s="1"/>
  <c r="AG417" i="1"/>
  <c r="AO417" i="1" s="1"/>
  <c r="AG421" i="1"/>
  <c r="AO421" i="1" s="1"/>
  <c r="AG425" i="1"/>
  <c r="AO425" i="1" s="1"/>
  <c r="AG429" i="1"/>
  <c r="AO429" i="1" s="1"/>
  <c r="AG433" i="1"/>
  <c r="AO433" i="1" s="1"/>
  <c r="AG437" i="1"/>
  <c r="AO437" i="1" s="1"/>
  <c r="AG441" i="1"/>
  <c r="AO441" i="1" s="1"/>
  <c r="AG445" i="1"/>
  <c r="AO445" i="1" s="1"/>
  <c r="AG449" i="1"/>
  <c r="AO449" i="1" s="1"/>
  <c r="AG453" i="1"/>
  <c r="AO453" i="1" s="1"/>
  <c r="AG457" i="1"/>
  <c r="AO457" i="1" s="1"/>
  <c r="AG461" i="1"/>
  <c r="AO461" i="1" s="1"/>
  <c r="AG465" i="1"/>
  <c r="AO465" i="1" s="1"/>
  <c r="AG469" i="1"/>
  <c r="AO469" i="1" s="1"/>
  <c r="AG473" i="1"/>
  <c r="AO473" i="1" s="1"/>
  <c r="AG477" i="1"/>
  <c r="AO477" i="1" s="1"/>
  <c r="AG481" i="1"/>
  <c r="AO481" i="1" s="1"/>
  <c r="AG485" i="1"/>
  <c r="AO485" i="1" s="1"/>
  <c r="AG489" i="1"/>
  <c r="AO489" i="1" s="1"/>
  <c r="AG493" i="1"/>
  <c r="AO493" i="1" s="1"/>
  <c r="AG497" i="1"/>
  <c r="AO497" i="1" s="1"/>
  <c r="AG501" i="1"/>
  <c r="AO501" i="1" s="1"/>
  <c r="AG505" i="1"/>
  <c r="AO505" i="1" s="1"/>
  <c r="AG509" i="1"/>
  <c r="AO509" i="1" s="1"/>
  <c r="AG513" i="1"/>
  <c r="AO513" i="1" s="1"/>
  <c r="AG517" i="1"/>
  <c r="AO517" i="1" s="1"/>
  <c r="AG521" i="1"/>
  <c r="AO521" i="1" s="1"/>
  <c r="AG525" i="1"/>
  <c r="AO525" i="1" s="1"/>
  <c r="AG529" i="1"/>
  <c r="AO529" i="1" s="1"/>
  <c r="AG533" i="1"/>
  <c r="AO533" i="1" s="1"/>
  <c r="AG537" i="1"/>
  <c r="AO537" i="1" s="1"/>
  <c r="AG541" i="1"/>
  <c r="AO541" i="1" s="1"/>
  <c r="AG545" i="1"/>
  <c r="AO545" i="1" s="1"/>
  <c r="AG549" i="1"/>
  <c r="AO549" i="1" s="1"/>
  <c r="AG553" i="1"/>
  <c r="AO553" i="1" s="1"/>
  <c r="AG557" i="1"/>
  <c r="AO557" i="1" s="1"/>
  <c r="AG561" i="1"/>
  <c r="AO561" i="1" s="1"/>
  <c r="AG565" i="1"/>
  <c r="AO565" i="1" s="1"/>
  <c r="AG569" i="1"/>
  <c r="AO569" i="1" s="1"/>
  <c r="AG573" i="1"/>
  <c r="AO573" i="1" s="1"/>
  <c r="AG577" i="1"/>
  <c r="AO577" i="1" s="1"/>
  <c r="AG581" i="1"/>
  <c r="AO581" i="1" s="1"/>
  <c r="AG585" i="1"/>
  <c r="AO585" i="1" s="1"/>
  <c r="AG589" i="1"/>
  <c r="AO589" i="1" s="1"/>
  <c r="AG593" i="1"/>
  <c r="AO593" i="1" s="1"/>
  <c r="AG597" i="1"/>
  <c r="AO597" i="1" s="1"/>
  <c r="AG601" i="1"/>
  <c r="AO601" i="1" s="1"/>
  <c r="AG605" i="1"/>
  <c r="AO605" i="1" s="1"/>
  <c r="AG609" i="1"/>
  <c r="AO609" i="1" s="1"/>
  <c r="AG613" i="1"/>
  <c r="AO613" i="1" s="1"/>
  <c r="AG617" i="1"/>
  <c r="AO617" i="1" s="1"/>
  <c r="AG621" i="1"/>
  <c r="AO621" i="1" s="1"/>
  <c r="AG625" i="1"/>
  <c r="AO625" i="1" s="1"/>
  <c r="AG629" i="1"/>
  <c r="AO629" i="1" s="1"/>
  <c r="AG633" i="1"/>
  <c r="AO633" i="1" s="1"/>
  <c r="AG637" i="1"/>
  <c r="AO637" i="1" s="1"/>
  <c r="AG641" i="1"/>
  <c r="AO641" i="1" s="1"/>
  <c r="AG645" i="1"/>
  <c r="AO645" i="1" s="1"/>
  <c r="AG649" i="1"/>
  <c r="AO649" i="1" s="1"/>
  <c r="AG653" i="1"/>
  <c r="AO653" i="1" s="1"/>
  <c r="AG657" i="1"/>
  <c r="AO657" i="1" s="1"/>
  <c r="AG661" i="1"/>
  <c r="AO661" i="1" s="1"/>
  <c r="AG665" i="1"/>
  <c r="AO665" i="1" s="1"/>
  <c r="AG669" i="1"/>
  <c r="AO669" i="1" s="1"/>
  <c r="AG673" i="1"/>
  <c r="AO673" i="1" s="1"/>
  <c r="AG677" i="1"/>
  <c r="AO677" i="1" s="1"/>
  <c r="AG681" i="1"/>
  <c r="AO681" i="1" s="1"/>
  <c r="AG685" i="1"/>
  <c r="AO685" i="1" s="1"/>
  <c r="AG689" i="1"/>
  <c r="AO689" i="1" s="1"/>
  <c r="AG693" i="1"/>
  <c r="AO693" i="1" s="1"/>
  <c r="AG697" i="1"/>
  <c r="AO697" i="1" s="1"/>
  <c r="AG701" i="1"/>
  <c r="AO701" i="1" s="1"/>
  <c r="AG705" i="1"/>
  <c r="AO705" i="1" s="1"/>
  <c r="AG709" i="1"/>
  <c r="AO709" i="1" s="1"/>
  <c r="AG713" i="1"/>
  <c r="AO713" i="1" s="1"/>
  <c r="AG717" i="1"/>
  <c r="AO717" i="1" s="1"/>
  <c r="AG721" i="1"/>
  <c r="AO721" i="1" s="1"/>
  <c r="AG725" i="1"/>
  <c r="AO725" i="1" s="1"/>
  <c r="AG729" i="1"/>
  <c r="AO729" i="1" s="1"/>
  <c r="AG733" i="1"/>
  <c r="AO733" i="1" s="1"/>
  <c r="AG737" i="1"/>
  <c r="AO737" i="1" s="1"/>
  <c r="AG741" i="1"/>
  <c r="AO741" i="1" s="1"/>
  <c r="AG745" i="1"/>
  <c r="AO745" i="1" s="1"/>
  <c r="AG749" i="1"/>
  <c r="AO749" i="1" s="1"/>
  <c r="AG753" i="1"/>
  <c r="AO753" i="1" s="1"/>
  <c r="AG757" i="1"/>
  <c r="AO757" i="1" s="1"/>
  <c r="AG761" i="1"/>
  <c r="AO761" i="1" s="1"/>
  <c r="AG765" i="1"/>
  <c r="AO765" i="1" s="1"/>
  <c r="AG769" i="1"/>
  <c r="AO769" i="1" s="1"/>
  <c r="AG773" i="1"/>
  <c r="AO773" i="1" s="1"/>
  <c r="AG777" i="1"/>
  <c r="AO777" i="1" s="1"/>
  <c r="AG781" i="1"/>
  <c r="AO781" i="1" s="1"/>
  <c r="AG785" i="1"/>
  <c r="AO785" i="1" s="1"/>
  <c r="AG789" i="1"/>
  <c r="AO789" i="1" s="1"/>
  <c r="AG793" i="1"/>
  <c r="AO793" i="1" s="1"/>
  <c r="AG797" i="1"/>
  <c r="AO797" i="1" s="1"/>
  <c r="AG801" i="1"/>
  <c r="AO801" i="1" s="1"/>
  <c r="AG805" i="1"/>
  <c r="AO805" i="1" s="1"/>
  <c r="AG809" i="1"/>
  <c r="AO809" i="1" s="1"/>
  <c r="AG813" i="1"/>
  <c r="AO813" i="1" s="1"/>
  <c r="AG817" i="1"/>
  <c r="AO817" i="1" s="1"/>
  <c r="AG821" i="1"/>
  <c r="AO821" i="1" s="1"/>
  <c r="AG825" i="1"/>
  <c r="AO825" i="1" s="1"/>
  <c r="AG829" i="1"/>
  <c r="AO829" i="1" s="1"/>
  <c r="AG833" i="1"/>
  <c r="AO833" i="1" s="1"/>
  <c r="AG837" i="1"/>
  <c r="AO837" i="1" s="1"/>
  <c r="AG841" i="1"/>
  <c r="AO841" i="1" s="1"/>
  <c r="AG845" i="1"/>
  <c r="AO845" i="1" s="1"/>
  <c r="AG849" i="1"/>
  <c r="AO849" i="1" s="1"/>
  <c r="AG853" i="1"/>
  <c r="AO853" i="1" s="1"/>
  <c r="AG857" i="1"/>
  <c r="AO857" i="1" s="1"/>
  <c r="AG861" i="1"/>
  <c r="AO861" i="1" s="1"/>
  <c r="AG865" i="1"/>
  <c r="AO865" i="1" s="1"/>
  <c r="AG869" i="1"/>
  <c r="AO869" i="1" s="1"/>
  <c r="AG873" i="1"/>
  <c r="AO873" i="1" s="1"/>
  <c r="AG877" i="1"/>
  <c r="AO877" i="1" s="1"/>
  <c r="AG881" i="1"/>
  <c r="AO881" i="1" s="1"/>
  <c r="AG885" i="1"/>
  <c r="AO885" i="1" s="1"/>
  <c r="AG889" i="1"/>
  <c r="AO889" i="1" s="1"/>
  <c r="AG893" i="1"/>
  <c r="AO893" i="1" s="1"/>
  <c r="AG897" i="1"/>
  <c r="AO897" i="1" s="1"/>
  <c r="AG901" i="1"/>
  <c r="AO901" i="1" s="1"/>
  <c r="AG905" i="1"/>
  <c r="AO905" i="1" s="1"/>
  <c r="AG909" i="1"/>
  <c r="AO909" i="1" s="1"/>
  <c r="AG913" i="1"/>
  <c r="AO913" i="1" s="1"/>
  <c r="AG917" i="1"/>
  <c r="AO917" i="1" s="1"/>
  <c r="AG921" i="1"/>
  <c r="AO921" i="1" s="1"/>
  <c r="AG925" i="1"/>
  <c r="AO925" i="1" s="1"/>
  <c r="AG929" i="1"/>
  <c r="AO929" i="1" s="1"/>
  <c r="AG933" i="1"/>
  <c r="AO933" i="1" s="1"/>
  <c r="AG937" i="1"/>
  <c r="AO937" i="1" s="1"/>
  <c r="AG941" i="1"/>
  <c r="AO941" i="1" s="1"/>
  <c r="AG945" i="1"/>
  <c r="AO945" i="1" s="1"/>
  <c r="AG949" i="1"/>
  <c r="AO949" i="1" s="1"/>
  <c r="AG953" i="1"/>
  <c r="AO953" i="1" s="1"/>
  <c r="AG957" i="1"/>
  <c r="AO957" i="1" s="1"/>
  <c r="AG961" i="1"/>
  <c r="AO961" i="1" s="1"/>
  <c r="AG965" i="1"/>
  <c r="AO965" i="1" s="1"/>
  <c r="AG969" i="1"/>
  <c r="AO969" i="1" s="1"/>
  <c r="AG973" i="1"/>
  <c r="AO973" i="1" s="1"/>
  <c r="AG977" i="1"/>
  <c r="AO977" i="1" s="1"/>
  <c r="AG981" i="1"/>
  <c r="AO981" i="1" s="1"/>
  <c r="AG985" i="1"/>
  <c r="AO985" i="1" s="1"/>
  <c r="AG989" i="1"/>
  <c r="AO989" i="1" s="1"/>
  <c r="AG993" i="1"/>
  <c r="AO993" i="1" s="1"/>
  <c r="AG997" i="1"/>
  <c r="AO997" i="1" s="1"/>
  <c r="AH30" i="1"/>
  <c r="AP30" i="1" s="1"/>
  <c r="AH34" i="1"/>
  <c r="AP34" i="1" s="1"/>
  <c r="AH38" i="1"/>
  <c r="AP38" i="1" s="1"/>
  <c r="AH42" i="1"/>
  <c r="AP42" i="1" s="1"/>
  <c r="AH46" i="1"/>
  <c r="AP46" i="1" s="1"/>
  <c r="AH50" i="1"/>
  <c r="AP50" i="1" s="1"/>
  <c r="AH54" i="1"/>
  <c r="AP54" i="1" s="1"/>
  <c r="AH58" i="1"/>
  <c r="AP58" i="1" s="1"/>
  <c r="AH62" i="1"/>
  <c r="AP62" i="1" s="1"/>
  <c r="AH66" i="1"/>
  <c r="AP66" i="1" s="1"/>
  <c r="AH70" i="1"/>
  <c r="AP70" i="1" s="1"/>
  <c r="AH74" i="1"/>
  <c r="AP74" i="1" s="1"/>
  <c r="AH78" i="1"/>
  <c r="AP78" i="1" s="1"/>
  <c r="AH82" i="1"/>
  <c r="AP82" i="1" s="1"/>
  <c r="AH86" i="1"/>
  <c r="AP86" i="1" s="1"/>
  <c r="AH90" i="1"/>
  <c r="AP90" i="1" s="1"/>
  <c r="AH94" i="1"/>
  <c r="AP94" i="1" s="1"/>
  <c r="AH98" i="1"/>
  <c r="AP98" i="1" s="1"/>
  <c r="AH102" i="1"/>
  <c r="AP102" i="1" s="1"/>
  <c r="AH106" i="1"/>
  <c r="AP106" i="1" s="1"/>
  <c r="AH110" i="1"/>
  <c r="AP110" i="1" s="1"/>
  <c r="AH114" i="1"/>
  <c r="AP114" i="1" s="1"/>
  <c r="AH118" i="1"/>
  <c r="AP118" i="1" s="1"/>
  <c r="AH122" i="1"/>
  <c r="AP122" i="1" s="1"/>
  <c r="AH126" i="1"/>
  <c r="AP126" i="1" s="1"/>
  <c r="AH130" i="1"/>
  <c r="AP130" i="1" s="1"/>
  <c r="AH134" i="1"/>
  <c r="AP134" i="1" s="1"/>
  <c r="AH138" i="1"/>
  <c r="AP138" i="1" s="1"/>
  <c r="AH142" i="1"/>
  <c r="AP142" i="1" s="1"/>
  <c r="AH146" i="1"/>
  <c r="AP146" i="1" s="1"/>
  <c r="AH150" i="1"/>
  <c r="AP150" i="1" s="1"/>
  <c r="AH154" i="1"/>
  <c r="AP154" i="1" s="1"/>
  <c r="AH158" i="1"/>
  <c r="AP158" i="1" s="1"/>
  <c r="AH162" i="1"/>
  <c r="AP162" i="1" s="1"/>
  <c r="AH166" i="1"/>
  <c r="AP166" i="1" s="1"/>
  <c r="AH170" i="1"/>
  <c r="AP170" i="1" s="1"/>
  <c r="AH174" i="1"/>
  <c r="AP174" i="1" s="1"/>
  <c r="AH178" i="1"/>
  <c r="AP178" i="1" s="1"/>
  <c r="AH182" i="1"/>
  <c r="AP182" i="1" s="1"/>
  <c r="AH186" i="1"/>
  <c r="AP186" i="1" s="1"/>
  <c r="AH190" i="1"/>
  <c r="AP190" i="1" s="1"/>
  <c r="AH194" i="1"/>
  <c r="AP194" i="1" s="1"/>
  <c r="AH198" i="1"/>
  <c r="AP198" i="1" s="1"/>
  <c r="AH202" i="1"/>
  <c r="AP202" i="1" s="1"/>
  <c r="AH206" i="1"/>
  <c r="AP206" i="1" s="1"/>
  <c r="AH210" i="1"/>
  <c r="AP210" i="1" s="1"/>
  <c r="AH214" i="1"/>
  <c r="AP214" i="1" s="1"/>
  <c r="AH218" i="1"/>
  <c r="AP218" i="1" s="1"/>
  <c r="AH222" i="1"/>
  <c r="AP222" i="1" s="1"/>
  <c r="AH226" i="1"/>
  <c r="AP226" i="1" s="1"/>
  <c r="AH230" i="1"/>
  <c r="AP230" i="1" s="1"/>
  <c r="AH234" i="1"/>
  <c r="AP234" i="1" s="1"/>
  <c r="AH238" i="1"/>
  <c r="AP238" i="1" s="1"/>
  <c r="AH242" i="1"/>
  <c r="AP242" i="1" s="1"/>
  <c r="AH246" i="1"/>
  <c r="AP246" i="1" s="1"/>
  <c r="AH250" i="1"/>
  <c r="AP250" i="1" s="1"/>
  <c r="AH254" i="1"/>
  <c r="AP254" i="1" s="1"/>
  <c r="AH258" i="1"/>
  <c r="AP258" i="1" s="1"/>
  <c r="AH262" i="1"/>
  <c r="AP262" i="1" s="1"/>
  <c r="AH266" i="1"/>
  <c r="AP266" i="1" s="1"/>
  <c r="AH270" i="1"/>
  <c r="AP270" i="1" s="1"/>
  <c r="AH274" i="1"/>
  <c r="AP274" i="1" s="1"/>
  <c r="AH278" i="1"/>
  <c r="AP278" i="1" s="1"/>
  <c r="AH282" i="1"/>
  <c r="AP282" i="1" s="1"/>
  <c r="AH286" i="1"/>
  <c r="AP286" i="1" s="1"/>
  <c r="AH290" i="1"/>
  <c r="AP290" i="1" s="1"/>
  <c r="AH294" i="1"/>
  <c r="AP294" i="1" s="1"/>
  <c r="AH298" i="1"/>
  <c r="AP298" i="1" s="1"/>
  <c r="AH302" i="1"/>
  <c r="AP302" i="1" s="1"/>
  <c r="AH306" i="1"/>
  <c r="AP306" i="1" s="1"/>
  <c r="AH310" i="1"/>
  <c r="AP310" i="1" s="1"/>
  <c r="AH314" i="1"/>
  <c r="AP314" i="1" s="1"/>
  <c r="AH318" i="1"/>
  <c r="AP318" i="1" s="1"/>
  <c r="AH322" i="1"/>
  <c r="AP322" i="1" s="1"/>
  <c r="AH326" i="1"/>
  <c r="AP326" i="1" s="1"/>
  <c r="AH330" i="1"/>
  <c r="AP330" i="1" s="1"/>
  <c r="AH334" i="1"/>
  <c r="AP334" i="1" s="1"/>
  <c r="AH338" i="1"/>
  <c r="AP338" i="1" s="1"/>
  <c r="AH342" i="1"/>
  <c r="AP342" i="1" s="1"/>
  <c r="AH346" i="1"/>
  <c r="AP346" i="1" s="1"/>
  <c r="AH350" i="1"/>
  <c r="AP350" i="1" s="1"/>
  <c r="AH354" i="1"/>
  <c r="AP354" i="1" s="1"/>
  <c r="AH358" i="1"/>
  <c r="AP358" i="1" s="1"/>
  <c r="AH362" i="1"/>
  <c r="AP362" i="1" s="1"/>
  <c r="AH366" i="1"/>
  <c r="AP366" i="1" s="1"/>
  <c r="AH370" i="1"/>
  <c r="AP370" i="1" s="1"/>
  <c r="AH374" i="1"/>
  <c r="AP374" i="1" s="1"/>
  <c r="AH378" i="1"/>
  <c r="AP378" i="1" s="1"/>
  <c r="AH382" i="1"/>
  <c r="AP382" i="1" s="1"/>
  <c r="AH386" i="1"/>
  <c r="AP386" i="1" s="1"/>
  <c r="AH390" i="1"/>
  <c r="AP390" i="1" s="1"/>
  <c r="AH394" i="1"/>
  <c r="AP394" i="1" s="1"/>
  <c r="AH398" i="1"/>
  <c r="AP398" i="1" s="1"/>
  <c r="AH402" i="1"/>
  <c r="AP402" i="1" s="1"/>
  <c r="AH406" i="1"/>
  <c r="AP406" i="1" s="1"/>
  <c r="AH410" i="1"/>
  <c r="AP410" i="1" s="1"/>
  <c r="AH414" i="1"/>
  <c r="AP414" i="1" s="1"/>
  <c r="AH418" i="1"/>
  <c r="AP418" i="1" s="1"/>
  <c r="AH422" i="1"/>
  <c r="AP422" i="1" s="1"/>
  <c r="AH426" i="1"/>
  <c r="AP426" i="1" s="1"/>
  <c r="AH430" i="1"/>
  <c r="AP430" i="1" s="1"/>
  <c r="AH434" i="1"/>
  <c r="AP434" i="1" s="1"/>
  <c r="AH438" i="1"/>
  <c r="AP438" i="1" s="1"/>
  <c r="AH442" i="1"/>
  <c r="AP442" i="1" s="1"/>
  <c r="AH446" i="1"/>
  <c r="AP446" i="1" s="1"/>
  <c r="AH450" i="1"/>
  <c r="AP450" i="1" s="1"/>
  <c r="AH454" i="1"/>
  <c r="AP454" i="1" s="1"/>
  <c r="AH458" i="1"/>
  <c r="AP458" i="1" s="1"/>
  <c r="AH462" i="1"/>
  <c r="AP462" i="1" s="1"/>
  <c r="AH466" i="1"/>
  <c r="AP466" i="1" s="1"/>
  <c r="AH470" i="1"/>
  <c r="AP470" i="1" s="1"/>
  <c r="AH474" i="1"/>
  <c r="AP474" i="1" s="1"/>
  <c r="AH478" i="1"/>
  <c r="AP478" i="1" s="1"/>
  <c r="AH482" i="1"/>
  <c r="AP482" i="1" s="1"/>
  <c r="AH486" i="1"/>
  <c r="AP486" i="1" s="1"/>
  <c r="AH490" i="1"/>
  <c r="AP490" i="1" s="1"/>
  <c r="AH494" i="1"/>
  <c r="AP494" i="1" s="1"/>
  <c r="AH498" i="1"/>
  <c r="AP498" i="1" s="1"/>
  <c r="AH502" i="1"/>
  <c r="AP502" i="1" s="1"/>
  <c r="AH506" i="1"/>
  <c r="AP506" i="1" s="1"/>
  <c r="AH510" i="1"/>
  <c r="AP510" i="1" s="1"/>
  <c r="AH514" i="1"/>
  <c r="AP514" i="1" s="1"/>
  <c r="AH518" i="1"/>
  <c r="AP518" i="1" s="1"/>
  <c r="AH522" i="1"/>
  <c r="AP522" i="1" s="1"/>
  <c r="AH526" i="1"/>
  <c r="AP526" i="1" s="1"/>
  <c r="AH530" i="1"/>
  <c r="AP530" i="1" s="1"/>
  <c r="AH534" i="1"/>
  <c r="AP534" i="1" s="1"/>
  <c r="AH19" i="1"/>
  <c r="AP19" i="1" s="1"/>
  <c r="AH759" i="1"/>
  <c r="AP759" i="1" s="1"/>
  <c r="AH770" i="1"/>
  <c r="AP770" i="1" s="1"/>
  <c r="AH809" i="1"/>
  <c r="AP809" i="1" s="1"/>
  <c r="AH820" i="1"/>
  <c r="AP820" i="1" s="1"/>
  <c r="AH832" i="1"/>
  <c r="AP832" i="1" s="1"/>
  <c r="AH844" i="1"/>
  <c r="AP844" i="1" s="1"/>
  <c r="AH857" i="1"/>
  <c r="AP857" i="1" s="1"/>
  <c r="AH883" i="1"/>
  <c r="AP883" i="1" s="1"/>
  <c r="AH894" i="1"/>
  <c r="AP894" i="1" s="1"/>
  <c r="AH906" i="1"/>
  <c r="AP906" i="1" s="1"/>
  <c r="AH920" i="1"/>
  <c r="AP920" i="1" s="1"/>
  <c r="AH932" i="1"/>
  <c r="AP932" i="1" s="1"/>
  <c r="AH956" i="1"/>
  <c r="AP956" i="1" s="1"/>
  <c r="AH968" i="1"/>
  <c r="AP968" i="1" s="1"/>
  <c r="AH981" i="1"/>
  <c r="AP981" i="1" s="1"/>
  <c r="AH993" i="1"/>
  <c r="AP993" i="1" s="1"/>
  <c r="AH15" i="1"/>
  <c r="AP15" i="1" s="1"/>
  <c r="AH743" i="1"/>
  <c r="AP743" i="1" s="1"/>
  <c r="AH756" i="1"/>
  <c r="AP756" i="1" s="1"/>
  <c r="AH768" i="1"/>
  <c r="AP768" i="1" s="1"/>
  <c r="AH781" i="1"/>
  <c r="AP781" i="1" s="1"/>
  <c r="AH790" i="1"/>
  <c r="AP790" i="1" s="1"/>
  <c r="AH800" i="1"/>
  <c r="AP800" i="1" s="1"/>
  <c r="AH811" i="1"/>
  <c r="AP811" i="1" s="1"/>
  <c r="AH824" i="1"/>
  <c r="AP824" i="1" s="1"/>
  <c r="AH835" i="1"/>
  <c r="AP835" i="1" s="1"/>
  <c r="AH847" i="1"/>
  <c r="AP847" i="1" s="1"/>
  <c r="AH860" i="1"/>
  <c r="AP860" i="1" s="1"/>
  <c r="AH873" i="1"/>
  <c r="AP873" i="1" s="1"/>
  <c r="AH922" i="1"/>
  <c r="AP922" i="1" s="1"/>
  <c r="AH934" i="1"/>
  <c r="AP934" i="1" s="1"/>
  <c r="AH946" i="1"/>
  <c r="AP946" i="1" s="1"/>
  <c r="AH958" i="1"/>
  <c r="AP958" i="1" s="1"/>
  <c r="AH972" i="1"/>
  <c r="AP972" i="1" s="1"/>
  <c r="AH983" i="1"/>
  <c r="AP983" i="1" s="1"/>
  <c r="AH540" i="1"/>
  <c r="AP540" i="1" s="1"/>
  <c r="AH544" i="1"/>
  <c r="AP544" i="1" s="1"/>
  <c r="AH548" i="1"/>
  <c r="AP548" i="1" s="1"/>
  <c r="AH552" i="1"/>
  <c r="AP552" i="1" s="1"/>
  <c r="AH556" i="1"/>
  <c r="AP556" i="1" s="1"/>
  <c r="AH560" i="1"/>
  <c r="AP560" i="1" s="1"/>
  <c r="AH564" i="1"/>
  <c r="AP564" i="1" s="1"/>
  <c r="AH568" i="1"/>
  <c r="AP568" i="1" s="1"/>
  <c r="AH572" i="1"/>
  <c r="AP572" i="1" s="1"/>
  <c r="AH576" i="1"/>
  <c r="AP576" i="1" s="1"/>
  <c r="AH580" i="1"/>
  <c r="AP580" i="1" s="1"/>
  <c r="AH584" i="1"/>
  <c r="AP584" i="1" s="1"/>
  <c r="AH588" i="1"/>
  <c r="AP588" i="1" s="1"/>
  <c r="AH592" i="1"/>
  <c r="AP592" i="1" s="1"/>
  <c r="AH596" i="1"/>
  <c r="AP596" i="1" s="1"/>
  <c r="AH600" i="1"/>
  <c r="AP600" i="1" s="1"/>
  <c r="AH604" i="1"/>
  <c r="AP604" i="1" s="1"/>
  <c r="AH608" i="1"/>
  <c r="AP608" i="1" s="1"/>
  <c r="AH612" i="1"/>
  <c r="AP612" i="1" s="1"/>
  <c r="AH616" i="1"/>
  <c r="AP616" i="1" s="1"/>
  <c r="AH620" i="1"/>
  <c r="AP620" i="1" s="1"/>
  <c r="AH624" i="1"/>
  <c r="AP624" i="1" s="1"/>
  <c r="AH628" i="1"/>
  <c r="AP628" i="1" s="1"/>
  <c r="AH632" i="1"/>
  <c r="AP632" i="1" s="1"/>
  <c r="AH636" i="1"/>
  <c r="AP636" i="1" s="1"/>
  <c r="AH640" i="1"/>
  <c r="AP640" i="1" s="1"/>
  <c r="AH644" i="1"/>
  <c r="AP644" i="1" s="1"/>
  <c r="AH648" i="1"/>
  <c r="AP648" i="1" s="1"/>
  <c r="AH652" i="1"/>
  <c r="AP652" i="1" s="1"/>
  <c r="AH656" i="1"/>
  <c r="AP656" i="1" s="1"/>
  <c r="AH660" i="1"/>
  <c r="AP660" i="1" s="1"/>
  <c r="AH664" i="1"/>
  <c r="AP664" i="1" s="1"/>
  <c r="AH668" i="1"/>
  <c r="AP668" i="1" s="1"/>
  <c r="AH672" i="1"/>
  <c r="AP672" i="1" s="1"/>
  <c r="AH676" i="1"/>
  <c r="AP676" i="1" s="1"/>
  <c r="AH680" i="1"/>
  <c r="AP680" i="1" s="1"/>
  <c r="AH684" i="1"/>
  <c r="AP684" i="1" s="1"/>
  <c r="AH688" i="1"/>
  <c r="AP688" i="1" s="1"/>
  <c r="AH692" i="1"/>
  <c r="AP692" i="1" s="1"/>
  <c r="AH696" i="1"/>
  <c r="AP696" i="1" s="1"/>
  <c r="AH700" i="1"/>
  <c r="AP700" i="1" s="1"/>
  <c r="AH704" i="1"/>
  <c r="AP704" i="1" s="1"/>
  <c r="AH708" i="1"/>
  <c r="AP708" i="1" s="1"/>
  <c r="AH712" i="1"/>
  <c r="AP712" i="1" s="1"/>
  <c r="AH716" i="1"/>
  <c r="AP716" i="1" s="1"/>
  <c r="AH720" i="1"/>
  <c r="AP720" i="1" s="1"/>
  <c r="AH724" i="1"/>
  <c r="AP724" i="1" s="1"/>
  <c r="AH730" i="1"/>
  <c r="AP730" i="1" s="1"/>
  <c r="AH734" i="1"/>
  <c r="AP734" i="1" s="1"/>
  <c r="AH738" i="1"/>
  <c r="AP738" i="1" s="1"/>
  <c r="AH748" i="1"/>
  <c r="AP748" i="1" s="1"/>
  <c r="AH760" i="1"/>
  <c r="AP760" i="1" s="1"/>
  <c r="AH772" i="1"/>
  <c r="AP772" i="1" s="1"/>
  <c r="AH782" i="1"/>
  <c r="AP782" i="1" s="1"/>
  <c r="AH791" i="1"/>
  <c r="AP791" i="1" s="1"/>
  <c r="AH798" i="1"/>
  <c r="AP798" i="1" s="1"/>
  <c r="AH810" i="1"/>
  <c r="AP810" i="1" s="1"/>
  <c r="AH822" i="1"/>
  <c r="AP822" i="1" s="1"/>
  <c r="AH834" i="1"/>
  <c r="AP834" i="1" s="1"/>
  <c r="AH846" i="1"/>
  <c r="AP846" i="1" s="1"/>
  <c r="AH856" i="1"/>
  <c r="AP856" i="1" s="1"/>
  <c r="AH868" i="1"/>
  <c r="AP868" i="1" s="1"/>
  <c r="AH878" i="1"/>
  <c r="AP878" i="1" s="1"/>
  <c r="AH890" i="1"/>
  <c r="AP890" i="1" s="1"/>
  <c r="AH902" i="1"/>
  <c r="AP902" i="1" s="1"/>
  <c r="AH914" i="1"/>
  <c r="AP914" i="1" s="1"/>
  <c r="AH924" i="1"/>
  <c r="AP924" i="1" s="1"/>
  <c r="AH936" i="1"/>
  <c r="AP936" i="1" s="1"/>
  <c r="AH948" i="1"/>
  <c r="AP948" i="1" s="1"/>
  <c r="AH960" i="1"/>
  <c r="AP960" i="1" s="1"/>
  <c r="AH970" i="1"/>
  <c r="AP970" i="1" s="1"/>
  <c r="AH982" i="1"/>
  <c r="AP982" i="1" s="1"/>
  <c r="AH994" i="1"/>
  <c r="AP994" i="1" s="1"/>
  <c r="AH4" i="1"/>
  <c r="AP4" i="1" s="1"/>
  <c r="AH20" i="1"/>
  <c r="AP20" i="1" s="1"/>
  <c r="AI5" i="1"/>
  <c r="AQ5" i="1" s="1"/>
  <c r="AI9" i="1"/>
  <c r="AQ9" i="1" s="1"/>
  <c r="AI13" i="1"/>
  <c r="AQ13" i="1" s="1"/>
  <c r="AI17" i="1"/>
  <c r="AQ17" i="1" s="1"/>
  <c r="AI21" i="1"/>
  <c r="AQ21" i="1" s="1"/>
  <c r="AI25" i="1"/>
  <c r="AQ25" i="1" s="1"/>
  <c r="AI29" i="1"/>
  <c r="AQ29" i="1" s="1"/>
  <c r="AI33" i="1"/>
  <c r="AQ33" i="1" s="1"/>
  <c r="AI37" i="1"/>
  <c r="AQ37" i="1" s="1"/>
  <c r="AI41" i="1"/>
  <c r="AQ41" i="1" s="1"/>
  <c r="AI45" i="1"/>
  <c r="AQ45" i="1" s="1"/>
  <c r="AI49" i="1"/>
  <c r="AQ49" i="1" s="1"/>
  <c r="AI53" i="1"/>
  <c r="AQ53" i="1" s="1"/>
  <c r="AI57" i="1"/>
  <c r="AQ57" i="1" s="1"/>
  <c r="AI61" i="1"/>
  <c r="AQ61" i="1" s="1"/>
  <c r="AI65" i="1"/>
  <c r="AQ65" i="1" s="1"/>
  <c r="AI69" i="1"/>
  <c r="AQ69" i="1" s="1"/>
  <c r="AI73" i="1"/>
  <c r="AQ73" i="1" s="1"/>
  <c r="AI77" i="1"/>
  <c r="AQ77" i="1" s="1"/>
  <c r="AI81" i="1"/>
  <c r="AQ81" i="1" s="1"/>
  <c r="AI85" i="1"/>
  <c r="AQ85" i="1" s="1"/>
  <c r="AI89" i="1"/>
  <c r="AQ89" i="1" s="1"/>
  <c r="AI93" i="1"/>
  <c r="AQ93" i="1" s="1"/>
  <c r="AI97" i="1"/>
  <c r="AQ97" i="1" s="1"/>
  <c r="AI101" i="1"/>
  <c r="AQ101" i="1" s="1"/>
  <c r="AI105" i="1"/>
  <c r="AQ105" i="1" s="1"/>
  <c r="AI109" i="1"/>
  <c r="AQ109" i="1" s="1"/>
  <c r="AI113" i="1"/>
  <c r="AQ113" i="1" s="1"/>
  <c r="AI117" i="1"/>
  <c r="AQ117" i="1" s="1"/>
  <c r="AI121" i="1"/>
  <c r="AQ121" i="1" s="1"/>
  <c r="AI125" i="1"/>
  <c r="AQ125" i="1" s="1"/>
  <c r="AI129" i="1"/>
  <c r="AQ129" i="1" s="1"/>
  <c r="AI133" i="1"/>
  <c r="AQ133" i="1" s="1"/>
  <c r="AI137" i="1"/>
  <c r="AQ137" i="1" s="1"/>
  <c r="AI141" i="1"/>
  <c r="AQ141" i="1" s="1"/>
  <c r="AI145" i="1"/>
  <c r="AQ145" i="1" s="1"/>
  <c r="AI149" i="1"/>
  <c r="AQ149" i="1" s="1"/>
  <c r="AI153" i="1"/>
  <c r="AQ153" i="1" s="1"/>
  <c r="AI157" i="1"/>
  <c r="AQ157" i="1" s="1"/>
  <c r="AI161" i="1"/>
  <c r="AQ161" i="1" s="1"/>
  <c r="AI165" i="1"/>
  <c r="AQ165" i="1" s="1"/>
  <c r="AI169" i="1"/>
  <c r="AQ169" i="1" s="1"/>
  <c r="AI173" i="1"/>
  <c r="AQ173" i="1" s="1"/>
  <c r="AI177" i="1"/>
  <c r="AQ177" i="1" s="1"/>
  <c r="AI181" i="1"/>
  <c r="AQ181" i="1" s="1"/>
  <c r="AI185" i="1"/>
  <c r="AQ185" i="1" s="1"/>
  <c r="AI189" i="1"/>
  <c r="AQ189" i="1" s="1"/>
  <c r="AI193" i="1"/>
  <c r="AQ193" i="1" s="1"/>
  <c r="AI197" i="1"/>
  <c r="AQ197" i="1" s="1"/>
  <c r="AI201" i="1"/>
  <c r="AQ201" i="1" s="1"/>
  <c r="AI205" i="1"/>
  <c r="AQ205" i="1" s="1"/>
  <c r="AI209" i="1"/>
  <c r="AQ209" i="1" s="1"/>
  <c r="AI213" i="1"/>
  <c r="AQ213" i="1" s="1"/>
  <c r="AI217" i="1"/>
  <c r="AQ217" i="1" s="1"/>
  <c r="AI221" i="1"/>
  <c r="AQ221" i="1" s="1"/>
  <c r="AI225" i="1"/>
  <c r="AQ225" i="1" s="1"/>
  <c r="AI229" i="1"/>
  <c r="AQ229" i="1" s="1"/>
  <c r="AI233" i="1"/>
  <c r="AQ233" i="1" s="1"/>
  <c r="AI237" i="1"/>
  <c r="AQ237" i="1" s="1"/>
  <c r="AI241" i="1"/>
  <c r="AQ241" i="1" s="1"/>
  <c r="AI245" i="1"/>
  <c r="AQ245" i="1" s="1"/>
  <c r="AI249" i="1"/>
  <c r="AQ249" i="1" s="1"/>
  <c r="AI253" i="1"/>
  <c r="AQ253" i="1" s="1"/>
  <c r="AI257" i="1"/>
  <c r="AQ257" i="1" s="1"/>
  <c r="AI261" i="1"/>
  <c r="AQ261" i="1" s="1"/>
  <c r="AI265" i="1"/>
  <c r="AQ265" i="1" s="1"/>
  <c r="AI269" i="1"/>
  <c r="AQ269" i="1" s="1"/>
  <c r="AI273" i="1"/>
  <c r="AQ273" i="1" s="1"/>
  <c r="AI277" i="1"/>
  <c r="AQ277" i="1" s="1"/>
  <c r="AI281" i="1"/>
  <c r="AQ281" i="1" s="1"/>
  <c r="AI285" i="1"/>
  <c r="AQ285" i="1" s="1"/>
  <c r="AI289" i="1"/>
  <c r="AQ289" i="1" s="1"/>
  <c r="AI293" i="1"/>
  <c r="AQ293" i="1" s="1"/>
  <c r="AI297" i="1"/>
  <c r="AQ297" i="1" s="1"/>
  <c r="AI301" i="1"/>
  <c r="AQ301" i="1" s="1"/>
  <c r="AI305" i="1"/>
  <c r="AQ305" i="1" s="1"/>
  <c r="AI309" i="1"/>
  <c r="AQ309" i="1" s="1"/>
  <c r="AI313" i="1"/>
  <c r="AQ313" i="1" s="1"/>
  <c r="AI317" i="1"/>
  <c r="AQ317" i="1" s="1"/>
  <c r="AI321" i="1"/>
  <c r="AQ321" i="1" s="1"/>
  <c r="AI325" i="1"/>
  <c r="AQ325" i="1" s="1"/>
  <c r="AI329" i="1"/>
  <c r="AQ329" i="1" s="1"/>
  <c r="AI333" i="1"/>
  <c r="AQ333" i="1" s="1"/>
  <c r="AI337" i="1"/>
  <c r="AQ337" i="1" s="1"/>
  <c r="AI341" i="1"/>
  <c r="AQ341" i="1" s="1"/>
  <c r="AI345" i="1"/>
  <c r="AQ345" i="1" s="1"/>
  <c r="AI349" i="1"/>
  <c r="AQ349" i="1" s="1"/>
  <c r="AI353" i="1"/>
  <c r="AQ353" i="1" s="1"/>
  <c r="AI357" i="1"/>
  <c r="AQ357" i="1" s="1"/>
  <c r="AI361" i="1"/>
  <c r="AQ361" i="1" s="1"/>
  <c r="AI365" i="1"/>
  <c r="AQ365" i="1" s="1"/>
  <c r="AI369" i="1"/>
  <c r="AQ369" i="1" s="1"/>
  <c r="AI373" i="1"/>
  <c r="AQ373" i="1" s="1"/>
  <c r="AI377" i="1"/>
  <c r="AQ377" i="1" s="1"/>
  <c r="AI381" i="1"/>
  <c r="AQ381" i="1" s="1"/>
  <c r="AI385" i="1"/>
  <c r="AQ385" i="1" s="1"/>
  <c r="AI389" i="1"/>
  <c r="AQ389" i="1" s="1"/>
  <c r="AI393" i="1"/>
  <c r="AQ393" i="1" s="1"/>
  <c r="AI397" i="1"/>
  <c r="AQ397" i="1" s="1"/>
  <c r="AI401" i="1"/>
  <c r="AQ401" i="1" s="1"/>
  <c r="AI405" i="1"/>
  <c r="AQ405" i="1" s="1"/>
  <c r="AI409" i="1"/>
  <c r="AQ409" i="1" s="1"/>
  <c r="AI413" i="1"/>
  <c r="AQ413" i="1" s="1"/>
  <c r="AI417" i="1"/>
  <c r="AQ417" i="1" s="1"/>
  <c r="AI421" i="1"/>
  <c r="AQ421" i="1" s="1"/>
  <c r="AI425" i="1"/>
  <c r="AQ425" i="1" s="1"/>
  <c r="AI429" i="1"/>
  <c r="AQ429" i="1" s="1"/>
  <c r="AI433" i="1"/>
  <c r="AQ433" i="1" s="1"/>
  <c r="AI437" i="1"/>
  <c r="AQ437" i="1" s="1"/>
  <c r="AI441" i="1"/>
  <c r="AQ441" i="1" s="1"/>
  <c r="AI445" i="1"/>
  <c r="AQ445" i="1" s="1"/>
  <c r="AI449" i="1"/>
  <c r="AQ449" i="1" s="1"/>
  <c r="AI453" i="1"/>
  <c r="AQ453" i="1" s="1"/>
  <c r="AI457" i="1"/>
  <c r="AQ457" i="1" s="1"/>
  <c r="AI461" i="1"/>
  <c r="AQ461" i="1" s="1"/>
  <c r="AI465" i="1"/>
  <c r="AQ465" i="1" s="1"/>
  <c r="AI469" i="1"/>
  <c r="AQ469" i="1" s="1"/>
  <c r="AI473" i="1"/>
  <c r="AQ473" i="1" s="1"/>
  <c r="AI477" i="1"/>
  <c r="AQ477" i="1" s="1"/>
  <c r="AI481" i="1"/>
  <c r="AQ481" i="1" s="1"/>
  <c r="AI485" i="1"/>
  <c r="AQ485" i="1" s="1"/>
  <c r="AI489" i="1"/>
  <c r="AQ489" i="1" s="1"/>
  <c r="AI493" i="1"/>
  <c r="AQ493" i="1" s="1"/>
  <c r="AI497" i="1"/>
  <c r="AQ497" i="1" s="1"/>
  <c r="AI501" i="1"/>
  <c r="AQ501" i="1" s="1"/>
  <c r="AI505" i="1"/>
  <c r="AQ505" i="1" s="1"/>
  <c r="AI509" i="1"/>
  <c r="AQ509" i="1" s="1"/>
  <c r="AI513" i="1"/>
  <c r="AQ513" i="1" s="1"/>
  <c r="AI517" i="1"/>
  <c r="AQ517" i="1" s="1"/>
  <c r="AI521" i="1"/>
  <c r="AQ521" i="1" s="1"/>
  <c r="AI525" i="1"/>
  <c r="AQ525" i="1" s="1"/>
  <c r="AI529" i="1"/>
  <c r="AQ529" i="1" s="1"/>
  <c r="AI533" i="1"/>
  <c r="AQ533" i="1" s="1"/>
  <c r="AI537" i="1"/>
  <c r="AQ537" i="1" s="1"/>
  <c r="AI541" i="1"/>
  <c r="AQ541" i="1" s="1"/>
  <c r="AI545" i="1"/>
  <c r="AQ545" i="1" s="1"/>
  <c r="AI549" i="1"/>
  <c r="AQ549" i="1" s="1"/>
  <c r="AI553" i="1"/>
  <c r="AQ553" i="1" s="1"/>
  <c r="AI557" i="1"/>
  <c r="AQ557" i="1" s="1"/>
  <c r="AI561" i="1"/>
  <c r="AQ561" i="1" s="1"/>
  <c r="AI565" i="1"/>
  <c r="AQ565" i="1" s="1"/>
  <c r="AI569" i="1"/>
  <c r="AQ569" i="1" s="1"/>
  <c r="AI573" i="1"/>
  <c r="AQ573" i="1" s="1"/>
  <c r="AI577" i="1"/>
  <c r="AQ577" i="1" s="1"/>
  <c r="AI581" i="1"/>
  <c r="AQ581" i="1" s="1"/>
  <c r="AI585" i="1"/>
  <c r="AQ585" i="1" s="1"/>
  <c r="AI589" i="1"/>
  <c r="AQ589" i="1" s="1"/>
  <c r="AI593" i="1"/>
  <c r="AQ593" i="1" s="1"/>
  <c r="AI597" i="1"/>
  <c r="AQ597" i="1" s="1"/>
  <c r="AI601" i="1"/>
  <c r="AQ601" i="1" s="1"/>
  <c r="AI605" i="1"/>
  <c r="AQ605" i="1" s="1"/>
  <c r="AI609" i="1"/>
  <c r="AQ609" i="1" s="1"/>
  <c r="AI613" i="1"/>
  <c r="AQ613" i="1" s="1"/>
  <c r="AI617" i="1"/>
  <c r="AQ617" i="1" s="1"/>
  <c r="AI621" i="1"/>
  <c r="AQ621" i="1" s="1"/>
  <c r="AI625" i="1"/>
  <c r="AQ625" i="1" s="1"/>
  <c r="AI629" i="1"/>
  <c r="AQ629" i="1" s="1"/>
  <c r="AI633" i="1"/>
  <c r="AQ633" i="1" s="1"/>
  <c r="AI637" i="1"/>
  <c r="AQ637" i="1" s="1"/>
  <c r="AI641" i="1"/>
  <c r="AQ641" i="1" s="1"/>
  <c r="AI645" i="1"/>
  <c r="AQ645" i="1" s="1"/>
  <c r="AI649" i="1"/>
  <c r="AQ649" i="1" s="1"/>
  <c r="AI653" i="1"/>
  <c r="AQ653" i="1" s="1"/>
  <c r="AI657" i="1"/>
  <c r="AQ657" i="1" s="1"/>
  <c r="AI661" i="1"/>
  <c r="AQ661" i="1" s="1"/>
  <c r="AI665" i="1"/>
  <c r="AQ665" i="1" s="1"/>
  <c r="AI669" i="1"/>
  <c r="AQ669" i="1" s="1"/>
  <c r="AI673" i="1"/>
  <c r="AQ673" i="1" s="1"/>
  <c r="AI677" i="1"/>
  <c r="AQ677" i="1" s="1"/>
  <c r="AI681" i="1"/>
  <c r="AQ681" i="1" s="1"/>
  <c r="AI685" i="1"/>
  <c r="AQ685" i="1" s="1"/>
  <c r="AI689" i="1"/>
  <c r="AQ689" i="1" s="1"/>
  <c r="AI693" i="1"/>
  <c r="AQ693" i="1" s="1"/>
  <c r="AI697" i="1"/>
  <c r="AQ697" i="1" s="1"/>
  <c r="AI701" i="1"/>
  <c r="AQ701" i="1" s="1"/>
  <c r="AI705" i="1"/>
  <c r="AQ705" i="1" s="1"/>
  <c r="AI709" i="1"/>
  <c r="AQ709" i="1" s="1"/>
  <c r="AI713" i="1"/>
  <c r="AQ713" i="1" s="1"/>
  <c r="AI717" i="1"/>
  <c r="AQ717" i="1" s="1"/>
  <c r="AI721" i="1"/>
  <c r="AQ721" i="1" s="1"/>
  <c r="AI725" i="1"/>
  <c r="AQ725" i="1" s="1"/>
  <c r="AI729" i="1"/>
  <c r="AQ729" i="1" s="1"/>
  <c r="AI733" i="1"/>
  <c r="AQ733" i="1" s="1"/>
  <c r="AI737" i="1"/>
  <c r="AQ737" i="1" s="1"/>
  <c r="AI741" i="1"/>
  <c r="AQ741" i="1" s="1"/>
  <c r="AI745" i="1"/>
  <c r="AQ745" i="1" s="1"/>
  <c r="AI749" i="1"/>
  <c r="AQ749" i="1" s="1"/>
  <c r="AI753" i="1"/>
  <c r="AQ753" i="1" s="1"/>
  <c r="AI757" i="1"/>
  <c r="AQ757" i="1" s="1"/>
  <c r="AI761" i="1"/>
  <c r="AQ761" i="1" s="1"/>
  <c r="AI765" i="1"/>
  <c r="AQ765" i="1" s="1"/>
  <c r="AI769" i="1"/>
  <c r="AQ769" i="1" s="1"/>
  <c r="AI773" i="1"/>
  <c r="AQ773" i="1" s="1"/>
  <c r="AI777" i="1"/>
  <c r="AQ777" i="1" s="1"/>
  <c r="AI781" i="1"/>
  <c r="AQ781" i="1" s="1"/>
  <c r="AI785" i="1"/>
  <c r="AQ785" i="1" s="1"/>
  <c r="AI789" i="1"/>
  <c r="AQ789" i="1" s="1"/>
  <c r="AI793" i="1"/>
  <c r="AQ793" i="1" s="1"/>
  <c r="AI797" i="1"/>
  <c r="AQ797" i="1" s="1"/>
  <c r="AI801" i="1"/>
  <c r="AQ801" i="1" s="1"/>
  <c r="AI805" i="1"/>
  <c r="AQ805" i="1" s="1"/>
  <c r="AI809" i="1"/>
  <c r="AQ809" i="1" s="1"/>
  <c r="AI813" i="1"/>
  <c r="AQ813" i="1" s="1"/>
  <c r="AI817" i="1"/>
  <c r="AQ817" i="1" s="1"/>
  <c r="AI821" i="1"/>
  <c r="AQ821" i="1" s="1"/>
  <c r="AI825" i="1"/>
  <c r="AQ825" i="1" s="1"/>
  <c r="AI829" i="1"/>
  <c r="AQ829" i="1" s="1"/>
  <c r="AI833" i="1"/>
  <c r="AQ833" i="1" s="1"/>
  <c r="AI837" i="1"/>
  <c r="AQ837" i="1" s="1"/>
  <c r="AI841" i="1"/>
  <c r="AQ841" i="1" s="1"/>
  <c r="AI845" i="1"/>
  <c r="AQ845" i="1" s="1"/>
  <c r="AI849" i="1"/>
  <c r="AQ849" i="1" s="1"/>
  <c r="AI853" i="1"/>
  <c r="AQ853" i="1" s="1"/>
  <c r="AI857" i="1"/>
  <c r="AQ857" i="1" s="1"/>
  <c r="AI861" i="1"/>
  <c r="AQ861" i="1" s="1"/>
  <c r="AI865" i="1"/>
  <c r="AQ865" i="1" s="1"/>
  <c r="AI869" i="1"/>
  <c r="AQ869" i="1" s="1"/>
  <c r="AI873" i="1"/>
  <c r="AQ873" i="1" s="1"/>
  <c r="AI877" i="1"/>
  <c r="AQ877" i="1" s="1"/>
  <c r="AI881" i="1"/>
  <c r="AQ881" i="1" s="1"/>
  <c r="AI885" i="1"/>
  <c r="AQ885" i="1" s="1"/>
  <c r="AI889" i="1"/>
  <c r="AQ889" i="1" s="1"/>
  <c r="AI893" i="1"/>
  <c r="AQ893" i="1" s="1"/>
  <c r="AI897" i="1"/>
  <c r="AQ897" i="1" s="1"/>
  <c r="AI901" i="1"/>
  <c r="AQ901" i="1" s="1"/>
  <c r="AI905" i="1"/>
  <c r="AQ905" i="1" s="1"/>
  <c r="AI909" i="1"/>
  <c r="AQ909" i="1" s="1"/>
  <c r="AI913" i="1"/>
  <c r="AQ913" i="1" s="1"/>
  <c r="AI917" i="1"/>
  <c r="AQ917" i="1" s="1"/>
  <c r="AI921" i="1"/>
  <c r="AQ921" i="1" s="1"/>
  <c r="AI925" i="1"/>
  <c r="AQ925" i="1" s="1"/>
  <c r="AI929" i="1"/>
  <c r="AQ929" i="1" s="1"/>
  <c r="AI933" i="1"/>
  <c r="AQ933" i="1" s="1"/>
  <c r="AI937" i="1"/>
  <c r="AQ937" i="1" s="1"/>
  <c r="AI941" i="1"/>
  <c r="AQ941" i="1" s="1"/>
  <c r="AI945" i="1"/>
  <c r="AQ945" i="1" s="1"/>
  <c r="AI949" i="1"/>
  <c r="AQ949" i="1" s="1"/>
  <c r="AI953" i="1"/>
  <c r="AQ953" i="1" s="1"/>
  <c r="AI957" i="1"/>
  <c r="AQ957" i="1" s="1"/>
  <c r="AI961" i="1"/>
  <c r="AQ961" i="1" s="1"/>
  <c r="AI965" i="1"/>
  <c r="AQ965" i="1" s="1"/>
  <c r="AI969" i="1"/>
  <c r="AQ969" i="1" s="1"/>
  <c r="AI973" i="1"/>
  <c r="AQ973" i="1" s="1"/>
  <c r="AI977" i="1"/>
  <c r="AQ977" i="1" s="1"/>
  <c r="AI981" i="1"/>
  <c r="AQ981" i="1" s="1"/>
  <c r="AI985" i="1"/>
  <c r="AQ985" i="1" s="1"/>
  <c r="AI989" i="1"/>
  <c r="AQ989" i="1" s="1"/>
  <c r="AI993" i="1"/>
  <c r="AQ993" i="1" s="1"/>
  <c r="AI997" i="1"/>
  <c r="AQ997" i="1" s="1"/>
  <c r="AJ27" i="1"/>
  <c r="AR27" i="1" s="1"/>
  <c r="AJ35" i="1"/>
  <c r="AR35" i="1" s="1"/>
  <c r="AJ43" i="1"/>
  <c r="AR43" i="1" s="1"/>
  <c r="AJ51" i="1"/>
  <c r="AR51" i="1" s="1"/>
  <c r="AJ59" i="1"/>
  <c r="AR59" i="1" s="1"/>
  <c r="AJ67" i="1"/>
  <c r="AR67" i="1" s="1"/>
  <c r="AJ75" i="1"/>
  <c r="AR75" i="1" s="1"/>
  <c r="AJ83" i="1"/>
  <c r="AR83" i="1" s="1"/>
  <c r="AJ91" i="1"/>
  <c r="AR91" i="1" s="1"/>
  <c r="AJ99" i="1"/>
  <c r="AR99" i="1" s="1"/>
  <c r="AJ107" i="1"/>
  <c r="AR107" i="1" s="1"/>
  <c r="AJ115" i="1"/>
  <c r="AR115" i="1" s="1"/>
  <c r="AJ123" i="1"/>
  <c r="AR123" i="1" s="1"/>
  <c r="AJ131" i="1"/>
  <c r="AR131" i="1" s="1"/>
  <c r="AJ139" i="1"/>
  <c r="AR139" i="1" s="1"/>
  <c r="AJ147" i="1"/>
  <c r="AR147" i="1" s="1"/>
  <c r="AJ155" i="1"/>
  <c r="AR155" i="1" s="1"/>
  <c r="AJ163" i="1"/>
  <c r="AR163" i="1" s="1"/>
  <c r="AJ171" i="1"/>
  <c r="AR171" i="1" s="1"/>
  <c r="AJ179" i="1"/>
  <c r="AR179" i="1" s="1"/>
  <c r="AJ191" i="1"/>
  <c r="AR191" i="1" s="1"/>
  <c r="AJ199" i="1"/>
  <c r="AR199" i="1" s="1"/>
  <c r="AJ207" i="1"/>
  <c r="AR207" i="1" s="1"/>
  <c r="AJ215" i="1"/>
  <c r="AR215" i="1" s="1"/>
  <c r="AJ223" i="1"/>
  <c r="AR223" i="1" s="1"/>
  <c r="AJ231" i="1"/>
  <c r="AR231" i="1" s="1"/>
  <c r="AJ239" i="1"/>
  <c r="AR239" i="1" s="1"/>
  <c r="AJ247" i="1"/>
  <c r="AR247" i="1" s="1"/>
  <c r="AJ255" i="1"/>
  <c r="AR255" i="1" s="1"/>
  <c r="AJ263" i="1"/>
  <c r="AR263" i="1" s="1"/>
  <c r="AJ271" i="1"/>
  <c r="AR271" i="1" s="1"/>
  <c r="AJ279" i="1"/>
  <c r="AR279" i="1" s="1"/>
  <c r="AJ287" i="1"/>
  <c r="AR287" i="1" s="1"/>
  <c r="AJ295" i="1"/>
  <c r="AR295" i="1" s="1"/>
  <c r="AJ303" i="1"/>
  <c r="AR303" i="1" s="1"/>
  <c r="AJ311" i="1"/>
  <c r="AR311" i="1" s="1"/>
  <c r="AJ319" i="1"/>
  <c r="AR319" i="1" s="1"/>
  <c r="AJ327" i="1"/>
  <c r="AR327" i="1" s="1"/>
  <c r="AJ335" i="1"/>
  <c r="AR335" i="1" s="1"/>
  <c r="AJ343" i="1"/>
  <c r="AR343" i="1" s="1"/>
  <c r="AJ351" i="1"/>
  <c r="AR351" i="1" s="1"/>
  <c r="AJ24" i="1"/>
  <c r="AR24" i="1" s="1"/>
  <c r="AJ32" i="1"/>
  <c r="AR32" i="1" s="1"/>
  <c r="AJ40" i="1"/>
  <c r="AR40" i="1" s="1"/>
  <c r="AJ48" i="1"/>
  <c r="AR48" i="1" s="1"/>
  <c r="AJ56" i="1"/>
  <c r="AR56" i="1" s="1"/>
  <c r="AJ64" i="1"/>
  <c r="AR64" i="1" s="1"/>
  <c r="AJ72" i="1"/>
  <c r="AR72" i="1" s="1"/>
  <c r="AJ80" i="1"/>
  <c r="AR80" i="1" s="1"/>
  <c r="AJ88" i="1"/>
  <c r="AR88" i="1" s="1"/>
  <c r="AJ96" i="1"/>
  <c r="AR96" i="1" s="1"/>
  <c r="AJ104" i="1"/>
  <c r="AR104" i="1" s="1"/>
  <c r="AJ112" i="1"/>
  <c r="AR112" i="1" s="1"/>
  <c r="AJ120" i="1"/>
  <c r="AR120" i="1" s="1"/>
  <c r="AJ128" i="1"/>
  <c r="AR128" i="1" s="1"/>
  <c r="AJ136" i="1"/>
  <c r="AR136" i="1" s="1"/>
  <c r="AJ144" i="1"/>
  <c r="AR144" i="1" s="1"/>
  <c r="AJ152" i="1"/>
  <c r="AR152" i="1" s="1"/>
  <c r="AJ160" i="1"/>
  <c r="AR160" i="1" s="1"/>
  <c r="AJ168" i="1"/>
  <c r="AR168" i="1" s="1"/>
  <c r="AJ176" i="1"/>
  <c r="AR176" i="1" s="1"/>
  <c r="AJ184" i="1"/>
  <c r="AR184" i="1" s="1"/>
  <c r="AJ192" i="1"/>
  <c r="AR192" i="1" s="1"/>
  <c r="AJ200" i="1"/>
  <c r="AR200" i="1" s="1"/>
  <c r="AJ208" i="1"/>
  <c r="AR208" i="1" s="1"/>
  <c r="AJ216" i="1"/>
  <c r="AR216" i="1" s="1"/>
  <c r="AJ224" i="1"/>
  <c r="AR224" i="1" s="1"/>
  <c r="AJ232" i="1"/>
  <c r="AR232" i="1" s="1"/>
  <c r="AJ240" i="1"/>
  <c r="AR240" i="1" s="1"/>
  <c r="AJ248" i="1"/>
  <c r="AR248" i="1" s="1"/>
  <c r="AJ256" i="1"/>
  <c r="AR256" i="1" s="1"/>
  <c r="AJ264" i="1"/>
  <c r="AR264" i="1" s="1"/>
  <c r="AJ272" i="1"/>
  <c r="AR272" i="1" s="1"/>
  <c r="AJ280" i="1"/>
  <c r="AR280" i="1" s="1"/>
  <c r="AJ288" i="1"/>
  <c r="AR288" i="1" s="1"/>
  <c r="AJ296" i="1"/>
  <c r="AR296" i="1" s="1"/>
  <c r="AJ304" i="1"/>
  <c r="AR304" i="1" s="1"/>
  <c r="AJ312" i="1"/>
  <c r="AR312" i="1" s="1"/>
  <c r="AJ320" i="1"/>
  <c r="AR320" i="1" s="1"/>
  <c r="AJ328" i="1"/>
  <c r="AR328" i="1" s="1"/>
  <c r="AJ336" i="1"/>
  <c r="AR336" i="1" s="1"/>
  <c r="AJ344" i="1"/>
  <c r="AR344" i="1" s="1"/>
  <c r="AJ352" i="1"/>
  <c r="AR352" i="1" s="1"/>
  <c r="AJ365" i="1"/>
  <c r="AR365" i="1" s="1"/>
  <c r="AJ373" i="1"/>
  <c r="AR373" i="1" s="1"/>
  <c r="AJ381" i="1"/>
  <c r="AR381" i="1" s="1"/>
  <c r="AJ405" i="1"/>
  <c r="AR405" i="1" s="1"/>
  <c r="AJ413" i="1"/>
  <c r="AR413" i="1" s="1"/>
  <c r="AJ421" i="1"/>
  <c r="AR421" i="1" s="1"/>
  <c r="AJ429" i="1"/>
  <c r="AR429" i="1" s="1"/>
  <c r="AJ437" i="1"/>
  <c r="AR437" i="1" s="1"/>
  <c r="AJ445" i="1"/>
  <c r="AR445" i="1" s="1"/>
  <c r="AJ453" i="1"/>
  <c r="AR453" i="1" s="1"/>
  <c r="AJ461" i="1"/>
  <c r="AR461" i="1" s="1"/>
  <c r="AJ469" i="1"/>
  <c r="AR469" i="1" s="1"/>
  <c r="AJ477" i="1"/>
  <c r="AR477" i="1" s="1"/>
  <c r="AJ485" i="1"/>
  <c r="AR485" i="1" s="1"/>
  <c r="AJ493" i="1"/>
  <c r="AR493" i="1" s="1"/>
  <c r="AJ501" i="1"/>
  <c r="AR501" i="1" s="1"/>
  <c r="AJ509" i="1"/>
  <c r="AR509" i="1" s="1"/>
  <c r="AJ517" i="1"/>
  <c r="AR517" i="1" s="1"/>
  <c r="AJ525" i="1"/>
  <c r="AR525" i="1" s="1"/>
  <c r="AJ541" i="1"/>
  <c r="AR541" i="1" s="1"/>
  <c r="AJ549" i="1"/>
  <c r="AR549" i="1" s="1"/>
  <c r="AJ557" i="1"/>
  <c r="AR557" i="1" s="1"/>
  <c r="AJ565" i="1"/>
  <c r="AR565" i="1" s="1"/>
  <c r="AJ573" i="1"/>
  <c r="AR573" i="1" s="1"/>
  <c r="AJ581" i="1"/>
  <c r="AR581" i="1" s="1"/>
  <c r="AJ589" i="1"/>
  <c r="AR589" i="1" s="1"/>
  <c r="AJ597" i="1"/>
  <c r="AR597" i="1" s="1"/>
  <c r="AJ605" i="1"/>
  <c r="AR605" i="1" s="1"/>
  <c r="AJ629" i="1"/>
  <c r="AR629" i="1" s="1"/>
  <c r="AJ645" i="1"/>
  <c r="AR645" i="1" s="1"/>
  <c r="AJ653" i="1"/>
  <c r="AR653" i="1" s="1"/>
  <c r="AJ661" i="1"/>
  <c r="AR661" i="1" s="1"/>
  <c r="AJ669" i="1"/>
  <c r="AR669" i="1" s="1"/>
  <c r="AJ677" i="1"/>
  <c r="AR677" i="1" s="1"/>
  <c r="AJ685" i="1"/>
  <c r="AR685" i="1" s="1"/>
  <c r="AJ356" i="1"/>
  <c r="AR356" i="1" s="1"/>
  <c r="AJ364" i="1"/>
  <c r="AR364" i="1" s="1"/>
  <c r="AJ372" i="1"/>
  <c r="AR372" i="1" s="1"/>
  <c r="AJ380" i="1"/>
  <c r="AR380" i="1" s="1"/>
  <c r="AJ388" i="1"/>
  <c r="AR388" i="1" s="1"/>
  <c r="AJ396" i="1"/>
  <c r="AR396" i="1" s="1"/>
  <c r="AJ404" i="1"/>
  <c r="AR404" i="1" s="1"/>
  <c r="AJ412" i="1"/>
  <c r="AR412" i="1" s="1"/>
  <c r="AJ420" i="1"/>
  <c r="AR420" i="1" s="1"/>
  <c r="AJ428" i="1"/>
  <c r="AR428" i="1" s="1"/>
  <c r="AJ436" i="1"/>
  <c r="AR436" i="1" s="1"/>
  <c r="AJ444" i="1"/>
  <c r="AR444" i="1" s="1"/>
  <c r="AJ452" i="1"/>
  <c r="AR452" i="1" s="1"/>
  <c r="AJ460" i="1"/>
  <c r="AR460" i="1" s="1"/>
  <c r="AJ468" i="1"/>
  <c r="AR468" i="1" s="1"/>
  <c r="AJ476" i="1"/>
  <c r="AR476" i="1" s="1"/>
  <c r="AJ484" i="1"/>
  <c r="AR484" i="1" s="1"/>
  <c r="AJ492" i="1"/>
  <c r="AR492" i="1" s="1"/>
  <c r="AJ500" i="1"/>
  <c r="AR500" i="1" s="1"/>
  <c r="AJ508" i="1"/>
  <c r="AR508" i="1" s="1"/>
  <c r="AJ516" i="1"/>
  <c r="AR516" i="1" s="1"/>
  <c r="AJ524" i="1"/>
  <c r="AR524" i="1" s="1"/>
  <c r="AJ532" i="1"/>
  <c r="AR532" i="1" s="1"/>
  <c r="AJ540" i="1"/>
  <c r="AR540" i="1" s="1"/>
  <c r="AJ548" i="1"/>
  <c r="AR548" i="1" s="1"/>
  <c r="AJ556" i="1"/>
  <c r="AR556" i="1" s="1"/>
  <c r="AJ564" i="1"/>
  <c r="AR564" i="1" s="1"/>
  <c r="AJ572" i="1"/>
  <c r="AR572" i="1" s="1"/>
  <c r="AJ580" i="1"/>
  <c r="AR580" i="1" s="1"/>
  <c r="AJ588" i="1"/>
  <c r="AR588" i="1" s="1"/>
  <c r="AJ596" i="1"/>
  <c r="AR596" i="1" s="1"/>
  <c r="AJ604" i="1"/>
  <c r="AR604" i="1" s="1"/>
  <c r="AJ612" i="1"/>
  <c r="AR612" i="1" s="1"/>
  <c r="AJ620" i="1"/>
  <c r="AR620" i="1" s="1"/>
  <c r="AJ628" i="1"/>
  <c r="AR628" i="1" s="1"/>
  <c r="AJ636" i="1"/>
  <c r="AR636" i="1" s="1"/>
  <c r="AJ644" i="1"/>
  <c r="AR644" i="1" s="1"/>
  <c r="AJ652" i="1"/>
  <c r="AR652" i="1" s="1"/>
  <c r="AJ660" i="1"/>
  <c r="AR660" i="1" s="1"/>
  <c r="AJ668" i="1"/>
  <c r="AR668" i="1" s="1"/>
  <c r="AJ676" i="1"/>
  <c r="AR676" i="1" s="1"/>
  <c r="AJ684" i="1"/>
  <c r="AR684" i="1" s="1"/>
  <c r="AJ692" i="1"/>
  <c r="AR692" i="1" s="1"/>
  <c r="AJ697" i="1"/>
  <c r="AR697" i="1" s="1"/>
  <c r="AJ705" i="1"/>
  <c r="AR705" i="1" s="1"/>
  <c r="AJ713" i="1"/>
  <c r="AR713" i="1" s="1"/>
  <c r="AJ721" i="1"/>
  <c r="AR721" i="1" s="1"/>
  <c r="AJ729" i="1"/>
  <c r="AR729" i="1" s="1"/>
  <c r="AJ737" i="1"/>
  <c r="AR737" i="1" s="1"/>
  <c r="AJ745" i="1"/>
  <c r="AR745" i="1" s="1"/>
  <c r="AJ753" i="1"/>
  <c r="AR753" i="1" s="1"/>
  <c r="AJ761" i="1"/>
  <c r="AR761" i="1" s="1"/>
  <c r="AJ777" i="1"/>
  <c r="AR777" i="1" s="1"/>
  <c r="AJ785" i="1"/>
  <c r="AR785" i="1" s="1"/>
  <c r="AJ793" i="1"/>
  <c r="AR793" i="1" s="1"/>
  <c r="AJ801" i="1"/>
  <c r="AR801" i="1" s="1"/>
  <c r="AJ809" i="1"/>
  <c r="AR809" i="1" s="1"/>
  <c r="AJ817" i="1"/>
  <c r="AR817" i="1" s="1"/>
  <c r="AJ825" i="1"/>
  <c r="AR825" i="1" s="1"/>
  <c r="AJ833" i="1"/>
  <c r="AR833" i="1" s="1"/>
  <c r="AJ841" i="1"/>
  <c r="AR841" i="1" s="1"/>
  <c r="AJ849" i="1"/>
  <c r="AR849" i="1" s="1"/>
  <c r="AJ857" i="1"/>
  <c r="AR857" i="1" s="1"/>
  <c r="AJ865" i="1"/>
  <c r="AR865" i="1" s="1"/>
  <c r="AJ873" i="1"/>
  <c r="AR873" i="1" s="1"/>
  <c r="AJ881" i="1"/>
  <c r="AR881" i="1" s="1"/>
  <c r="AJ889" i="1"/>
  <c r="AR889" i="1" s="1"/>
  <c r="AJ897" i="1"/>
  <c r="AR897" i="1" s="1"/>
  <c r="AJ905" i="1"/>
  <c r="AR905" i="1" s="1"/>
  <c r="AJ913" i="1"/>
  <c r="AR913" i="1" s="1"/>
  <c r="AJ921" i="1"/>
  <c r="AR921" i="1" s="1"/>
  <c r="AJ929" i="1"/>
  <c r="AR929" i="1" s="1"/>
  <c r="AJ937" i="1"/>
  <c r="AR937" i="1" s="1"/>
  <c r="AJ945" i="1"/>
  <c r="AR945" i="1" s="1"/>
  <c r="AJ953" i="1"/>
  <c r="AR953" i="1" s="1"/>
  <c r="AJ961" i="1"/>
  <c r="AR961" i="1" s="1"/>
  <c r="AJ969" i="1"/>
  <c r="AR969" i="1" s="1"/>
  <c r="AJ696" i="1"/>
  <c r="AR696" i="1" s="1"/>
  <c r="AJ704" i="1"/>
  <c r="AR704" i="1" s="1"/>
  <c r="AJ712" i="1"/>
  <c r="AR712" i="1" s="1"/>
  <c r="AJ720" i="1"/>
  <c r="AR720" i="1" s="1"/>
  <c r="AJ728" i="1"/>
  <c r="AR728" i="1" s="1"/>
  <c r="AJ736" i="1"/>
  <c r="AR736" i="1" s="1"/>
  <c r="AJ744" i="1"/>
  <c r="AR744" i="1" s="1"/>
  <c r="AJ752" i="1"/>
  <c r="AR752" i="1" s="1"/>
  <c r="AJ760" i="1"/>
  <c r="AR760" i="1" s="1"/>
  <c r="AJ768" i="1"/>
  <c r="AR768" i="1" s="1"/>
  <c r="AJ776" i="1"/>
  <c r="AR776" i="1" s="1"/>
  <c r="AJ784" i="1"/>
  <c r="AR784" i="1" s="1"/>
  <c r="AJ792" i="1"/>
  <c r="AR792" i="1" s="1"/>
  <c r="AJ800" i="1"/>
  <c r="AR800" i="1" s="1"/>
  <c r="AJ808" i="1"/>
  <c r="AR808" i="1" s="1"/>
  <c r="AJ816" i="1"/>
  <c r="AR816" i="1" s="1"/>
  <c r="AJ824" i="1"/>
  <c r="AR824" i="1" s="1"/>
  <c r="AJ832" i="1"/>
  <c r="AR832" i="1" s="1"/>
  <c r="AJ840" i="1"/>
  <c r="AR840" i="1" s="1"/>
  <c r="AJ848" i="1"/>
  <c r="AR848" i="1" s="1"/>
  <c r="AJ856" i="1"/>
  <c r="AR856" i="1" s="1"/>
  <c r="AJ864" i="1"/>
  <c r="AR864" i="1" s="1"/>
  <c r="AJ872" i="1"/>
  <c r="AR872" i="1" s="1"/>
  <c r="AJ880" i="1"/>
  <c r="AR880" i="1" s="1"/>
  <c r="AJ888" i="1"/>
  <c r="AR888" i="1" s="1"/>
  <c r="AJ896" i="1"/>
  <c r="AR896" i="1" s="1"/>
  <c r="AJ904" i="1"/>
  <c r="AR904" i="1" s="1"/>
  <c r="AJ912" i="1"/>
  <c r="AR912" i="1" s="1"/>
  <c r="AJ920" i="1"/>
  <c r="AR920" i="1" s="1"/>
  <c r="AJ928" i="1"/>
  <c r="AR928" i="1" s="1"/>
  <c r="AJ936" i="1"/>
  <c r="AR936" i="1" s="1"/>
  <c r="AJ944" i="1"/>
  <c r="AR944" i="1" s="1"/>
  <c r="AJ952" i="1"/>
  <c r="AR952" i="1" s="1"/>
  <c r="AJ960" i="1"/>
  <c r="AR960" i="1" s="1"/>
  <c r="AJ968" i="1"/>
  <c r="AR968" i="1" s="1"/>
  <c r="AJ976" i="1"/>
  <c r="AR976" i="1" s="1"/>
  <c r="AJ6" i="1"/>
  <c r="AR6" i="1" s="1"/>
  <c r="AJ14" i="1"/>
  <c r="AR14" i="1" s="1"/>
  <c r="AJ979" i="1"/>
  <c r="AR979" i="1" s="1"/>
  <c r="AJ987" i="1"/>
  <c r="AR987" i="1" s="1"/>
  <c r="AJ995" i="1"/>
  <c r="AR995" i="1" s="1"/>
  <c r="AK25" i="1"/>
  <c r="AS25" i="1" s="1"/>
  <c r="AK33" i="1"/>
  <c r="AS33" i="1" s="1"/>
  <c r="AK41" i="1"/>
  <c r="AS41" i="1" s="1"/>
  <c r="AK49" i="1"/>
  <c r="AS49" i="1" s="1"/>
  <c r="AK57" i="1"/>
  <c r="AS57" i="1" s="1"/>
  <c r="AK65" i="1"/>
  <c r="AS65" i="1" s="1"/>
  <c r="AK73" i="1"/>
  <c r="AS73" i="1" s="1"/>
  <c r="AK81" i="1"/>
  <c r="AS81" i="1" s="1"/>
  <c r="AK89" i="1"/>
  <c r="AS89" i="1" s="1"/>
  <c r="AK97" i="1"/>
  <c r="AS97" i="1" s="1"/>
  <c r="AK105" i="1"/>
  <c r="AS105" i="1" s="1"/>
  <c r="AK113" i="1"/>
  <c r="AS113" i="1" s="1"/>
  <c r="AK121" i="1"/>
  <c r="AS121" i="1" s="1"/>
  <c r="AK129" i="1"/>
  <c r="AS129" i="1" s="1"/>
  <c r="AK137" i="1"/>
  <c r="AS137" i="1" s="1"/>
  <c r="AK145" i="1"/>
  <c r="AS145" i="1" s="1"/>
  <c r="AK153" i="1"/>
  <c r="AS153" i="1" s="1"/>
  <c r="AK161" i="1"/>
  <c r="AS161" i="1" s="1"/>
  <c r="AK169" i="1"/>
  <c r="AS169" i="1" s="1"/>
  <c r="AK177" i="1"/>
  <c r="AS177" i="1" s="1"/>
  <c r="AK185" i="1"/>
  <c r="AS185" i="1" s="1"/>
  <c r="AK11" i="1"/>
  <c r="AS11" i="1" s="1"/>
  <c r="AK19" i="1"/>
  <c r="AS19" i="1" s="1"/>
  <c r="AK367" i="1"/>
  <c r="AS367" i="1" s="1"/>
  <c r="AK375" i="1"/>
  <c r="AS375" i="1" s="1"/>
  <c r="AK383" i="1"/>
  <c r="AS383" i="1" s="1"/>
  <c r="AK391" i="1"/>
  <c r="AS391" i="1" s="1"/>
  <c r="AK399" i="1"/>
  <c r="AS399" i="1" s="1"/>
  <c r="AK439" i="1"/>
  <c r="AS439" i="1" s="1"/>
  <c r="AK447" i="1"/>
  <c r="AS447" i="1" s="1"/>
  <c r="AK455" i="1"/>
  <c r="AS455" i="1" s="1"/>
  <c r="AK463" i="1"/>
  <c r="AS463" i="1" s="1"/>
  <c r="AK471" i="1"/>
  <c r="AS471" i="1" s="1"/>
  <c r="AK479" i="1"/>
  <c r="AS479" i="1" s="1"/>
  <c r="AK487" i="1"/>
  <c r="AS487" i="1" s="1"/>
  <c r="AK495" i="1"/>
  <c r="AS495" i="1" s="1"/>
  <c r="AK503" i="1"/>
  <c r="AS503" i="1" s="1"/>
  <c r="AK559" i="1"/>
  <c r="AS559" i="1" s="1"/>
  <c r="AK567" i="1"/>
  <c r="AS567" i="1" s="1"/>
  <c r="AK575" i="1"/>
  <c r="AS575" i="1" s="1"/>
  <c r="AK583" i="1"/>
  <c r="AS583" i="1" s="1"/>
  <c r="AK591" i="1"/>
  <c r="AS591" i="1" s="1"/>
  <c r="AK599" i="1"/>
  <c r="AS599" i="1" s="1"/>
  <c r="AK607" i="1"/>
  <c r="AS607" i="1" s="1"/>
  <c r="AK615" i="1"/>
  <c r="AS615" i="1" s="1"/>
  <c r="AK623" i="1"/>
  <c r="AS623" i="1" s="1"/>
  <c r="AK631" i="1"/>
  <c r="AS631" i="1" s="1"/>
  <c r="AK639" i="1"/>
  <c r="AS639" i="1" s="1"/>
  <c r="AK647" i="1"/>
  <c r="AS647" i="1" s="1"/>
  <c r="AK655" i="1"/>
  <c r="AS655" i="1" s="1"/>
  <c r="AK663" i="1"/>
  <c r="AS663" i="1" s="1"/>
  <c r="AK671" i="1"/>
  <c r="AS671" i="1" s="1"/>
  <c r="AK679" i="1"/>
  <c r="AS679" i="1" s="1"/>
  <c r="AK687" i="1"/>
  <c r="AS687" i="1" s="1"/>
  <c r="AK727" i="1"/>
  <c r="AS727" i="1" s="1"/>
  <c r="AK735" i="1"/>
  <c r="AS735" i="1" s="1"/>
  <c r="AK743" i="1"/>
  <c r="AS743" i="1" s="1"/>
  <c r="AK751" i="1"/>
  <c r="AS751" i="1" s="1"/>
  <c r="AK759" i="1"/>
  <c r="AS759" i="1" s="1"/>
  <c r="AK767" i="1"/>
  <c r="AS767" i="1" s="1"/>
  <c r="AK775" i="1"/>
  <c r="AS775" i="1" s="1"/>
  <c r="AK783" i="1"/>
  <c r="AS783" i="1" s="1"/>
  <c r="AK791" i="1"/>
  <c r="AS791" i="1" s="1"/>
  <c r="AK799" i="1"/>
  <c r="AS799" i="1" s="1"/>
  <c r="AK807" i="1"/>
  <c r="AS807" i="1" s="1"/>
  <c r="AK815" i="1"/>
  <c r="AS815" i="1" s="1"/>
  <c r="AK823" i="1"/>
  <c r="AS823" i="1" s="1"/>
  <c r="AK871" i="1"/>
  <c r="AS871" i="1" s="1"/>
  <c r="AK879" i="1"/>
  <c r="AS879" i="1" s="1"/>
  <c r="AK911" i="1"/>
  <c r="AS911" i="1" s="1"/>
  <c r="AK919" i="1"/>
  <c r="AS919" i="1" s="1"/>
  <c r="AK927" i="1"/>
  <c r="AS927" i="1" s="1"/>
  <c r="AK24" i="1"/>
  <c r="AS24" i="1" s="1"/>
  <c r="AK32" i="1"/>
  <c r="AS32" i="1" s="1"/>
  <c r="AK40" i="1"/>
  <c r="AS40" i="1" s="1"/>
  <c r="AK48" i="1"/>
  <c r="AS48" i="1" s="1"/>
  <c r="AK56" i="1"/>
  <c r="AS56" i="1" s="1"/>
  <c r="AK64" i="1"/>
  <c r="AS64" i="1" s="1"/>
  <c r="AK72" i="1"/>
  <c r="AS72" i="1" s="1"/>
  <c r="AK80" i="1"/>
  <c r="AS80" i="1" s="1"/>
  <c r="AK88" i="1"/>
  <c r="AS88" i="1" s="1"/>
  <c r="AK96" i="1"/>
  <c r="AS96" i="1" s="1"/>
  <c r="AK104" i="1"/>
  <c r="AS104" i="1" s="1"/>
  <c r="AK112" i="1"/>
  <c r="AS112" i="1" s="1"/>
  <c r="AK120" i="1"/>
  <c r="AS120" i="1" s="1"/>
  <c r="AK128" i="1"/>
  <c r="AS128" i="1" s="1"/>
  <c r="AK136" i="1"/>
  <c r="AS136" i="1" s="1"/>
  <c r="AK144" i="1"/>
  <c r="AS144" i="1" s="1"/>
  <c r="AK152" i="1"/>
  <c r="AS152" i="1" s="1"/>
  <c r="AK160" i="1"/>
  <c r="AS160" i="1" s="1"/>
  <c r="AK168" i="1"/>
  <c r="AS168" i="1" s="1"/>
  <c r="AK176" i="1"/>
  <c r="AS176" i="1" s="1"/>
  <c r="AK184" i="1"/>
  <c r="AS184" i="1" s="1"/>
  <c r="AK935" i="1"/>
  <c r="AS935" i="1" s="1"/>
  <c r="AK943" i="1"/>
  <c r="AS943" i="1" s="1"/>
  <c r="AK951" i="1"/>
  <c r="AS951" i="1" s="1"/>
  <c r="AK975" i="1"/>
  <c r="AS975" i="1" s="1"/>
  <c r="AK982" i="1"/>
  <c r="AS982" i="1" s="1"/>
  <c r="AK990" i="1"/>
  <c r="AS990" i="1" s="1"/>
  <c r="AK998" i="1"/>
  <c r="AS998" i="1" s="1"/>
  <c r="AK436" i="1"/>
  <c r="AS436" i="1" s="1"/>
  <c r="AK558" i="1"/>
  <c r="AS558" i="1" s="1"/>
  <c r="AK866" i="1"/>
  <c r="AS866" i="1" s="1"/>
  <c r="AK884" i="1"/>
  <c r="AS884" i="1" s="1"/>
  <c r="AK190" i="1"/>
  <c r="AS190" i="1" s="1"/>
  <c r="AK198" i="1"/>
  <c r="AS198" i="1" s="1"/>
  <c r="AK206" i="1"/>
  <c r="AS206" i="1" s="1"/>
  <c r="AK214" i="1"/>
  <c r="AS214" i="1" s="1"/>
  <c r="AK222" i="1"/>
  <c r="AS222" i="1" s="1"/>
  <c r="AK230" i="1"/>
  <c r="AS230" i="1" s="1"/>
  <c r="AK238" i="1"/>
  <c r="AS238" i="1" s="1"/>
  <c r="AK246" i="1"/>
  <c r="AS246" i="1" s="1"/>
  <c r="AK254" i="1"/>
  <c r="AS254" i="1" s="1"/>
  <c r="AK262" i="1"/>
  <c r="AS262" i="1" s="1"/>
  <c r="AK270" i="1"/>
  <c r="AS270" i="1" s="1"/>
  <c r="AK278" i="1"/>
  <c r="AS278" i="1" s="1"/>
  <c r="AK286" i="1"/>
  <c r="AS286" i="1" s="1"/>
  <c r="AK294" i="1"/>
  <c r="AS294" i="1" s="1"/>
  <c r="AK302" i="1"/>
  <c r="AS302" i="1" s="1"/>
  <c r="AK310" i="1"/>
  <c r="AS310" i="1" s="1"/>
  <c r="AK318" i="1"/>
  <c r="AS318" i="1" s="1"/>
  <c r="AK326" i="1"/>
  <c r="AS326" i="1" s="1"/>
  <c r="AK334" i="1"/>
  <c r="AS334" i="1" s="1"/>
  <c r="AK342" i="1"/>
  <c r="AS342" i="1" s="1"/>
  <c r="AK350" i="1"/>
  <c r="AS350" i="1" s="1"/>
  <c r="AK358" i="1"/>
  <c r="AS358" i="1" s="1"/>
  <c r="AK366" i="1"/>
  <c r="AS366" i="1" s="1"/>
  <c r="AK374" i="1"/>
  <c r="AS374" i="1" s="1"/>
  <c r="AK382" i="1"/>
  <c r="AS382" i="1" s="1"/>
  <c r="AK390" i="1"/>
  <c r="AS390" i="1" s="1"/>
  <c r="AK398" i="1"/>
  <c r="AS398" i="1" s="1"/>
  <c r="AK410" i="1"/>
  <c r="AS410" i="1" s="1"/>
  <c r="AK418" i="1"/>
  <c r="AS418" i="1" s="1"/>
  <c r="AK428" i="1"/>
  <c r="AS428" i="1" s="1"/>
  <c r="AK438" i="1"/>
  <c r="AS438" i="1" s="1"/>
  <c r="AK446" i="1"/>
  <c r="AS446" i="1" s="1"/>
  <c r="AK454" i="1"/>
  <c r="AS454" i="1" s="1"/>
  <c r="AK462" i="1"/>
  <c r="AS462" i="1" s="1"/>
  <c r="AK470" i="1"/>
  <c r="AS470" i="1" s="1"/>
  <c r="AK478" i="1"/>
  <c r="AS478" i="1" s="1"/>
  <c r="AK486" i="1"/>
  <c r="AS486" i="1" s="1"/>
  <c r="AK494" i="1"/>
  <c r="AS494" i="1" s="1"/>
  <c r="AK502" i="1"/>
  <c r="AS502" i="1" s="1"/>
  <c r="AK516" i="1"/>
  <c r="AS516" i="1" s="1"/>
  <c r="AK524" i="1"/>
  <c r="AS524" i="1" s="1"/>
  <c r="AK532" i="1"/>
  <c r="AS532" i="1" s="1"/>
  <c r="AK540" i="1"/>
  <c r="AS540" i="1" s="1"/>
  <c r="AK548" i="1"/>
  <c r="AS548" i="1" s="1"/>
  <c r="AK556" i="1"/>
  <c r="AS556" i="1" s="1"/>
  <c r="AK568" i="1"/>
  <c r="AS568" i="1" s="1"/>
  <c r="AK576" i="1"/>
  <c r="AS576" i="1" s="1"/>
  <c r="AK584" i="1"/>
  <c r="AS584" i="1" s="1"/>
  <c r="AK592" i="1"/>
  <c r="AS592" i="1" s="1"/>
  <c r="AK600" i="1"/>
  <c r="AS600" i="1" s="1"/>
  <c r="AK608" i="1"/>
  <c r="AS608" i="1" s="1"/>
  <c r="AK616" i="1"/>
  <c r="AS616" i="1" s="1"/>
  <c r="AK624" i="1"/>
  <c r="AS624" i="1" s="1"/>
  <c r="AK632" i="1"/>
  <c r="AS632" i="1" s="1"/>
  <c r="AK640" i="1"/>
  <c r="AS640" i="1" s="1"/>
  <c r="AK648" i="1"/>
  <c r="AS648" i="1" s="1"/>
  <c r="AK656" i="1"/>
  <c r="AS656" i="1" s="1"/>
  <c r="AK664" i="1"/>
  <c r="AS664" i="1" s="1"/>
  <c r="AK672" i="1"/>
  <c r="AS672" i="1" s="1"/>
  <c r="AK680" i="1"/>
  <c r="AS680" i="1" s="1"/>
  <c r="AK688" i="1"/>
  <c r="AS688" i="1" s="1"/>
  <c r="AK698" i="1"/>
  <c r="AS698" i="1" s="1"/>
  <c r="AK706" i="1"/>
  <c r="AS706" i="1" s="1"/>
  <c r="AK714" i="1"/>
  <c r="AS714" i="1" s="1"/>
  <c r="AK942" i="1"/>
  <c r="AS942" i="1" s="1"/>
  <c r="AK726" i="1"/>
  <c r="AS726" i="1" s="1"/>
  <c r="AK734" i="1"/>
  <c r="AS734" i="1" s="1"/>
  <c r="AK744" i="1"/>
  <c r="AS744" i="1" s="1"/>
  <c r="AK752" i="1"/>
  <c r="AS752" i="1" s="1"/>
  <c r="AK760" i="1"/>
  <c r="AS760" i="1" s="1"/>
  <c r="AK768" i="1"/>
  <c r="AS768" i="1" s="1"/>
  <c r="AK776" i="1"/>
  <c r="AS776" i="1" s="1"/>
  <c r="AK784" i="1"/>
  <c r="AS784" i="1" s="1"/>
  <c r="AK792" i="1"/>
  <c r="AS792" i="1" s="1"/>
  <c r="AK800" i="1"/>
  <c r="AS800" i="1" s="1"/>
  <c r="AK808" i="1"/>
  <c r="AS808" i="1" s="1"/>
  <c r="AK816" i="1"/>
  <c r="AS816" i="1" s="1"/>
  <c r="AK824" i="1"/>
  <c r="AS824" i="1" s="1"/>
  <c r="AK834" i="1"/>
  <c r="AS834" i="1" s="1"/>
  <c r="AK844" i="1"/>
  <c r="AS844" i="1" s="1"/>
  <c r="AK852" i="1"/>
  <c r="AS852" i="1" s="1"/>
  <c r="AK860" i="1"/>
  <c r="AS860" i="1" s="1"/>
  <c r="AK870" i="1"/>
  <c r="AS870" i="1" s="1"/>
  <c r="AK880" i="1"/>
  <c r="AS880" i="1" s="1"/>
  <c r="AK890" i="1"/>
  <c r="AS890" i="1" s="1"/>
  <c r="AK896" i="1"/>
  <c r="AS896" i="1" s="1"/>
  <c r="AK910" i="1"/>
  <c r="AS910" i="1" s="1"/>
  <c r="AK918" i="1"/>
  <c r="AS918" i="1" s="1"/>
  <c r="AK926" i="1"/>
  <c r="AS926" i="1" s="1"/>
  <c r="AK934" i="1"/>
  <c r="AS934" i="1" s="1"/>
  <c r="AK944" i="1"/>
  <c r="AS944" i="1" s="1"/>
  <c r="AK954" i="1"/>
  <c r="AS954" i="1" s="1"/>
  <c r="AK962" i="1"/>
  <c r="AS962" i="1" s="1"/>
  <c r="AK970" i="1"/>
  <c r="AS970" i="1" s="1"/>
  <c r="AH25" i="1"/>
  <c r="AP25" i="1" s="1"/>
  <c r="AH13" i="1"/>
  <c r="AP13" i="1" s="1"/>
  <c r="AJ306" i="1"/>
  <c r="AR306" i="1" s="1"/>
  <c r="AJ314" i="1"/>
  <c r="AR314" i="1" s="1"/>
  <c r="AJ322" i="1"/>
  <c r="AR322" i="1" s="1"/>
  <c r="AJ330" i="1"/>
  <c r="AR330" i="1" s="1"/>
  <c r="AJ338" i="1"/>
  <c r="AR338" i="1" s="1"/>
  <c r="AJ346" i="1"/>
  <c r="AR346" i="1" s="1"/>
  <c r="AJ354" i="1"/>
  <c r="AR354" i="1" s="1"/>
  <c r="AJ367" i="1"/>
  <c r="AR367" i="1" s="1"/>
  <c r="AJ375" i="1"/>
  <c r="AR375" i="1" s="1"/>
  <c r="AJ383" i="1"/>
  <c r="AR383" i="1" s="1"/>
  <c r="AJ399" i="1"/>
  <c r="AR399" i="1" s="1"/>
  <c r="AJ407" i="1"/>
  <c r="AR407" i="1" s="1"/>
  <c r="AJ415" i="1"/>
  <c r="AR415" i="1" s="1"/>
  <c r="AJ439" i="1"/>
  <c r="AR439" i="1" s="1"/>
  <c r="AJ447" i="1"/>
  <c r="AR447" i="1" s="1"/>
  <c r="AJ455" i="1"/>
  <c r="AR455" i="1" s="1"/>
  <c r="AJ463" i="1"/>
  <c r="AR463" i="1" s="1"/>
  <c r="AJ471" i="1"/>
  <c r="AR471" i="1" s="1"/>
  <c r="AJ479" i="1"/>
  <c r="AR479" i="1" s="1"/>
  <c r="AJ487" i="1"/>
  <c r="AR487" i="1" s="1"/>
  <c r="AJ495" i="1"/>
  <c r="AR495" i="1" s="1"/>
  <c r="AJ503" i="1"/>
  <c r="AR503" i="1" s="1"/>
  <c r="AJ511" i="1"/>
  <c r="AR511" i="1" s="1"/>
  <c r="AJ519" i="1"/>
  <c r="AR519" i="1" s="1"/>
  <c r="AJ527" i="1"/>
  <c r="AR527" i="1" s="1"/>
  <c r="AJ535" i="1"/>
  <c r="AR535" i="1" s="1"/>
  <c r="AJ543" i="1"/>
  <c r="AR543" i="1" s="1"/>
  <c r="AJ551" i="1"/>
  <c r="AR551" i="1" s="1"/>
  <c r="AJ559" i="1"/>
  <c r="AR559" i="1" s="1"/>
  <c r="AJ567" i="1"/>
  <c r="AR567" i="1" s="1"/>
  <c r="AJ575" i="1"/>
  <c r="AR575" i="1" s="1"/>
  <c r="AJ583" i="1"/>
  <c r="AR583" i="1" s="1"/>
  <c r="AJ591" i="1"/>
  <c r="AR591" i="1" s="1"/>
  <c r="AJ599" i="1"/>
  <c r="AR599" i="1" s="1"/>
  <c r="AJ607" i="1"/>
  <c r="AR607" i="1" s="1"/>
  <c r="AJ615" i="1"/>
  <c r="AR615" i="1" s="1"/>
  <c r="AJ623" i="1"/>
  <c r="AR623" i="1" s="1"/>
  <c r="AJ631" i="1"/>
  <c r="AR631" i="1" s="1"/>
  <c r="AJ639" i="1"/>
  <c r="AR639" i="1" s="1"/>
  <c r="AJ647" i="1"/>
  <c r="AR647" i="1" s="1"/>
  <c r="AJ655" i="1"/>
  <c r="AR655" i="1" s="1"/>
  <c r="AJ663" i="1"/>
  <c r="AR663" i="1" s="1"/>
  <c r="AJ671" i="1"/>
  <c r="AR671" i="1" s="1"/>
  <c r="AJ679" i="1"/>
  <c r="AR679" i="1" s="1"/>
  <c r="AJ687" i="1"/>
  <c r="AR687" i="1" s="1"/>
  <c r="AJ358" i="1"/>
  <c r="AR358" i="1" s="1"/>
  <c r="AJ699" i="1"/>
  <c r="AR699" i="1" s="1"/>
  <c r="AJ707" i="1"/>
  <c r="AR707" i="1" s="1"/>
  <c r="AJ715" i="1"/>
  <c r="AR715" i="1" s="1"/>
  <c r="AJ723" i="1"/>
  <c r="AR723" i="1" s="1"/>
  <c r="AJ731" i="1"/>
  <c r="AR731" i="1" s="1"/>
  <c r="AJ739" i="1"/>
  <c r="AR739" i="1" s="1"/>
  <c r="AJ747" i="1"/>
  <c r="AR747" i="1" s="1"/>
  <c r="AJ755" i="1"/>
  <c r="AR755" i="1" s="1"/>
  <c r="AJ763" i="1"/>
  <c r="AR763" i="1" s="1"/>
  <c r="AJ771" i="1"/>
  <c r="AR771" i="1" s="1"/>
  <c r="AJ779" i="1"/>
  <c r="AR779" i="1" s="1"/>
  <c r="AJ787" i="1"/>
  <c r="AR787" i="1" s="1"/>
  <c r="AJ795" i="1"/>
  <c r="AR795" i="1" s="1"/>
  <c r="AJ803" i="1"/>
  <c r="AR803" i="1" s="1"/>
  <c r="AJ811" i="1"/>
  <c r="AR811" i="1" s="1"/>
  <c r="AJ819" i="1"/>
  <c r="AR819" i="1" s="1"/>
  <c r="AJ827" i="1"/>
  <c r="AR827" i="1" s="1"/>
  <c r="AJ835" i="1"/>
  <c r="AR835" i="1" s="1"/>
  <c r="AJ843" i="1"/>
  <c r="AR843" i="1" s="1"/>
  <c r="AJ851" i="1"/>
  <c r="AR851" i="1" s="1"/>
  <c r="AJ859" i="1"/>
  <c r="AR859" i="1" s="1"/>
  <c r="AJ867" i="1"/>
  <c r="AR867" i="1" s="1"/>
  <c r="AJ883" i="1"/>
  <c r="AR883" i="1" s="1"/>
  <c r="AJ891" i="1"/>
  <c r="AR891" i="1" s="1"/>
  <c r="AJ899" i="1"/>
  <c r="AR899" i="1" s="1"/>
  <c r="AJ907" i="1"/>
  <c r="AR907" i="1" s="1"/>
  <c r="AJ915" i="1"/>
  <c r="AR915" i="1" s="1"/>
  <c r="AJ923" i="1"/>
  <c r="AR923" i="1" s="1"/>
  <c r="AJ931" i="1"/>
  <c r="AR931" i="1" s="1"/>
  <c r="AJ939" i="1"/>
  <c r="AR939" i="1" s="1"/>
  <c r="AJ955" i="1"/>
  <c r="AR955" i="1" s="1"/>
  <c r="AJ971" i="1"/>
  <c r="AR971" i="1" s="1"/>
  <c r="AJ978" i="1"/>
  <c r="AR978" i="1" s="1"/>
  <c r="AJ986" i="1"/>
  <c r="AR986" i="1" s="1"/>
  <c r="AJ994" i="1"/>
  <c r="AR994" i="1" s="1"/>
  <c r="AJ874" i="1"/>
  <c r="AR874" i="1" s="1"/>
  <c r="AJ882" i="1"/>
  <c r="AR882" i="1" s="1"/>
  <c r="AJ890" i="1"/>
  <c r="AR890" i="1" s="1"/>
  <c r="AJ898" i="1"/>
  <c r="AR898" i="1" s="1"/>
  <c r="AJ906" i="1"/>
  <c r="AR906" i="1" s="1"/>
  <c r="AJ914" i="1"/>
  <c r="AR914" i="1" s="1"/>
  <c r="AJ922" i="1"/>
  <c r="AR922" i="1" s="1"/>
  <c r="AJ930" i="1"/>
  <c r="AR930" i="1" s="1"/>
  <c r="AJ938" i="1"/>
  <c r="AR938" i="1" s="1"/>
  <c r="AJ946" i="1"/>
  <c r="AR946" i="1" s="1"/>
  <c r="AJ954" i="1"/>
  <c r="AR954" i="1" s="1"/>
  <c r="AJ962" i="1"/>
  <c r="AR962" i="1" s="1"/>
  <c r="AJ970" i="1"/>
  <c r="AR970" i="1" s="1"/>
  <c r="AJ999" i="1"/>
  <c r="AR999" i="1" s="1"/>
  <c r="AJ8" i="1"/>
  <c r="AR8" i="1" s="1"/>
  <c r="AJ16" i="1"/>
  <c r="AJ981" i="1"/>
  <c r="AR981" i="1" s="1"/>
  <c r="AJ989" i="1"/>
  <c r="AR989" i="1" s="1"/>
  <c r="AJ997" i="1"/>
  <c r="AR997" i="1" s="1"/>
  <c r="AK10" i="1"/>
  <c r="AS10" i="1" s="1"/>
  <c r="AK18" i="1"/>
  <c r="AS18" i="1" s="1"/>
  <c r="AK27" i="1"/>
  <c r="AS27" i="1" s="1"/>
  <c r="AK35" i="1"/>
  <c r="AS35" i="1" s="1"/>
  <c r="AK43" i="1"/>
  <c r="AS43" i="1" s="1"/>
  <c r="AK51" i="1"/>
  <c r="AS51" i="1" s="1"/>
  <c r="AK59" i="1"/>
  <c r="AS59" i="1" s="1"/>
  <c r="AK67" i="1"/>
  <c r="AS67" i="1" s="1"/>
  <c r="AK75" i="1"/>
  <c r="AS75" i="1" s="1"/>
  <c r="AK83" i="1"/>
  <c r="AS83" i="1" s="1"/>
  <c r="AK91" i="1"/>
  <c r="AS91" i="1" s="1"/>
  <c r="AK99" i="1"/>
  <c r="AS99" i="1" s="1"/>
  <c r="AK115" i="1"/>
  <c r="AS115" i="1" s="1"/>
  <c r="AK123" i="1"/>
  <c r="AS123" i="1" s="1"/>
  <c r="AK131" i="1"/>
  <c r="AS131" i="1" s="1"/>
  <c r="AK139" i="1"/>
  <c r="AS139" i="1" s="1"/>
  <c r="AK147" i="1"/>
  <c r="AS147" i="1" s="1"/>
  <c r="AK155" i="1"/>
  <c r="AS155" i="1" s="1"/>
  <c r="AK163" i="1"/>
  <c r="AS163" i="1" s="1"/>
  <c r="AK171" i="1"/>
  <c r="AS171" i="1" s="1"/>
  <c r="AK179" i="1"/>
  <c r="AS179" i="1" s="1"/>
  <c r="AK187" i="1"/>
  <c r="AS187" i="1" s="1"/>
  <c r="AK5" i="1"/>
  <c r="AS5" i="1" s="1"/>
  <c r="AK13" i="1"/>
  <c r="AS13" i="1" s="1"/>
  <c r="AK361" i="1"/>
  <c r="AS361" i="1" s="1"/>
  <c r="AK369" i="1"/>
  <c r="AS369" i="1" s="1"/>
  <c r="AK377" i="1"/>
  <c r="AS377" i="1" s="1"/>
  <c r="AK385" i="1"/>
  <c r="AS385" i="1" s="1"/>
  <c r="AK393" i="1"/>
  <c r="AS393" i="1" s="1"/>
  <c r="AK401" i="1"/>
  <c r="AS401" i="1" s="1"/>
  <c r="AK409" i="1"/>
  <c r="AS409" i="1" s="1"/>
  <c r="AK417" i="1"/>
  <c r="AS417" i="1" s="1"/>
  <c r="AK441" i="1"/>
  <c r="AS441" i="1" s="1"/>
  <c r="AK449" i="1"/>
  <c r="AS449" i="1" s="1"/>
  <c r="AK457" i="1"/>
  <c r="AS457" i="1" s="1"/>
  <c r="AK465" i="1"/>
  <c r="AS465" i="1" s="1"/>
  <c r="AK473" i="1"/>
  <c r="AS473" i="1" s="1"/>
  <c r="AK481" i="1"/>
  <c r="AS481" i="1" s="1"/>
  <c r="AK489" i="1"/>
  <c r="AS489" i="1" s="1"/>
  <c r="AK497" i="1"/>
  <c r="AS497" i="1" s="1"/>
  <c r="AK505" i="1"/>
  <c r="AS505" i="1" s="1"/>
  <c r="AK513" i="1"/>
  <c r="AS513" i="1" s="1"/>
  <c r="AK561" i="1"/>
  <c r="AS561" i="1" s="1"/>
  <c r="AK697" i="1"/>
  <c r="AS697" i="1" s="1"/>
  <c r="AK705" i="1"/>
  <c r="AS705" i="1" s="1"/>
  <c r="AK713" i="1"/>
  <c r="AS713" i="1" s="1"/>
  <c r="AK721" i="1"/>
  <c r="AS721" i="1" s="1"/>
  <c r="AK729" i="1"/>
  <c r="AS729" i="1" s="1"/>
  <c r="AK737" i="1"/>
  <c r="AS737" i="1" s="1"/>
  <c r="AK833" i="1"/>
  <c r="AS833" i="1" s="1"/>
  <c r="AK841" i="1"/>
  <c r="AS841" i="1" s="1"/>
  <c r="AK873" i="1"/>
  <c r="AS873" i="1" s="1"/>
  <c r="AK889" i="1"/>
  <c r="AS889" i="1" s="1"/>
  <c r="AK913" i="1"/>
  <c r="AS913" i="1" s="1"/>
  <c r="AK921" i="1"/>
  <c r="AS921" i="1" s="1"/>
  <c r="AK929" i="1"/>
  <c r="AS929" i="1" s="1"/>
  <c r="AK26" i="1"/>
  <c r="AS26" i="1" s="1"/>
  <c r="AK34" i="1"/>
  <c r="AS34" i="1" s="1"/>
  <c r="AK42" i="1"/>
  <c r="AS42" i="1" s="1"/>
  <c r="AK50" i="1"/>
  <c r="AS50" i="1" s="1"/>
  <c r="AK58" i="1"/>
  <c r="AS58" i="1" s="1"/>
  <c r="AK66" i="1"/>
  <c r="AS66" i="1" s="1"/>
  <c r="AK74" i="1"/>
  <c r="AS74" i="1" s="1"/>
  <c r="AK82" i="1"/>
  <c r="AS82" i="1" s="1"/>
  <c r="AK90" i="1"/>
  <c r="AS90" i="1" s="1"/>
  <c r="AK98" i="1"/>
  <c r="AS98" i="1" s="1"/>
  <c r="AK106" i="1"/>
  <c r="AS106" i="1" s="1"/>
  <c r="AK114" i="1"/>
  <c r="AS114" i="1" s="1"/>
  <c r="AK122" i="1"/>
  <c r="AS122" i="1" s="1"/>
  <c r="AK130" i="1"/>
  <c r="AS130" i="1" s="1"/>
  <c r="AK138" i="1"/>
  <c r="AS138" i="1" s="1"/>
  <c r="AK146" i="1"/>
  <c r="AS146" i="1" s="1"/>
  <c r="AK154" i="1"/>
  <c r="AS154" i="1" s="1"/>
  <c r="AK162" i="1"/>
  <c r="AS162" i="1" s="1"/>
  <c r="AK170" i="1"/>
  <c r="AS170" i="1" s="1"/>
  <c r="AK178" i="1"/>
  <c r="AS178" i="1" s="1"/>
  <c r="AK186" i="1"/>
  <c r="AS186" i="1" s="1"/>
  <c r="AK981" i="1"/>
  <c r="AS981" i="1" s="1"/>
  <c r="AK989" i="1"/>
  <c r="AS989" i="1" s="1"/>
  <c r="AK997" i="1"/>
  <c r="AS997" i="1" s="1"/>
  <c r="AK937" i="1"/>
  <c r="AS937" i="1" s="1"/>
  <c r="AK953" i="1"/>
  <c r="AS953" i="1" s="1"/>
  <c r="AK961" i="1"/>
  <c r="AS961" i="1" s="1"/>
  <c r="AK969" i="1"/>
  <c r="AS969" i="1" s="1"/>
  <c r="AK984" i="1"/>
  <c r="AS984" i="1" s="1"/>
  <c r="AK992" i="1"/>
  <c r="AS992" i="1" s="1"/>
  <c r="AK422" i="1"/>
  <c r="AS422" i="1" s="1"/>
  <c r="AK508" i="1"/>
  <c r="AS508" i="1" s="1"/>
  <c r="AK560" i="1"/>
  <c r="AS560" i="1" s="1"/>
  <c r="AK402" i="1"/>
  <c r="AS402" i="1" s="1"/>
  <c r="AK898" i="1"/>
  <c r="AS898" i="1" s="1"/>
  <c r="AK192" i="1"/>
  <c r="AS192" i="1" s="1"/>
  <c r="AK200" i="1"/>
  <c r="AS200" i="1" s="1"/>
  <c r="AK208" i="1"/>
  <c r="AS208" i="1" s="1"/>
  <c r="AK216" i="1"/>
  <c r="AS216" i="1" s="1"/>
  <c r="AK224" i="1"/>
  <c r="AS224" i="1" s="1"/>
  <c r="AK232" i="1"/>
  <c r="AS232" i="1" s="1"/>
  <c r="AK240" i="1"/>
  <c r="AS240" i="1" s="1"/>
  <c r="AK248" i="1"/>
  <c r="AS248" i="1" s="1"/>
  <c r="AK256" i="1"/>
  <c r="AS256" i="1" s="1"/>
  <c r="AK264" i="1"/>
  <c r="AS264" i="1" s="1"/>
  <c r="AK272" i="1"/>
  <c r="AS272" i="1" s="1"/>
  <c r="AK280" i="1"/>
  <c r="AS280" i="1" s="1"/>
  <c r="AK288" i="1"/>
  <c r="AS288" i="1" s="1"/>
  <c r="AK296" i="1"/>
  <c r="AS296" i="1" s="1"/>
  <c r="AK304" i="1"/>
  <c r="AS304" i="1" s="1"/>
  <c r="AK312" i="1"/>
  <c r="AS312" i="1" s="1"/>
  <c r="AK320" i="1"/>
  <c r="AS320" i="1" s="1"/>
  <c r="AK328" i="1"/>
  <c r="AS328" i="1" s="1"/>
  <c r="AK336" i="1"/>
  <c r="AS336" i="1" s="1"/>
  <c r="AK344" i="1"/>
  <c r="AS344" i="1" s="1"/>
  <c r="AK352" i="1"/>
  <c r="AS352" i="1" s="1"/>
  <c r="AK360" i="1"/>
  <c r="AS360" i="1" s="1"/>
  <c r="AK368" i="1"/>
  <c r="AS368" i="1" s="1"/>
  <c r="AK376" i="1"/>
  <c r="AS376" i="1" s="1"/>
  <c r="AK384" i="1"/>
  <c r="AS384" i="1" s="1"/>
  <c r="AK392" i="1"/>
  <c r="AS392" i="1" s="1"/>
  <c r="AK404" i="1"/>
  <c r="AS404" i="1" s="1"/>
  <c r="AK412" i="1"/>
  <c r="AS412" i="1" s="1"/>
  <c r="AK420" i="1"/>
  <c r="AS420" i="1" s="1"/>
  <c r="AK430" i="1"/>
  <c r="AS430" i="1" s="1"/>
  <c r="AK440" i="1"/>
  <c r="AS440" i="1" s="1"/>
  <c r="AK448" i="1"/>
  <c r="AS448" i="1" s="1"/>
  <c r="AK456" i="1"/>
  <c r="AS456" i="1" s="1"/>
  <c r="AK464" i="1"/>
  <c r="AS464" i="1" s="1"/>
  <c r="AK472" i="1"/>
  <c r="AS472" i="1" s="1"/>
  <c r="AK480" i="1"/>
  <c r="AS480" i="1" s="1"/>
  <c r="AK488" i="1"/>
  <c r="AS488" i="1" s="1"/>
  <c r="AK496" i="1"/>
  <c r="AS496" i="1" s="1"/>
  <c r="AK504" i="1"/>
  <c r="AS504" i="1" s="1"/>
  <c r="AK518" i="1"/>
  <c r="AS518" i="1" s="1"/>
  <c r="AK526" i="1"/>
  <c r="AS526" i="1" s="1"/>
  <c r="AK534" i="1"/>
  <c r="AS534" i="1" s="1"/>
  <c r="AK542" i="1"/>
  <c r="AS542" i="1" s="1"/>
  <c r="AK550" i="1"/>
  <c r="AS550" i="1" s="1"/>
  <c r="AK562" i="1"/>
  <c r="AS562" i="1" s="1"/>
  <c r="AK570" i="1"/>
  <c r="AS570" i="1" s="1"/>
  <c r="AK578" i="1"/>
  <c r="AS578" i="1" s="1"/>
  <c r="AK586" i="1"/>
  <c r="AS586" i="1" s="1"/>
  <c r="AK594" i="1"/>
  <c r="AS594" i="1" s="1"/>
  <c r="AK602" i="1"/>
  <c r="AS602" i="1" s="1"/>
  <c r="AK610" i="1"/>
  <c r="AS610" i="1" s="1"/>
  <c r="AK618" i="1"/>
  <c r="AS618" i="1" s="1"/>
  <c r="AK626" i="1"/>
  <c r="AS626" i="1" s="1"/>
  <c r="AK634" i="1"/>
  <c r="AS634" i="1" s="1"/>
  <c r="AK642" i="1"/>
  <c r="AS642" i="1" s="1"/>
  <c r="AK650" i="1"/>
  <c r="AS650" i="1" s="1"/>
  <c r="AK658" i="1"/>
  <c r="AS658" i="1" s="1"/>
  <c r="AK666" i="1"/>
  <c r="AS666" i="1" s="1"/>
  <c r="AK674" i="1"/>
  <c r="AS674" i="1" s="1"/>
  <c r="AK682" i="1"/>
  <c r="AS682" i="1" s="1"/>
  <c r="AK690" i="1"/>
  <c r="AS690" i="1" s="1"/>
  <c r="AK700" i="1"/>
  <c r="AS700" i="1" s="1"/>
  <c r="AK708" i="1"/>
  <c r="AS708" i="1" s="1"/>
  <c r="AK716" i="1"/>
  <c r="AS716" i="1" s="1"/>
  <c r="AK720" i="1"/>
  <c r="AS720" i="1" s="1"/>
  <c r="AK728" i="1"/>
  <c r="AS728" i="1" s="1"/>
  <c r="AK736" i="1"/>
  <c r="AS736" i="1" s="1"/>
  <c r="AK746" i="1"/>
  <c r="AS746" i="1" s="1"/>
  <c r="AK754" i="1"/>
  <c r="AS754" i="1" s="1"/>
  <c r="AK762" i="1"/>
  <c r="AS762" i="1" s="1"/>
  <c r="AK770" i="1"/>
  <c r="AS770" i="1" s="1"/>
  <c r="AK778" i="1"/>
  <c r="AS778" i="1" s="1"/>
  <c r="AK786" i="1"/>
  <c r="AS786" i="1" s="1"/>
  <c r="AK794" i="1"/>
  <c r="AS794" i="1" s="1"/>
  <c r="AK802" i="1"/>
  <c r="AS802" i="1" s="1"/>
  <c r="AK810" i="1"/>
  <c r="AS810" i="1" s="1"/>
  <c r="AK818" i="1"/>
  <c r="AS818" i="1" s="1"/>
  <c r="AK828" i="1"/>
  <c r="AS828" i="1" s="1"/>
  <c r="AK836" i="1"/>
  <c r="AS836" i="1" s="1"/>
  <c r="AK846" i="1"/>
  <c r="AS846" i="1" s="1"/>
  <c r="AK854" i="1"/>
  <c r="AS854" i="1" s="1"/>
  <c r="AK862" i="1"/>
  <c r="AS862" i="1" s="1"/>
  <c r="AK872" i="1"/>
  <c r="AS872" i="1" s="1"/>
  <c r="AK882" i="1"/>
  <c r="AS882" i="1" s="1"/>
  <c r="AK892" i="1"/>
  <c r="AS892" i="1" s="1"/>
  <c r="AK902" i="1"/>
  <c r="AS902" i="1" s="1"/>
  <c r="AK912" i="1"/>
  <c r="AS912" i="1" s="1"/>
  <c r="AK920" i="1"/>
  <c r="AS920" i="1" s="1"/>
  <c r="AK928" i="1"/>
  <c r="AS928" i="1" s="1"/>
  <c r="AK936" i="1"/>
  <c r="AS936" i="1" s="1"/>
  <c r="AK946" i="1"/>
  <c r="AS946" i="1" s="1"/>
  <c r="AK956" i="1"/>
  <c r="AS956" i="1" s="1"/>
  <c r="AK964" i="1"/>
  <c r="AS964" i="1" s="1"/>
  <c r="AK972" i="1"/>
  <c r="AS972" i="1" s="1"/>
  <c r="AK976" i="1"/>
  <c r="AS976" i="1" s="1"/>
  <c r="AH21" i="1"/>
  <c r="AP21" i="1" s="1"/>
  <c r="AJ187" i="1"/>
  <c r="AR187" i="1" s="1"/>
  <c r="AJ195" i="1"/>
  <c r="AR195" i="1" s="1"/>
  <c r="AJ203" i="1"/>
  <c r="AR203" i="1" s="1"/>
  <c r="AJ211" i="1"/>
  <c r="AR211" i="1" s="1"/>
  <c r="AJ219" i="1"/>
  <c r="AR219" i="1" s="1"/>
  <c r="AJ227" i="1"/>
  <c r="AR227" i="1" s="1"/>
  <c r="AJ235" i="1"/>
  <c r="AR235" i="1" s="1"/>
  <c r="AJ243" i="1"/>
  <c r="AR243" i="1" s="1"/>
  <c r="AJ251" i="1"/>
  <c r="AR251" i="1" s="1"/>
  <c r="AJ259" i="1"/>
  <c r="AR259" i="1" s="1"/>
  <c r="AJ267" i="1"/>
  <c r="AR267" i="1" s="1"/>
  <c r="AJ275" i="1"/>
  <c r="AR275" i="1" s="1"/>
  <c r="AJ283" i="1"/>
  <c r="AR283" i="1" s="1"/>
  <c r="AJ291" i="1"/>
  <c r="AR291" i="1" s="1"/>
  <c r="AJ299" i="1"/>
  <c r="AR299" i="1" s="1"/>
  <c r="AJ307" i="1"/>
  <c r="AR307" i="1" s="1"/>
  <c r="AJ315" i="1"/>
  <c r="AR315" i="1" s="1"/>
  <c r="AJ323" i="1"/>
  <c r="AR323" i="1" s="1"/>
  <c r="AJ331" i="1"/>
  <c r="AR331" i="1" s="1"/>
  <c r="AJ339" i="1"/>
  <c r="AR339" i="1" s="1"/>
  <c r="AJ347" i="1"/>
  <c r="AR347" i="1" s="1"/>
  <c r="AJ355" i="1"/>
  <c r="AR355" i="1" s="1"/>
  <c r="AJ5" i="1"/>
  <c r="AR5" i="1" s="1"/>
  <c r="AJ13" i="1"/>
  <c r="AR13" i="1" s="1"/>
  <c r="AJ20" i="1"/>
  <c r="AR20" i="1" s="1"/>
  <c r="AJ28" i="1"/>
  <c r="AR28" i="1" s="1"/>
  <c r="AJ36" i="1"/>
  <c r="AR36" i="1" s="1"/>
  <c r="AJ44" i="1"/>
  <c r="AR44" i="1" s="1"/>
  <c r="AJ52" i="1"/>
  <c r="AR52" i="1" s="1"/>
  <c r="AJ60" i="1"/>
  <c r="AR60" i="1" s="1"/>
  <c r="AJ68" i="1"/>
  <c r="AR68" i="1" s="1"/>
  <c r="AJ76" i="1"/>
  <c r="AR76" i="1" s="1"/>
  <c r="AJ84" i="1"/>
  <c r="AR84" i="1" s="1"/>
  <c r="AJ92" i="1"/>
  <c r="AR92" i="1" s="1"/>
  <c r="AJ100" i="1"/>
  <c r="AR100" i="1" s="1"/>
  <c r="AJ108" i="1"/>
  <c r="AR108" i="1" s="1"/>
  <c r="AJ116" i="1"/>
  <c r="AR116" i="1" s="1"/>
  <c r="AJ124" i="1"/>
  <c r="AR124" i="1" s="1"/>
  <c r="AJ132" i="1"/>
  <c r="AR132" i="1" s="1"/>
  <c r="AJ140" i="1"/>
  <c r="AR140" i="1" s="1"/>
  <c r="AJ148" i="1"/>
  <c r="AR148" i="1" s="1"/>
  <c r="AJ156" i="1"/>
  <c r="AR156" i="1" s="1"/>
  <c r="AJ164" i="1"/>
  <c r="AR164" i="1" s="1"/>
  <c r="AJ172" i="1"/>
  <c r="AR172" i="1" s="1"/>
  <c r="AJ180" i="1"/>
  <c r="AR180" i="1" s="1"/>
  <c r="AJ188" i="1"/>
  <c r="AR188" i="1" s="1"/>
  <c r="AJ196" i="1"/>
  <c r="AR196" i="1" s="1"/>
  <c r="AJ204" i="1"/>
  <c r="AR204" i="1" s="1"/>
  <c r="AJ212" i="1"/>
  <c r="AR212" i="1" s="1"/>
  <c r="AJ220" i="1"/>
  <c r="AR220" i="1" s="1"/>
  <c r="AJ228" i="1"/>
  <c r="AR228" i="1" s="1"/>
  <c r="AJ236" i="1"/>
  <c r="AR236" i="1" s="1"/>
  <c r="AJ244" i="1"/>
  <c r="AR244" i="1" s="1"/>
  <c r="AJ252" i="1"/>
  <c r="AR252" i="1" s="1"/>
  <c r="AJ260" i="1"/>
  <c r="AR260" i="1" s="1"/>
  <c r="AJ268" i="1"/>
  <c r="AR268" i="1" s="1"/>
  <c r="AJ276" i="1"/>
  <c r="AR276" i="1" s="1"/>
  <c r="AJ284" i="1"/>
  <c r="AR284" i="1" s="1"/>
  <c r="AJ292" i="1"/>
  <c r="AR292" i="1" s="1"/>
  <c r="AJ300" i="1"/>
  <c r="AR300" i="1" s="1"/>
  <c r="AJ308" i="1"/>
  <c r="AR308" i="1" s="1"/>
  <c r="AJ316" i="1"/>
  <c r="AR316" i="1" s="1"/>
  <c r="AJ324" i="1"/>
  <c r="AR324" i="1" s="1"/>
  <c r="AJ332" i="1"/>
  <c r="AR332" i="1" s="1"/>
  <c r="AJ340" i="1"/>
  <c r="AR340" i="1" s="1"/>
  <c r="AJ348" i="1"/>
  <c r="AR348" i="1" s="1"/>
  <c r="AJ361" i="1"/>
  <c r="AR361" i="1" s="1"/>
  <c r="AJ369" i="1"/>
  <c r="AR369" i="1" s="1"/>
  <c r="AJ377" i="1"/>
  <c r="AR377" i="1" s="1"/>
  <c r="AJ385" i="1"/>
  <c r="AR385" i="1" s="1"/>
  <c r="AJ393" i="1"/>
  <c r="AR393" i="1" s="1"/>
  <c r="AJ401" i="1"/>
  <c r="AR401" i="1" s="1"/>
  <c r="AJ409" i="1"/>
  <c r="AR409" i="1" s="1"/>
  <c r="AJ417" i="1"/>
  <c r="AR417" i="1" s="1"/>
  <c r="AJ425" i="1"/>
  <c r="AR425" i="1" s="1"/>
  <c r="AJ433" i="1"/>
  <c r="AR433" i="1" s="1"/>
  <c r="AJ441" i="1"/>
  <c r="AR441" i="1" s="1"/>
  <c r="AJ449" i="1"/>
  <c r="AR449" i="1" s="1"/>
  <c r="AJ457" i="1"/>
  <c r="AR457" i="1" s="1"/>
  <c r="AJ465" i="1"/>
  <c r="AR465" i="1" s="1"/>
  <c r="AJ473" i="1"/>
  <c r="AR473" i="1" s="1"/>
  <c r="AJ481" i="1"/>
  <c r="AR481" i="1" s="1"/>
  <c r="AJ489" i="1"/>
  <c r="AR489" i="1" s="1"/>
  <c r="AJ497" i="1"/>
  <c r="AR497" i="1" s="1"/>
  <c r="AJ505" i="1"/>
  <c r="AR505" i="1" s="1"/>
  <c r="AJ513" i="1"/>
  <c r="AR513" i="1" s="1"/>
  <c r="AJ521" i="1"/>
  <c r="AR521" i="1" s="1"/>
  <c r="AJ529" i="1"/>
  <c r="AR529" i="1" s="1"/>
  <c r="AJ537" i="1"/>
  <c r="AR537" i="1" s="1"/>
  <c r="AJ545" i="1"/>
  <c r="AR545" i="1" s="1"/>
  <c r="AJ553" i="1"/>
  <c r="AR553" i="1" s="1"/>
  <c r="AJ561" i="1"/>
  <c r="AR561" i="1" s="1"/>
  <c r="AJ569" i="1"/>
  <c r="AR569" i="1" s="1"/>
  <c r="AJ577" i="1"/>
  <c r="AR577" i="1" s="1"/>
  <c r="AJ585" i="1"/>
  <c r="AR585" i="1" s="1"/>
  <c r="AJ601" i="1"/>
  <c r="AR601" i="1" s="1"/>
  <c r="AJ617" i="1"/>
  <c r="AR617" i="1" s="1"/>
  <c r="AJ625" i="1"/>
  <c r="AR625" i="1" s="1"/>
  <c r="AJ633" i="1"/>
  <c r="AR633" i="1" s="1"/>
  <c r="AJ641" i="1"/>
  <c r="AR641" i="1" s="1"/>
  <c r="AJ649" i="1"/>
  <c r="AR649" i="1" s="1"/>
  <c r="AJ657" i="1"/>
  <c r="AR657" i="1" s="1"/>
  <c r="AJ665" i="1"/>
  <c r="AR665" i="1" s="1"/>
  <c r="AJ681" i="1"/>
  <c r="AR681" i="1" s="1"/>
  <c r="AJ689" i="1"/>
  <c r="AR689" i="1" s="1"/>
  <c r="AJ360" i="1"/>
  <c r="AR360" i="1" s="1"/>
  <c r="AJ368" i="1"/>
  <c r="AR368" i="1" s="1"/>
  <c r="AJ376" i="1"/>
  <c r="AR376" i="1" s="1"/>
  <c r="AJ384" i="1"/>
  <c r="AR384" i="1" s="1"/>
  <c r="AJ392" i="1"/>
  <c r="AR392" i="1" s="1"/>
  <c r="AJ400" i="1"/>
  <c r="AR400" i="1" s="1"/>
  <c r="AJ408" i="1"/>
  <c r="AR408" i="1" s="1"/>
  <c r="AJ416" i="1"/>
  <c r="AR416" i="1" s="1"/>
  <c r="AJ424" i="1"/>
  <c r="AR424" i="1" s="1"/>
  <c r="AJ432" i="1"/>
  <c r="AR432" i="1" s="1"/>
  <c r="AJ440" i="1"/>
  <c r="AR440" i="1" s="1"/>
  <c r="AJ448" i="1"/>
  <c r="AR448" i="1" s="1"/>
  <c r="AJ456" i="1"/>
  <c r="AR456" i="1" s="1"/>
  <c r="AJ464" i="1"/>
  <c r="AR464" i="1" s="1"/>
  <c r="AJ472" i="1"/>
  <c r="AR472" i="1" s="1"/>
  <c r="AJ480" i="1"/>
  <c r="AR480" i="1" s="1"/>
  <c r="AJ488" i="1"/>
  <c r="AR488" i="1" s="1"/>
  <c r="AJ496" i="1"/>
  <c r="AR496" i="1" s="1"/>
  <c r="AJ504" i="1"/>
  <c r="AR504" i="1" s="1"/>
  <c r="AJ512" i="1"/>
  <c r="AR512" i="1" s="1"/>
  <c r="AJ520" i="1"/>
  <c r="AR520" i="1" s="1"/>
  <c r="AJ528" i="1"/>
  <c r="AR528" i="1" s="1"/>
  <c r="AJ536" i="1"/>
  <c r="AR536" i="1" s="1"/>
  <c r="AJ544" i="1"/>
  <c r="AR544" i="1" s="1"/>
  <c r="AJ552" i="1"/>
  <c r="AR552" i="1" s="1"/>
  <c r="AJ560" i="1"/>
  <c r="AR560" i="1" s="1"/>
  <c r="AJ568" i="1"/>
  <c r="AR568" i="1" s="1"/>
  <c r="AJ576" i="1"/>
  <c r="AR576" i="1" s="1"/>
  <c r="AJ584" i="1"/>
  <c r="AR584" i="1" s="1"/>
  <c r="AJ592" i="1"/>
  <c r="AR592" i="1" s="1"/>
  <c r="AJ600" i="1"/>
  <c r="AR600" i="1" s="1"/>
  <c r="AJ608" i="1"/>
  <c r="AR608" i="1" s="1"/>
  <c r="AJ616" i="1"/>
  <c r="AR616" i="1" s="1"/>
  <c r="AJ624" i="1"/>
  <c r="AR624" i="1" s="1"/>
  <c r="AJ632" i="1"/>
  <c r="AR632" i="1" s="1"/>
  <c r="AJ640" i="1"/>
  <c r="AR640" i="1" s="1"/>
  <c r="AJ648" i="1"/>
  <c r="AR648" i="1" s="1"/>
  <c r="AJ656" i="1"/>
  <c r="AR656" i="1" s="1"/>
  <c r="AJ664" i="1"/>
  <c r="AR664" i="1" s="1"/>
  <c r="AJ672" i="1"/>
  <c r="AR672" i="1" s="1"/>
  <c r="AJ680" i="1"/>
  <c r="AR680" i="1" s="1"/>
  <c r="AJ688" i="1"/>
  <c r="AR688" i="1" s="1"/>
  <c r="AJ701" i="1"/>
  <c r="AR701" i="1" s="1"/>
  <c r="AJ709" i="1"/>
  <c r="AR709" i="1" s="1"/>
  <c r="AJ717" i="1"/>
  <c r="AR717" i="1" s="1"/>
  <c r="AJ725" i="1"/>
  <c r="AR725" i="1" s="1"/>
  <c r="AJ733" i="1"/>
  <c r="AR733" i="1" s="1"/>
  <c r="AJ741" i="1"/>
  <c r="AR741" i="1" s="1"/>
  <c r="AJ749" i="1"/>
  <c r="AR749" i="1" s="1"/>
  <c r="AJ765" i="1"/>
  <c r="AR765" i="1" s="1"/>
  <c r="AJ773" i="1"/>
  <c r="AR773" i="1" s="1"/>
  <c r="AJ781" i="1"/>
  <c r="AR781" i="1" s="1"/>
  <c r="AJ789" i="1"/>
  <c r="AR789" i="1" s="1"/>
  <c r="AJ797" i="1"/>
  <c r="AR797" i="1" s="1"/>
  <c r="AJ805" i="1"/>
  <c r="AR805" i="1" s="1"/>
  <c r="AJ813" i="1"/>
  <c r="AR813" i="1" s="1"/>
  <c r="AJ821" i="1"/>
  <c r="AR821" i="1" s="1"/>
  <c r="AJ829" i="1"/>
  <c r="AR829" i="1" s="1"/>
  <c r="AJ837" i="1"/>
  <c r="AR837" i="1" s="1"/>
  <c r="AJ845" i="1"/>
  <c r="AR845" i="1" s="1"/>
  <c r="AJ853" i="1"/>
  <c r="AR853" i="1" s="1"/>
  <c r="AJ861" i="1"/>
  <c r="AR861" i="1" s="1"/>
  <c r="AJ869" i="1"/>
  <c r="AR869" i="1" s="1"/>
  <c r="AJ877" i="1"/>
  <c r="AR877" i="1" s="1"/>
  <c r="AJ885" i="1"/>
  <c r="AR885" i="1" s="1"/>
  <c r="AJ893" i="1"/>
  <c r="AR893" i="1" s="1"/>
  <c r="AJ901" i="1"/>
  <c r="AR901" i="1" s="1"/>
  <c r="AJ909" i="1"/>
  <c r="AR909" i="1" s="1"/>
  <c r="AJ917" i="1"/>
  <c r="AR917" i="1" s="1"/>
  <c r="AJ925" i="1"/>
  <c r="AR925" i="1" s="1"/>
  <c r="AJ933" i="1"/>
  <c r="AR933" i="1" s="1"/>
  <c r="AJ941" i="1"/>
  <c r="AR941" i="1" s="1"/>
  <c r="AJ949" i="1"/>
  <c r="AR949" i="1" s="1"/>
  <c r="AJ957" i="1"/>
  <c r="AR957" i="1" s="1"/>
  <c r="AJ965" i="1"/>
  <c r="AR965" i="1" s="1"/>
  <c r="AJ973" i="1"/>
  <c r="AR973" i="1" s="1"/>
  <c r="AJ700" i="1"/>
  <c r="AR700" i="1" s="1"/>
  <c r="AJ708" i="1"/>
  <c r="AR708" i="1" s="1"/>
  <c r="AJ716" i="1"/>
  <c r="AR716" i="1" s="1"/>
  <c r="AJ724" i="1"/>
  <c r="AR724" i="1" s="1"/>
  <c r="AJ732" i="1"/>
  <c r="AR732" i="1" s="1"/>
  <c r="AJ740" i="1"/>
  <c r="AR740" i="1" s="1"/>
  <c r="AJ748" i="1"/>
  <c r="AR748" i="1" s="1"/>
  <c r="AJ756" i="1"/>
  <c r="AR756" i="1" s="1"/>
  <c r="AJ764" i="1"/>
  <c r="AR764" i="1" s="1"/>
  <c r="AJ772" i="1"/>
  <c r="AR772" i="1" s="1"/>
  <c r="AJ780" i="1"/>
  <c r="AR780" i="1" s="1"/>
  <c r="AJ788" i="1"/>
  <c r="AR788" i="1" s="1"/>
  <c r="AJ796" i="1"/>
  <c r="AR796" i="1" s="1"/>
  <c r="AJ804" i="1"/>
  <c r="AR804" i="1" s="1"/>
  <c r="AJ812" i="1"/>
  <c r="AR812" i="1" s="1"/>
  <c r="AJ820" i="1"/>
  <c r="AR820" i="1" s="1"/>
  <c r="AJ828" i="1"/>
  <c r="AR828" i="1" s="1"/>
  <c r="AJ836" i="1"/>
  <c r="AR836" i="1" s="1"/>
  <c r="AJ844" i="1"/>
  <c r="AR844" i="1" s="1"/>
  <c r="AJ852" i="1"/>
  <c r="AR852" i="1" s="1"/>
  <c r="AJ860" i="1"/>
  <c r="AR860" i="1" s="1"/>
  <c r="AJ868" i="1"/>
  <c r="AR868" i="1" s="1"/>
  <c r="AJ876" i="1"/>
  <c r="AR876" i="1" s="1"/>
  <c r="AJ884" i="1"/>
  <c r="AR884" i="1" s="1"/>
  <c r="AJ892" i="1"/>
  <c r="AR892" i="1" s="1"/>
  <c r="AJ900" i="1"/>
  <c r="AR900" i="1" s="1"/>
  <c r="AJ908" i="1"/>
  <c r="AR908" i="1" s="1"/>
  <c r="AJ916" i="1"/>
  <c r="AR916" i="1" s="1"/>
  <c r="AJ924" i="1"/>
  <c r="AR924" i="1" s="1"/>
  <c r="AJ932" i="1"/>
  <c r="AR932" i="1" s="1"/>
  <c r="AJ940" i="1"/>
  <c r="AR940" i="1" s="1"/>
  <c r="AJ948" i="1"/>
  <c r="AR948" i="1" s="1"/>
  <c r="AJ956" i="1"/>
  <c r="AR956" i="1" s="1"/>
  <c r="AJ964" i="1"/>
  <c r="AR964" i="1" s="1"/>
  <c r="AJ972" i="1"/>
  <c r="AR972" i="1" s="1"/>
  <c r="AJ10" i="1"/>
  <c r="AR10" i="1" s="1"/>
  <c r="AJ18" i="1"/>
  <c r="AR18" i="1" s="1"/>
  <c r="AJ983" i="1"/>
  <c r="AR983" i="1" s="1"/>
  <c r="AJ991" i="1"/>
  <c r="AR991" i="1" s="1"/>
  <c r="AK37" i="1"/>
  <c r="AS37" i="1" s="1"/>
  <c r="AK45" i="1"/>
  <c r="AS45" i="1" s="1"/>
  <c r="AK53" i="1"/>
  <c r="AS53" i="1" s="1"/>
  <c r="AK61" i="1"/>
  <c r="AS61" i="1" s="1"/>
  <c r="AK69" i="1"/>
  <c r="AS69" i="1" s="1"/>
  <c r="AK77" i="1"/>
  <c r="AS77" i="1" s="1"/>
  <c r="AK85" i="1"/>
  <c r="AS85" i="1" s="1"/>
  <c r="AK93" i="1"/>
  <c r="AS93" i="1" s="1"/>
  <c r="AK101" i="1"/>
  <c r="AS101" i="1" s="1"/>
  <c r="AK109" i="1"/>
  <c r="AS109" i="1" s="1"/>
  <c r="AK117" i="1"/>
  <c r="AS117" i="1" s="1"/>
  <c r="AK125" i="1"/>
  <c r="AS125" i="1" s="1"/>
  <c r="AK133" i="1"/>
  <c r="AS133" i="1" s="1"/>
  <c r="AK141" i="1"/>
  <c r="AS141" i="1" s="1"/>
  <c r="AK149" i="1"/>
  <c r="AS149" i="1" s="1"/>
  <c r="AK157" i="1"/>
  <c r="AS157" i="1" s="1"/>
  <c r="AK165" i="1"/>
  <c r="AS165" i="1" s="1"/>
  <c r="AK173" i="1"/>
  <c r="AS173" i="1" s="1"/>
  <c r="AK181" i="1"/>
  <c r="AS181" i="1" s="1"/>
  <c r="AK189" i="1"/>
  <c r="AS189" i="1" s="1"/>
  <c r="AK197" i="1"/>
  <c r="AS197" i="1" s="1"/>
  <c r="AK205" i="1"/>
  <c r="AS205" i="1" s="1"/>
  <c r="AK213" i="1"/>
  <c r="AS213" i="1" s="1"/>
  <c r="AK221" i="1"/>
  <c r="AS221" i="1" s="1"/>
  <c r="AK229" i="1"/>
  <c r="AS229" i="1" s="1"/>
  <c r="AK237" i="1"/>
  <c r="AS237" i="1" s="1"/>
  <c r="AK245" i="1"/>
  <c r="AS245" i="1" s="1"/>
  <c r="AK253" i="1"/>
  <c r="AS253" i="1" s="1"/>
  <c r="AK261" i="1"/>
  <c r="AS261" i="1" s="1"/>
  <c r="AK269" i="1"/>
  <c r="AS269" i="1" s="1"/>
  <c r="AK277" i="1"/>
  <c r="AS277" i="1" s="1"/>
  <c r="AK285" i="1"/>
  <c r="AS285" i="1" s="1"/>
  <c r="AK293" i="1"/>
  <c r="AS293" i="1" s="1"/>
  <c r="AK301" i="1"/>
  <c r="AS301" i="1" s="1"/>
  <c r="AK309" i="1"/>
  <c r="AS309" i="1" s="1"/>
  <c r="AK317" i="1"/>
  <c r="AS317" i="1" s="1"/>
  <c r="AK325" i="1"/>
  <c r="AS325" i="1" s="1"/>
  <c r="AK333" i="1"/>
  <c r="AS333" i="1" s="1"/>
  <c r="AK341" i="1"/>
  <c r="AS341" i="1" s="1"/>
  <c r="AK349" i="1"/>
  <c r="AS349" i="1" s="1"/>
  <c r="AK357" i="1"/>
  <c r="AS357" i="1" s="1"/>
  <c r="AK7" i="1"/>
  <c r="AS7" i="1" s="1"/>
  <c r="AK15" i="1"/>
  <c r="AS15" i="1" s="1"/>
  <c r="AK363" i="1"/>
  <c r="AS363" i="1" s="1"/>
  <c r="AK371" i="1"/>
  <c r="AS371" i="1" s="1"/>
  <c r="AK379" i="1"/>
  <c r="AS379" i="1" s="1"/>
  <c r="AK387" i="1"/>
  <c r="AS387" i="1" s="1"/>
  <c r="AK395" i="1"/>
  <c r="AS395" i="1" s="1"/>
  <c r="AK427" i="1"/>
  <c r="AS427" i="1" s="1"/>
  <c r="AK435" i="1"/>
  <c r="AS435" i="1" s="1"/>
  <c r="AK443" i="1"/>
  <c r="AS443" i="1" s="1"/>
  <c r="AK459" i="1"/>
  <c r="AS459" i="1" s="1"/>
  <c r="AK467" i="1"/>
  <c r="AS467" i="1" s="1"/>
  <c r="AK475" i="1"/>
  <c r="AS475" i="1" s="1"/>
  <c r="AK483" i="1"/>
  <c r="AS483" i="1" s="1"/>
  <c r="AK491" i="1"/>
  <c r="AS491" i="1" s="1"/>
  <c r="AK499" i="1"/>
  <c r="AS499" i="1" s="1"/>
  <c r="AK507" i="1"/>
  <c r="AS507" i="1" s="1"/>
  <c r="AK515" i="1"/>
  <c r="AS515" i="1" s="1"/>
  <c r="AK523" i="1"/>
  <c r="AS523" i="1" s="1"/>
  <c r="AK531" i="1"/>
  <c r="AS531" i="1" s="1"/>
  <c r="AK539" i="1"/>
  <c r="AS539" i="1" s="1"/>
  <c r="AK547" i="1"/>
  <c r="AS547" i="1" s="1"/>
  <c r="AK555" i="1"/>
  <c r="AS555" i="1" s="1"/>
  <c r="AK723" i="1"/>
  <c r="AS723" i="1" s="1"/>
  <c r="AK731" i="1"/>
  <c r="AS731" i="1" s="1"/>
  <c r="AK739" i="1"/>
  <c r="AS739" i="1" s="1"/>
  <c r="AK827" i="1"/>
  <c r="AS827" i="1" s="1"/>
  <c r="AK843" i="1"/>
  <c r="AS843" i="1" s="1"/>
  <c r="AK851" i="1"/>
  <c r="AS851" i="1" s="1"/>
  <c r="AK859" i="1"/>
  <c r="AS859" i="1" s="1"/>
  <c r="AK875" i="1"/>
  <c r="AS875" i="1" s="1"/>
  <c r="AK907" i="1"/>
  <c r="AS907" i="1" s="1"/>
  <c r="AK915" i="1"/>
  <c r="AS915" i="1" s="1"/>
  <c r="AK20" i="1"/>
  <c r="AS20" i="1" s="1"/>
  <c r="AK28" i="1"/>
  <c r="AS28" i="1" s="1"/>
  <c r="AK36" i="1"/>
  <c r="AS36" i="1" s="1"/>
  <c r="AK44" i="1"/>
  <c r="AS44" i="1" s="1"/>
  <c r="AK52" i="1"/>
  <c r="AS52" i="1" s="1"/>
  <c r="AK60" i="1"/>
  <c r="AS60" i="1" s="1"/>
  <c r="AK68" i="1"/>
  <c r="AS68" i="1" s="1"/>
  <c r="AK76" i="1"/>
  <c r="AS76" i="1" s="1"/>
  <c r="AK84" i="1"/>
  <c r="AS84" i="1" s="1"/>
  <c r="AK92" i="1"/>
  <c r="AS92" i="1" s="1"/>
  <c r="AK100" i="1"/>
  <c r="AS100" i="1" s="1"/>
  <c r="AK108" i="1"/>
  <c r="AS108" i="1" s="1"/>
  <c r="AK116" i="1"/>
  <c r="AS116" i="1" s="1"/>
  <c r="AK124" i="1"/>
  <c r="AS124" i="1" s="1"/>
  <c r="AK132" i="1"/>
  <c r="AS132" i="1" s="1"/>
  <c r="AK140" i="1"/>
  <c r="AS140" i="1" s="1"/>
  <c r="AK148" i="1"/>
  <c r="AS148" i="1" s="1"/>
  <c r="AK156" i="1"/>
  <c r="AS156" i="1" s="1"/>
  <c r="AK164" i="1"/>
  <c r="AS164" i="1" s="1"/>
  <c r="AK172" i="1"/>
  <c r="AS172" i="1" s="1"/>
  <c r="AK180" i="1"/>
  <c r="AS180" i="1" s="1"/>
  <c r="AK188" i="1"/>
  <c r="AS188" i="1" s="1"/>
  <c r="AK931" i="1"/>
  <c r="AS931" i="1" s="1"/>
  <c r="AK939" i="1"/>
  <c r="AS939" i="1" s="1"/>
  <c r="AK978" i="1"/>
  <c r="AS978" i="1" s="1"/>
  <c r="AK986" i="1"/>
  <c r="AS986" i="1" s="1"/>
  <c r="AK994" i="1"/>
  <c r="AS994" i="1" s="1"/>
  <c r="AK842" i="1"/>
  <c r="AS842" i="1" s="1"/>
  <c r="AK510" i="1"/>
  <c r="AS510" i="1" s="1"/>
  <c r="AK740" i="1"/>
  <c r="AS740" i="1" s="1"/>
  <c r="AK692" i="1"/>
  <c r="AS692" i="1" s="1"/>
  <c r="AK900" i="1"/>
  <c r="AS900" i="1" s="1"/>
  <c r="AK194" i="1"/>
  <c r="AS194" i="1" s="1"/>
  <c r="AK202" i="1"/>
  <c r="AS202" i="1" s="1"/>
  <c r="AK210" i="1"/>
  <c r="AS210" i="1" s="1"/>
  <c r="AK218" i="1"/>
  <c r="AS218" i="1" s="1"/>
  <c r="AK226" i="1"/>
  <c r="AS226" i="1" s="1"/>
  <c r="AK234" i="1"/>
  <c r="AS234" i="1" s="1"/>
  <c r="AK242" i="1"/>
  <c r="AS242" i="1" s="1"/>
  <c r="AK250" i="1"/>
  <c r="AS250" i="1" s="1"/>
  <c r="AK258" i="1"/>
  <c r="AS258" i="1" s="1"/>
  <c r="AK266" i="1"/>
  <c r="AS266" i="1" s="1"/>
  <c r="AK274" i="1"/>
  <c r="AS274" i="1" s="1"/>
  <c r="AK282" i="1"/>
  <c r="AS282" i="1" s="1"/>
  <c r="AK290" i="1"/>
  <c r="AS290" i="1" s="1"/>
  <c r="AK298" i="1"/>
  <c r="AS298" i="1" s="1"/>
  <c r="AK306" i="1"/>
  <c r="AS306" i="1" s="1"/>
  <c r="AK314" i="1"/>
  <c r="AS314" i="1" s="1"/>
  <c r="AK322" i="1"/>
  <c r="AS322" i="1" s="1"/>
  <c r="AK330" i="1"/>
  <c r="AS330" i="1" s="1"/>
  <c r="AK338" i="1"/>
  <c r="AS338" i="1" s="1"/>
  <c r="AK346" i="1"/>
  <c r="AS346" i="1" s="1"/>
  <c r="AK354" i="1"/>
  <c r="AS354" i="1" s="1"/>
  <c r="AK362" i="1"/>
  <c r="AS362" i="1" s="1"/>
  <c r="AK370" i="1"/>
  <c r="AS370" i="1" s="1"/>
  <c r="AK378" i="1"/>
  <c r="AS378" i="1" s="1"/>
  <c r="AK386" i="1"/>
  <c r="AS386" i="1" s="1"/>
  <c r="AK394" i="1"/>
  <c r="AS394" i="1" s="1"/>
  <c r="AK406" i="1"/>
  <c r="AS406" i="1" s="1"/>
  <c r="AK414" i="1"/>
  <c r="AS414" i="1" s="1"/>
  <c r="AK424" i="1"/>
  <c r="AS424" i="1" s="1"/>
  <c r="AK432" i="1"/>
  <c r="AS432" i="1" s="1"/>
  <c r="AK442" i="1"/>
  <c r="AS442" i="1" s="1"/>
  <c r="AK450" i="1"/>
  <c r="AS450" i="1" s="1"/>
  <c r="AK458" i="1"/>
  <c r="AS458" i="1" s="1"/>
  <c r="AK466" i="1"/>
  <c r="AS466" i="1" s="1"/>
  <c r="AK474" i="1"/>
  <c r="AS474" i="1" s="1"/>
  <c r="AK482" i="1"/>
  <c r="AS482" i="1" s="1"/>
  <c r="AK490" i="1"/>
  <c r="AS490" i="1" s="1"/>
  <c r="AK498" i="1"/>
  <c r="AS498" i="1" s="1"/>
  <c r="AK506" i="1"/>
  <c r="AS506" i="1" s="1"/>
  <c r="AK520" i="1"/>
  <c r="AS520" i="1" s="1"/>
  <c r="AK528" i="1"/>
  <c r="AS528" i="1" s="1"/>
  <c r="AK536" i="1"/>
  <c r="AS536" i="1" s="1"/>
  <c r="AK544" i="1"/>
  <c r="AS544" i="1" s="1"/>
  <c r="AK552" i="1"/>
  <c r="AS552" i="1" s="1"/>
  <c r="AK564" i="1"/>
  <c r="AS564" i="1" s="1"/>
  <c r="AK572" i="1"/>
  <c r="AS572" i="1" s="1"/>
  <c r="AK580" i="1"/>
  <c r="AS580" i="1" s="1"/>
  <c r="AK588" i="1"/>
  <c r="AS588" i="1" s="1"/>
  <c r="AK596" i="1"/>
  <c r="AS596" i="1" s="1"/>
  <c r="AK604" i="1"/>
  <c r="AS604" i="1" s="1"/>
  <c r="AK612" i="1"/>
  <c r="AS612" i="1" s="1"/>
  <c r="AK620" i="1"/>
  <c r="AS620" i="1" s="1"/>
  <c r="AK628" i="1"/>
  <c r="AS628" i="1" s="1"/>
  <c r="AK636" i="1"/>
  <c r="AS636" i="1" s="1"/>
  <c r="AK644" i="1"/>
  <c r="AS644" i="1" s="1"/>
  <c r="AK652" i="1"/>
  <c r="AS652" i="1" s="1"/>
  <c r="AK660" i="1"/>
  <c r="AS660" i="1" s="1"/>
  <c r="AK668" i="1"/>
  <c r="AS668" i="1" s="1"/>
  <c r="AK676" i="1"/>
  <c r="AS676" i="1" s="1"/>
  <c r="AK684" i="1"/>
  <c r="AS684" i="1" s="1"/>
  <c r="AK694" i="1"/>
  <c r="AS694" i="1" s="1"/>
  <c r="AK702" i="1"/>
  <c r="AS702" i="1" s="1"/>
  <c r="AK710" i="1"/>
  <c r="AS710" i="1" s="1"/>
  <c r="AK718" i="1"/>
  <c r="AS718" i="1" s="1"/>
  <c r="AK722" i="1"/>
  <c r="AS722" i="1" s="1"/>
  <c r="AK730" i="1"/>
  <c r="AS730" i="1" s="1"/>
  <c r="AK738" i="1"/>
  <c r="AS738" i="1" s="1"/>
  <c r="AK748" i="1"/>
  <c r="AS748" i="1" s="1"/>
  <c r="AK756" i="1"/>
  <c r="AS756" i="1" s="1"/>
  <c r="AK764" i="1"/>
  <c r="AS764" i="1" s="1"/>
  <c r="AK772" i="1"/>
  <c r="AS772" i="1" s="1"/>
  <c r="AK780" i="1"/>
  <c r="AS780" i="1" s="1"/>
  <c r="AK788" i="1"/>
  <c r="AS788" i="1" s="1"/>
  <c r="AK796" i="1"/>
  <c r="AS796" i="1" s="1"/>
  <c r="AK804" i="1"/>
  <c r="AS804" i="1" s="1"/>
  <c r="AK812" i="1"/>
  <c r="AS812" i="1" s="1"/>
  <c r="AK820" i="1"/>
  <c r="AS820" i="1" s="1"/>
  <c r="AK830" i="1"/>
  <c r="AS830" i="1" s="1"/>
  <c r="AK838" i="1"/>
  <c r="AS838" i="1" s="1"/>
  <c r="AK848" i="1"/>
  <c r="AS848" i="1" s="1"/>
  <c r="AK856" i="1"/>
  <c r="AS856" i="1" s="1"/>
  <c r="AK864" i="1"/>
  <c r="AS864" i="1" s="1"/>
  <c r="AK874" i="1"/>
  <c r="AS874" i="1" s="1"/>
  <c r="AK886" i="1"/>
  <c r="AS886" i="1" s="1"/>
  <c r="AK894" i="1"/>
  <c r="AS894" i="1" s="1"/>
  <c r="AK904" i="1"/>
  <c r="AS904" i="1" s="1"/>
  <c r="AK914" i="1"/>
  <c r="AS914" i="1" s="1"/>
  <c r="AK922" i="1"/>
  <c r="AS922" i="1" s="1"/>
  <c r="AK930" i="1"/>
  <c r="AS930" i="1" s="1"/>
  <c r="AK938" i="1"/>
  <c r="AS938" i="1" s="1"/>
  <c r="AK948" i="1"/>
  <c r="AS948" i="1" s="1"/>
  <c r="AK958" i="1"/>
  <c r="AS958" i="1" s="1"/>
  <c r="AK966" i="1"/>
  <c r="AS966" i="1" s="1"/>
  <c r="AK999" i="1"/>
  <c r="AS999" i="1" s="1"/>
  <c r="AH5" i="1"/>
  <c r="AP5" i="1" s="1"/>
  <c r="AK3" i="1"/>
  <c r="AH3" i="1"/>
  <c r="AJ3" i="1"/>
  <c r="AR579" i="1"/>
  <c r="AS925" i="1"/>
  <c r="AR895" i="1"/>
  <c r="AR635" i="1"/>
  <c r="AS31" i="1"/>
  <c r="AR659" i="1"/>
  <c r="AR387" i="1"/>
  <c r="AR847" i="1"/>
  <c r="AP980" i="1"/>
  <c r="AS725" i="1"/>
  <c r="AR593" i="1"/>
  <c r="AS21" i="1"/>
  <c r="AS135" i="1"/>
  <c r="AS79" i="1"/>
  <c r="AS103" i="1"/>
  <c r="AR475" i="1"/>
  <c r="AS95" i="1"/>
  <c r="AR637" i="1"/>
  <c r="AS461" i="1"/>
  <c r="AR719" i="1"/>
  <c r="AR727" i="1"/>
  <c r="AR947" i="1"/>
  <c r="AR767" i="1"/>
  <c r="AR711" i="1"/>
  <c r="AS941" i="1"/>
  <c r="AR903" i="1"/>
  <c r="AS373" i="1"/>
  <c r="AS71" i="1"/>
  <c r="AP869" i="1"/>
  <c r="AR619" i="1"/>
  <c r="AP783" i="1"/>
  <c r="AR735" i="1"/>
  <c r="AR875" i="1"/>
  <c r="AR571" i="1"/>
  <c r="AR555" i="1"/>
  <c r="AR807" i="1"/>
  <c r="AS175" i="1"/>
  <c r="AP974" i="1"/>
  <c r="AR839" i="1"/>
  <c r="AR391" i="1"/>
  <c r="AR423" i="1"/>
  <c r="AR431" i="1"/>
  <c r="AS39" i="1"/>
  <c r="AR389" i="1"/>
  <c r="AR397" i="1"/>
  <c r="AS933" i="1"/>
  <c r="AS151" i="1"/>
  <c r="AR459" i="1"/>
  <c r="AR815" i="1"/>
  <c r="AS167" i="1"/>
  <c r="AR675" i="1"/>
  <c r="AS923" i="1"/>
  <c r="AR563" i="1"/>
  <c r="AS47" i="1"/>
  <c r="AR959" i="1"/>
  <c r="AR943" i="1"/>
  <c r="AS389" i="1"/>
  <c r="AR379" i="1"/>
  <c r="AR515" i="1"/>
  <c r="AS55" i="1"/>
  <c r="AS29" i="1"/>
  <c r="AR911" i="1"/>
  <c r="AS733" i="1"/>
  <c r="AR927" i="1"/>
  <c r="AS869" i="1"/>
  <c r="AR507" i="1"/>
  <c r="AR757" i="1"/>
  <c r="AR587" i="1"/>
  <c r="AR759" i="1"/>
  <c r="AS107" i="1"/>
  <c r="AR673" i="1"/>
  <c r="AR775" i="1"/>
  <c r="AR743" i="1"/>
  <c r="AR533" i="1"/>
  <c r="AR863" i="1"/>
  <c r="AR609" i="1"/>
  <c r="AP995" i="1"/>
  <c r="AR919" i="1"/>
  <c r="AR935" i="1"/>
  <c r="AR611" i="1"/>
  <c r="AR963" i="1"/>
  <c r="AR613" i="1"/>
  <c r="AR621" i="1"/>
  <c r="AR823" i="1"/>
  <c r="AR831" i="1"/>
  <c r="AS451" i="1"/>
  <c r="AR467" i="1"/>
  <c r="AP986" i="1"/>
  <c r="AP6" i="1"/>
  <c r="B12" i="2" l="1" a="1"/>
  <c r="B12" i="2" s="1"/>
  <c r="C21" i="2"/>
  <c r="D21" i="2"/>
  <c r="F21" i="2"/>
  <c r="E21" i="2"/>
  <c r="AS3" i="1"/>
  <c r="B21" i="2"/>
  <c r="C20" i="2"/>
  <c r="D20" i="2"/>
  <c r="F20" i="2"/>
  <c r="E20" i="2"/>
  <c r="B20" i="2"/>
  <c r="C19" i="2"/>
  <c r="D19" i="2"/>
  <c r="F19" i="2"/>
  <c r="E19" i="2"/>
  <c r="B19" i="2"/>
  <c r="B17" i="2"/>
  <c r="C18" i="2"/>
  <c r="F18" i="2"/>
  <c r="D18" i="2"/>
  <c r="E18" i="2"/>
  <c r="B18" i="2"/>
  <c r="C26" i="2"/>
  <c r="D26" i="2"/>
  <c r="E26" i="2"/>
  <c r="B26" i="2"/>
  <c r="C25" i="2"/>
  <c r="D25" i="2"/>
  <c r="E25" i="2"/>
  <c r="B25" i="2"/>
  <c r="C24" i="2"/>
  <c r="D24" i="2"/>
  <c r="E24" i="2"/>
  <c r="B24" i="2"/>
  <c r="C23" i="2"/>
  <c r="D23" i="2"/>
  <c r="E23" i="2"/>
  <c r="B23" i="2"/>
  <c r="C17" i="2"/>
  <c r="D17" i="2"/>
  <c r="E17" i="2"/>
  <c r="F17" i="2"/>
  <c r="AR3" i="1"/>
  <c r="AP3" i="1"/>
  <c r="AQ3" i="1"/>
  <c r="AO3" i="1"/>
  <c r="AQ15" i="1"/>
  <c r="AO13" i="1"/>
  <c r="B15" i="2"/>
  <c r="AR16" i="1"/>
  <c r="B13" i="2"/>
  <c r="AP14" i="1"/>
  <c r="D12" i="2"/>
  <c r="D15" i="2"/>
  <c r="D14" i="2"/>
  <c r="D13" i="2"/>
  <c r="AM989" i="1"/>
  <c r="T994" i="2" s="1"/>
  <c r="AM973" i="1"/>
  <c r="T978" i="2" s="1"/>
  <c r="AM957" i="1"/>
  <c r="T962" i="2" s="1"/>
  <c r="AM925" i="1"/>
  <c r="T930" i="2" s="1"/>
  <c r="AM909" i="1"/>
  <c r="T914" i="2" s="1"/>
  <c r="AM893" i="1"/>
  <c r="T898" i="2" s="1"/>
  <c r="AM877" i="1"/>
  <c r="T882" i="2" s="1"/>
  <c r="AM861" i="1"/>
  <c r="T866" i="2" s="1"/>
  <c r="AM845" i="1"/>
  <c r="T850" i="2" s="1"/>
  <c r="AM829" i="1"/>
  <c r="T834" i="2" s="1"/>
  <c r="AM813" i="1"/>
  <c r="T818" i="2" s="1"/>
  <c r="AM797" i="1"/>
  <c r="T802" i="2" s="1"/>
  <c r="AM781" i="1"/>
  <c r="T786" i="2" s="1"/>
  <c r="AM765" i="1"/>
  <c r="T770" i="2" s="1"/>
  <c r="AM749" i="1"/>
  <c r="T754" i="2" s="1"/>
  <c r="AM733" i="1"/>
  <c r="T738" i="2" s="1"/>
  <c r="AM717" i="1"/>
  <c r="T722" i="2" s="1"/>
  <c r="AM701" i="1"/>
  <c r="T706" i="2" s="1"/>
  <c r="AM685" i="1"/>
  <c r="T690" i="2" s="1"/>
  <c r="AM669" i="1"/>
  <c r="T674" i="2" s="1"/>
  <c r="AM653" i="1"/>
  <c r="T658" i="2" s="1"/>
  <c r="AM637" i="1"/>
  <c r="T642" i="2" s="1"/>
  <c r="AM621" i="1"/>
  <c r="T626" i="2" s="1"/>
  <c r="AM605" i="1"/>
  <c r="T610" i="2" s="1"/>
  <c r="AM589" i="1"/>
  <c r="T594" i="2" s="1"/>
  <c r="AM573" i="1"/>
  <c r="T578" i="2" s="1"/>
  <c r="AM557" i="1"/>
  <c r="T562" i="2" s="1"/>
  <c r="AM541" i="1"/>
  <c r="T546" i="2" s="1"/>
  <c r="AM525" i="1"/>
  <c r="T530" i="2" s="1"/>
  <c r="AM509" i="1"/>
  <c r="T514" i="2" s="1"/>
  <c r="AM493" i="1"/>
  <c r="T498" i="2" s="1"/>
  <c r="AM477" i="1"/>
  <c r="T482" i="2" s="1"/>
  <c r="AM461" i="1"/>
  <c r="T466" i="2" s="1"/>
  <c r="AM445" i="1"/>
  <c r="T450" i="2" s="1"/>
  <c r="AM429" i="1"/>
  <c r="T434" i="2" s="1"/>
  <c r="AM413" i="1"/>
  <c r="T418" i="2" s="1"/>
  <c r="AM397" i="1"/>
  <c r="T402" i="2" s="1"/>
  <c r="AM381" i="1"/>
  <c r="T386" i="2" s="1"/>
  <c r="AM365" i="1"/>
  <c r="T370" i="2" s="1"/>
  <c r="AM349" i="1"/>
  <c r="T354" i="2" s="1"/>
  <c r="AM333" i="1"/>
  <c r="T338" i="2" s="1"/>
  <c r="AM317" i="1"/>
  <c r="T322" i="2" s="1"/>
  <c r="AM301" i="1"/>
  <c r="T306" i="2" s="1"/>
  <c r="AM285" i="1"/>
  <c r="T290" i="2" s="1"/>
  <c r="AM269" i="1"/>
  <c r="T274" i="2" s="1"/>
  <c r="AM253" i="1"/>
  <c r="T258" i="2" s="1"/>
  <c r="AM237" i="1"/>
  <c r="T242" i="2" s="1"/>
  <c r="AM221" i="1"/>
  <c r="T226" i="2" s="1"/>
  <c r="AM205" i="1"/>
  <c r="T210" i="2" s="1"/>
  <c r="AM189" i="1"/>
  <c r="T194" i="2" s="1"/>
  <c r="AM173" i="1"/>
  <c r="T178" i="2" s="1"/>
  <c r="AM157" i="1"/>
  <c r="T162" i="2" s="1"/>
  <c r="AM141" i="1"/>
  <c r="T146" i="2" s="1"/>
  <c r="AM125" i="1"/>
  <c r="T130" i="2" s="1"/>
  <c r="AM109" i="1"/>
  <c r="T114" i="2" s="1"/>
  <c r="AM93" i="1"/>
  <c r="T98" i="2" s="1"/>
  <c r="AM77" i="1"/>
  <c r="T82" i="2" s="1"/>
  <c r="AM61" i="1"/>
  <c r="T66" i="2" s="1"/>
  <c r="AM45" i="1"/>
  <c r="T50" i="2" s="1"/>
  <c r="AM29" i="1"/>
  <c r="T29" i="2" s="1"/>
  <c r="AM995" i="1"/>
  <c r="T1000" i="2" s="1"/>
  <c r="AM979" i="1"/>
  <c r="T984" i="2" s="1"/>
  <c r="AM963" i="1"/>
  <c r="T968" i="2" s="1"/>
  <c r="AM947" i="1"/>
  <c r="T952" i="2" s="1"/>
  <c r="AM931" i="1"/>
  <c r="T936" i="2" s="1"/>
  <c r="AM915" i="1"/>
  <c r="T920" i="2" s="1"/>
  <c r="AM899" i="1"/>
  <c r="T904" i="2" s="1"/>
  <c r="AM867" i="1"/>
  <c r="T872" i="2" s="1"/>
  <c r="AM851" i="1"/>
  <c r="T856" i="2" s="1"/>
  <c r="AM835" i="1"/>
  <c r="T840" i="2" s="1"/>
  <c r="AM819" i="1"/>
  <c r="T824" i="2" s="1"/>
  <c r="AM803" i="1"/>
  <c r="T808" i="2" s="1"/>
  <c r="AM787" i="1"/>
  <c r="T792" i="2" s="1"/>
  <c r="AM771" i="1"/>
  <c r="T776" i="2" s="1"/>
  <c r="AM755" i="1"/>
  <c r="T760" i="2" s="1"/>
  <c r="AM739" i="1"/>
  <c r="T744" i="2" s="1"/>
  <c r="AM723" i="1"/>
  <c r="T728" i="2" s="1"/>
  <c r="AM707" i="1"/>
  <c r="T712" i="2" s="1"/>
  <c r="AM691" i="1"/>
  <c r="T696" i="2" s="1"/>
  <c r="AM675" i="1"/>
  <c r="T680" i="2" s="1"/>
  <c r="AM659" i="1"/>
  <c r="T664" i="2" s="1"/>
  <c r="AM643" i="1"/>
  <c r="T648" i="2" s="1"/>
  <c r="AM627" i="1"/>
  <c r="T632" i="2" s="1"/>
  <c r="AM611" i="1"/>
  <c r="T616" i="2" s="1"/>
  <c r="AM595" i="1"/>
  <c r="T600" i="2" s="1"/>
  <c r="AM579" i="1"/>
  <c r="T584" i="2" s="1"/>
  <c r="AM563" i="1"/>
  <c r="T568" i="2" s="1"/>
  <c r="AM547" i="1"/>
  <c r="T552" i="2" s="1"/>
  <c r="AM531" i="1"/>
  <c r="T536" i="2" s="1"/>
  <c r="AM515" i="1"/>
  <c r="T520" i="2" s="1"/>
  <c r="AM499" i="1"/>
  <c r="T504" i="2" s="1"/>
  <c r="AM467" i="1"/>
  <c r="T472" i="2" s="1"/>
  <c r="AM451" i="1"/>
  <c r="T456" i="2" s="1"/>
  <c r="AM435" i="1"/>
  <c r="T440" i="2" s="1"/>
  <c r="AM419" i="1"/>
  <c r="T424" i="2" s="1"/>
  <c r="AM403" i="1"/>
  <c r="T408" i="2" s="1"/>
  <c r="AM387" i="1"/>
  <c r="T392" i="2" s="1"/>
  <c r="AM371" i="1"/>
  <c r="T376" i="2" s="1"/>
  <c r="AM355" i="1"/>
  <c r="T360" i="2" s="1"/>
  <c r="AM339" i="1"/>
  <c r="T344" i="2" s="1"/>
  <c r="AM323" i="1"/>
  <c r="T328" i="2" s="1"/>
  <c r="AM307" i="1"/>
  <c r="T312" i="2" s="1"/>
  <c r="AM291" i="1"/>
  <c r="T296" i="2" s="1"/>
  <c r="AM275" i="1"/>
  <c r="T280" i="2" s="1"/>
  <c r="AM259" i="1"/>
  <c r="T264" i="2" s="1"/>
  <c r="AM243" i="1"/>
  <c r="T248" i="2" s="1"/>
  <c r="AM227" i="1"/>
  <c r="T232" i="2" s="1"/>
  <c r="AM211" i="1"/>
  <c r="T216" i="2" s="1"/>
  <c r="AM195" i="1"/>
  <c r="T200" i="2" s="1"/>
  <c r="AM179" i="1"/>
  <c r="T184" i="2" s="1"/>
  <c r="AM163" i="1"/>
  <c r="T168" i="2" s="1"/>
  <c r="AM147" i="1"/>
  <c r="T152" i="2" s="1"/>
  <c r="AM131" i="1"/>
  <c r="T136" i="2" s="1"/>
  <c r="AM115" i="1"/>
  <c r="T120" i="2" s="1"/>
  <c r="AM99" i="1"/>
  <c r="T104" i="2" s="1"/>
  <c r="AM83" i="1"/>
  <c r="T88" i="2" s="1"/>
  <c r="AM67" i="1"/>
  <c r="T72" i="2" s="1"/>
  <c r="AM51" i="1"/>
  <c r="T56" i="2" s="1"/>
  <c r="AM35" i="1"/>
  <c r="T35" i="2" s="1"/>
  <c r="AM19" i="1"/>
  <c r="T19" i="2" s="1"/>
  <c r="AM992" i="1"/>
  <c r="T997" i="2" s="1"/>
  <c r="AM976" i="1"/>
  <c r="T981" i="2" s="1"/>
  <c r="AM960" i="1"/>
  <c r="T965" i="2" s="1"/>
  <c r="AM944" i="1"/>
  <c r="T949" i="2" s="1"/>
  <c r="AM928" i="1"/>
  <c r="T933" i="2" s="1"/>
  <c r="AM912" i="1"/>
  <c r="T917" i="2" s="1"/>
  <c r="AM896" i="1"/>
  <c r="T901" i="2" s="1"/>
  <c r="AM580" i="1"/>
  <c r="T585" i="2" s="1"/>
  <c r="AM548" i="1"/>
  <c r="T553" i="2" s="1"/>
  <c r="AM400" i="1"/>
  <c r="T405" i="2" s="1"/>
  <c r="AM160" i="1"/>
  <c r="T165" i="2" s="1"/>
  <c r="AM868" i="1"/>
  <c r="T873" i="2" s="1"/>
  <c r="AM836" i="1"/>
  <c r="T841" i="2" s="1"/>
  <c r="AM804" i="1"/>
  <c r="T809" i="2" s="1"/>
  <c r="AM740" i="1"/>
  <c r="T745" i="2" s="1"/>
  <c r="AM708" i="1"/>
  <c r="T713" i="2" s="1"/>
  <c r="AM692" i="1"/>
  <c r="T697" i="2" s="1"/>
  <c r="AM676" i="1"/>
  <c r="T681" i="2" s="1"/>
  <c r="AM660" i="1"/>
  <c r="T665" i="2" s="1"/>
  <c r="AM644" i="1"/>
  <c r="T649" i="2" s="1"/>
  <c r="AM624" i="1"/>
  <c r="T629" i="2" s="1"/>
  <c r="AM608" i="1"/>
  <c r="T613" i="2" s="1"/>
  <c r="AM416" i="1"/>
  <c r="T421" i="2" s="1"/>
  <c r="AM120" i="1"/>
  <c r="T125" i="2" s="1"/>
  <c r="AM96" i="1"/>
  <c r="T101" i="2" s="1"/>
  <c r="AM64" i="1"/>
  <c r="T69" i="2" s="1"/>
  <c r="AM32" i="1"/>
  <c r="T32" i="2" s="1"/>
  <c r="AM762" i="1"/>
  <c r="T767" i="2" s="1"/>
  <c r="AM674" i="1"/>
  <c r="T679" i="2" s="1"/>
  <c r="AM642" i="1"/>
  <c r="T647" i="2" s="1"/>
  <c r="AM610" i="1"/>
  <c r="T615" i="2" s="1"/>
  <c r="AM578" i="1"/>
  <c r="T583" i="2" s="1"/>
  <c r="AM546" i="1"/>
  <c r="T551" i="2" s="1"/>
  <c r="AM294" i="1"/>
  <c r="T299" i="2" s="1"/>
  <c r="AM262" i="1"/>
  <c r="T267" i="2" s="1"/>
  <c r="AM234" i="1"/>
  <c r="T239" i="2" s="1"/>
  <c r="AM202" i="1"/>
  <c r="T207" i="2" s="1"/>
  <c r="AM858" i="1"/>
  <c r="T863" i="2" s="1"/>
  <c r="AM842" i="1"/>
  <c r="T847" i="2" s="1"/>
  <c r="AM818" i="1"/>
  <c r="T823" i="2" s="1"/>
  <c r="AM790" i="1"/>
  <c r="T795" i="2" s="1"/>
  <c r="AM758" i="1"/>
  <c r="T763" i="2" s="1"/>
  <c r="AM722" i="1"/>
  <c r="T727" i="2" s="1"/>
  <c r="AM526" i="1"/>
  <c r="T531" i="2" s="1"/>
  <c r="AM494" i="1"/>
  <c r="T499" i="2" s="1"/>
  <c r="AM458" i="1"/>
  <c r="T463" i="2" s="1"/>
  <c r="AM426" i="1"/>
  <c r="T431" i="2" s="1"/>
  <c r="AM398" i="1"/>
  <c r="T403" i="2" s="1"/>
  <c r="AM366" i="1"/>
  <c r="T371" i="2" s="1"/>
  <c r="AM330" i="1"/>
  <c r="T335" i="2" s="1"/>
  <c r="AM298" i="1"/>
  <c r="T303" i="2" s="1"/>
  <c r="AM266" i="1"/>
  <c r="T271" i="2" s="1"/>
  <c r="AM198" i="1"/>
  <c r="T203" i="2" s="1"/>
  <c r="AM6" i="1"/>
  <c r="T5" i="2" s="1"/>
  <c r="AM138" i="1"/>
  <c r="T143" i="2" s="1"/>
  <c r="AM102" i="1"/>
  <c r="T107" i="2" s="1"/>
  <c r="AM106" i="1"/>
  <c r="T111" i="2" s="1"/>
  <c r="AM22" i="1"/>
  <c r="T22" i="2" s="1"/>
  <c r="AM456" i="1"/>
  <c r="T461" i="2" s="1"/>
  <c r="AM376" i="1"/>
  <c r="T381" i="2" s="1"/>
  <c r="AM308" i="1"/>
  <c r="T313" i="2" s="1"/>
  <c r="AM260" i="1"/>
  <c r="T265" i="2" s="1"/>
  <c r="AM196" i="1"/>
  <c r="T201" i="2" s="1"/>
  <c r="AM552" i="1"/>
  <c r="T557" i="2" s="1"/>
  <c r="AM452" i="1"/>
  <c r="T457" i="2" s="1"/>
  <c r="AM144" i="1"/>
  <c r="T149" i="2" s="1"/>
  <c r="AM60" i="1"/>
  <c r="T65" i="2" s="1"/>
  <c r="AM798" i="1"/>
  <c r="T803" i="2" s="1"/>
  <c r="AM706" i="1"/>
  <c r="T711" i="2" s="1"/>
  <c r="AM454" i="1"/>
  <c r="T459" i="2" s="1"/>
  <c r="AM354" i="1"/>
  <c r="T359" i="2" s="1"/>
  <c r="AM958" i="1"/>
  <c r="T963" i="2" s="1"/>
  <c r="AM910" i="1"/>
  <c r="T915" i="2" s="1"/>
  <c r="AM622" i="1"/>
  <c r="T627" i="2" s="1"/>
  <c r="AM985" i="1"/>
  <c r="T990" i="2" s="1"/>
  <c r="AM969" i="1"/>
  <c r="T974" i="2" s="1"/>
  <c r="AM953" i="1"/>
  <c r="T958" i="2" s="1"/>
  <c r="AM937" i="1"/>
  <c r="T942" i="2" s="1"/>
  <c r="AM921" i="1"/>
  <c r="T926" i="2" s="1"/>
  <c r="AM905" i="1"/>
  <c r="T910" i="2" s="1"/>
  <c r="AM889" i="1"/>
  <c r="T894" i="2" s="1"/>
  <c r="AM873" i="1"/>
  <c r="T878" i="2" s="1"/>
  <c r="AM857" i="1"/>
  <c r="T862" i="2" s="1"/>
  <c r="AM841" i="1"/>
  <c r="T846" i="2" s="1"/>
  <c r="AM825" i="1"/>
  <c r="T830" i="2" s="1"/>
  <c r="AM809" i="1"/>
  <c r="T814" i="2" s="1"/>
  <c r="AM793" i="1"/>
  <c r="T798" i="2" s="1"/>
  <c r="AM777" i="1"/>
  <c r="T782" i="2" s="1"/>
  <c r="AM761" i="1"/>
  <c r="T766" i="2" s="1"/>
  <c r="AM745" i="1"/>
  <c r="T750" i="2" s="1"/>
  <c r="AM729" i="1"/>
  <c r="T734" i="2" s="1"/>
  <c r="AM713" i="1"/>
  <c r="T718" i="2" s="1"/>
  <c r="AM697" i="1"/>
  <c r="T702" i="2" s="1"/>
  <c r="AM681" i="1"/>
  <c r="T686" i="2" s="1"/>
  <c r="AM665" i="1"/>
  <c r="T670" i="2" s="1"/>
  <c r="AM649" i="1"/>
  <c r="T654" i="2" s="1"/>
  <c r="AM633" i="1"/>
  <c r="T638" i="2" s="1"/>
  <c r="AM617" i="1"/>
  <c r="T622" i="2" s="1"/>
  <c r="AM601" i="1"/>
  <c r="T606" i="2" s="1"/>
  <c r="AM585" i="1"/>
  <c r="T590" i="2" s="1"/>
  <c r="AM569" i="1"/>
  <c r="T574" i="2" s="1"/>
  <c r="AM553" i="1"/>
  <c r="T558" i="2" s="1"/>
  <c r="AM537" i="1"/>
  <c r="T542" i="2" s="1"/>
  <c r="AM521" i="1"/>
  <c r="T526" i="2" s="1"/>
  <c r="AM505" i="1"/>
  <c r="T510" i="2" s="1"/>
  <c r="AM489" i="1"/>
  <c r="T494" i="2" s="1"/>
  <c r="AM473" i="1"/>
  <c r="T478" i="2" s="1"/>
  <c r="AM457" i="1"/>
  <c r="T462" i="2" s="1"/>
  <c r="AM441" i="1"/>
  <c r="T446" i="2" s="1"/>
  <c r="AM425" i="1"/>
  <c r="T430" i="2" s="1"/>
  <c r="AM409" i="1"/>
  <c r="T414" i="2" s="1"/>
  <c r="AM393" i="1"/>
  <c r="T398" i="2" s="1"/>
  <c r="AM377" i="1"/>
  <c r="T382" i="2" s="1"/>
  <c r="AM361" i="1"/>
  <c r="T366" i="2" s="1"/>
  <c r="AM345" i="1"/>
  <c r="T350" i="2" s="1"/>
  <c r="AM329" i="1"/>
  <c r="T334" i="2" s="1"/>
  <c r="AM313" i="1"/>
  <c r="T318" i="2" s="1"/>
  <c r="AM297" i="1"/>
  <c r="T302" i="2" s="1"/>
  <c r="AM281" i="1"/>
  <c r="T286" i="2" s="1"/>
  <c r="AM265" i="1"/>
  <c r="T270" i="2" s="1"/>
  <c r="AM249" i="1"/>
  <c r="T254" i="2" s="1"/>
  <c r="AM233" i="1"/>
  <c r="T238" i="2" s="1"/>
  <c r="AM217" i="1"/>
  <c r="T222" i="2" s="1"/>
  <c r="AM201" i="1"/>
  <c r="T206" i="2" s="1"/>
  <c r="AM185" i="1"/>
  <c r="T190" i="2" s="1"/>
  <c r="AM169" i="1"/>
  <c r="T174" i="2" s="1"/>
  <c r="AM153" i="1"/>
  <c r="T158" i="2" s="1"/>
  <c r="AM137" i="1"/>
  <c r="T142" i="2" s="1"/>
  <c r="AM121" i="1"/>
  <c r="T126" i="2" s="1"/>
  <c r="AM105" i="1"/>
  <c r="T110" i="2" s="1"/>
  <c r="AM89" i="1"/>
  <c r="T94" i="2" s="1"/>
  <c r="AM73" i="1"/>
  <c r="T78" i="2" s="1"/>
  <c r="AM57" i="1"/>
  <c r="T62" i="2" s="1"/>
  <c r="AM41" i="1"/>
  <c r="T46" i="2" s="1"/>
  <c r="AM25" i="1"/>
  <c r="T25" i="2" s="1"/>
  <c r="AM991" i="1"/>
  <c r="T996" i="2" s="1"/>
  <c r="AM975" i="1"/>
  <c r="T980" i="2" s="1"/>
  <c r="AM959" i="1"/>
  <c r="T964" i="2" s="1"/>
  <c r="AM943" i="1"/>
  <c r="T948" i="2" s="1"/>
  <c r="AM927" i="1"/>
  <c r="T932" i="2" s="1"/>
  <c r="AM911" i="1"/>
  <c r="T916" i="2" s="1"/>
  <c r="AM895" i="1"/>
  <c r="T900" i="2" s="1"/>
  <c r="AM879" i="1"/>
  <c r="T884" i="2" s="1"/>
  <c r="AM863" i="1"/>
  <c r="T868" i="2" s="1"/>
  <c r="AM847" i="1"/>
  <c r="T852" i="2" s="1"/>
  <c r="AM831" i="1"/>
  <c r="T836" i="2" s="1"/>
  <c r="AM815" i="1"/>
  <c r="T820" i="2" s="1"/>
  <c r="AM799" i="1"/>
  <c r="T804" i="2" s="1"/>
  <c r="AM488" i="1"/>
  <c r="T493" i="2" s="1"/>
  <c r="AM340" i="1"/>
  <c r="T345" i="2" s="1"/>
  <c r="AM292" i="1"/>
  <c r="T297" i="2" s="1"/>
  <c r="AM244" i="1"/>
  <c r="T249" i="2" s="1"/>
  <c r="AM212" i="1"/>
  <c r="T217" i="2" s="1"/>
  <c r="AM852" i="1"/>
  <c r="T857" i="2" s="1"/>
  <c r="AM820" i="1"/>
  <c r="T825" i="2" s="1"/>
  <c r="AM772" i="1"/>
  <c r="T777" i="2" s="1"/>
  <c r="AM520" i="1"/>
  <c r="T525" i="2" s="1"/>
  <c r="AM28" i="1"/>
  <c r="T28" i="2" s="1"/>
  <c r="AM514" i="1"/>
  <c r="T519" i="2" s="1"/>
  <c r="AM422" i="1"/>
  <c r="T427" i="2" s="1"/>
  <c r="AM326" i="1"/>
  <c r="T331" i="2" s="1"/>
  <c r="AM990" i="1"/>
  <c r="T995" i="2" s="1"/>
  <c r="AM942" i="1"/>
  <c r="T947" i="2" s="1"/>
  <c r="AM894" i="1"/>
  <c r="T899" i="2" s="1"/>
  <c r="AM686" i="1"/>
  <c r="T691" i="2" s="1"/>
  <c r="AM590" i="1"/>
  <c r="T595" i="2" s="1"/>
  <c r="AM558" i="1"/>
  <c r="T563" i="2" s="1"/>
  <c r="AM230" i="1"/>
  <c r="T235" i="2" s="1"/>
  <c r="AM66" i="1"/>
  <c r="T71" i="2" s="1"/>
  <c r="AM162" i="1"/>
  <c r="T167" i="2" s="1"/>
  <c r="AM997" i="1"/>
  <c r="T1002" i="2" s="1"/>
  <c r="AM981" i="1"/>
  <c r="T986" i="2" s="1"/>
  <c r="AM965" i="1"/>
  <c r="T970" i="2" s="1"/>
  <c r="AM949" i="1"/>
  <c r="T954" i="2" s="1"/>
  <c r="AM933" i="1"/>
  <c r="T938" i="2" s="1"/>
  <c r="AM917" i="1"/>
  <c r="T922" i="2" s="1"/>
  <c r="AM901" i="1"/>
  <c r="T906" i="2" s="1"/>
  <c r="AM885" i="1"/>
  <c r="T890" i="2" s="1"/>
  <c r="AM869" i="1"/>
  <c r="T874" i="2" s="1"/>
  <c r="AM853" i="1"/>
  <c r="T858" i="2" s="1"/>
  <c r="AM837" i="1"/>
  <c r="T842" i="2" s="1"/>
  <c r="AM821" i="1"/>
  <c r="T826" i="2" s="1"/>
  <c r="AM805" i="1"/>
  <c r="T810" i="2" s="1"/>
  <c r="AM789" i="1"/>
  <c r="T794" i="2" s="1"/>
  <c r="AM773" i="1"/>
  <c r="T778" i="2" s="1"/>
  <c r="AM757" i="1"/>
  <c r="T762" i="2" s="1"/>
  <c r="AM741" i="1"/>
  <c r="T746" i="2" s="1"/>
  <c r="AM725" i="1"/>
  <c r="T730" i="2" s="1"/>
  <c r="AM709" i="1"/>
  <c r="T714" i="2" s="1"/>
  <c r="AM693" i="1"/>
  <c r="T698" i="2" s="1"/>
  <c r="AM677" i="1"/>
  <c r="T682" i="2" s="1"/>
  <c r="AM661" i="1"/>
  <c r="T666" i="2" s="1"/>
  <c r="AM645" i="1"/>
  <c r="T650" i="2" s="1"/>
  <c r="AM629" i="1"/>
  <c r="T634" i="2" s="1"/>
  <c r="AM613" i="1"/>
  <c r="T618" i="2" s="1"/>
  <c r="AM597" i="1"/>
  <c r="T602" i="2" s="1"/>
  <c r="AM581" i="1"/>
  <c r="T586" i="2" s="1"/>
  <c r="AM565" i="1"/>
  <c r="T570" i="2" s="1"/>
  <c r="AM549" i="1"/>
  <c r="T554" i="2" s="1"/>
  <c r="AM533" i="1"/>
  <c r="T538" i="2" s="1"/>
  <c r="AM517" i="1"/>
  <c r="T522" i="2" s="1"/>
  <c r="AM501" i="1"/>
  <c r="T506" i="2" s="1"/>
  <c r="AM485" i="1"/>
  <c r="T490" i="2" s="1"/>
  <c r="AM469" i="1"/>
  <c r="T474" i="2" s="1"/>
  <c r="AM453" i="1"/>
  <c r="T458" i="2" s="1"/>
  <c r="AM437" i="1"/>
  <c r="T442" i="2" s="1"/>
  <c r="AM421" i="1"/>
  <c r="T426" i="2" s="1"/>
  <c r="AM405" i="1"/>
  <c r="T410" i="2" s="1"/>
  <c r="AM389" i="1"/>
  <c r="T394" i="2" s="1"/>
  <c r="AM373" i="1"/>
  <c r="T378" i="2" s="1"/>
  <c r="AM357" i="1"/>
  <c r="T362" i="2" s="1"/>
  <c r="AM341" i="1"/>
  <c r="T346" i="2" s="1"/>
  <c r="AM325" i="1"/>
  <c r="T330" i="2" s="1"/>
  <c r="AM309" i="1"/>
  <c r="T314" i="2" s="1"/>
  <c r="AM293" i="1"/>
  <c r="T298" i="2" s="1"/>
  <c r="AM277" i="1"/>
  <c r="T282" i="2" s="1"/>
  <c r="AM261" i="1"/>
  <c r="T266" i="2" s="1"/>
  <c r="AM245" i="1"/>
  <c r="T250" i="2" s="1"/>
  <c r="AM229" i="1"/>
  <c r="T234" i="2" s="1"/>
  <c r="AM213" i="1"/>
  <c r="T218" i="2" s="1"/>
  <c r="AM197" i="1"/>
  <c r="T202" i="2" s="1"/>
  <c r="AM181" i="1"/>
  <c r="T186" i="2" s="1"/>
  <c r="AM165" i="1"/>
  <c r="T170" i="2" s="1"/>
  <c r="AM149" i="1"/>
  <c r="T154" i="2" s="1"/>
  <c r="AM133" i="1"/>
  <c r="T138" i="2" s="1"/>
  <c r="AM117" i="1"/>
  <c r="T122" i="2" s="1"/>
  <c r="AM101" i="1"/>
  <c r="T106" i="2" s="1"/>
  <c r="AM85" i="1"/>
  <c r="T90" i="2" s="1"/>
  <c r="AM69" i="1"/>
  <c r="T74" i="2" s="1"/>
  <c r="AM53" i="1"/>
  <c r="T58" i="2" s="1"/>
  <c r="AM37" i="1"/>
  <c r="T37" i="2" s="1"/>
  <c r="AM21" i="1"/>
  <c r="T21" i="2" s="1"/>
  <c r="AM987" i="1"/>
  <c r="T992" i="2" s="1"/>
  <c r="AM971" i="1"/>
  <c r="T976" i="2" s="1"/>
  <c r="AM955" i="1"/>
  <c r="T960" i="2" s="1"/>
  <c r="AM939" i="1"/>
  <c r="T944" i="2" s="1"/>
  <c r="AM923" i="1"/>
  <c r="T928" i="2" s="1"/>
  <c r="AM907" i="1"/>
  <c r="T912" i="2" s="1"/>
  <c r="AM891" i="1"/>
  <c r="T896" i="2" s="1"/>
  <c r="AM875" i="1"/>
  <c r="T880" i="2" s="1"/>
  <c r="AM859" i="1"/>
  <c r="T864" i="2" s="1"/>
  <c r="AM843" i="1"/>
  <c r="T848" i="2" s="1"/>
  <c r="AM827" i="1"/>
  <c r="T832" i="2" s="1"/>
  <c r="AM811" i="1"/>
  <c r="T816" i="2" s="1"/>
  <c r="AM795" i="1"/>
  <c r="T800" i="2" s="1"/>
  <c r="AM941" i="1"/>
  <c r="T946" i="2" s="1"/>
  <c r="AM883" i="1"/>
  <c r="T888" i="2" s="1"/>
  <c r="AM483" i="1"/>
  <c r="T488" i="2" s="1"/>
  <c r="AM516" i="1"/>
  <c r="T521" i="2" s="1"/>
  <c r="AM428" i="1"/>
  <c r="T433" i="2" s="1"/>
  <c r="AM356" i="1"/>
  <c r="T361" i="2" s="1"/>
  <c r="AM324" i="1"/>
  <c r="T329" i="2" s="1"/>
  <c r="AM276" i="1"/>
  <c r="T281" i="2" s="1"/>
  <c r="AM228" i="1"/>
  <c r="T233" i="2" s="1"/>
  <c r="AM180" i="1"/>
  <c r="T185" i="2" s="1"/>
  <c r="AM884" i="1"/>
  <c r="T889" i="2" s="1"/>
  <c r="AM788" i="1"/>
  <c r="T793" i="2" s="1"/>
  <c r="AM756" i="1"/>
  <c r="T761" i="2" s="1"/>
  <c r="AM724" i="1"/>
  <c r="T729" i="2" s="1"/>
  <c r="AM584" i="1"/>
  <c r="T589" i="2" s="1"/>
  <c r="AM484" i="1"/>
  <c r="T489" i="2" s="1"/>
  <c r="AM372" i="1"/>
  <c r="T377" i="2" s="1"/>
  <c r="AM92" i="1"/>
  <c r="T97" i="2" s="1"/>
  <c r="AM132" i="1"/>
  <c r="T137" i="2" s="1"/>
  <c r="AM830" i="1"/>
  <c r="T835" i="2" s="1"/>
  <c r="AM734" i="1"/>
  <c r="T739" i="2" s="1"/>
  <c r="AM482" i="1"/>
  <c r="T487" i="2" s="1"/>
  <c r="AM386" i="1"/>
  <c r="T391" i="2" s="1"/>
  <c r="AM974" i="1"/>
  <c r="T979" i="2" s="1"/>
  <c r="AM926" i="1"/>
  <c r="T931" i="2" s="1"/>
  <c r="AM878" i="1"/>
  <c r="T883" i="2" s="1"/>
  <c r="AM654" i="1"/>
  <c r="T659" i="2" s="1"/>
  <c r="AM30" i="1"/>
  <c r="T30" i="2" s="1"/>
  <c r="AM134" i="1"/>
  <c r="T139" i="2" s="1"/>
  <c r="AM78" i="1"/>
  <c r="T83" i="2" s="1"/>
  <c r="AM50" i="1"/>
  <c r="T55" i="2" s="1"/>
  <c r="AM993" i="1"/>
  <c r="T998" i="2" s="1"/>
  <c r="AM977" i="1"/>
  <c r="T982" i="2" s="1"/>
  <c r="AM961" i="1"/>
  <c r="T966" i="2" s="1"/>
  <c r="AM945" i="1"/>
  <c r="T950" i="2" s="1"/>
  <c r="AM929" i="1"/>
  <c r="T934" i="2" s="1"/>
  <c r="AM913" i="1"/>
  <c r="T918" i="2" s="1"/>
  <c r="AM897" i="1"/>
  <c r="T902" i="2" s="1"/>
  <c r="AM881" i="1"/>
  <c r="T886" i="2" s="1"/>
  <c r="AM865" i="1"/>
  <c r="T870" i="2" s="1"/>
  <c r="AM849" i="1"/>
  <c r="T854" i="2" s="1"/>
  <c r="AM833" i="1"/>
  <c r="T838" i="2" s="1"/>
  <c r="AM817" i="1"/>
  <c r="T822" i="2" s="1"/>
  <c r="AM801" i="1"/>
  <c r="T806" i="2" s="1"/>
  <c r="AM785" i="1"/>
  <c r="T790" i="2" s="1"/>
  <c r="AM769" i="1"/>
  <c r="T774" i="2" s="1"/>
  <c r="AM753" i="1"/>
  <c r="T758" i="2" s="1"/>
  <c r="AM737" i="1"/>
  <c r="T742" i="2" s="1"/>
  <c r="AM721" i="1"/>
  <c r="T726" i="2" s="1"/>
  <c r="AM705" i="1"/>
  <c r="T710" i="2" s="1"/>
  <c r="AM689" i="1"/>
  <c r="T694" i="2" s="1"/>
  <c r="AM673" i="1"/>
  <c r="T678" i="2" s="1"/>
  <c r="AM657" i="1"/>
  <c r="T662" i="2" s="1"/>
  <c r="AM641" i="1"/>
  <c r="T646" i="2" s="1"/>
  <c r="AM625" i="1"/>
  <c r="T630" i="2" s="1"/>
  <c r="AM609" i="1"/>
  <c r="T614" i="2" s="1"/>
  <c r="AM593" i="1"/>
  <c r="T598" i="2" s="1"/>
  <c r="AM577" i="1"/>
  <c r="T582" i="2" s="1"/>
  <c r="AM561" i="1"/>
  <c r="T566" i="2" s="1"/>
  <c r="AM545" i="1"/>
  <c r="T550" i="2" s="1"/>
  <c r="AM529" i="1"/>
  <c r="T534" i="2" s="1"/>
  <c r="AM513" i="1"/>
  <c r="T518" i="2" s="1"/>
  <c r="AM497" i="1"/>
  <c r="T502" i="2" s="1"/>
  <c r="AM481" i="1"/>
  <c r="T486" i="2" s="1"/>
  <c r="AM465" i="1"/>
  <c r="T470" i="2" s="1"/>
  <c r="AM449" i="1"/>
  <c r="T454" i="2" s="1"/>
  <c r="AM433" i="1"/>
  <c r="T438" i="2" s="1"/>
  <c r="AM417" i="1"/>
  <c r="T422" i="2" s="1"/>
  <c r="AM401" i="1"/>
  <c r="T406" i="2" s="1"/>
  <c r="AM385" i="1"/>
  <c r="T390" i="2" s="1"/>
  <c r="AM369" i="1"/>
  <c r="T374" i="2" s="1"/>
  <c r="AM353" i="1"/>
  <c r="T358" i="2" s="1"/>
  <c r="AM337" i="1"/>
  <c r="T342" i="2" s="1"/>
  <c r="AM321" i="1"/>
  <c r="T326" i="2" s="1"/>
  <c r="AM305" i="1"/>
  <c r="T310" i="2" s="1"/>
  <c r="AM289" i="1"/>
  <c r="T294" i="2" s="1"/>
  <c r="AM273" i="1"/>
  <c r="T278" i="2" s="1"/>
  <c r="AM257" i="1"/>
  <c r="T262" i="2" s="1"/>
  <c r="AM241" i="1"/>
  <c r="T246" i="2" s="1"/>
  <c r="AM225" i="1"/>
  <c r="T230" i="2" s="1"/>
  <c r="AM209" i="1"/>
  <c r="T214" i="2" s="1"/>
  <c r="AM193" i="1"/>
  <c r="T198" i="2" s="1"/>
  <c r="AM177" i="1"/>
  <c r="T182" i="2" s="1"/>
  <c r="AM161" i="1"/>
  <c r="T166" i="2" s="1"/>
  <c r="AM145" i="1"/>
  <c r="T150" i="2" s="1"/>
  <c r="AM129" i="1"/>
  <c r="T134" i="2" s="1"/>
  <c r="AM113" i="1"/>
  <c r="T118" i="2" s="1"/>
  <c r="AM97" i="1"/>
  <c r="T102" i="2" s="1"/>
  <c r="AM81" i="1"/>
  <c r="T86" i="2" s="1"/>
  <c r="AM65" i="1"/>
  <c r="T70" i="2" s="1"/>
  <c r="AM49" i="1"/>
  <c r="T54" i="2" s="1"/>
  <c r="AM33" i="1"/>
  <c r="T33" i="2" s="1"/>
  <c r="AM999" i="1"/>
  <c r="T1004" i="2" s="1"/>
  <c r="AM983" i="1"/>
  <c r="T988" i="2" s="1"/>
  <c r="AM967" i="1"/>
  <c r="T972" i="2" s="1"/>
  <c r="AM951" i="1"/>
  <c r="T956" i="2" s="1"/>
  <c r="AM935" i="1"/>
  <c r="T940" i="2" s="1"/>
  <c r="AM919" i="1"/>
  <c r="T924" i="2" s="1"/>
  <c r="AM903" i="1"/>
  <c r="T908" i="2" s="1"/>
  <c r="AM887" i="1"/>
  <c r="T892" i="2" s="1"/>
  <c r="AM871" i="1"/>
  <c r="T876" i="2" s="1"/>
  <c r="AM855" i="1"/>
  <c r="T860" i="2" s="1"/>
  <c r="AM839" i="1"/>
  <c r="T844" i="2" s="1"/>
  <c r="AM823" i="1"/>
  <c r="T828" i="2" s="1"/>
  <c r="AM807" i="1"/>
  <c r="T812" i="2" s="1"/>
  <c r="AM791" i="1"/>
  <c r="T796" i="2" s="1"/>
  <c r="AM775" i="1"/>
  <c r="T780" i="2" s="1"/>
  <c r="AM759" i="1"/>
  <c r="T764" i="2" s="1"/>
  <c r="AM743" i="1"/>
  <c r="T748" i="2" s="1"/>
  <c r="AM727" i="1"/>
  <c r="T732" i="2" s="1"/>
  <c r="AM711" i="1"/>
  <c r="T716" i="2" s="1"/>
  <c r="AM695" i="1"/>
  <c r="T700" i="2" s="1"/>
  <c r="AM679" i="1"/>
  <c r="T684" i="2" s="1"/>
  <c r="AM663" i="1"/>
  <c r="T668" i="2" s="1"/>
  <c r="AM647" i="1"/>
  <c r="T652" i="2" s="1"/>
  <c r="AM631" i="1"/>
  <c r="T636" i="2" s="1"/>
  <c r="AM615" i="1"/>
  <c r="T620" i="2" s="1"/>
  <c r="AM599" i="1"/>
  <c r="T604" i="2" s="1"/>
  <c r="AM583" i="1"/>
  <c r="T588" i="2" s="1"/>
  <c r="AM567" i="1"/>
  <c r="T572" i="2" s="1"/>
  <c r="AM551" i="1"/>
  <c r="T556" i="2" s="1"/>
  <c r="AM535" i="1"/>
  <c r="T540" i="2" s="1"/>
  <c r="AM519" i="1"/>
  <c r="T524" i="2" s="1"/>
  <c r="AM503" i="1"/>
  <c r="T508" i="2" s="1"/>
  <c r="AM487" i="1"/>
  <c r="T492" i="2" s="1"/>
  <c r="AM471" i="1"/>
  <c r="T476" i="2" s="1"/>
  <c r="AM455" i="1"/>
  <c r="T460" i="2" s="1"/>
  <c r="AM439" i="1"/>
  <c r="T444" i="2" s="1"/>
  <c r="AM423" i="1"/>
  <c r="T428" i="2" s="1"/>
  <c r="AM407" i="1"/>
  <c r="T412" i="2" s="1"/>
  <c r="AM391" i="1"/>
  <c r="T396" i="2" s="1"/>
  <c r="AM375" i="1"/>
  <c r="T380" i="2" s="1"/>
  <c r="AM359" i="1"/>
  <c r="T364" i="2" s="1"/>
  <c r="AM343" i="1"/>
  <c r="T348" i="2" s="1"/>
  <c r="AM327" i="1"/>
  <c r="T332" i="2" s="1"/>
  <c r="AM311" i="1"/>
  <c r="T316" i="2" s="1"/>
  <c r="AM295" i="1"/>
  <c r="T300" i="2" s="1"/>
  <c r="AM279" i="1"/>
  <c r="T284" i="2" s="1"/>
  <c r="AM263" i="1"/>
  <c r="T268" i="2" s="1"/>
  <c r="AM247" i="1"/>
  <c r="T252" i="2" s="1"/>
  <c r="AM231" i="1"/>
  <c r="T236" i="2" s="1"/>
  <c r="AM215" i="1"/>
  <c r="T220" i="2" s="1"/>
  <c r="AM199" i="1"/>
  <c r="T204" i="2" s="1"/>
  <c r="AM183" i="1"/>
  <c r="T188" i="2" s="1"/>
  <c r="AM167" i="1"/>
  <c r="T172" i="2" s="1"/>
  <c r="AM151" i="1"/>
  <c r="T156" i="2" s="1"/>
  <c r="AM135" i="1"/>
  <c r="T140" i="2" s="1"/>
  <c r="AM119" i="1"/>
  <c r="T124" i="2" s="1"/>
  <c r="AM103" i="1"/>
  <c r="T108" i="2" s="1"/>
  <c r="AM87" i="1"/>
  <c r="T92" i="2" s="1"/>
  <c r="AM71" i="1"/>
  <c r="T76" i="2" s="1"/>
  <c r="AM55" i="1"/>
  <c r="T60" i="2" s="1"/>
  <c r="AM39" i="1"/>
  <c r="T39" i="2" s="1"/>
  <c r="AM23" i="1"/>
  <c r="T23" i="2" s="1"/>
  <c r="AM783" i="1"/>
  <c r="T788" i="2" s="1"/>
  <c r="AM767" i="1"/>
  <c r="T772" i="2" s="1"/>
  <c r="AM751" i="1"/>
  <c r="T756" i="2" s="1"/>
  <c r="AM735" i="1"/>
  <c r="T740" i="2" s="1"/>
  <c r="AM719" i="1"/>
  <c r="T724" i="2" s="1"/>
  <c r="AM703" i="1"/>
  <c r="T708" i="2" s="1"/>
  <c r="AM687" i="1"/>
  <c r="T692" i="2" s="1"/>
  <c r="AM671" i="1"/>
  <c r="T676" i="2" s="1"/>
  <c r="AM655" i="1"/>
  <c r="T660" i="2" s="1"/>
  <c r="AM639" i="1"/>
  <c r="T644" i="2" s="1"/>
  <c r="AM623" i="1"/>
  <c r="T628" i="2" s="1"/>
  <c r="AM607" i="1"/>
  <c r="T612" i="2" s="1"/>
  <c r="AM591" i="1"/>
  <c r="T596" i="2" s="1"/>
  <c r="AM575" i="1"/>
  <c r="T580" i="2" s="1"/>
  <c r="AM559" i="1"/>
  <c r="T564" i="2" s="1"/>
  <c r="AM543" i="1"/>
  <c r="T548" i="2" s="1"/>
  <c r="AM527" i="1"/>
  <c r="T532" i="2" s="1"/>
  <c r="AM511" i="1"/>
  <c r="T516" i="2" s="1"/>
  <c r="AM495" i="1"/>
  <c r="T500" i="2" s="1"/>
  <c r="AM479" i="1"/>
  <c r="T484" i="2" s="1"/>
  <c r="AM463" i="1"/>
  <c r="T468" i="2" s="1"/>
  <c r="AM447" i="1"/>
  <c r="T452" i="2" s="1"/>
  <c r="AM431" i="1"/>
  <c r="T436" i="2" s="1"/>
  <c r="AM415" i="1"/>
  <c r="T420" i="2" s="1"/>
  <c r="AM399" i="1"/>
  <c r="T404" i="2" s="1"/>
  <c r="AM383" i="1"/>
  <c r="T388" i="2" s="1"/>
  <c r="AM367" i="1"/>
  <c r="T372" i="2" s="1"/>
  <c r="AM351" i="1"/>
  <c r="T356" i="2" s="1"/>
  <c r="AM335" i="1"/>
  <c r="T340" i="2" s="1"/>
  <c r="AM319" i="1"/>
  <c r="T324" i="2" s="1"/>
  <c r="AM303" i="1"/>
  <c r="T308" i="2" s="1"/>
  <c r="AM287" i="1"/>
  <c r="T292" i="2" s="1"/>
  <c r="AM271" i="1"/>
  <c r="T276" i="2" s="1"/>
  <c r="AM255" i="1"/>
  <c r="T260" i="2" s="1"/>
  <c r="AM239" i="1"/>
  <c r="T244" i="2" s="1"/>
  <c r="AM223" i="1"/>
  <c r="T228" i="2" s="1"/>
  <c r="AM207" i="1"/>
  <c r="T212" i="2" s="1"/>
  <c r="AM191" i="1"/>
  <c r="T196" i="2" s="1"/>
  <c r="AM175" i="1"/>
  <c r="T180" i="2" s="1"/>
  <c r="AM159" i="1"/>
  <c r="T164" i="2" s="1"/>
  <c r="AM143" i="1"/>
  <c r="T148" i="2" s="1"/>
  <c r="AM127" i="1"/>
  <c r="T132" i="2" s="1"/>
  <c r="AM111" i="1"/>
  <c r="T116" i="2" s="1"/>
  <c r="AM95" i="1"/>
  <c r="T100" i="2" s="1"/>
  <c r="AM79" i="1"/>
  <c r="T84" i="2" s="1"/>
  <c r="AM63" i="1"/>
  <c r="T68" i="2" s="1"/>
  <c r="AM47" i="1"/>
  <c r="T52" i="2" s="1"/>
  <c r="AM31" i="1"/>
  <c r="T31" i="2" s="1"/>
  <c r="AM988" i="1"/>
  <c r="T993" i="2" s="1"/>
  <c r="AM972" i="1"/>
  <c r="T977" i="2" s="1"/>
  <c r="AM956" i="1"/>
  <c r="T961" i="2" s="1"/>
  <c r="AM940" i="1"/>
  <c r="T945" i="2" s="1"/>
  <c r="AM924" i="1"/>
  <c r="T929" i="2" s="1"/>
  <c r="AM908" i="1"/>
  <c r="T913" i="2" s="1"/>
  <c r="AM632" i="1"/>
  <c r="T637" i="2" s="1"/>
  <c r="AM572" i="1"/>
  <c r="T577" i="2" s="1"/>
  <c r="AM540" i="1"/>
  <c r="T545" i="2" s="1"/>
  <c r="AM512" i="1"/>
  <c r="T517" i="2" s="1"/>
  <c r="AM480" i="1"/>
  <c r="T485" i="2" s="1"/>
  <c r="AM448" i="1"/>
  <c r="T453" i="2" s="1"/>
  <c r="AM420" i="1"/>
  <c r="T425" i="2" s="1"/>
  <c r="AM392" i="1"/>
  <c r="T397" i="2" s="1"/>
  <c r="AM368" i="1"/>
  <c r="T373" i="2" s="1"/>
  <c r="AM352" i="1"/>
  <c r="T357" i="2" s="1"/>
  <c r="AM336" i="1"/>
  <c r="T341" i="2" s="1"/>
  <c r="AM320" i="1"/>
  <c r="T325" i="2" s="1"/>
  <c r="AM304" i="1"/>
  <c r="T309" i="2" s="1"/>
  <c r="AM288" i="1"/>
  <c r="T293" i="2" s="1"/>
  <c r="AM272" i="1"/>
  <c r="T277" i="2" s="1"/>
  <c r="AM256" i="1"/>
  <c r="T261" i="2" s="1"/>
  <c r="AM240" i="1"/>
  <c r="T245" i="2" s="1"/>
  <c r="AM224" i="1"/>
  <c r="T229" i="2" s="1"/>
  <c r="AM208" i="1"/>
  <c r="T213" i="2" s="1"/>
  <c r="AM192" i="1"/>
  <c r="T197" i="2" s="1"/>
  <c r="AM172" i="1"/>
  <c r="T177" i="2" s="1"/>
  <c r="AM156" i="1"/>
  <c r="T161" i="2" s="1"/>
  <c r="AM880" i="1"/>
  <c r="T885" i="2" s="1"/>
  <c r="AM864" i="1"/>
  <c r="T869" i="2" s="1"/>
  <c r="AM848" i="1"/>
  <c r="T853" i="2" s="1"/>
  <c r="AM832" i="1"/>
  <c r="T837" i="2" s="1"/>
  <c r="AM816" i="1"/>
  <c r="T821" i="2" s="1"/>
  <c r="AM800" i="1"/>
  <c r="T805" i="2" s="1"/>
  <c r="AM784" i="1"/>
  <c r="T789" i="2" s="1"/>
  <c r="AM768" i="1"/>
  <c r="T773" i="2" s="1"/>
  <c r="AM752" i="1"/>
  <c r="T757" i="2" s="1"/>
  <c r="AM736" i="1"/>
  <c r="T741" i="2" s="1"/>
  <c r="AM720" i="1"/>
  <c r="T725" i="2" s="1"/>
  <c r="AM704" i="1"/>
  <c r="T709" i="2" s="1"/>
  <c r="AM688" i="1"/>
  <c r="T693" i="2" s="1"/>
  <c r="AM672" i="1"/>
  <c r="T677" i="2" s="1"/>
  <c r="AM656" i="1"/>
  <c r="T661" i="2" s="1"/>
  <c r="AM640" i="1"/>
  <c r="T645" i="2" s="1"/>
  <c r="AM620" i="1"/>
  <c r="T625" i="2" s="1"/>
  <c r="AM604" i="1"/>
  <c r="T609" i="2" s="1"/>
  <c r="AM576" i="1"/>
  <c r="T581" i="2" s="1"/>
  <c r="AM544" i="1"/>
  <c r="T549" i="2" s="1"/>
  <c r="AM508" i="1"/>
  <c r="T513" i="2" s="1"/>
  <c r="AM476" i="1"/>
  <c r="T481" i="2" s="1"/>
  <c r="AM444" i="1"/>
  <c r="T449" i="2" s="1"/>
  <c r="AM408" i="1"/>
  <c r="T413" i="2" s="1"/>
  <c r="AM176" i="1"/>
  <c r="T181" i="2" s="1"/>
  <c r="AM140" i="1"/>
  <c r="T145" i="2" s="1"/>
  <c r="AM116" i="1"/>
  <c r="T121" i="2" s="1"/>
  <c r="AM84" i="1"/>
  <c r="T89" i="2" s="1"/>
  <c r="AM52" i="1"/>
  <c r="T57" i="2" s="1"/>
  <c r="AM20" i="1"/>
  <c r="T20" i="2" s="1"/>
  <c r="AM124" i="1"/>
  <c r="T129" i="2" s="1"/>
  <c r="AM88" i="1"/>
  <c r="T93" i="2" s="1"/>
  <c r="AM56" i="1"/>
  <c r="T61" i="2" s="1"/>
  <c r="AM24" i="1"/>
  <c r="T24" i="2" s="1"/>
  <c r="AM822" i="1"/>
  <c r="T827" i="2" s="1"/>
  <c r="AM786" i="1"/>
  <c r="T791" i="2" s="1"/>
  <c r="AM754" i="1"/>
  <c r="T759" i="2" s="1"/>
  <c r="AM726" i="1"/>
  <c r="T731" i="2" s="1"/>
  <c r="AM698" i="1"/>
  <c r="T703" i="2" s="1"/>
  <c r="AM666" i="1"/>
  <c r="T671" i="2" s="1"/>
  <c r="AM634" i="1"/>
  <c r="T639" i="2" s="1"/>
  <c r="AM602" i="1"/>
  <c r="T607" i="2" s="1"/>
  <c r="AM570" i="1"/>
  <c r="T575" i="2" s="1"/>
  <c r="AM538" i="1"/>
  <c r="T543" i="2" s="1"/>
  <c r="AM506" i="1"/>
  <c r="T511" i="2" s="1"/>
  <c r="AM474" i="1"/>
  <c r="T479" i="2" s="1"/>
  <c r="AM446" i="1"/>
  <c r="T451" i="2" s="1"/>
  <c r="AM414" i="1"/>
  <c r="T419" i="2" s="1"/>
  <c r="AM378" i="1"/>
  <c r="T383" i="2" s="1"/>
  <c r="AM346" i="1"/>
  <c r="T351" i="2" s="1"/>
  <c r="AM318" i="1"/>
  <c r="T323" i="2" s="1"/>
  <c r="AM286" i="1"/>
  <c r="T291" i="2" s="1"/>
  <c r="AM254" i="1"/>
  <c r="T259" i="2" s="1"/>
  <c r="AM226" i="1"/>
  <c r="T231" i="2" s="1"/>
  <c r="AM194" i="1"/>
  <c r="T199" i="2" s="1"/>
  <c r="AM986" i="1"/>
  <c r="T991" i="2" s="1"/>
  <c r="AM970" i="1"/>
  <c r="T975" i="2" s="1"/>
  <c r="AM954" i="1"/>
  <c r="T959" i="2" s="1"/>
  <c r="AM938" i="1"/>
  <c r="T943" i="2" s="1"/>
  <c r="AM922" i="1"/>
  <c r="T927" i="2" s="1"/>
  <c r="AM906" i="1"/>
  <c r="T911" i="2" s="1"/>
  <c r="AM890" i="1"/>
  <c r="T895" i="2" s="1"/>
  <c r="AM874" i="1"/>
  <c r="T879" i="2" s="1"/>
  <c r="AM854" i="1"/>
  <c r="T859" i="2" s="1"/>
  <c r="AM838" i="1"/>
  <c r="T843" i="2" s="1"/>
  <c r="AM810" i="1"/>
  <c r="T815" i="2" s="1"/>
  <c r="AM782" i="1"/>
  <c r="T787" i="2" s="1"/>
  <c r="AM746" i="1"/>
  <c r="T751" i="2" s="1"/>
  <c r="AM714" i="1"/>
  <c r="T719" i="2" s="1"/>
  <c r="AM678" i="1"/>
  <c r="T683" i="2" s="1"/>
  <c r="AM646" i="1"/>
  <c r="T651" i="2" s="1"/>
  <c r="AM614" i="1"/>
  <c r="T619" i="2" s="1"/>
  <c r="AM582" i="1"/>
  <c r="T587" i="2" s="1"/>
  <c r="AM550" i="1"/>
  <c r="T555" i="2" s="1"/>
  <c r="AM518" i="1"/>
  <c r="T523" i="2" s="1"/>
  <c r="AM486" i="1"/>
  <c r="T491" i="2" s="1"/>
  <c r="AM450" i="1"/>
  <c r="T455" i="2" s="1"/>
  <c r="AM418" i="1"/>
  <c r="T423" i="2" s="1"/>
  <c r="AM390" i="1"/>
  <c r="T395" i="2" s="1"/>
  <c r="AM358" i="1"/>
  <c r="T363" i="2" s="1"/>
  <c r="AM322" i="1"/>
  <c r="T327" i="2" s="1"/>
  <c r="AM290" i="1"/>
  <c r="T295" i="2" s="1"/>
  <c r="AM258" i="1"/>
  <c r="T263" i="2" s="1"/>
  <c r="AM222" i="1"/>
  <c r="T227" i="2" s="1"/>
  <c r="AM190" i="1"/>
  <c r="T195" i="2" s="1"/>
  <c r="AM166" i="1"/>
  <c r="T171" i="2" s="1"/>
  <c r="AM126" i="1"/>
  <c r="T131" i="2" s="1"/>
  <c r="AM94" i="1"/>
  <c r="T99" i="2" s="1"/>
  <c r="AM58" i="1"/>
  <c r="T63" i="2" s="1"/>
  <c r="AM154" i="1"/>
  <c r="T159" i="2" s="1"/>
  <c r="AM130" i="1"/>
  <c r="T135" i="2" s="1"/>
  <c r="AM98" i="1"/>
  <c r="T103" i="2" s="1"/>
  <c r="AM70" i="1"/>
  <c r="T75" i="2" s="1"/>
  <c r="AM42" i="1"/>
  <c r="T47" i="2" s="1"/>
  <c r="AM779" i="1"/>
  <c r="T784" i="2" s="1"/>
  <c r="AM763" i="1"/>
  <c r="T768" i="2" s="1"/>
  <c r="AM747" i="1"/>
  <c r="T752" i="2" s="1"/>
  <c r="AM731" i="1"/>
  <c r="T736" i="2" s="1"/>
  <c r="AM715" i="1"/>
  <c r="T720" i="2" s="1"/>
  <c r="AM699" i="1"/>
  <c r="T704" i="2" s="1"/>
  <c r="AM683" i="1"/>
  <c r="T688" i="2" s="1"/>
  <c r="AM667" i="1"/>
  <c r="T672" i="2" s="1"/>
  <c r="AM651" i="1"/>
  <c r="T656" i="2" s="1"/>
  <c r="AM635" i="1"/>
  <c r="T640" i="2" s="1"/>
  <c r="AM619" i="1"/>
  <c r="T624" i="2" s="1"/>
  <c r="AM603" i="1"/>
  <c r="T608" i="2" s="1"/>
  <c r="AM587" i="1"/>
  <c r="T592" i="2" s="1"/>
  <c r="AM571" i="1"/>
  <c r="T576" i="2" s="1"/>
  <c r="AM555" i="1"/>
  <c r="T560" i="2" s="1"/>
  <c r="AM539" i="1"/>
  <c r="T544" i="2" s="1"/>
  <c r="AM523" i="1"/>
  <c r="T528" i="2" s="1"/>
  <c r="AM507" i="1"/>
  <c r="T512" i="2" s="1"/>
  <c r="AM491" i="1"/>
  <c r="T496" i="2" s="1"/>
  <c r="AM475" i="1"/>
  <c r="T480" i="2" s="1"/>
  <c r="AM459" i="1"/>
  <c r="T464" i="2" s="1"/>
  <c r="AM443" i="1"/>
  <c r="T448" i="2" s="1"/>
  <c r="AM427" i="1"/>
  <c r="T432" i="2" s="1"/>
  <c r="AM411" i="1"/>
  <c r="T416" i="2" s="1"/>
  <c r="AM395" i="1"/>
  <c r="T400" i="2" s="1"/>
  <c r="AM379" i="1"/>
  <c r="T384" i="2" s="1"/>
  <c r="AM363" i="1"/>
  <c r="T368" i="2" s="1"/>
  <c r="AM347" i="1"/>
  <c r="T352" i="2" s="1"/>
  <c r="AM331" i="1"/>
  <c r="T336" i="2" s="1"/>
  <c r="AM315" i="1"/>
  <c r="T320" i="2" s="1"/>
  <c r="AM299" i="1"/>
  <c r="T304" i="2" s="1"/>
  <c r="AM283" i="1"/>
  <c r="T288" i="2" s="1"/>
  <c r="AM267" i="1"/>
  <c r="T272" i="2" s="1"/>
  <c r="AM251" i="1"/>
  <c r="T256" i="2" s="1"/>
  <c r="AM235" i="1"/>
  <c r="T240" i="2" s="1"/>
  <c r="AM219" i="1"/>
  <c r="T224" i="2" s="1"/>
  <c r="AM203" i="1"/>
  <c r="T208" i="2" s="1"/>
  <c r="AM187" i="1"/>
  <c r="T192" i="2" s="1"/>
  <c r="AM171" i="1"/>
  <c r="T176" i="2" s="1"/>
  <c r="AM155" i="1"/>
  <c r="T160" i="2" s="1"/>
  <c r="AM139" i="1"/>
  <c r="T144" i="2" s="1"/>
  <c r="AM123" i="1"/>
  <c r="T128" i="2" s="1"/>
  <c r="AM107" i="1"/>
  <c r="T112" i="2" s="1"/>
  <c r="AM91" i="1"/>
  <c r="T96" i="2" s="1"/>
  <c r="AM75" i="1"/>
  <c r="T80" i="2" s="1"/>
  <c r="AM59" i="1"/>
  <c r="T64" i="2" s="1"/>
  <c r="AM43" i="1"/>
  <c r="T48" i="2" s="1"/>
  <c r="AM27" i="1"/>
  <c r="T27" i="2" s="1"/>
  <c r="AM1000" i="1"/>
  <c r="T1005" i="2" s="1"/>
  <c r="AM984" i="1"/>
  <c r="T989" i="2" s="1"/>
  <c r="AM968" i="1"/>
  <c r="T973" i="2" s="1"/>
  <c r="AM952" i="1"/>
  <c r="T957" i="2" s="1"/>
  <c r="AM936" i="1"/>
  <c r="T941" i="2" s="1"/>
  <c r="AM920" i="1"/>
  <c r="T925" i="2" s="1"/>
  <c r="AM904" i="1"/>
  <c r="T909" i="2" s="1"/>
  <c r="AM596" i="1"/>
  <c r="T601" i="2" s="1"/>
  <c r="AM564" i="1"/>
  <c r="T569" i="2" s="1"/>
  <c r="AM532" i="1"/>
  <c r="T537" i="2" s="1"/>
  <c r="AM504" i="1"/>
  <c r="T509" i="2" s="1"/>
  <c r="AM472" i="1"/>
  <c r="T477" i="2" s="1"/>
  <c r="AM440" i="1"/>
  <c r="T445" i="2" s="1"/>
  <c r="AM412" i="1"/>
  <c r="T417" i="2" s="1"/>
  <c r="AM388" i="1"/>
  <c r="T393" i="2" s="1"/>
  <c r="AM364" i="1"/>
  <c r="T369" i="2" s="1"/>
  <c r="AM348" i="1"/>
  <c r="T353" i="2" s="1"/>
  <c r="AM332" i="1"/>
  <c r="T337" i="2" s="1"/>
  <c r="AM316" i="1"/>
  <c r="T321" i="2" s="1"/>
  <c r="AM300" i="1"/>
  <c r="T305" i="2" s="1"/>
  <c r="AM284" i="1"/>
  <c r="T289" i="2" s="1"/>
  <c r="AM268" i="1"/>
  <c r="T273" i="2" s="1"/>
  <c r="AM252" i="1"/>
  <c r="T257" i="2" s="1"/>
  <c r="AM236" i="1"/>
  <c r="T241" i="2" s="1"/>
  <c r="AM220" i="1"/>
  <c r="T225" i="2" s="1"/>
  <c r="AM204" i="1"/>
  <c r="T209" i="2" s="1"/>
  <c r="AM188" i="1"/>
  <c r="T193" i="2" s="1"/>
  <c r="AM168" i="1"/>
  <c r="T173" i="2" s="1"/>
  <c r="AM892" i="1"/>
  <c r="T897" i="2" s="1"/>
  <c r="AM876" i="1"/>
  <c r="T881" i="2" s="1"/>
  <c r="AM860" i="1"/>
  <c r="T865" i="2" s="1"/>
  <c r="AM844" i="1"/>
  <c r="T849" i="2" s="1"/>
  <c r="AM828" i="1"/>
  <c r="T833" i="2" s="1"/>
  <c r="AM812" i="1"/>
  <c r="T817" i="2" s="1"/>
  <c r="AM796" i="1"/>
  <c r="T801" i="2" s="1"/>
  <c r="AM780" i="1"/>
  <c r="T785" i="2" s="1"/>
  <c r="AM764" i="1"/>
  <c r="T769" i="2" s="1"/>
  <c r="AM748" i="1"/>
  <c r="T753" i="2" s="1"/>
  <c r="AM732" i="1"/>
  <c r="T737" i="2" s="1"/>
  <c r="AM716" i="1"/>
  <c r="T721" i="2" s="1"/>
  <c r="AM700" i="1"/>
  <c r="T705" i="2" s="1"/>
  <c r="AM684" i="1"/>
  <c r="T689" i="2" s="1"/>
  <c r="AM668" i="1"/>
  <c r="T673" i="2" s="1"/>
  <c r="AM652" i="1"/>
  <c r="T657" i="2" s="1"/>
  <c r="AM636" i="1"/>
  <c r="T641" i="2" s="1"/>
  <c r="AM616" i="1"/>
  <c r="T621" i="2" s="1"/>
  <c r="AM600" i="1"/>
  <c r="T605" i="2" s="1"/>
  <c r="AM568" i="1"/>
  <c r="T573" i="2" s="1"/>
  <c r="AM536" i="1"/>
  <c r="T541" i="2" s="1"/>
  <c r="AM500" i="1"/>
  <c r="T505" i="2" s="1"/>
  <c r="AM468" i="1"/>
  <c r="T473" i="2" s="1"/>
  <c r="AM432" i="1"/>
  <c r="T437" i="2" s="1"/>
  <c r="AM396" i="1"/>
  <c r="T401" i="2" s="1"/>
  <c r="AM136" i="1"/>
  <c r="T141" i="2" s="1"/>
  <c r="AM108" i="1"/>
  <c r="T113" i="2" s="1"/>
  <c r="AM76" i="1"/>
  <c r="T81" i="2" s="1"/>
  <c r="AM44" i="1"/>
  <c r="T49" i="2" s="1"/>
  <c r="AM112" i="1"/>
  <c r="T117" i="2" s="1"/>
  <c r="AM80" i="1"/>
  <c r="T85" i="2" s="1"/>
  <c r="AM48" i="1"/>
  <c r="T53" i="2" s="1"/>
  <c r="AM814" i="1"/>
  <c r="T819" i="2" s="1"/>
  <c r="AM778" i="1"/>
  <c r="T783" i="2" s="1"/>
  <c r="AM750" i="1"/>
  <c r="T755" i="2" s="1"/>
  <c r="AM718" i="1"/>
  <c r="T723" i="2" s="1"/>
  <c r="AM690" i="1"/>
  <c r="T695" i="2" s="1"/>
  <c r="AM658" i="1"/>
  <c r="T663" i="2" s="1"/>
  <c r="AM626" i="1"/>
  <c r="T631" i="2" s="1"/>
  <c r="AM594" i="1"/>
  <c r="T599" i="2" s="1"/>
  <c r="AM562" i="1"/>
  <c r="T567" i="2" s="1"/>
  <c r="AM530" i="1"/>
  <c r="T535" i="2" s="1"/>
  <c r="AM498" i="1"/>
  <c r="T503" i="2" s="1"/>
  <c r="AM466" i="1"/>
  <c r="T471" i="2" s="1"/>
  <c r="AM438" i="1"/>
  <c r="T443" i="2" s="1"/>
  <c r="AM402" i="1"/>
  <c r="T407" i="2" s="1"/>
  <c r="AM370" i="1"/>
  <c r="T375" i="2" s="1"/>
  <c r="AM338" i="1"/>
  <c r="T343" i="2" s="1"/>
  <c r="AM310" i="1"/>
  <c r="T315" i="2" s="1"/>
  <c r="AM278" i="1"/>
  <c r="T283" i="2" s="1"/>
  <c r="AM246" i="1"/>
  <c r="T251" i="2" s="1"/>
  <c r="AM218" i="1"/>
  <c r="T223" i="2" s="1"/>
  <c r="AM186" i="1"/>
  <c r="T191" i="2" s="1"/>
  <c r="AM998" i="1"/>
  <c r="T1003" i="2" s="1"/>
  <c r="AM982" i="1"/>
  <c r="T987" i="2" s="1"/>
  <c r="AM966" i="1"/>
  <c r="T971" i="2" s="1"/>
  <c r="AM950" i="1"/>
  <c r="T955" i="2" s="1"/>
  <c r="AM934" i="1"/>
  <c r="T939" i="2" s="1"/>
  <c r="AM918" i="1"/>
  <c r="T923" i="2" s="1"/>
  <c r="AM902" i="1"/>
  <c r="T907" i="2" s="1"/>
  <c r="AM886" i="1"/>
  <c r="T891" i="2" s="1"/>
  <c r="AM866" i="1"/>
  <c r="T871" i="2" s="1"/>
  <c r="AM850" i="1"/>
  <c r="T855" i="2" s="1"/>
  <c r="AM834" i="1"/>
  <c r="T839" i="2" s="1"/>
  <c r="AM802" i="1"/>
  <c r="T807" i="2" s="1"/>
  <c r="AM774" i="1"/>
  <c r="T779" i="2" s="1"/>
  <c r="AM738" i="1"/>
  <c r="T743" i="2" s="1"/>
  <c r="AM702" i="1"/>
  <c r="T707" i="2" s="1"/>
  <c r="AM670" i="1"/>
  <c r="T675" i="2" s="1"/>
  <c r="AM638" i="1"/>
  <c r="T643" i="2" s="1"/>
  <c r="AM606" i="1"/>
  <c r="T611" i="2" s="1"/>
  <c r="AM574" i="1"/>
  <c r="T579" i="2" s="1"/>
  <c r="AM542" i="1"/>
  <c r="T547" i="2" s="1"/>
  <c r="AM510" i="1"/>
  <c r="T515" i="2" s="1"/>
  <c r="AM478" i="1"/>
  <c r="T483" i="2" s="1"/>
  <c r="AM442" i="1"/>
  <c r="T447" i="2" s="1"/>
  <c r="AM410" i="1"/>
  <c r="T415" i="2" s="1"/>
  <c r="AM382" i="1"/>
  <c r="T387" i="2" s="1"/>
  <c r="AM350" i="1"/>
  <c r="T355" i="2" s="1"/>
  <c r="AM314" i="1"/>
  <c r="T319" i="2" s="1"/>
  <c r="AM282" i="1"/>
  <c r="T287" i="2" s="1"/>
  <c r="AM250" i="1"/>
  <c r="T255" i="2" s="1"/>
  <c r="AM214" i="1"/>
  <c r="T219" i="2" s="1"/>
  <c r="AM182" i="1"/>
  <c r="T187" i="2" s="1"/>
  <c r="AM158" i="1"/>
  <c r="T163" i="2" s="1"/>
  <c r="AM118" i="1"/>
  <c r="T123" i="2" s="1"/>
  <c r="AM82" i="1"/>
  <c r="T87" i="2" s="1"/>
  <c r="AM46" i="1"/>
  <c r="T51" i="2" s="1"/>
  <c r="AM150" i="1"/>
  <c r="T155" i="2" s="1"/>
  <c r="AM122" i="1"/>
  <c r="T127" i="2" s="1"/>
  <c r="AM90" i="1"/>
  <c r="T95" i="2" s="1"/>
  <c r="AM62" i="1"/>
  <c r="T67" i="2" s="1"/>
  <c r="AM34" i="1"/>
  <c r="T34" i="2" s="1"/>
  <c r="AM996" i="1"/>
  <c r="T1001" i="2" s="1"/>
  <c r="AM980" i="1"/>
  <c r="T985" i="2" s="1"/>
  <c r="AM964" i="1"/>
  <c r="T969" i="2" s="1"/>
  <c r="AM948" i="1"/>
  <c r="T953" i="2" s="1"/>
  <c r="AM932" i="1"/>
  <c r="T937" i="2" s="1"/>
  <c r="AM916" i="1"/>
  <c r="T921" i="2" s="1"/>
  <c r="AM900" i="1"/>
  <c r="T905" i="2" s="1"/>
  <c r="AM588" i="1"/>
  <c r="T593" i="2" s="1"/>
  <c r="AM556" i="1"/>
  <c r="T561" i="2" s="1"/>
  <c r="AM524" i="1"/>
  <c r="T529" i="2" s="1"/>
  <c r="AM496" i="1"/>
  <c r="T501" i="2" s="1"/>
  <c r="AM464" i="1"/>
  <c r="T469" i="2" s="1"/>
  <c r="AM436" i="1"/>
  <c r="T441" i="2" s="1"/>
  <c r="AM404" i="1"/>
  <c r="T409" i="2" s="1"/>
  <c r="AM380" i="1"/>
  <c r="T385" i="2" s="1"/>
  <c r="AM360" i="1"/>
  <c r="T365" i="2" s="1"/>
  <c r="AM344" i="1"/>
  <c r="T349" i="2" s="1"/>
  <c r="AM328" i="1"/>
  <c r="T333" i="2" s="1"/>
  <c r="AM312" i="1"/>
  <c r="T317" i="2" s="1"/>
  <c r="AM296" i="1"/>
  <c r="T301" i="2" s="1"/>
  <c r="AM280" i="1"/>
  <c r="T285" i="2" s="1"/>
  <c r="AM264" i="1"/>
  <c r="T269" i="2" s="1"/>
  <c r="AM248" i="1"/>
  <c r="T253" i="2" s="1"/>
  <c r="AM232" i="1"/>
  <c r="T237" i="2" s="1"/>
  <c r="AM216" i="1"/>
  <c r="T221" i="2" s="1"/>
  <c r="AM200" i="1"/>
  <c r="T205" i="2" s="1"/>
  <c r="AM184" i="1"/>
  <c r="T189" i="2" s="1"/>
  <c r="AM164" i="1"/>
  <c r="T169" i="2" s="1"/>
  <c r="AM888" i="1"/>
  <c r="T893" i="2" s="1"/>
  <c r="AM872" i="1"/>
  <c r="T877" i="2" s="1"/>
  <c r="AM856" i="1"/>
  <c r="T861" i="2" s="1"/>
  <c r="AM840" i="1"/>
  <c r="T845" i="2" s="1"/>
  <c r="AM824" i="1"/>
  <c r="T829" i="2" s="1"/>
  <c r="AM808" i="1"/>
  <c r="T813" i="2" s="1"/>
  <c r="AM792" i="1"/>
  <c r="T797" i="2" s="1"/>
  <c r="AM776" i="1"/>
  <c r="T781" i="2" s="1"/>
  <c r="AM760" i="1"/>
  <c r="T765" i="2" s="1"/>
  <c r="AM744" i="1"/>
  <c r="T749" i="2" s="1"/>
  <c r="AM728" i="1"/>
  <c r="T733" i="2" s="1"/>
  <c r="AM712" i="1"/>
  <c r="T717" i="2" s="1"/>
  <c r="AM696" i="1"/>
  <c r="T701" i="2" s="1"/>
  <c r="AM680" i="1"/>
  <c r="T685" i="2" s="1"/>
  <c r="AM664" i="1"/>
  <c r="T669" i="2" s="1"/>
  <c r="AM648" i="1"/>
  <c r="T653" i="2" s="1"/>
  <c r="AM628" i="1"/>
  <c r="T633" i="2" s="1"/>
  <c r="AM612" i="1"/>
  <c r="T617" i="2" s="1"/>
  <c r="AM592" i="1"/>
  <c r="T597" i="2" s="1"/>
  <c r="AM560" i="1"/>
  <c r="T565" i="2" s="1"/>
  <c r="AM528" i="1"/>
  <c r="T533" i="2" s="1"/>
  <c r="AM492" i="1"/>
  <c r="T497" i="2" s="1"/>
  <c r="AM460" i="1"/>
  <c r="T465" i="2" s="1"/>
  <c r="AM424" i="1"/>
  <c r="T429" i="2" s="1"/>
  <c r="AM384" i="1"/>
  <c r="T389" i="2" s="1"/>
  <c r="AM152" i="1"/>
  <c r="T157" i="2" s="1"/>
  <c r="AM128" i="1"/>
  <c r="T133" i="2" s="1"/>
  <c r="AM100" i="1"/>
  <c r="T105" i="2" s="1"/>
  <c r="AM68" i="1"/>
  <c r="T73" i="2" s="1"/>
  <c r="AM36" i="1"/>
  <c r="T36" i="2" s="1"/>
  <c r="AM148" i="1"/>
  <c r="T153" i="2" s="1"/>
  <c r="AM104" i="1"/>
  <c r="T109" i="2" s="1"/>
  <c r="AM72" i="1"/>
  <c r="T77" i="2" s="1"/>
  <c r="AM40" i="1"/>
  <c r="T45" i="2" s="1"/>
  <c r="AM870" i="1"/>
  <c r="T875" i="2" s="1"/>
  <c r="AM806" i="1"/>
  <c r="T811" i="2" s="1"/>
  <c r="AM770" i="1"/>
  <c r="T775" i="2" s="1"/>
  <c r="AM742" i="1"/>
  <c r="T747" i="2" s="1"/>
  <c r="AM710" i="1"/>
  <c r="T715" i="2" s="1"/>
  <c r="AM682" i="1"/>
  <c r="T687" i="2" s="1"/>
  <c r="AM650" i="1"/>
  <c r="T655" i="2" s="1"/>
  <c r="AM618" i="1"/>
  <c r="T623" i="2" s="1"/>
  <c r="AM586" i="1"/>
  <c r="T591" i="2" s="1"/>
  <c r="AM554" i="1"/>
  <c r="T559" i="2" s="1"/>
  <c r="AM522" i="1"/>
  <c r="T527" i="2" s="1"/>
  <c r="AM490" i="1"/>
  <c r="T495" i="2" s="1"/>
  <c r="AM462" i="1"/>
  <c r="T467" i="2" s="1"/>
  <c r="AM430" i="1"/>
  <c r="T435" i="2" s="1"/>
  <c r="AM394" i="1"/>
  <c r="T399" i="2" s="1"/>
  <c r="AM362" i="1"/>
  <c r="T367" i="2" s="1"/>
  <c r="AM334" i="1"/>
  <c r="T339" i="2" s="1"/>
  <c r="AM302" i="1"/>
  <c r="T307" i="2" s="1"/>
  <c r="AM270" i="1"/>
  <c r="T275" i="2" s="1"/>
  <c r="AM238" i="1"/>
  <c r="T243" i="2" s="1"/>
  <c r="AM210" i="1"/>
  <c r="T215" i="2" s="1"/>
  <c r="AM178" i="1"/>
  <c r="T183" i="2" s="1"/>
  <c r="AM994" i="1"/>
  <c r="T999" i="2" s="1"/>
  <c r="AM978" i="1"/>
  <c r="T983" i="2" s="1"/>
  <c r="AM962" i="1"/>
  <c r="T967" i="2" s="1"/>
  <c r="AM946" i="1"/>
  <c r="T951" i="2" s="1"/>
  <c r="AM930" i="1"/>
  <c r="T935" i="2" s="1"/>
  <c r="AM914" i="1"/>
  <c r="T919" i="2" s="1"/>
  <c r="AM898" i="1"/>
  <c r="T903" i="2" s="1"/>
  <c r="AM882" i="1"/>
  <c r="T887" i="2" s="1"/>
  <c r="AM862" i="1"/>
  <c r="T867" i="2" s="1"/>
  <c r="AM846" i="1"/>
  <c r="T851" i="2" s="1"/>
  <c r="AM826" i="1"/>
  <c r="T831" i="2" s="1"/>
  <c r="AM794" i="1"/>
  <c r="T799" i="2" s="1"/>
  <c r="AM766" i="1"/>
  <c r="T771" i="2" s="1"/>
  <c r="AM730" i="1"/>
  <c r="T735" i="2" s="1"/>
  <c r="AM694" i="1"/>
  <c r="T699" i="2" s="1"/>
  <c r="AM662" i="1"/>
  <c r="T667" i="2" s="1"/>
  <c r="AM630" i="1"/>
  <c r="T635" i="2" s="1"/>
  <c r="AM598" i="1"/>
  <c r="T603" i="2" s="1"/>
  <c r="AM566" i="1"/>
  <c r="T571" i="2" s="1"/>
  <c r="AM534" i="1"/>
  <c r="T539" i="2" s="1"/>
  <c r="AM502" i="1"/>
  <c r="T507" i="2" s="1"/>
  <c r="AM470" i="1"/>
  <c r="T475" i="2" s="1"/>
  <c r="AM434" i="1"/>
  <c r="T439" i="2" s="1"/>
  <c r="AM406" i="1"/>
  <c r="T411" i="2" s="1"/>
  <c r="AM374" i="1"/>
  <c r="T379" i="2" s="1"/>
  <c r="AM342" i="1"/>
  <c r="T347" i="2" s="1"/>
  <c r="AM306" i="1"/>
  <c r="T311" i="2" s="1"/>
  <c r="AM274" i="1"/>
  <c r="T279" i="2" s="1"/>
  <c r="AM242" i="1"/>
  <c r="T247" i="2" s="1"/>
  <c r="AM206" i="1"/>
  <c r="T211" i="2" s="1"/>
  <c r="AM174" i="1"/>
  <c r="T179" i="2" s="1"/>
  <c r="AM146" i="1"/>
  <c r="T151" i="2" s="1"/>
  <c r="AM110" i="1"/>
  <c r="T115" i="2" s="1"/>
  <c r="AM74" i="1"/>
  <c r="T79" i="2" s="1"/>
  <c r="AM38" i="1"/>
  <c r="T38" i="2" s="1"/>
  <c r="AM170" i="1"/>
  <c r="T175" i="2" s="1"/>
  <c r="AM142" i="1"/>
  <c r="T147" i="2" s="1"/>
  <c r="AM114" i="1"/>
  <c r="T119" i="2" s="1"/>
  <c r="AM86" i="1"/>
  <c r="T91" i="2" s="1"/>
  <c r="AM54" i="1"/>
  <c r="T59" i="2" s="1"/>
  <c r="AM26" i="1"/>
  <c r="T26" i="2" s="1"/>
  <c r="AM13" i="1"/>
  <c r="T13" i="2" s="1"/>
  <c r="AM9" i="1"/>
  <c r="T8" i="2" s="1"/>
  <c r="AM15" i="1"/>
  <c r="T15" i="2" s="1"/>
  <c r="AM18" i="1"/>
  <c r="T18" i="2" s="1"/>
  <c r="AM14" i="1"/>
  <c r="T14" i="2" s="1"/>
  <c r="AM4" i="1"/>
  <c r="T3" i="2" s="1"/>
  <c r="AM5" i="1"/>
  <c r="T4" i="2" s="1"/>
  <c r="AM11" i="1"/>
  <c r="T11" i="2" s="1"/>
  <c r="AM12" i="1"/>
  <c r="T12" i="2" s="1"/>
  <c r="AM16" i="1"/>
  <c r="T16" i="2" s="1"/>
  <c r="AM10" i="1"/>
  <c r="T9" i="2" s="1"/>
  <c r="AM17" i="1"/>
  <c r="T17" i="2" s="1"/>
  <c r="AM7" i="1"/>
  <c r="T6" i="2" s="1"/>
  <c r="AM8" i="1"/>
  <c r="T7" i="2" s="1"/>
  <c r="AM3" i="1"/>
  <c r="T2" i="2" s="1"/>
  <c r="H14" i="2"/>
  <c r="H13" i="2"/>
  <c r="H15" i="2"/>
  <c r="H12" i="2"/>
  <c r="F14" i="2"/>
  <c r="F15" i="2"/>
  <c r="F13" i="2"/>
  <c r="F12" i="2"/>
  <c r="C15" i="2"/>
  <c r="C14" i="2"/>
  <c r="C13" i="2"/>
  <c r="C12" i="2"/>
  <c r="E13" i="2" l="1"/>
  <c r="L13" i="2" s="1"/>
  <c r="E14" i="2"/>
  <c r="L14" i="2" s="1"/>
  <c r="E15" i="2"/>
  <c r="L15" i="2" s="1"/>
  <c r="B55" i="2" a="1"/>
  <c r="B55" i="2" s="1"/>
  <c r="E12" i="2"/>
  <c r="L12" i="2" s="1"/>
  <c r="J12" i="2"/>
  <c r="J13" i="2"/>
  <c r="J15" i="2"/>
  <c r="J14" i="2"/>
  <c r="B59" i="2"/>
  <c r="B61" i="2" s="1"/>
  <c r="G12" i="2"/>
  <c r="I12" i="2" s="1"/>
  <c r="B33" i="2" s="1"/>
  <c r="G15" i="2"/>
  <c r="I15" i="2" s="1"/>
  <c r="E33" i="2" s="1"/>
  <c r="G13" i="2"/>
  <c r="I13" i="2" s="1"/>
  <c r="C33" i="2" s="1"/>
  <c r="G14" i="2"/>
  <c r="I14" i="2" s="1"/>
  <c r="D33" i="2" s="1"/>
  <c r="B54" i="2"/>
  <c r="B62" i="2" l="1"/>
  <c r="B56" i="2" a="1"/>
  <c r="B56" i="2" s="1"/>
  <c r="B28" i="2" a="1"/>
  <c r="B28" i="2" s="1"/>
  <c r="K14" i="2"/>
  <c r="K15" i="2"/>
  <c r="K13" i="2"/>
  <c r="K12" i="2"/>
  <c r="B58" i="2"/>
  <c r="D30" i="2" l="1"/>
  <c r="C29" i="2"/>
  <c r="D31" i="2"/>
  <c r="D28" i="2"/>
  <c r="C28" i="2"/>
  <c r="B31" i="2"/>
  <c r="E30" i="2"/>
  <c r="B30" i="2"/>
  <c r="C31" i="2"/>
  <c r="E31" i="2"/>
  <c r="E28" i="2"/>
  <c r="C30" i="2"/>
  <c r="E29" i="2"/>
  <c r="B29" i="2"/>
  <c r="D29" i="2"/>
  <c r="B60" i="2"/>
  <c r="B35" i="2" l="1" a="1"/>
  <c r="B35" i="2" s="1"/>
  <c r="B34" i="2" a="1"/>
  <c r="C34" i="2" s="1"/>
  <c r="D35" i="2" l="1"/>
  <c r="E35" i="2"/>
  <c r="C35" i="2"/>
  <c r="E34" i="2"/>
  <c r="B34" i="2"/>
  <c r="D34" i="2"/>
  <c r="B38" i="2" l="1" a="1"/>
  <c r="B38" i="2" s="1"/>
  <c r="B37" i="2" a="1"/>
  <c r="B37" i="2" s="1"/>
  <c r="B36" i="2" a="1"/>
  <c r="B36" i="2" s="1"/>
  <c r="B45" i="2" l="1" a="1"/>
  <c r="D45" i="2" s="1"/>
  <c r="B40" i="2"/>
  <c r="B46" i="2"/>
  <c r="B47" i="2"/>
  <c r="B39" i="2"/>
  <c r="O40" i="2" s="1"/>
  <c r="B41" i="2" l="1"/>
  <c r="B42" i="2" s="1"/>
  <c r="R30" i="2" s="1"/>
  <c r="B44" i="2"/>
  <c r="O30" i="2" a="1"/>
  <c r="O30" i="2" s="1"/>
  <c r="O43" i="2"/>
  <c r="O47" i="2"/>
  <c r="O51" i="2"/>
  <c r="O50" i="2"/>
  <c r="O49" i="2"/>
  <c r="O48" i="2"/>
  <c r="O46" i="2"/>
  <c r="O45" i="2"/>
  <c r="O44" i="2"/>
  <c r="O42" i="2"/>
  <c r="O41" i="2"/>
  <c r="E45" i="2"/>
  <c r="B45" i="2"/>
  <c r="C45" i="2"/>
  <c r="B43" i="2"/>
  <c r="O34" i="2"/>
  <c r="O38" i="2"/>
  <c r="O37" i="2"/>
  <c r="O39" i="2"/>
  <c r="O36" i="2"/>
  <c r="O33" i="2"/>
  <c r="O32" i="2"/>
  <c r="O35" i="2"/>
  <c r="O52" i="2"/>
  <c r="O31" i="2"/>
  <c r="R31" i="2" l="1"/>
  <c r="R35" i="2"/>
  <c r="R39" i="2"/>
  <c r="R43" i="2"/>
  <c r="R47" i="2"/>
  <c r="R51" i="2"/>
  <c r="R55" i="2"/>
  <c r="R59" i="2"/>
  <c r="R63" i="2"/>
  <c r="R67" i="2"/>
  <c r="R71" i="2"/>
  <c r="R75" i="2"/>
  <c r="R79" i="2"/>
  <c r="R83" i="2"/>
  <c r="R87" i="2"/>
  <c r="R91" i="2"/>
  <c r="R95" i="2"/>
  <c r="R99" i="2"/>
  <c r="R103" i="2"/>
  <c r="R107" i="2"/>
  <c r="R111" i="2"/>
  <c r="R115" i="2"/>
  <c r="R119" i="2"/>
  <c r="R123" i="2"/>
  <c r="R127" i="2"/>
  <c r="R131" i="2"/>
  <c r="R135" i="2"/>
  <c r="R139" i="2"/>
  <c r="R143" i="2"/>
  <c r="R147" i="2"/>
  <c r="R151" i="2"/>
  <c r="R155" i="2"/>
  <c r="R159" i="2"/>
  <c r="R163" i="2"/>
  <c r="R167" i="2"/>
  <c r="R171" i="2"/>
  <c r="R175" i="2"/>
  <c r="R179" i="2"/>
  <c r="R183" i="2"/>
  <c r="R187" i="2"/>
  <c r="R191" i="2"/>
  <c r="R195" i="2"/>
  <c r="R199" i="2"/>
  <c r="R203" i="2"/>
  <c r="R207" i="2"/>
  <c r="R211" i="2"/>
  <c r="R215" i="2"/>
  <c r="R219" i="2"/>
  <c r="R223" i="2"/>
  <c r="R227" i="2"/>
  <c r="R231" i="2"/>
  <c r="R235" i="2"/>
  <c r="R239" i="2"/>
  <c r="R243" i="2"/>
  <c r="R247" i="2"/>
  <c r="R251" i="2"/>
  <c r="R255" i="2"/>
  <c r="R259" i="2"/>
  <c r="R263" i="2"/>
  <c r="R267" i="2"/>
  <c r="R271" i="2"/>
  <c r="R275" i="2"/>
  <c r="R279" i="2"/>
  <c r="R283" i="2"/>
  <c r="R287" i="2"/>
  <c r="R291" i="2"/>
  <c r="R295" i="2"/>
  <c r="R299" i="2"/>
  <c r="R303" i="2"/>
  <c r="R307" i="2"/>
  <c r="R311" i="2"/>
  <c r="R315" i="2"/>
  <c r="R319" i="2"/>
  <c r="R323" i="2"/>
  <c r="R327" i="2"/>
  <c r="R331" i="2"/>
  <c r="R335" i="2"/>
  <c r="R339" i="2"/>
  <c r="R343" i="2"/>
  <c r="R347" i="2"/>
  <c r="R351" i="2"/>
  <c r="R355" i="2"/>
  <c r="R359" i="2"/>
  <c r="R363" i="2"/>
  <c r="R367" i="2"/>
  <c r="R32" i="2"/>
  <c r="R36" i="2"/>
  <c r="R40" i="2"/>
  <c r="R44" i="2"/>
  <c r="R48" i="2"/>
  <c r="R52" i="2"/>
  <c r="R56" i="2"/>
  <c r="R60" i="2"/>
  <c r="R64" i="2"/>
  <c r="R68" i="2"/>
  <c r="R72" i="2"/>
  <c r="R76" i="2"/>
  <c r="R80" i="2"/>
  <c r="R84" i="2"/>
  <c r="R88" i="2"/>
  <c r="R92" i="2"/>
  <c r="R96" i="2"/>
  <c r="R100" i="2"/>
  <c r="R104" i="2"/>
  <c r="R108" i="2"/>
  <c r="R112" i="2"/>
  <c r="R116" i="2"/>
  <c r="R120" i="2"/>
  <c r="R124" i="2"/>
  <c r="R128" i="2"/>
  <c r="R132" i="2"/>
  <c r="R136" i="2"/>
  <c r="R140" i="2"/>
  <c r="R144" i="2"/>
  <c r="R148" i="2"/>
  <c r="R152" i="2"/>
  <c r="R156" i="2"/>
  <c r="R160" i="2"/>
  <c r="R164" i="2"/>
  <c r="R168" i="2"/>
  <c r="R172" i="2"/>
  <c r="R176" i="2"/>
  <c r="R180" i="2"/>
  <c r="R184" i="2"/>
  <c r="R188" i="2"/>
  <c r="R192" i="2"/>
  <c r="R196" i="2"/>
  <c r="R200" i="2"/>
  <c r="R204" i="2"/>
  <c r="R208" i="2"/>
  <c r="R212" i="2"/>
  <c r="R216" i="2"/>
  <c r="R220" i="2"/>
  <c r="R224" i="2"/>
  <c r="R228" i="2"/>
  <c r="R232" i="2"/>
  <c r="R236" i="2"/>
  <c r="R240" i="2"/>
  <c r="R244" i="2"/>
  <c r="R248" i="2"/>
  <c r="R252" i="2"/>
  <c r="R256" i="2"/>
  <c r="R260" i="2"/>
  <c r="R264" i="2"/>
  <c r="R268" i="2"/>
  <c r="R272" i="2"/>
  <c r="R276" i="2"/>
  <c r="R280" i="2"/>
  <c r="R284" i="2"/>
  <c r="R288" i="2"/>
  <c r="R292" i="2"/>
  <c r="R296" i="2"/>
  <c r="R300" i="2"/>
  <c r="R304" i="2"/>
  <c r="R308" i="2"/>
  <c r="R312" i="2"/>
  <c r="R316" i="2"/>
  <c r="R320" i="2"/>
  <c r="R324" i="2"/>
  <c r="R328" i="2"/>
  <c r="R332" i="2"/>
  <c r="R336" i="2"/>
  <c r="R340" i="2"/>
  <c r="R33" i="2"/>
  <c r="R37" i="2"/>
  <c r="R41" i="2"/>
  <c r="R45" i="2"/>
  <c r="R49" i="2"/>
  <c r="R53" i="2"/>
  <c r="R57" i="2"/>
  <c r="R61" i="2"/>
  <c r="R65" i="2"/>
  <c r="R69" i="2"/>
  <c r="R73" i="2"/>
  <c r="R77" i="2"/>
  <c r="R81" i="2"/>
  <c r="R85" i="2"/>
  <c r="R89" i="2"/>
  <c r="R93" i="2"/>
  <c r="R97" i="2"/>
  <c r="R101" i="2"/>
  <c r="R105" i="2"/>
  <c r="R109" i="2"/>
  <c r="R113" i="2"/>
  <c r="R117" i="2"/>
  <c r="R121" i="2"/>
  <c r="R125" i="2"/>
  <c r="R129" i="2"/>
  <c r="R133" i="2"/>
  <c r="R137" i="2"/>
  <c r="R141" i="2"/>
  <c r="R145" i="2"/>
  <c r="R149" i="2"/>
  <c r="R153" i="2"/>
  <c r="R157" i="2"/>
  <c r="R161" i="2"/>
  <c r="R165" i="2"/>
  <c r="R169" i="2"/>
  <c r="R173" i="2"/>
  <c r="R177" i="2"/>
  <c r="R181" i="2"/>
  <c r="R185" i="2"/>
  <c r="R189" i="2"/>
  <c r="R193" i="2"/>
  <c r="R197" i="2"/>
  <c r="R201" i="2"/>
  <c r="R205" i="2"/>
  <c r="R209" i="2"/>
  <c r="R213" i="2"/>
  <c r="R217" i="2"/>
  <c r="R221" i="2"/>
  <c r="R225" i="2"/>
  <c r="R229" i="2"/>
  <c r="R233" i="2"/>
  <c r="R237" i="2"/>
  <c r="R241" i="2"/>
  <c r="R245" i="2"/>
  <c r="R249" i="2"/>
  <c r="R253" i="2"/>
  <c r="R257" i="2"/>
  <c r="R261" i="2"/>
  <c r="R265" i="2"/>
  <c r="R269" i="2"/>
  <c r="R273" i="2"/>
  <c r="R277" i="2"/>
  <c r="R281" i="2"/>
  <c r="R285" i="2"/>
  <c r="R289" i="2"/>
  <c r="R293" i="2"/>
  <c r="R297" i="2"/>
  <c r="R301" i="2"/>
  <c r="R305" i="2"/>
  <c r="R309" i="2"/>
  <c r="R313" i="2"/>
  <c r="R317" i="2"/>
  <c r="R321" i="2"/>
  <c r="R325" i="2"/>
  <c r="R329" i="2"/>
  <c r="R333" i="2"/>
  <c r="R337" i="2"/>
  <c r="R341" i="2"/>
  <c r="R34" i="2"/>
  <c r="R50" i="2"/>
  <c r="R66" i="2"/>
  <c r="R82" i="2"/>
  <c r="R98" i="2"/>
  <c r="R114" i="2"/>
  <c r="R130" i="2"/>
  <c r="R146" i="2"/>
  <c r="R162" i="2"/>
  <c r="R178" i="2"/>
  <c r="R194" i="2"/>
  <c r="R210" i="2"/>
  <c r="R226" i="2"/>
  <c r="R242" i="2"/>
  <c r="R258" i="2"/>
  <c r="R274" i="2"/>
  <c r="R290" i="2"/>
  <c r="R306" i="2"/>
  <c r="R322" i="2"/>
  <c r="R338" i="2"/>
  <c r="R346" i="2"/>
  <c r="R352" i="2"/>
  <c r="R357" i="2"/>
  <c r="R362" i="2"/>
  <c r="R368" i="2"/>
  <c r="R372" i="2"/>
  <c r="R376" i="2"/>
  <c r="R380" i="2"/>
  <c r="R384" i="2"/>
  <c r="R388" i="2"/>
  <c r="R392" i="2"/>
  <c r="R396" i="2"/>
  <c r="R400" i="2"/>
  <c r="R404" i="2"/>
  <c r="R408" i="2"/>
  <c r="R412" i="2"/>
  <c r="R416" i="2"/>
  <c r="R420" i="2"/>
  <c r="R424" i="2"/>
  <c r="R428" i="2"/>
  <c r="R432" i="2"/>
  <c r="R436" i="2"/>
  <c r="R440" i="2"/>
  <c r="R444" i="2"/>
  <c r="R448" i="2"/>
  <c r="R452" i="2"/>
  <c r="R456" i="2"/>
  <c r="R460" i="2"/>
  <c r="R464" i="2"/>
  <c r="R468" i="2"/>
  <c r="R472" i="2"/>
  <c r="R476" i="2"/>
  <c r="R480" i="2"/>
  <c r="R484" i="2"/>
  <c r="R488" i="2"/>
  <c r="R492" i="2"/>
  <c r="R496" i="2"/>
  <c r="R500" i="2"/>
  <c r="R504" i="2"/>
  <c r="R508" i="2"/>
  <c r="R512" i="2"/>
  <c r="R516" i="2"/>
  <c r="R520" i="2"/>
  <c r="R524" i="2"/>
  <c r="R528" i="2"/>
  <c r="R532" i="2"/>
  <c r="R536" i="2"/>
  <c r="R540" i="2"/>
  <c r="R544" i="2"/>
  <c r="R548" i="2"/>
  <c r="R552" i="2"/>
  <c r="R556" i="2"/>
  <c r="R560" i="2"/>
  <c r="R564" i="2"/>
  <c r="R568" i="2"/>
  <c r="R572" i="2"/>
  <c r="R576" i="2"/>
  <c r="R580" i="2"/>
  <c r="R584" i="2"/>
  <c r="R588" i="2"/>
  <c r="R592" i="2"/>
  <c r="R596" i="2"/>
  <c r="R600" i="2"/>
  <c r="R604" i="2"/>
  <c r="R608" i="2"/>
  <c r="R612" i="2"/>
  <c r="R616" i="2"/>
  <c r="R620" i="2"/>
  <c r="R624" i="2"/>
  <c r="R628" i="2"/>
  <c r="R632" i="2"/>
  <c r="R636" i="2"/>
  <c r="R640" i="2"/>
  <c r="R644" i="2"/>
  <c r="R648" i="2"/>
  <c r="R652" i="2"/>
  <c r="R656" i="2"/>
  <c r="R660" i="2"/>
  <c r="R664" i="2"/>
  <c r="R668" i="2"/>
  <c r="R672" i="2"/>
  <c r="R38" i="2"/>
  <c r="R54" i="2"/>
  <c r="R70" i="2"/>
  <c r="R86" i="2"/>
  <c r="R102" i="2"/>
  <c r="R118" i="2"/>
  <c r="R134" i="2"/>
  <c r="R150" i="2"/>
  <c r="R166" i="2"/>
  <c r="R182" i="2"/>
  <c r="R198" i="2"/>
  <c r="R214" i="2"/>
  <c r="R230" i="2"/>
  <c r="R246" i="2"/>
  <c r="R262" i="2"/>
  <c r="R278" i="2"/>
  <c r="R294" i="2"/>
  <c r="R310" i="2"/>
  <c r="R326" i="2"/>
  <c r="R342" i="2"/>
  <c r="R348" i="2"/>
  <c r="R353" i="2"/>
  <c r="R358" i="2"/>
  <c r="R364" i="2"/>
  <c r="R369" i="2"/>
  <c r="R373" i="2"/>
  <c r="R377" i="2"/>
  <c r="R381" i="2"/>
  <c r="R385" i="2"/>
  <c r="R389" i="2"/>
  <c r="R393" i="2"/>
  <c r="R397" i="2"/>
  <c r="R401" i="2"/>
  <c r="R405" i="2"/>
  <c r="R409" i="2"/>
  <c r="R413" i="2"/>
  <c r="R417" i="2"/>
  <c r="R421" i="2"/>
  <c r="R425" i="2"/>
  <c r="R429" i="2"/>
  <c r="R433" i="2"/>
  <c r="R437" i="2"/>
  <c r="R441" i="2"/>
  <c r="R445" i="2"/>
  <c r="R449" i="2"/>
  <c r="R453" i="2"/>
  <c r="R457" i="2"/>
  <c r="R461" i="2"/>
  <c r="R465" i="2"/>
  <c r="R469" i="2"/>
  <c r="R473" i="2"/>
  <c r="R477" i="2"/>
  <c r="R481" i="2"/>
  <c r="R485" i="2"/>
  <c r="R489" i="2"/>
  <c r="R493" i="2"/>
  <c r="R497" i="2"/>
  <c r="R501" i="2"/>
  <c r="R505" i="2"/>
  <c r="R509" i="2"/>
  <c r="R513" i="2"/>
  <c r="R517" i="2"/>
  <c r="R521" i="2"/>
  <c r="R525" i="2"/>
  <c r="R529" i="2"/>
  <c r="R533" i="2"/>
  <c r="R537" i="2"/>
  <c r="R541" i="2"/>
  <c r="R545" i="2"/>
  <c r="R549" i="2"/>
  <c r="R553" i="2"/>
  <c r="R557" i="2"/>
  <c r="R561" i="2"/>
  <c r="R565" i="2"/>
  <c r="R569" i="2"/>
  <c r="R573" i="2"/>
  <c r="R577" i="2"/>
  <c r="R581" i="2"/>
  <c r="R585" i="2"/>
  <c r="R589" i="2"/>
  <c r="R593" i="2"/>
  <c r="R597" i="2"/>
  <c r="R601" i="2"/>
  <c r="R605" i="2"/>
  <c r="R609" i="2"/>
  <c r="R42" i="2"/>
  <c r="R58" i="2"/>
  <c r="R74" i="2"/>
  <c r="R90" i="2"/>
  <c r="R106" i="2"/>
  <c r="R122" i="2"/>
  <c r="R138" i="2"/>
  <c r="R154" i="2"/>
  <c r="R170" i="2"/>
  <c r="R186" i="2"/>
  <c r="R202" i="2"/>
  <c r="R218" i="2"/>
  <c r="R234" i="2"/>
  <c r="R250" i="2"/>
  <c r="R266" i="2"/>
  <c r="R282" i="2"/>
  <c r="R298" i="2"/>
  <c r="R314" i="2"/>
  <c r="R330" i="2"/>
  <c r="R344" i="2"/>
  <c r="R349" i="2"/>
  <c r="R354" i="2"/>
  <c r="R360" i="2"/>
  <c r="R365" i="2"/>
  <c r="R370" i="2"/>
  <c r="R374" i="2"/>
  <c r="R378" i="2"/>
  <c r="R382" i="2"/>
  <c r="R386" i="2"/>
  <c r="R390" i="2"/>
  <c r="R394" i="2"/>
  <c r="R398" i="2"/>
  <c r="R402" i="2"/>
  <c r="R406" i="2"/>
  <c r="R410" i="2"/>
  <c r="R414" i="2"/>
  <c r="R418" i="2"/>
  <c r="R422" i="2"/>
  <c r="R426" i="2"/>
  <c r="R430" i="2"/>
  <c r="R434" i="2"/>
  <c r="R438" i="2"/>
  <c r="R442" i="2"/>
  <c r="R446" i="2"/>
  <c r="R450" i="2"/>
  <c r="R454" i="2"/>
  <c r="R458" i="2"/>
  <c r="R462" i="2"/>
  <c r="R466" i="2"/>
  <c r="R470" i="2"/>
  <c r="R474" i="2"/>
  <c r="R478" i="2"/>
  <c r="R482" i="2"/>
  <c r="R486" i="2"/>
  <c r="R490" i="2"/>
  <c r="R494" i="2"/>
  <c r="R498" i="2"/>
  <c r="R502" i="2"/>
  <c r="R506" i="2"/>
  <c r="R510" i="2"/>
  <c r="R514" i="2"/>
  <c r="R518" i="2"/>
  <c r="R522" i="2"/>
  <c r="R526" i="2"/>
  <c r="R530" i="2"/>
  <c r="R534" i="2"/>
  <c r="R538" i="2"/>
  <c r="R542" i="2"/>
  <c r="R546" i="2"/>
  <c r="R550" i="2"/>
  <c r="R554" i="2"/>
  <c r="R558" i="2"/>
  <c r="R562" i="2"/>
  <c r="R566" i="2"/>
  <c r="R570" i="2"/>
  <c r="R574" i="2"/>
  <c r="R578" i="2"/>
  <c r="R582" i="2"/>
  <c r="R586" i="2"/>
  <c r="R590" i="2"/>
  <c r="R594" i="2"/>
  <c r="R598" i="2"/>
  <c r="R602" i="2"/>
  <c r="R606" i="2"/>
  <c r="R610" i="2"/>
  <c r="R46" i="2"/>
  <c r="R110" i="2"/>
  <c r="R174" i="2"/>
  <c r="R238" i="2"/>
  <c r="R302" i="2"/>
  <c r="R350" i="2"/>
  <c r="R371" i="2"/>
  <c r="R387" i="2"/>
  <c r="R403" i="2"/>
  <c r="R419" i="2"/>
  <c r="R435" i="2"/>
  <c r="R451" i="2"/>
  <c r="R467" i="2"/>
  <c r="R483" i="2"/>
  <c r="R499" i="2"/>
  <c r="R515" i="2"/>
  <c r="R531" i="2"/>
  <c r="R547" i="2"/>
  <c r="R563" i="2"/>
  <c r="R579" i="2"/>
  <c r="R595" i="2"/>
  <c r="R611" i="2"/>
  <c r="R617" i="2"/>
  <c r="R622" i="2"/>
  <c r="R627" i="2"/>
  <c r="R633" i="2"/>
  <c r="R638" i="2"/>
  <c r="R643" i="2"/>
  <c r="R649" i="2"/>
  <c r="R654" i="2"/>
  <c r="R659" i="2"/>
  <c r="R665" i="2"/>
  <c r="R670" i="2"/>
  <c r="R675" i="2"/>
  <c r="R679" i="2"/>
  <c r="R683" i="2"/>
  <c r="R687" i="2"/>
  <c r="R691" i="2"/>
  <c r="R695" i="2"/>
  <c r="R699" i="2"/>
  <c r="R703" i="2"/>
  <c r="R707" i="2"/>
  <c r="R711" i="2"/>
  <c r="R715" i="2"/>
  <c r="R719" i="2"/>
  <c r="R723" i="2"/>
  <c r="R727" i="2"/>
  <c r="R731" i="2"/>
  <c r="R735" i="2"/>
  <c r="R739" i="2"/>
  <c r="R743" i="2"/>
  <c r="R747" i="2"/>
  <c r="R751" i="2"/>
  <c r="R755" i="2"/>
  <c r="R759" i="2"/>
  <c r="R763" i="2"/>
  <c r="R767" i="2"/>
  <c r="R771" i="2"/>
  <c r="R775" i="2"/>
  <c r="R779" i="2"/>
  <c r="R783" i="2"/>
  <c r="R787" i="2"/>
  <c r="R791" i="2"/>
  <c r="R795" i="2"/>
  <c r="R799" i="2"/>
  <c r="R803" i="2"/>
  <c r="R807" i="2"/>
  <c r="R811" i="2"/>
  <c r="R815" i="2"/>
  <c r="R819" i="2"/>
  <c r="R823" i="2"/>
  <c r="R827" i="2"/>
  <c r="R831" i="2"/>
  <c r="R835" i="2"/>
  <c r="R839" i="2"/>
  <c r="R843" i="2"/>
  <c r="R847" i="2"/>
  <c r="R851" i="2"/>
  <c r="R855" i="2"/>
  <c r="R859" i="2"/>
  <c r="R863" i="2"/>
  <c r="R867" i="2"/>
  <c r="R871" i="2"/>
  <c r="R875" i="2"/>
  <c r="R879" i="2"/>
  <c r="R883" i="2"/>
  <c r="R887" i="2"/>
  <c r="R891" i="2"/>
  <c r="R895" i="2"/>
  <c r="R899" i="2"/>
  <c r="R903" i="2"/>
  <c r="R907" i="2"/>
  <c r="R911" i="2"/>
  <c r="R915" i="2"/>
  <c r="R919" i="2"/>
  <c r="R923" i="2"/>
  <c r="R927" i="2"/>
  <c r="R931" i="2"/>
  <c r="R935" i="2"/>
  <c r="R939" i="2"/>
  <c r="R943" i="2"/>
  <c r="R947" i="2"/>
  <c r="R951" i="2"/>
  <c r="R955" i="2"/>
  <c r="R62" i="2"/>
  <c r="R126" i="2"/>
  <c r="R190" i="2"/>
  <c r="R254" i="2"/>
  <c r="R318" i="2"/>
  <c r="R356" i="2"/>
  <c r="R375" i="2"/>
  <c r="R391" i="2"/>
  <c r="R407" i="2"/>
  <c r="R423" i="2"/>
  <c r="R439" i="2"/>
  <c r="R455" i="2"/>
  <c r="R471" i="2"/>
  <c r="R487" i="2"/>
  <c r="R503" i="2"/>
  <c r="R519" i="2"/>
  <c r="R535" i="2"/>
  <c r="R551" i="2"/>
  <c r="R567" i="2"/>
  <c r="R583" i="2"/>
  <c r="R599" i="2"/>
  <c r="R613" i="2"/>
  <c r="R618" i="2"/>
  <c r="R623" i="2"/>
  <c r="R629" i="2"/>
  <c r="R634" i="2"/>
  <c r="R639" i="2"/>
  <c r="R645" i="2"/>
  <c r="R650" i="2"/>
  <c r="R655" i="2"/>
  <c r="R661" i="2"/>
  <c r="R666" i="2"/>
  <c r="R671" i="2"/>
  <c r="R676" i="2"/>
  <c r="R680" i="2"/>
  <c r="R684" i="2"/>
  <c r="R688" i="2"/>
  <c r="R692" i="2"/>
  <c r="R696" i="2"/>
  <c r="R700" i="2"/>
  <c r="R704" i="2"/>
  <c r="R708" i="2"/>
  <c r="R712" i="2"/>
  <c r="R716" i="2"/>
  <c r="R720" i="2"/>
  <c r="R724" i="2"/>
  <c r="R728" i="2"/>
  <c r="R732" i="2"/>
  <c r="R736" i="2"/>
  <c r="R740" i="2"/>
  <c r="R744" i="2"/>
  <c r="R748" i="2"/>
  <c r="R752" i="2"/>
  <c r="R756" i="2"/>
  <c r="R760" i="2"/>
  <c r="R764" i="2"/>
  <c r="R768" i="2"/>
  <c r="R772" i="2"/>
  <c r="R776" i="2"/>
  <c r="R780" i="2"/>
  <c r="R784" i="2"/>
  <c r="R788" i="2"/>
  <c r="R792" i="2"/>
  <c r="R796" i="2"/>
  <c r="R800" i="2"/>
  <c r="R804" i="2"/>
  <c r="R808" i="2"/>
  <c r="R812" i="2"/>
  <c r="R816" i="2"/>
  <c r="R820" i="2"/>
  <c r="R824" i="2"/>
  <c r="R828" i="2"/>
  <c r="R832" i="2"/>
  <c r="R836" i="2"/>
  <c r="R840" i="2"/>
  <c r="R844" i="2"/>
  <c r="R848" i="2"/>
  <c r="R852" i="2"/>
  <c r="R856" i="2"/>
  <c r="R860" i="2"/>
  <c r="R864" i="2"/>
  <c r="R868" i="2"/>
  <c r="R872" i="2"/>
  <c r="R876" i="2"/>
  <c r="R880" i="2"/>
  <c r="R78" i="2"/>
  <c r="R142" i="2"/>
  <c r="R206" i="2"/>
  <c r="R270" i="2"/>
  <c r="R334" i="2"/>
  <c r="R361" i="2"/>
  <c r="R379" i="2"/>
  <c r="R395" i="2"/>
  <c r="R411" i="2"/>
  <c r="R427" i="2"/>
  <c r="R443" i="2"/>
  <c r="R459" i="2"/>
  <c r="R475" i="2"/>
  <c r="R491" i="2"/>
  <c r="R507" i="2"/>
  <c r="R523" i="2"/>
  <c r="R539" i="2"/>
  <c r="R555" i="2"/>
  <c r="R571" i="2"/>
  <c r="R587" i="2"/>
  <c r="R603" i="2"/>
  <c r="R614" i="2"/>
  <c r="R619" i="2"/>
  <c r="R625" i="2"/>
  <c r="R630" i="2"/>
  <c r="R635" i="2"/>
  <c r="R641" i="2"/>
  <c r="R646" i="2"/>
  <c r="R651" i="2"/>
  <c r="R657" i="2"/>
  <c r="R662" i="2"/>
  <c r="R667" i="2"/>
  <c r="R673" i="2"/>
  <c r="R677" i="2"/>
  <c r="R681" i="2"/>
  <c r="R685" i="2"/>
  <c r="R689" i="2"/>
  <c r="R693" i="2"/>
  <c r="R697" i="2"/>
  <c r="R701" i="2"/>
  <c r="R705" i="2"/>
  <c r="R709" i="2"/>
  <c r="R713" i="2"/>
  <c r="R717" i="2"/>
  <c r="R721" i="2"/>
  <c r="R725" i="2"/>
  <c r="R729" i="2"/>
  <c r="R733" i="2"/>
  <c r="R737" i="2"/>
  <c r="R741" i="2"/>
  <c r="R745" i="2"/>
  <c r="R749" i="2"/>
  <c r="R753" i="2"/>
  <c r="R757" i="2"/>
  <c r="R761" i="2"/>
  <c r="R765" i="2"/>
  <c r="R769" i="2"/>
  <c r="R773" i="2"/>
  <c r="R777" i="2"/>
  <c r="R781" i="2"/>
  <c r="R785" i="2"/>
  <c r="R789" i="2"/>
  <c r="R793" i="2"/>
  <c r="R797" i="2"/>
  <c r="R801" i="2"/>
  <c r="R805" i="2"/>
  <c r="R809" i="2"/>
  <c r="R813" i="2"/>
  <c r="R817" i="2"/>
  <c r="R821" i="2"/>
  <c r="R825" i="2"/>
  <c r="R829" i="2"/>
  <c r="R833" i="2"/>
  <c r="R837" i="2"/>
  <c r="R841" i="2"/>
  <c r="R845" i="2"/>
  <c r="R849" i="2"/>
  <c r="R853" i="2"/>
  <c r="R857" i="2"/>
  <c r="R861" i="2"/>
  <c r="R865" i="2"/>
  <c r="R869" i="2"/>
  <c r="R873" i="2"/>
  <c r="R877" i="2"/>
  <c r="R881" i="2"/>
  <c r="R94" i="2"/>
  <c r="R345" i="2"/>
  <c r="R415" i="2"/>
  <c r="R479" i="2"/>
  <c r="R543" i="2"/>
  <c r="R607" i="2"/>
  <c r="R631" i="2"/>
  <c r="R653" i="2"/>
  <c r="R674" i="2"/>
  <c r="R690" i="2"/>
  <c r="R706" i="2"/>
  <c r="R722" i="2"/>
  <c r="R738" i="2"/>
  <c r="R754" i="2"/>
  <c r="R770" i="2"/>
  <c r="R786" i="2"/>
  <c r="R802" i="2"/>
  <c r="R818" i="2"/>
  <c r="R834" i="2"/>
  <c r="R850" i="2"/>
  <c r="R866" i="2"/>
  <c r="R882" i="2"/>
  <c r="R888" i="2"/>
  <c r="R893" i="2"/>
  <c r="R898" i="2"/>
  <c r="R904" i="2"/>
  <c r="R909" i="2"/>
  <c r="R914" i="2"/>
  <c r="R920" i="2"/>
  <c r="R925" i="2"/>
  <c r="R930" i="2"/>
  <c r="R936" i="2"/>
  <c r="R941" i="2"/>
  <c r="R946" i="2"/>
  <c r="R952" i="2"/>
  <c r="R957" i="2"/>
  <c r="R961" i="2"/>
  <c r="R965" i="2"/>
  <c r="R969" i="2"/>
  <c r="R973" i="2"/>
  <c r="R977" i="2"/>
  <c r="R981" i="2"/>
  <c r="R985" i="2"/>
  <c r="R989" i="2"/>
  <c r="R993" i="2"/>
  <c r="R997" i="2"/>
  <c r="R1001" i="2"/>
  <c r="R1005" i="2"/>
  <c r="R1009" i="2"/>
  <c r="R1013" i="2"/>
  <c r="R1017" i="2"/>
  <c r="R1021" i="2"/>
  <c r="R1025" i="2"/>
  <c r="R1029" i="2"/>
  <c r="R1033" i="2"/>
  <c r="R1018" i="2"/>
  <c r="R1026" i="2"/>
  <c r="R1034" i="2"/>
  <c r="R1035" i="2"/>
  <c r="R286" i="2"/>
  <c r="R669" i="2"/>
  <c r="R718" i="2"/>
  <c r="R766" i="2"/>
  <c r="R798" i="2"/>
  <c r="R830" i="2"/>
  <c r="R862" i="2"/>
  <c r="R886" i="2"/>
  <c r="R897" i="2"/>
  <c r="R908" i="2"/>
  <c r="R918" i="2"/>
  <c r="R929" i="2"/>
  <c r="R934" i="2"/>
  <c r="R945" i="2"/>
  <c r="R956" i="2"/>
  <c r="R964" i="2"/>
  <c r="R972" i="2"/>
  <c r="R984" i="2"/>
  <c r="R992" i="2"/>
  <c r="R996" i="2"/>
  <c r="R1004" i="2"/>
  <c r="R1012" i="2"/>
  <c r="R1020" i="2"/>
  <c r="R1028" i="2"/>
  <c r="R158" i="2"/>
  <c r="R366" i="2"/>
  <c r="R431" i="2"/>
  <c r="R495" i="2"/>
  <c r="R559" i="2"/>
  <c r="R615" i="2"/>
  <c r="R637" i="2"/>
  <c r="R658" i="2"/>
  <c r="R678" i="2"/>
  <c r="R694" i="2"/>
  <c r="R710" i="2"/>
  <c r="R726" i="2"/>
  <c r="R742" i="2"/>
  <c r="R758" i="2"/>
  <c r="R774" i="2"/>
  <c r="R790" i="2"/>
  <c r="R806" i="2"/>
  <c r="R822" i="2"/>
  <c r="R838" i="2"/>
  <c r="R854" i="2"/>
  <c r="R870" i="2"/>
  <c r="R884" i="2"/>
  <c r="R889" i="2"/>
  <c r="R894" i="2"/>
  <c r="R900" i="2"/>
  <c r="R905" i="2"/>
  <c r="R910" i="2"/>
  <c r="R916" i="2"/>
  <c r="R921" i="2"/>
  <c r="R926" i="2"/>
  <c r="R932" i="2"/>
  <c r="R937" i="2"/>
  <c r="R942" i="2"/>
  <c r="R948" i="2"/>
  <c r="R953" i="2"/>
  <c r="R958" i="2"/>
  <c r="R962" i="2"/>
  <c r="R966" i="2"/>
  <c r="R970" i="2"/>
  <c r="R974" i="2"/>
  <c r="R978" i="2"/>
  <c r="R982" i="2"/>
  <c r="R986" i="2"/>
  <c r="R990" i="2"/>
  <c r="R994" i="2"/>
  <c r="R998" i="2"/>
  <c r="R1002" i="2"/>
  <c r="R1006" i="2"/>
  <c r="R1010" i="2"/>
  <c r="R1014" i="2"/>
  <c r="R1022" i="2"/>
  <c r="R1030" i="2"/>
  <c r="R399" i="2"/>
  <c r="R463" i="2"/>
  <c r="R527" i="2"/>
  <c r="R591" i="2"/>
  <c r="R626" i="2"/>
  <c r="R647" i="2"/>
  <c r="R686" i="2"/>
  <c r="R702" i="2"/>
  <c r="R734" i="2"/>
  <c r="R750" i="2"/>
  <c r="R782" i="2"/>
  <c r="R814" i="2"/>
  <c r="R846" i="2"/>
  <c r="R878" i="2"/>
  <c r="R892" i="2"/>
  <c r="R902" i="2"/>
  <c r="R913" i="2"/>
  <c r="R924" i="2"/>
  <c r="R940" i="2"/>
  <c r="R950" i="2"/>
  <c r="R960" i="2"/>
  <c r="R968" i="2"/>
  <c r="R976" i="2"/>
  <c r="R980" i="2"/>
  <c r="R988" i="2"/>
  <c r="R1000" i="2"/>
  <c r="R1008" i="2"/>
  <c r="R1016" i="2"/>
  <c r="R1024" i="2"/>
  <c r="R1032" i="2"/>
  <c r="R222" i="2"/>
  <c r="R383" i="2"/>
  <c r="R447" i="2"/>
  <c r="R511" i="2"/>
  <c r="R575" i="2"/>
  <c r="R621" i="2"/>
  <c r="R642" i="2"/>
  <c r="R663" i="2"/>
  <c r="R682" i="2"/>
  <c r="R698" i="2"/>
  <c r="R714" i="2"/>
  <c r="R730" i="2"/>
  <c r="R746" i="2"/>
  <c r="R762" i="2"/>
  <c r="R778" i="2"/>
  <c r="R794" i="2"/>
  <c r="R810" i="2"/>
  <c r="R826" i="2"/>
  <c r="R842" i="2"/>
  <c r="R858" i="2"/>
  <c r="R874" i="2"/>
  <c r="R885" i="2"/>
  <c r="R890" i="2"/>
  <c r="R896" i="2"/>
  <c r="R901" i="2"/>
  <c r="R906" i="2"/>
  <c r="R912" i="2"/>
  <c r="R917" i="2"/>
  <c r="R922" i="2"/>
  <c r="R928" i="2"/>
  <c r="R933" i="2"/>
  <c r="R938" i="2"/>
  <c r="R944" i="2"/>
  <c r="R949" i="2"/>
  <c r="R954" i="2"/>
  <c r="R959" i="2"/>
  <c r="R963" i="2"/>
  <c r="R967" i="2"/>
  <c r="R971" i="2"/>
  <c r="R975" i="2"/>
  <c r="R979" i="2"/>
  <c r="R983" i="2"/>
  <c r="R987" i="2"/>
  <c r="R991" i="2"/>
  <c r="R995" i="2"/>
  <c r="R999" i="2"/>
  <c r="R1003" i="2"/>
  <c r="R1007" i="2"/>
  <c r="R1011" i="2"/>
  <c r="R1015" i="2"/>
  <c r="R1019" i="2"/>
  <c r="R1023" i="2"/>
  <c r="R1027" i="2"/>
  <c r="R1031" i="2"/>
  <c r="C46" i="2" a="1"/>
  <c r="C46" i="2" s="1"/>
  <c r="C47" i="2" a="1"/>
  <c r="C47" i="2" s="1"/>
  <c r="O53" i="2" l="1"/>
  <c r="O54" i="2" l="1"/>
  <c r="O55" i="2" l="1"/>
  <c r="O56" i="2" l="1"/>
  <c r="O57" i="2" l="1"/>
  <c r="O58" i="2" l="1"/>
  <c r="O59" i="2" l="1"/>
  <c r="O60" i="2" l="1"/>
  <c r="O61" i="2" l="1"/>
  <c r="O62" i="2" l="1"/>
  <c r="O63" i="2" l="1"/>
  <c r="O64" i="2" l="1"/>
  <c r="O65" i="2" l="1"/>
  <c r="O66" i="2" l="1"/>
  <c r="O67" i="2" l="1"/>
  <c r="O68" i="2" l="1"/>
  <c r="O69" i="2" l="1"/>
  <c r="O70" i="2" l="1"/>
  <c r="O71" i="2" l="1"/>
  <c r="O72" i="2" l="1"/>
  <c r="O73" i="2" l="1"/>
  <c r="O74" i="2" l="1"/>
  <c r="O75" i="2" l="1"/>
  <c r="O76" i="2" l="1"/>
  <c r="O77" i="2" l="1"/>
  <c r="O78" i="2" l="1"/>
  <c r="O79" i="2" l="1"/>
  <c r="O80" i="2" l="1"/>
  <c r="O81" i="2" l="1"/>
  <c r="O82" i="2" l="1"/>
  <c r="O83" i="2" l="1"/>
  <c r="O84" i="2" l="1"/>
  <c r="O85" i="2" l="1"/>
  <c r="O86" i="2" l="1"/>
  <c r="O87" i="2" l="1"/>
  <c r="O88" i="2" l="1"/>
  <c r="O89" i="2" l="1"/>
  <c r="O90" i="2" l="1"/>
  <c r="O91" i="2" l="1"/>
  <c r="O92" i="2" l="1"/>
  <c r="O93" i="2" l="1"/>
  <c r="O94" i="2" l="1"/>
  <c r="O95" i="2" l="1"/>
  <c r="O96" i="2" l="1"/>
  <c r="O97" i="2" l="1"/>
  <c r="O98" i="2" l="1"/>
  <c r="O99" i="2" l="1"/>
  <c r="O100" i="2" l="1"/>
  <c r="O101" i="2" l="1"/>
  <c r="O102" i="2" l="1"/>
  <c r="O103" i="2" l="1"/>
  <c r="O104" i="2" l="1"/>
  <c r="O105" i="2" l="1"/>
  <c r="O106" i="2" l="1"/>
  <c r="O107" i="2" l="1"/>
  <c r="O108" i="2" l="1"/>
  <c r="O109" i="2" l="1"/>
  <c r="O110" i="2" l="1"/>
  <c r="O111" i="2" l="1"/>
  <c r="O112" i="2" l="1"/>
  <c r="O113" i="2" l="1"/>
  <c r="O114" i="2" l="1"/>
  <c r="O115" i="2" l="1"/>
  <c r="O116" i="2" l="1"/>
  <c r="O117" i="2" l="1"/>
  <c r="O118" i="2" l="1"/>
  <c r="O119" i="2" l="1"/>
  <c r="O120" i="2" l="1"/>
  <c r="O121" i="2" l="1"/>
  <c r="O122" i="2" l="1"/>
  <c r="O123" i="2" l="1"/>
  <c r="O124" i="2" l="1"/>
  <c r="O125" i="2" l="1"/>
  <c r="O126" i="2" l="1"/>
  <c r="O127" i="2" l="1"/>
  <c r="O128" i="2" l="1"/>
  <c r="O129" i="2" l="1"/>
  <c r="O130" i="2" l="1"/>
  <c r="O131" i="2" l="1"/>
  <c r="O132" i="2" l="1"/>
  <c r="O133" i="2" l="1"/>
  <c r="O134" i="2" l="1"/>
  <c r="O135" i="2" l="1"/>
  <c r="O136" i="2" l="1"/>
  <c r="O137" i="2" l="1"/>
  <c r="O138" i="2" l="1"/>
  <c r="O139" i="2" l="1"/>
  <c r="O140" i="2" l="1"/>
  <c r="O141" i="2" l="1"/>
  <c r="O142" i="2" l="1"/>
  <c r="O143" i="2" l="1"/>
  <c r="O144" i="2" l="1"/>
  <c r="O145" i="2" l="1"/>
  <c r="O146" i="2" l="1"/>
  <c r="O147" i="2" l="1"/>
  <c r="O148" i="2" l="1"/>
  <c r="O149" i="2" l="1"/>
  <c r="O150" i="2" l="1"/>
  <c r="O151" i="2" l="1"/>
  <c r="O152" i="2" l="1"/>
  <c r="O153" i="2" l="1"/>
  <c r="O154" i="2" l="1"/>
  <c r="O155" i="2" l="1"/>
  <c r="O156" i="2" l="1"/>
  <c r="O157" i="2" l="1"/>
  <c r="O158" i="2" l="1"/>
  <c r="O159" i="2" l="1"/>
  <c r="O160" i="2" l="1"/>
  <c r="O161" i="2" l="1"/>
  <c r="O162" i="2" l="1"/>
  <c r="O163" i="2" l="1"/>
  <c r="O164" i="2" l="1"/>
  <c r="O165" i="2" l="1"/>
  <c r="O166" i="2" l="1"/>
  <c r="O167" i="2" l="1"/>
  <c r="O168" i="2" l="1"/>
  <c r="O169" i="2" l="1"/>
  <c r="O170" i="2" l="1"/>
  <c r="O171" i="2" l="1"/>
  <c r="O172" i="2" l="1"/>
  <c r="O173" i="2" l="1"/>
  <c r="O174" i="2" l="1"/>
  <c r="O175" i="2" l="1"/>
  <c r="O176" i="2" l="1"/>
  <c r="O177" i="2" l="1"/>
  <c r="O178" i="2" l="1"/>
  <c r="O179" i="2" l="1"/>
  <c r="O180" i="2" l="1"/>
  <c r="O181" i="2" l="1"/>
  <c r="O182" i="2" l="1"/>
  <c r="O183" i="2" l="1"/>
  <c r="O184" i="2" l="1"/>
  <c r="O185" i="2" l="1"/>
  <c r="O186" i="2" l="1"/>
  <c r="O187" i="2" l="1"/>
  <c r="O188" i="2" l="1"/>
  <c r="O189" i="2" l="1"/>
  <c r="O190" i="2" l="1"/>
  <c r="O191" i="2" l="1"/>
  <c r="O192" i="2" l="1"/>
  <c r="O193" i="2" l="1"/>
  <c r="O194" i="2" l="1"/>
  <c r="O195" i="2" l="1"/>
  <c r="O196" i="2" l="1"/>
  <c r="O197" i="2" l="1"/>
  <c r="O198" i="2" l="1"/>
  <c r="O199" i="2" l="1"/>
  <c r="O200" i="2" l="1"/>
  <c r="O201" i="2" l="1"/>
  <c r="O202" i="2" l="1"/>
  <c r="O203" i="2" l="1"/>
  <c r="O204" i="2" l="1"/>
  <c r="O205" i="2" l="1"/>
  <c r="O206" i="2" l="1"/>
  <c r="O207" i="2" l="1"/>
  <c r="O208" i="2" l="1"/>
  <c r="O209" i="2" l="1"/>
  <c r="O210" i="2" l="1"/>
  <c r="O211" i="2" l="1"/>
  <c r="O212" i="2" l="1"/>
  <c r="O213" i="2" l="1"/>
  <c r="O214" i="2" l="1"/>
  <c r="O215" i="2" l="1"/>
  <c r="O216" i="2" l="1"/>
  <c r="O217" i="2" l="1"/>
  <c r="O218" i="2" l="1"/>
  <c r="O219" i="2" l="1"/>
  <c r="O220" i="2" l="1"/>
  <c r="O221" i="2" l="1"/>
  <c r="O222" i="2" l="1"/>
  <c r="O223" i="2" l="1"/>
  <c r="O224" i="2" l="1"/>
  <c r="O225" i="2" l="1"/>
  <c r="O226" i="2" l="1"/>
  <c r="O227" i="2" l="1"/>
  <c r="O228" i="2" l="1"/>
  <c r="O229" i="2" l="1"/>
  <c r="O230" i="2" l="1"/>
  <c r="O231" i="2" l="1"/>
  <c r="O232" i="2" l="1"/>
  <c r="O233" i="2" l="1"/>
  <c r="O234" i="2" l="1"/>
  <c r="O235" i="2" l="1"/>
  <c r="O236" i="2" l="1"/>
  <c r="O237" i="2" l="1"/>
  <c r="O238" i="2" l="1"/>
  <c r="O239" i="2" l="1"/>
  <c r="O240" i="2" l="1"/>
  <c r="O241" i="2" l="1"/>
  <c r="O242" i="2" l="1"/>
  <c r="O243" i="2" l="1"/>
  <c r="O244" i="2" l="1"/>
  <c r="O245" i="2" l="1"/>
  <c r="O246" i="2" l="1"/>
  <c r="O247" i="2" l="1"/>
  <c r="O248" i="2" l="1"/>
  <c r="O249" i="2" l="1"/>
  <c r="O250" i="2" l="1"/>
  <c r="O251" i="2" l="1"/>
  <c r="O252" i="2" l="1"/>
  <c r="O253" i="2" l="1"/>
  <c r="O254" i="2" l="1"/>
  <c r="O255" i="2" l="1"/>
  <c r="O256" i="2" l="1"/>
  <c r="O257" i="2" l="1"/>
  <c r="O258" i="2" l="1"/>
  <c r="O259" i="2" l="1"/>
  <c r="O260" i="2" l="1"/>
  <c r="O261" i="2" l="1"/>
  <c r="O262" i="2" l="1"/>
  <c r="O263" i="2" l="1"/>
  <c r="O264" i="2" l="1"/>
  <c r="O265" i="2" l="1"/>
  <c r="O266" i="2" l="1"/>
  <c r="O267" i="2" l="1"/>
  <c r="O268" i="2" l="1"/>
  <c r="O269" i="2" l="1"/>
  <c r="O270" i="2" l="1"/>
  <c r="O271" i="2" l="1"/>
  <c r="O272" i="2" l="1"/>
  <c r="O273" i="2" l="1"/>
  <c r="O274" i="2" l="1"/>
  <c r="O275" i="2" l="1"/>
  <c r="O276" i="2" l="1"/>
  <c r="O277" i="2" l="1"/>
  <c r="O278" i="2" l="1"/>
  <c r="O279" i="2" l="1"/>
  <c r="O280" i="2" l="1"/>
  <c r="O281" i="2" l="1"/>
  <c r="O282" i="2" l="1"/>
  <c r="O283" i="2" l="1"/>
  <c r="O284" i="2" l="1"/>
  <c r="O285" i="2" l="1"/>
  <c r="O286" i="2" l="1"/>
  <c r="O287" i="2" l="1"/>
  <c r="O288" i="2" l="1"/>
  <c r="O289" i="2" l="1"/>
  <c r="O290" i="2" l="1"/>
  <c r="O291" i="2" l="1"/>
  <c r="O292" i="2" l="1"/>
  <c r="O293" i="2" l="1"/>
  <c r="O294" i="2" l="1"/>
  <c r="O295" i="2" l="1"/>
  <c r="O296" i="2" l="1"/>
  <c r="O297" i="2" l="1"/>
  <c r="O298" i="2" l="1"/>
  <c r="O299" i="2" l="1"/>
  <c r="O300" i="2" l="1"/>
  <c r="O301" i="2" l="1"/>
  <c r="O302" i="2" l="1"/>
  <c r="O303" i="2" l="1"/>
  <c r="O304" i="2" l="1"/>
  <c r="O305" i="2" l="1"/>
  <c r="O306" i="2" l="1"/>
  <c r="O307" i="2" l="1"/>
  <c r="O308" i="2" l="1"/>
  <c r="O309" i="2" l="1"/>
  <c r="O310" i="2" l="1"/>
  <c r="O311" i="2" l="1"/>
  <c r="O312" i="2" l="1"/>
  <c r="O313" i="2" l="1"/>
  <c r="O314" i="2" l="1"/>
  <c r="O315" i="2" l="1"/>
  <c r="O316" i="2" l="1"/>
  <c r="O317" i="2" l="1"/>
  <c r="O318" i="2" l="1"/>
  <c r="O319" i="2" l="1"/>
  <c r="O320" i="2" l="1"/>
  <c r="O321" i="2" l="1"/>
  <c r="O322" i="2" l="1"/>
  <c r="O323" i="2" l="1"/>
  <c r="O324" i="2" l="1"/>
  <c r="O325" i="2" l="1"/>
  <c r="O326" i="2" l="1"/>
  <c r="O327" i="2" l="1"/>
  <c r="O328" i="2" l="1"/>
  <c r="O329" i="2" l="1"/>
  <c r="O330" i="2" l="1"/>
  <c r="O331" i="2" l="1"/>
  <c r="O332" i="2" l="1"/>
  <c r="O333" i="2" l="1"/>
  <c r="O334" i="2" l="1"/>
  <c r="O335" i="2" l="1"/>
  <c r="O336" i="2" l="1"/>
  <c r="O337" i="2" l="1"/>
  <c r="O338" i="2" l="1"/>
  <c r="O339" i="2" l="1"/>
  <c r="O340" i="2" l="1"/>
  <c r="O341" i="2" l="1"/>
  <c r="O342" i="2" l="1"/>
  <c r="O343" i="2" l="1"/>
  <c r="O344" i="2" l="1"/>
  <c r="O345" i="2" l="1"/>
  <c r="O346" i="2" l="1"/>
  <c r="O347" i="2" l="1"/>
  <c r="O348" i="2" l="1"/>
  <c r="O349" i="2" l="1"/>
  <c r="O350" i="2" l="1"/>
  <c r="O351" i="2" l="1"/>
  <c r="O352" i="2" l="1"/>
  <c r="O353" i="2" l="1"/>
  <c r="O354" i="2" l="1"/>
  <c r="O355" i="2" l="1"/>
  <c r="O356" i="2" l="1"/>
  <c r="O357" i="2" l="1"/>
  <c r="O358" i="2" l="1"/>
  <c r="O359" i="2" l="1"/>
  <c r="O360" i="2" l="1"/>
  <c r="O361" i="2" l="1"/>
  <c r="O362" i="2" l="1"/>
  <c r="O363" i="2" l="1"/>
  <c r="O364" i="2" l="1"/>
  <c r="O365" i="2" l="1"/>
  <c r="O366" i="2" l="1"/>
  <c r="O367" i="2" l="1"/>
  <c r="O368" i="2" l="1"/>
  <c r="O369" i="2" l="1"/>
  <c r="O370" i="2" l="1"/>
  <c r="O371" i="2" l="1"/>
  <c r="O372" i="2" l="1"/>
  <c r="O373" i="2" l="1"/>
  <c r="O374" i="2" l="1"/>
  <c r="O375" i="2" l="1"/>
  <c r="O376" i="2" l="1"/>
  <c r="O377" i="2" l="1"/>
  <c r="O378" i="2" l="1"/>
  <c r="O379" i="2" l="1"/>
  <c r="O380" i="2" l="1"/>
  <c r="O381" i="2" l="1"/>
  <c r="O382" i="2" l="1"/>
  <c r="O383" i="2" l="1"/>
  <c r="O384" i="2" l="1"/>
  <c r="O385" i="2" l="1"/>
  <c r="O386" i="2" l="1"/>
  <c r="O387" i="2" l="1"/>
  <c r="O388" i="2" l="1"/>
  <c r="O389" i="2" l="1"/>
  <c r="O390" i="2" l="1"/>
  <c r="O391" i="2" l="1"/>
  <c r="O392" i="2" l="1"/>
  <c r="O393" i="2" l="1"/>
  <c r="O394" i="2" l="1"/>
  <c r="O395" i="2" l="1"/>
  <c r="O396" i="2" l="1"/>
  <c r="O397" i="2" l="1"/>
  <c r="O398" i="2" l="1"/>
  <c r="O399" i="2" l="1"/>
  <c r="O400" i="2" l="1"/>
  <c r="O401" i="2" l="1"/>
  <c r="O402" i="2" l="1"/>
  <c r="O403" i="2" l="1"/>
  <c r="O404" i="2" l="1"/>
  <c r="O405" i="2" l="1"/>
  <c r="O406" i="2" l="1"/>
  <c r="O407" i="2" l="1"/>
  <c r="O408" i="2" l="1"/>
  <c r="O409" i="2" l="1"/>
  <c r="O410" i="2" l="1"/>
  <c r="O411" i="2" l="1"/>
  <c r="O412" i="2" l="1"/>
  <c r="O413" i="2" l="1"/>
  <c r="O414" i="2" l="1"/>
  <c r="O415" i="2" l="1"/>
  <c r="O416" i="2" l="1"/>
  <c r="O417" i="2" l="1"/>
  <c r="O418" i="2" l="1"/>
  <c r="O419" i="2" l="1"/>
  <c r="O420" i="2" l="1"/>
  <c r="O421" i="2" l="1"/>
  <c r="O422" i="2" l="1"/>
  <c r="O423" i="2" l="1"/>
  <c r="O424" i="2" l="1"/>
  <c r="O425" i="2" l="1"/>
  <c r="O426" i="2" l="1"/>
  <c r="O427" i="2" l="1"/>
  <c r="O428" i="2" l="1"/>
  <c r="O429" i="2" l="1"/>
  <c r="O430" i="2" l="1"/>
  <c r="O431" i="2" l="1"/>
  <c r="O432" i="2" l="1"/>
  <c r="O433" i="2" l="1"/>
  <c r="O434" i="2" l="1"/>
  <c r="O435" i="2" l="1"/>
  <c r="O436" i="2" l="1"/>
  <c r="O437" i="2" l="1"/>
  <c r="O438" i="2" l="1"/>
  <c r="O439" i="2" l="1"/>
  <c r="O440" i="2" l="1"/>
  <c r="O441" i="2" l="1"/>
  <c r="O442" i="2" l="1"/>
  <c r="O443" i="2" l="1"/>
  <c r="O444" i="2" l="1"/>
  <c r="O445" i="2" l="1"/>
  <c r="O446" i="2" l="1"/>
  <c r="O447" i="2" l="1"/>
  <c r="O448" i="2" l="1"/>
  <c r="O449" i="2" l="1"/>
  <c r="O450" i="2" l="1"/>
  <c r="O451" i="2" l="1"/>
  <c r="O452" i="2" l="1"/>
  <c r="O453" i="2" l="1"/>
  <c r="O454" i="2" l="1"/>
  <c r="O455" i="2" l="1"/>
  <c r="O456" i="2" l="1"/>
  <c r="O457" i="2" l="1"/>
  <c r="O458" i="2" l="1"/>
  <c r="O459" i="2" l="1"/>
  <c r="O460" i="2" l="1"/>
  <c r="O461" i="2" l="1"/>
  <c r="O462" i="2" l="1"/>
  <c r="O463" i="2" l="1"/>
  <c r="O464" i="2" l="1"/>
  <c r="O465" i="2" l="1"/>
  <c r="O466" i="2" l="1"/>
  <c r="O467" i="2" l="1"/>
  <c r="O468" i="2" l="1"/>
  <c r="O469" i="2" l="1"/>
  <c r="O470" i="2" l="1"/>
  <c r="O471" i="2" l="1"/>
  <c r="O472" i="2" l="1"/>
  <c r="O473" i="2" l="1"/>
  <c r="O474" i="2" l="1"/>
  <c r="O475" i="2" l="1"/>
  <c r="O476" i="2" l="1"/>
  <c r="O477" i="2" l="1"/>
  <c r="O478" i="2" l="1"/>
  <c r="O479" i="2" l="1"/>
  <c r="O480" i="2" l="1"/>
  <c r="O481" i="2" l="1"/>
  <c r="O482" i="2" l="1"/>
  <c r="O483" i="2" l="1"/>
  <c r="O484" i="2" l="1"/>
  <c r="O485" i="2" l="1"/>
  <c r="O486" i="2" l="1"/>
  <c r="O487" i="2" l="1"/>
  <c r="O488" i="2" l="1"/>
  <c r="O489" i="2" l="1"/>
  <c r="O490" i="2" l="1"/>
  <c r="O491" i="2" l="1"/>
  <c r="O492" i="2" l="1"/>
  <c r="O493" i="2" l="1"/>
  <c r="O494" i="2" l="1"/>
  <c r="O495" i="2" l="1"/>
  <c r="O496" i="2" l="1"/>
  <c r="O497" i="2" l="1"/>
  <c r="O498" i="2" l="1"/>
  <c r="O499" i="2" l="1"/>
  <c r="O500" i="2" l="1"/>
  <c r="O501" i="2" l="1"/>
  <c r="O502" i="2" l="1"/>
  <c r="O503" i="2" l="1"/>
  <c r="O504" i="2" l="1"/>
  <c r="O505" i="2" l="1"/>
  <c r="O506" i="2" l="1"/>
  <c r="O507" i="2" l="1"/>
  <c r="O508" i="2" l="1"/>
  <c r="O509" i="2" l="1"/>
  <c r="O510" i="2" l="1"/>
  <c r="O511" i="2" l="1"/>
  <c r="O512" i="2" l="1"/>
  <c r="O513" i="2" l="1"/>
  <c r="O514" i="2" l="1"/>
  <c r="O515" i="2" l="1"/>
  <c r="O516" i="2" l="1"/>
  <c r="O517" i="2" l="1"/>
  <c r="O518" i="2" l="1"/>
  <c r="O519" i="2" l="1"/>
  <c r="O520" i="2" l="1"/>
  <c r="O521" i="2" l="1"/>
  <c r="O522" i="2" l="1"/>
  <c r="O523" i="2" l="1"/>
  <c r="O524" i="2" l="1"/>
  <c r="O525" i="2" l="1"/>
  <c r="O526" i="2" l="1"/>
  <c r="O527" i="2" l="1"/>
  <c r="O528" i="2" l="1"/>
  <c r="O529" i="2" l="1"/>
  <c r="O530" i="2" l="1"/>
  <c r="O531" i="2" l="1"/>
  <c r="O532" i="2" l="1"/>
  <c r="O533" i="2" l="1"/>
  <c r="O534" i="2" l="1"/>
  <c r="O535" i="2" l="1"/>
  <c r="O536" i="2" l="1"/>
  <c r="O537" i="2" l="1"/>
  <c r="O538" i="2" l="1"/>
  <c r="O539" i="2" l="1"/>
  <c r="O540" i="2" l="1"/>
  <c r="O541" i="2" l="1"/>
  <c r="O542" i="2" l="1"/>
  <c r="O543" i="2" l="1"/>
  <c r="O544" i="2" l="1"/>
  <c r="O545" i="2" l="1"/>
  <c r="O546" i="2" l="1"/>
  <c r="O547" i="2" l="1"/>
  <c r="O548" i="2" l="1"/>
  <c r="O549" i="2" l="1"/>
  <c r="O550" i="2" l="1"/>
  <c r="O551" i="2" l="1"/>
  <c r="O552" i="2" l="1"/>
  <c r="O553" i="2" l="1"/>
  <c r="O554" i="2" l="1"/>
  <c r="O555" i="2" l="1"/>
  <c r="O556" i="2" l="1"/>
  <c r="O557" i="2" l="1"/>
  <c r="O558" i="2" l="1"/>
  <c r="O559" i="2" l="1"/>
  <c r="O560" i="2" l="1"/>
  <c r="O561" i="2" l="1"/>
  <c r="O562" i="2" l="1"/>
  <c r="O563" i="2" l="1"/>
  <c r="O564" i="2" l="1"/>
  <c r="O565" i="2" l="1"/>
  <c r="O566" i="2" l="1"/>
  <c r="O567" i="2" l="1"/>
  <c r="O568" i="2" l="1"/>
  <c r="O569" i="2" l="1"/>
  <c r="O570" i="2" l="1"/>
  <c r="O571" i="2" l="1"/>
  <c r="O572" i="2" l="1"/>
  <c r="O573" i="2" l="1"/>
  <c r="O574" i="2" l="1"/>
  <c r="O575" i="2" l="1"/>
  <c r="O576" i="2" l="1"/>
  <c r="O577" i="2" l="1"/>
  <c r="O578" i="2" l="1"/>
  <c r="O579" i="2" l="1"/>
  <c r="O580" i="2" l="1"/>
  <c r="O581" i="2" l="1"/>
  <c r="O582" i="2" l="1"/>
  <c r="O583" i="2" l="1"/>
  <c r="O584" i="2" l="1"/>
  <c r="O585" i="2" l="1"/>
  <c r="O586" i="2" l="1"/>
  <c r="O587" i="2" l="1"/>
  <c r="O588" i="2" l="1"/>
  <c r="O589" i="2" l="1"/>
  <c r="O590" i="2" l="1"/>
  <c r="O591" i="2" l="1"/>
  <c r="O592" i="2" l="1"/>
  <c r="O593" i="2" l="1"/>
  <c r="O594" i="2" l="1"/>
  <c r="O595" i="2" l="1"/>
  <c r="O596" i="2" l="1"/>
  <c r="O597" i="2" l="1"/>
  <c r="O598" i="2" l="1"/>
  <c r="O599" i="2" l="1"/>
  <c r="O600" i="2" l="1"/>
  <c r="O601" i="2" l="1"/>
  <c r="O602" i="2" l="1"/>
  <c r="O603" i="2" l="1"/>
  <c r="O604" i="2" l="1"/>
  <c r="O605" i="2" l="1"/>
  <c r="O606" i="2" l="1"/>
  <c r="O607" i="2" l="1"/>
  <c r="O608" i="2" l="1"/>
  <c r="O609" i="2" l="1"/>
  <c r="O610" i="2" l="1"/>
  <c r="O611" i="2" l="1"/>
  <c r="O612" i="2" l="1"/>
  <c r="O613" i="2" l="1"/>
  <c r="O614" i="2" l="1"/>
  <c r="O615" i="2" l="1"/>
  <c r="O616" i="2" l="1"/>
  <c r="O617" i="2" l="1"/>
  <c r="O618" i="2" l="1"/>
  <c r="O619" i="2" l="1"/>
  <c r="O620" i="2" l="1"/>
  <c r="O621" i="2" l="1"/>
  <c r="O622" i="2" l="1"/>
  <c r="O623" i="2" l="1"/>
  <c r="O624" i="2" l="1"/>
  <c r="O625" i="2" l="1"/>
  <c r="O626" i="2" l="1"/>
  <c r="O627" i="2" l="1"/>
  <c r="O628" i="2" l="1"/>
  <c r="O629" i="2" l="1"/>
  <c r="O630" i="2" l="1"/>
  <c r="O631" i="2" l="1"/>
  <c r="O632" i="2" l="1"/>
  <c r="O633" i="2" l="1"/>
  <c r="O634" i="2" l="1"/>
  <c r="O635" i="2" l="1"/>
  <c r="O636" i="2" l="1"/>
  <c r="O637" i="2" l="1"/>
  <c r="O638" i="2" l="1"/>
  <c r="O639" i="2" l="1"/>
  <c r="O640" i="2" l="1"/>
  <c r="O641" i="2" l="1"/>
  <c r="O642" i="2" l="1"/>
  <c r="O643" i="2" l="1"/>
  <c r="O644" i="2" l="1"/>
  <c r="O645" i="2" l="1"/>
  <c r="O646" i="2" l="1"/>
  <c r="O647" i="2" l="1"/>
  <c r="O648" i="2" l="1"/>
  <c r="O649" i="2" l="1"/>
  <c r="O650" i="2" l="1"/>
  <c r="O651" i="2" l="1"/>
  <c r="O652" i="2" l="1"/>
  <c r="O653" i="2" l="1"/>
  <c r="O654" i="2" l="1"/>
  <c r="O655" i="2" l="1"/>
  <c r="O656" i="2" l="1"/>
  <c r="O657" i="2" l="1"/>
  <c r="O658" i="2" l="1"/>
  <c r="O659" i="2" l="1"/>
  <c r="O660" i="2" l="1"/>
  <c r="O661" i="2" l="1"/>
  <c r="O662" i="2" l="1"/>
  <c r="O663" i="2" l="1"/>
  <c r="O664" i="2" l="1"/>
  <c r="O665" i="2" l="1"/>
  <c r="O666" i="2" l="1"/>
  <c r="O667" i="2" l="1"/>
  <c r="O668" i="2" l="1"/>
  <c r="O669" i="2" l="1"/>
  <c r="O670" i="2" l="1"/>
  <c r="O671" i="2" l="1"/>
  <c r="O672" i="2" l="1"/>
  <c r="O673" i="2" l="1"/>
  <c r="O674" i="2" l="1"/>
  <c r="O675" i="2" l="1"/>
  <c r="O676" i="2" l="1"/>
  <c r="O677" i="2" l="1"/>
  <c r="O678" i="2" l="1"/>
  <c r="O679" i="2" l="1"/>
  <c r="O680" i="2" l="1"/>
  <c r="O681" i="2" l="1"/>
  <c r="O682" i="2" l="1"/>
  <c r="O683" i="2" l="1"/>
  <c r="O684" i="2" l="1"/>
  <c r="O685" i="2" l="1"/>
  <c r="O686" i="2" l="1"/>
  <c r="O687" i="2" l="1"/>
  <c r="O688" i="2" l="1"/>
  <c r="O689" i="2" l="1"/>
  <c r="O690" i="2" l="1"/>
  <c r="O691" i="2" l="1"/>
  <c r="O692" i="2" l="1"/>
  <c r="O693" i="2" l="1"/>
  <c r="O694" i="2" l="1"/>
  <c r="O695" i="2" l="1"/>
  <c r="O696" i="2" l="1"/>
  <c r="O697" i="2" l="1"/>
  <c r="O698" i="2" l="1"/>
  <c r="O699" i="2" l="1"/>
  <c r="O700" i="2" l="1"/>
  <c r="O701" i="2" l="1"/>
  <c r="O702" i="2" l="1"/>
  <c r="O703" i="2" l="1"/>
  <c r="O704" i="2" l="1"/>
  <c r="O705" i="2" l="1"/>
  <c r="O706" i="2" l="1"/>
  <c r="O707" i="2" l="1"/>
  <c r="O708" i="2" l="1"/>
  <c r="O709" i="2" l="1"/>
  <c r="O710" i="2" l="1"/>
  <c r="O711" i="2" l="1"/>
  <c r="O712" i="2" l="1"/>
  <c r="O713" i="2" l="1"/>
  <c r="O714" i="2" l="1"/>
  <c r="O715" i="2" l="1"/>
  <c r="O716" i="2" l="1"/>
  <c r="O717" i="2" l="1"/>
  <c r="O718" i="2" l="1"/>
  <c r="O719" i="2" l="1"/>
  <c r="O720" i="2" l="1"/>
  <c r="O721" i="2" l="1"/>
  <c r="O722" i="2" l="1"/>
  <c r="O723" i="2" l="1"/>
  <c r="O724" i="2" l="1"/>
  <c r="O725" i="2" l="1"/>
  <c r="O726" i="2" l="1"/>
  <c r="O727" i="2" l="1"/>
  <c r="O728" i="2" l="1"/>
  <c r="O729" i="2" l="1"/>
  <c r="O730" i="2" l="1"/>
  <c r="O731" i="2" l="1"/>
  <c r="O732" i="2" l="1"/>
  <c r="O733" i="2" l="1"/>
  <c r="O734" i="2" l="1"/>
  <c r="O735" i="2" l="1"/>
  <c r="O736" i="2" l="1"/>
  <c r="O737" i="2" l="1"/>
  <c r="O738" i="2" l="1"/>
  <c r="O739" i="2" l="1"/>
  <c r="O740" i="2" l="1"/>
  <c r="O741" i="2" l="1"/>
  <c r="O742" i="2" l="1"/>
  <c r="O743" i="2" l="1"/>
  <c r="O744" i="2" l="1"/>
  <c r="O745" i="2" l="1"/>
  <c r="O746" i="2" l="1"/>
  <c r="O747" i="2" l="1"/>
  <c r="O748" i="2" l="1"/>
  <c r="O749" i="2" l="1"/>
  <c r="O750" i="2" l="1"/>
  <c r="O751" i="2" l="1"/>
  <c r="O752" i="2" l="1"/>
  <c r="O753" i="2" l="1"/>
  <c r="O754" i="2" l="1"/>
  <c r="O755" i="2" l="1"/>
  <c r="O756" i="2" l="1"/>
  <c r="O757" i="2" l="1"/>
  <c r="O758" i="2" l="1"/>
  <c r="O759" i="2" l="1"/>
  <c r="O760" i="2" l="1"/>
  <c r="O761" i="2" l="1"/>
  <c r="O762" i="2" l="1"/>
  <c r="O763" i="2" l="1"/>
  <c r="O764" i="2" l="1"/>
  <c r="O765" i="2" l="1"/>
  <c r="O766" i="2" l="1"/>
  <c r="O767" i="2" l="1"/>
  <c r="O768" i="2" l="1"/>
  <c r="O769" i="2" l="1"/>
  <c r="O770" i="2" l="1"/>
  <c r="O771" i="2" l="1"/>
  <c r="O772" i="2" l="1"/>
  <c r="O773" i="2" l="1"/>
  <c r="O774" i="2" l="1"/>
  <c r="O775" i="2" l="1"/>
  <c r="O776" i="2" l="1"/>
  <c r="O777" i="2" l="1"/>
  <c r="O778" i="2" l="1"/>
  <c r="O779" i="2" l="1"/>
  <c r="O780" i="2" l="1"/>
  <c r="O781" i="2" l="1"/>
  <c r="O782" i="2" l="1"/>
  <c r="O783" i="2" l="1"/>
  <c r="O784" i="2" l="1"/>
  <c r="O785" i="2" l="1"/>
  <c r="O786" i="2" l="1"/>
  <c r="O787" i="2" l="1"/>
  <c r="O788" i="2" l="1"/>
  <c r="O789" i="2" l="1"/>
  <c r="O790" i="2" l="1"/>
  <c r="O791" i="2" l="1"/>
  <c r="O792" i="2" l="1"/>
  <c r="O793" i="2" l="1"/>
  <c r="O794" i="2" l="1"/>
  <c r="O795" i="2" l="1"/>
  <c r="O796" i="2" l="1"/>
  <c r="O797" i="2" l="1"/>
  <c r="O798" i="2" l="1"/>
  <c r="O799" i="2" l="1"/>
  <c r="O800" i="2" l="1"/>
  <c r="O801" i="2" l="1"/>
  <c r="O802" i="2" l="1"/>
  <c r="O803" i="2" l="1"/>
  <c r="O804" i="2" l="1"/>
  <c r="O805" i="2" l="1"/>
  <c r="O806" i="2" l="1"/>
  <c r="O807" i="2" l="1"/>
  <c r="O808" i="2" l="1"/>
  <c r="O809" i="2" l="1"/>
  <c r="O810" i="2" l="1"/>
  <c r="O811" i="2" l="1"/>
  <c r="O812" i="2" l="1"/>
  <c r="O813" i="2" l="1"/>
  <c r="O814" i="2" l="1"/>
  <c r="O815" i="2" l="1"/>
  <c r="O816" i="2" l="1"/>
  <c r="O817" i="2" l="1"/>
  <c r="O818" i="2" l="1"/>
  <c r="O819" i="2" l="1"/>
  <c r="O820" i="2" l="1"/>
  <c r="O821" i="2" l="1"/>
  <c r="O822" i="2" l="1"/>
  <c r="O823" i="2" l="1"/>
  <c r="O824" i="2" l="1"/>
  <c r="O825" i="2" l="1"/>
  <c r="O826" i="2" l="1"/>
  <c r="O827" i="2" l="1"/>
  <c r="O828" i="2" l="1"/>
  <c r="O829" i="2" l="1"/>
  <c r="O830" i="2" l="1"/>
  <c r="O831" i="2" l="1"/>
  <c r="O832" i="2" l="1"/>
  <c r="O833" i="2" l="1"/>
  <c r="O834" i="2" l="1"/>
  <c r="O835" i="2" l="1"/>
  <c r="O836" i="2" l="1"/>
  <c r="O837" i="2" l="1"/>
  <c r="O838" i="2" l="1"/>
  <c r="O839" i="2" l="1"/>
  <c r="O840" i="2" l="1"/>
  <c r="O841" i="2" l="1"/>
  <c r="O842" i="2" l="1"/>
  <c r="O843" i="2" l="1"/>
  <c r="O844" i="2" l="1"/>
  <c r="O845" i="2" l="1"/>
  <c r="O846" i="2" l="1"/>
  <c r="O847" i="2" l="1"/>
  <c r="O848" i="2" l="1"/>
  <c r="O849" i="2" l="1"/>
  <c r="O850" i="2" l="1"/>
  <c r="O851" i="2" l="1"/>
  <c r="O852" i="2" l="1"/>
  <c r="O853" i="2" l="1"/>
  <c r="O854" i="2" l="1"/>
  <c r="O855" i="2" l="1"/>
  <c r="O856" i="2" l="1"/>
  <c r="O857" i="2" l="1"/>
  <c r="O858" i="2" l="1"/>
  <c r="O859" i="2" l="1"/>
  <c r="O860" i="2" l="1"/>
  <c r="O861" i="2" l="1"/>
  <c r="O862" i="2" l="1"/>
  <c r="O863" i="2" l="1"/>
  <c r="O864" i="2" l="1"/>
  <c r="O865" i="2" l="1"/>
  <c r="O866" i="2" l="1"/>
  <c r="O867" i="2" l="1"/>
  <c r="O868" i="2" l="1"/>
  <c r="O869" i="2" l="1"/>
  <c r="O870" i="2" l="1"/>
  <c r="O871" i="2" l="1"/>
  <c r="O872" i="2" l="1"/>
  <c r="O873" i="2" l="1"/>
  <c r="O874" i="2" l="1"/>
  <c r="O875" i="2" l="1"/>
  <c r="O876" i="2" l="1"/>
  <c r="O877" i="2" l="1"/>
  <c r="O878" i="2" l="1"/>
  <c r="O879" i="2" l="1"/>
  <c r="O880" i="2" l="1"/>
  <c r="O881" i="2" l="1"/>
  <c r="O882" i="2" l="1"/>
  <c r="O883" i="2" l="1"/>
  <c r="O884" i="2" l="1"/>
  <c r="O885" i="2" l="1"/>
  <c r="O886" i="2" l="1"/>
  <c r="O887" i="2" l="1"/>
  <c r="O888" i="2" l="1"/>
  <c r="O889" i="2" l="1"/>
  <c r="O890" i="2" l="1"/>
  <c r="O891" i="2" l="1"/>
  <c r="O892" i="2" l="1"/>
  <c r="O893" i="2" l="1"/>
  <c r="O894" i="2" l="1"/>
  <c r="O895" i="2" l="1"/>
  <c r="O896" i="2" l="1"/>
  <c r="O897" i="2" l="1"/>
  <c r="O898" i="2" l="1"/>
  <c r="O899" i="2" l="1"/>
  <c r="O900" i="2" l="1"/>
  <c r="O901" i="2" l="1"/>
  <c r="O902" i="2" l="1"/>
  <c r="O903" i="2" l="1"/>
  <c r="O904" i="2" l="1"/>
  <c r="O905" i="2" l="1"/>
  <c r="O906" i="2" l="1"/>
  <c r="O907" i="2" l="1"/>
  <c r="O908" i="2" l="1"/>
  <c r="O909" i="2" l="1"/>
  <c r="O910" i="2" l="1"/>
  <c r="O911" i="2" l="1"/>
  <c r="O912" i="2" l="1"/>
  <c r="O913" i="2" l="1"/>
  <c r="O914" i="2" l="1"/>
  <c r="O915" i="2" l="1"/>
  <c r="O916" i="2" l="1"/>
  <c r="O917" i="2" l="1"/>
  <c r="O918" i="2" l="1"/>
  <c r="O919" i="2" l="1"/>
  <c r="O920" i="2" l="1"/>
  <c r="O921" i="2" l="1"/>
  <c r="O922" i="2" l="1"/>
  <c r="O923" i="2" l="1"/>
  <c r="O924" i="2" l="1"/>
  <c r="O925" i="2" l="1"/>
  <c r="O926" i="2" l="1"/>
  <c r="O927" i="2" l="1"/>
  <c r="O928" i="2" l="1"/>
  <c r="O929" i="2" l="1"/>
  <c r="O930" i="2" l="1"/>
  <c r="O931" i="2" l="1"/>
  <c r="O932" i="2" l="1"/>
  <c r="O933" i="2" l="1"/>
  <c r="O934" i="2" l="1"/>
  <c r="O935" i="2" l="1"/>
  <c r="O936" i="2" l="1"/>
  <c r="O937" i="2" l="1"/>
  <c r="O938" i="2" l="1"/>
  <c r="O939" i="2" l="1"/>
  <c r="O940" i="2" l="1"/>
  <c r="O941" i="2" l="1"/>
  <c r="O942" i="2" l="1"/>
  <c r="O943" i="2" l="1"/>
  <c r="O944" i="2" l="1"/>
  <c r="O945" i="2" l="1"/>
  <c r="O946" i="2" l="1"/>
  <c r="O947" i="2" l="1"/>
  <c r="O948" i="2" l="1"/>
  <c r="O949" i="2" l="1"/>
  <c r="O950" i="2" l="1"/>
  <c r="O951" i="2" l="1"/>
  <c r="O952" i="2" l="1"/>
  <c r="O953" i="2" l="1"/>
  <c r="O954" i="2" l="1"/>
  <c r="O955" i="2" l="1"/>
  <c r="O956" i="2" l="1"/>
  <c r="O957" i="2" l="1"/>
  <c r="O958" i="2" l="1"/>
  <c r="O959" i="2" l="1"/>
  <c r="O960" i="2" l="1"/>
  <c r="O961" i="2" l="1"/>
  <c r="O962" i="2" l="1"/>
  <c r="O963" i="2" l="1"/>
  <c r="O964" i="2" l="1"/>
  <c r="O965" i="2" l="1"/>
  <c r="O966" i="2" l="1"/>
  <c r="O967" i="2" l="1"/>
  <c r="O968" i="2" l="1"/>
  <c r="O969" i="2" l="1"/>
  <c r="O970" i="2" l="1"/>
  <c r="O971" i="2" l="1"/>
  <c r="O972" i="2" l="1"/>
  <c r="O973" i="2" l="1"/>
  <c r="O974" i="2" l="1"/>
  <c r="O975" i="2" l="1"/>
  <c r="O976" i="2" l="1"/>
  <c r="O977" i="2" l="1"/>
  <c r="O978" i="2" l="1"/>
  <c r="O979" i="2" l="1"/>
  <c r="O980" i="2" l="1"/>
  <c r="O981" i="2" l="1"/>
  <c r="O982" i="2" l="1"/>
  <c r="O983" i="2" l="1"/>
  <c r="O984" i="2" l="1"/>
  <c r="O985" i="2" l="1"/>
  <c r="O986" i="2" l="1"/>
  <c r="O987" i="2" l="1"/>
  <c r="O988" i="2" l="1"/>
  <c r="O989" i="2" l="1"/>
  <c r="O990" i="2" l="1"/>
  <c r="O991" i="2" l="1"/>
  <c r="O992" i="2" l="1"/>
  <c r="O993" i="2" l="1"/>
  <c r="O994" i="2" l="1"/>
  <c r="O995" i="2" l="1"/>
  <c r="O996" i="2" l="1"/>
  <c r="O997" i="2" l="1"/>
  <c r="O998" i="2" l="1"/>
  <c r="O999" i="2" l="1"/>
  <c r="O1000" i="2" l="1"/>
  <c r="O1001" i="2" l="1"/>
  <c r="O1002" i="2" l="1"/>
  <c r="O1003" i="2" l="1"/>
  <c r="O1004" i="2" l="1"/>
  <c r="O1005" i="2" l="1"/>
  <c r="O1006" i="2" l="1"/>
  <c r="O1007" i="2" l="1"/>
  <c r="O1008" i="2" l="1"/>
  <c r="O1009" i="2" l="1"/>
  <c r="O1010" i="2" l="1"/>
  <c r="O1011" i="2" l="1"/>
  <c r="O1012" i="2" l="1"/>
  <c r="O1013" i="2" l="1"/>
  <c r="O1014" i="2" l="1"/>
  <c r="O1015" i="2" l="1"/>
  <c r="O1016" i="2" l="1"/>
  <c r="O1017" i="2" l="1"/>
  <c r="O1018" i="2" l="1"/>
  <c r="O1019" i="2" l="1"/>
  <c r="O1020" i="2" l="1"/>
  <c r="O1021" i="2" l="1"/>
  <c r="O1022" i="2" l="1"/>
  <c r="O1023" i="2" l="1"/>
  <c r="O1024" i="2" l="1"/>
  <c r="O1025" i="2" l="1"/>
  <c r="O1026" i="2" l="1"/>
  <c r="O1027" i="2" l="1"/>
  <c r="O1028" i="2" l="1"/>
  <c r="O1029" i="2" l="1"/>
  <c r="O1030" i="2" l="1"/>
  <c r="O1031" i="2" l="1"/>
  <c r="O1032" i="2" l="1"/>
  <c r="O1033" i="2" l="1"/>
  <c r="O1034" i="2" l="1"/>
  <c r="O103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AG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DATA01</t>
        </r>
      </text>
    </comment>
    <comment ref="AH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DATA02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DATA03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DATA03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INDEX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<sst xmlns="http://schemas.openxmlformats.org/spreadsheetml/2006/main" count="103" uniqueCount="99">
  <si>
    <t>Assumation</t>
  </si>
  <si>
    <t>Sum of Weights:</t>
  </si>
  <si>
    <t>Portfolio Expected Return:</t>
  </si>
  <si>
    <t>Portfolio Standard Deviation:</t>
  </si>
  <si>
    <t>Expected Sharp Ratio:</t>
  </si>
  <si>
    <t>Optimal Weights:</t>
  </si>
  <si>
    <t>Variance</t>
  </si>
  <si>
    <t>Covariance</t>
  </si>
  <si>
    <t>Correlation</t>
  </si>
  <si>
    <t>Expected Returns:</t>
  </si>
  <si>
    <t>Variance Covariance Matrix:</t>
  </si>
  <si>
    <t>DATA01 Weight</t>
  </si>
  <si>
    <t>DATA02 Weight</t>
  </si>
  <si>
    <t>DATA03 Weight</t>
  </si>
  <si>
    <t>DATA04 Weight</t>
  </si>
  <si>
    <t>DATA01</t>
  </si>
  <si>
    <t>DATA02</t>
  </si>
  <si>
    <t>DATA03</t>
  </si>
  <si>
    <t>DATA04</t>
  </si>
  <si>
    <t>INDEX</t>
  </si>
  <si>
    <t>DATA01 - EPS</t>
  </si>
  <si>
    <t>DATA01 - SALE</t>
  </si>
  <si>
    <t>DATA01 - B</t>
  </si>
  <si>
    <t>DATA01 - FCF</t>
  </si>
  <si>
    <t>DATA02 - SALE</t>
  </si>
  <si>
    <t>DATA02 - EPS</t>
  </si>
  <si>
    <t>DATA02 - B</t>
  </si>
  <si>
    <t>DATA02 - FCF</t>
  </si>
  <si>
    <t>DATA01 - PRICE</t>
  </si>
  <si>
    <t>DATA02 - PRICE</t>
  </si>
  <si>
    <t>DATA03 - PRICE</t>
  </si>
  <si>
    <t>DATA03 - SALE</t>
  </si>
  <si>
    <t>DATA03 - EPS</t>
  </si>
  <si>
    <t>DATA03 - B</t>
  </si>
  <si>
    <t>DATA03 - FCF</t>
  </si>
  <si>
    <t>DATA04 - FCF</t>
  </si>
  <si>
    <t>DATA04 - PRICE</t>
  </si>
  <si>
    <t>DATA04 - SALE</t>
  </si>
  <si>
    <t>DATA04 - EPS</t>
  </si>
  <si>
    <t>DATA04 - B</t>
  </si>
  <si>
    <t>INDEX - SALE</t>
  </si>
  <si>
    <t>INDEX - EPS</t>
  </si>
  <si>
    <t>INDEX - B</t>
  </si>
  <si>
    <t>INDEX - FCF</t>
  </si>
  <si>
    <t>Beta</t>
  </si>
  <si>
    <t>Risk-Free rate</t>
  </si>
  <si>
    <t>Correlation Matrix:</t>
  </si>
  <si>
    <t>Portfolio Correlation:</t>
  </si>
  <si>
    <t>Confidence Interval:</t>
  </si>
  <si>
    <t>Z-stat:</t>
  </si>
  <si>
    <t>VCV Var (%):</t>
  </si>
  <si>
    <t>HS Var (%):</t>
  </si>
  <si>
    <t>VCV Var (Price):</t>
  </si>
  <si>
    <t>HS Var (Price):</t>
  </si>
  <si>
    <t>Portfolio Value (Price):</t>
  </si>
  <si>
    <t>Inverse of Variance Covariance Matrix:</t>
  </si>
  <si>
    <t>e-vector</t>
  </si>
  <si>
    <t>r-vector</t>
  </si>
  <si>
    <t>h-vector</t>
  </si>
  <si>
    <t>g-vector</t>
  </si>
  <si>
    <t>alpha</t>
  </si>
  <si>
    <t>beta</t>
  </si>
  <si>
    <t>gamma</t>
  </si>
  <si>
    <t>delta</t>
  </si>
  <si>
    <t>MVP:</t>
  </si>
  <si>
    <t>MVP return</t>
  </si>
  <si>
    <t>MVP risk</t>
  </si>
  <si>
    <t>Risk</t>
  </si>
  <si>
    <t>Return</t>
  </si>
  <si>
    <t>Expected Returns (CAPM)</t>
  </si>
  <si>
    <t>Investing horizon, days:</t>
  </si>
  <si>
    <t>Annualised Return</t>
  </si>
  <si>
    <t>Annualised Risk</t>
  </si>
  <si>
    <t>Annual Investing Days:</t>
  </si>
  <si>
    <t>Annualised Risk-Free Rate:</t>
  </si>
  <si>
    <t>Sharp Ratio</t>
  </si>
  <si>
    <t>RETURN DATA 01</t>
  </si>
  <si>
    <t>RETURN DATA 02</t>
  </si>
  <si>
    <t>RETURN DATA 03</t>
  </si>
  <si>
    <t>RETURN DATA 04</t>
  </si>
  <si>
    <t>RETURN DATA INDEX</t>
  </si>
  <si>
    <t>PORTFOLIO</t>
  </si>
  <si>
    <t>Downside DATA 01</t>
  </si>
  <si>
    <t>Downside DATA 02</t>
  </si>
  <si>
    <t>Downside DATA 03</t>
  </si>
  <si>
    <t>Downside DATA 04</t>
  </si>
  <si>
    <t>Downside DATA INDEX</t>
  </si>
  <si>
    <t>Semi Deviation</t>
  </si>
  <si>
    <t>Treynor Ratio</t>
  </si>
  <si>
    <t>Sortino Ratio</t>
  </si>
  <si>
    <t>Capital market line</t>
  </si>
  <si>
    <t>risk</t>
  </si>
  <si>
    <t>return</t>
  </si>
  <si>
    <t>Efficient porfolio frontier</t>
  </si>
  <si>
    <t>tangency return</t>
  </si>
  <si>
    <t>tangency risk</t>
  </si>
  <si>
    <t>slope of CML</t>
  </si>
  <si>
    <t>lambda</t>
  </si>
  <si>
    <t>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</si>
</sst>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%"/>
    <numFmt numFmtId="166" formatCode="0.000%"/>
    <numFmt numFmtId="170" formatCode="0.00000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/>
    <xf numFmtId="164" fontId="0" fillId="0" borderId="2" xfId="0" applyNumberFormat="1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164" fontId="0" fillId="0" borderId="6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0" borderId="0" xfId="0" applyBorder="1"/>
    <xf numFmtId="0" fontId="0" fillId="0" borderId="4" xfId="0" applyBorder="1"/>
    <xf numFmtId="164" fontId="0" fillId="0" borderId="8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Alignment="1" applyProtection="1">
      <alignment horizontal="center" vertical="center"/>
    </xf>
    <xf numFmtId="10" fontId="3" fillId="0" borderId="4" xfId="1" applyNumberFormat="1" applyFont="1" applyBorder="1" applyAlignment="1" applyProtection="1">
      <alignment horizontal="center" vertical="center"/>
      <protection locked="0"/>
    </xf>
    <xf numFmtId="10" fontId="7" fillId="0" borderId="4" xfId="0" applyNumberFormat="1" applyFont="1" applyBorder="1" applyAlignment="1" applyProtection="1">
      <alignment horizontal="center" vertical="center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5" borderId="0" xfId="0" applyFill="1" applyAlignment="1" applyProtection="1">
      <alignment horizontal="center" vertical="center"/>
      <protection locked="0"/>
    </xf>
    <xf numFmtId="0" fontId="0" fillId="6" borderId="0" xfId="0" applyFill="1" applyAlignment="1" applyProtection="1">
      <alignment horizontal="center" vertical="center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/>
    <xf numFmtId="0" fontId="0" fillId="0" borderId="2" xfId="0" applyBorder="1"/>
    <xf numFmtId="0" fontId="1" fillId="0" borderId="9" xfId="0" applyFont="1" applyBorder="1" applyAlignment="1">
      <alignment horizontal="right"/>
    </xf>
    <xf numFmtId="11" fontId="7" fillId="0" borderId="4" xfId="0" applyNumberFormat="1" applyFont="1" applyBorder="1" applyAlignment="1" applyProtection="1">
      <alignment horizontal="center" vertical="center"/>
      <protection locked="0"/>
    </xf>
    <xf numFmtId="11" fontId="0" fillId="0" borderId="10" xfId="0" applyNumberFormat="1" applyBorder="1" applyAlignment="1">
      <alignment horizontal="center" vertical="center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11" fontId="0" fillId="0" borderId="0" xfId="0" applyNumberFormat="1"/>
    <xf numFmtId="165" fontId="0" fillId="0" borderId="0" xfId="1" applyNumberFormat="1" applyFon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0" fontId="0" fillId="0" borderId="0" xfId="1" applyNumberFormat="1" applyFont="1" applyBorder="1" applyAlignment="1">
      <alignment horizontal="center"/>
    </xf>
    <xf numFmtId="0" fontId="0" fillId="0" borderId="8" xfId="0" applyBorder="1"/>
    <xf numFmtId="0" fontId="0" fillId="0" borderId="6" xfId="0" applyBorder="1"/>
    <xf numFmtId="0" fontId="4" fillId="0" borderId="5" xfId="0" applyFont="1" applyBorder="1" applyAlignment="1">
      <alignment horizontal="center"/>
    </xf>
    <xf numFmtId="10" fontId="0" fillId="0" borderId="8" xfId="1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" fontId="0" fillId="0" borderId="1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" fillId="0" borderId="6" xfId="0" applyNumberFormat="1" applyFont="1" applyBorder="1" applyAlignment="1" applyProtection="1">
      <alignment horizontal="center" vertical="center"/>
      <protection locked="0"/>
    </xf>
    <xf numFmtId="0" fontId="4" fillId="0" borderId="2" xfId="0" applyFont="1" applyFill="1" applyBorder="1" applyAlignment="1">
      <alignment horizontal="center" vertical="center"/>
    </xf>
    <xf numFmtId="10" fontId="0" fillId="7" borderId="0" xfId="0" applyNumberFormat="1" applyFill="1" applyAlignment="1" applyProtection="1">
      <alignment horizontal="center" vertical="center"/>
    </xf>
    <xf numFmtId="0" fontId="0" fillId="7" borderId="0" xfId="0" applyFill="1" applyAlignment="1" applyProtection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0" fillId="0" borderId="7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170" fontId="0" fillId="0" borderId="0" xfId="0" applyNumberFormat="1" applyFill="1" applyAlignment="1" applyProtection="1">
      <alignment horizontal="center" vertical="center"/>
      <protection locked="0"/>
    </xf>
    <xf numFmtId="170" fontId="0" fillId="0" borderId="0" xfId="0" applyNumberFormat="1" applyAlignment="1" applyProtection="1">
      <alignment horizontal="center" vertical="center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DATA!$AG$2</c:f>
              <c:strCache>
                <c:ptCount val="1"/>
                <c:pt idx="0">
                  <c:v>RETURN DATA 01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DATA!$AG$3:$AG$1000</c:f>
              <c:numCache>
                <c:formatCode>0.00%</c:formatCode>
                <c:ptCount val="998"/>
                <c:pt idx="0">
                  <c:v>-3.2149875946646588E-4</c:v>
                </c:pt>
                <c:pt idx="1">
                  <c:v>-4.070437793570078E-4</c:v>
                </c:pt>
                <c:pt idx="2">
                  <c:v>1.1195634009746367E-4</c:v>
                </c:pt>
                <c:pt idx="3">
                  <c:v>-2.1120646631281781E-4</c:v>
                </c:pt>
                <c:pt idx="4">
                  <c:v>-1.3271543329336673E-4</c:v>
                </c:pt>
                <c:pt idx="5">
                  <c:v>2.4485975997535911E-4</c:v>
                </c:pt>
                <c:pt idx="6">
                  <c:v>-3.3940245777002966E-4</c:v>
                </c:pt>
                <c:pt idx="7">
                  <c:v>5.0861704280283289E-5</c:v>
                </c:pt>
                <c:pt idx="8">
                  <c:v>9.4501139249776717E-5</c:v>
                </c:pt>
                <c:pt idx="9">
                  <c:v>2.3311567446522214E-4</c:v>
                </c:pt>
                <c:pt idx="10">
                  <c:v>-1.0391823503784008E-4</c:v>
                </c:pt>
                <c:pt idx="11">
                  <c:v>2.1542958120220634E-4</c:v>
                </c:pt>
                <c:pt idx="12">
                  <c:v>-2.2202051512738589E-4</c:v>
                </c:pt>
                <c:pt idx="13">
                  <c:v>2.2508562579246692E-4</c:v>
                </c:pt>
                <c:pt idx="14">
                  <c:v>3.5309590809173953E-5</c:v>
                </c:pt>
                <c:pt idx="15">
                  <c:v>5.007934924915093E-4</c:v>
                </c:pt>
                <c:pt idx="16">
                  <c:v>-1.1484809866661006E-4</c:v>
                </c:pt>
                <c:pt idx="17">
                  <c:v>-1.5711854879013807E-4</c:v>
                </c:pt>
                <c:pt idx="18">
                  <c:v>-9.6940731096341117E-5</c:v>
                </c:pt>
                <c:pt idx="19">
                  <c:v>1.9390379793314202E-4</c:v>
                </c:pt>
                <c:pt idx="20">
                  <c:v>-2.2646257013417034E-4</c:v>
                </c:pt>
                <c:pt idx="21">
                  <c:v>-5.5599608625525894E-5</c:v>
                </c:pt>
                <c:pt idx="22">
                  <c:v>-1.9488785950372186E-4</c:v>
                </c:pt>
                <c:pt idx="23">
                  <c:v>3.0455423185142837E-4</c:v>
                </c:pt>
                <c:pt idx="24">
                  <c:v>-3.9499410759887173E-5</c:v>
                </c:pt>
                <c:pt idx="25">
                  <c:v>1.401294653764573E-4</c:v>
                </c:pt>
                <c:pt idx="26">
                  <c:v>3.9682096110670452E-5</c:v>
                </c:pt>
                <c:pt idx="27">
                  <c:v>4.9763798485354996E-5</c:v>
                </c:pt>
                <c:pt idx="28">
                  <c:v>-1.8936725317079617E-4</c:v>
                </c:pt>
                <c:pt idx="29">
                  <c:v>1.4836854438324784E-5</c:v>
                </c:pt>
                <c:pt idx="30">
                  <c:v>1.5871806896143332E-4</c:v>
                </c:pt>
                <c:pt idx="31">
                  <c:v>-7.3736650488040077E-4</c:v>
                </c:pt>
                <c:pt idx="32">
                  <c:v>8.181451696953745E-5</c:v>
                </c:pt>
                <c:pt idx="33">
                  <c:v>2.3643398051749226E-4</c:v>
                </c:pt>
                <c:pt idx="34">
                  <c:v>3.6666207057152781E-4</c:v>
                </c:pt>
                <c:pt idx="35">
                  <c:v>7.3658114460916609E-6</c:v>
                </c:pt>
                <c:pt idx="36">
                  <c:v>6.800478254274933E-6</c:v>
                </c:pt>
                <c:pt idx="37">
                  <c:v>2.2599100051280894E-4</c:v>
                </c:pt>
                <c:pt idx="38">
                  <c:v>-1.5933284149796223E-4</c:v>
                </c:pt>
                <c:pt idx="39">
                  <c:v>2.6612648560492524E-4</c:v>
                </c:pt>
                <c:pt idx="40">
                  <c:v>-1.2064204692625853E-4</c:v>
                </c:pt>
                <c:pt idx="41">
                  <c:v>1.8529191945756789E-4</c:v>
                </c:pt>
                <c:pt idx="42">
                  <c:v>-4.6376658808672998E-4</c:v>
                </c:pt>
                <c:pt idx="43">
                  <c:v>4.0617957827996023E-5</c:v>
                </c:pt>
                <c:pt idx="44">
                  <c:v>5.2054881475453729E-4</c:v>
                </c:pt>
                <c:pt idx="45">
                  <c:v>-2.2557053739452287E-4</c:v>
                </c:pt>
                <c:pt idx="46">
                  <c:v>1.4842151969870977E-4</c:v>
                </c:pt>
                <c:pt idx="47">
                  <c:v>-6.281190858082812E-5</c:v>
                </c:pt>
                <c:pt idx="48">
                  <c:v>1.5134993334401529E-5</c:v>
                </c:pt>
                <c:pt idx="49">
                  <c:v>8.4724280658903342E-5</c:v>
                </c:pt>
                <c:pt idx="50">
                  <c:v>2.5127658637447435E-4</c:v>
                </c:pt>
                <c:pt idx="51">
                  <c:v>-1.5912049163759786E-4</c:v>
                </c:pt>
                <c:pt idx="52">
                  <c:v>-4.9805157620360837E-5</c:v>
                </c:pt>
                <c:pt idx="53">
                  <c:v>-7.2553668052210239E-5</c:v>
                </c:pt>
                <c:pt idx="54">
                  <c:v>2.3744187832037026E-4</c:v>
                </c:pt>
                <c:pt idx="55">
                  <c:v>-1.2931625593464428E-4</c:v>
                </c:pt>
                <c:pt idx="56">
                  <c:v>-2.6929740361769791E-4</c:v>
                </c:pt>
                <c:pt idx="57">
                  <c:v>1.0727988820664235E-4</c:v>
                </c:pt>
                <c:pt idx="58">
                  <c:v>1.2411064031999121E-4</c:v>
                </c:pt>
                <c:pt idx="59">
                  <c:v>2.962642297008333E-4</c:v>
                </c:pt>
                <c:pt idx="60">
                  <c:v>1.1830745419412298E-4</c:v>
                </c:pt>
                <c:pt idx="61">
                  <c:v>6.4924393358174365E-5</c:v>
                </c:pt>
                <c:pt idx="62">
                  <c:v>-4.1415427871339575E-4</c:v>
                </c:pt>
                <c:pt idx="63">
                  <c:v>-3.8115464697949784E-4</c:v>
                </c:pt>
                <c:pt idx="64">
                  <c:v>9.2816582026188611E-6</c:v>
                </c:pt>
                <c:pt idx="65">
                  <c:v>-8.7415925522871263E-5</c:v>
                </c:pt>
                <c:pt idx="66">
                  <c:v>-1.1251663027992614E-4</c:v>
                </c:pt>
                <c:pt idx="67">
                  <c:v>-3.3130983436712824E-4</c:v>
                </c:pt>
                <c:pt idx="68">
                  <c:v>-4.3255651124139461E-5</c:v>
                </c:pt>
                <c:pt idx="69">
                  <c:v>-2.9977156506232625E-4</c:v>
                </c:pt>
                <c:pt idx="70">
                  <c:v>4.9646293560525191E-5</c:v>
                </c:pt>
                <c:pt idx="71">
                  <c:v>-1.2871134353892327E-4</c:v>
                </c:pt>
                <c:pt idx="72">
                  <c:v>2.6769098290661261E-4</c:v>
                </c:pt>
                <c:pt idx="73">
                  <c:v>4.0546974104196481E-4</c:v>
                </c:pt>
                <c:pt idx="74">
                  <c:v>1.9140586286318085E-4</c:v>
                </c:pt>
                <c:pt idx="75">
                  <c:v>-1.1493532167895277E-4</c:v>
                </c:pt>
                <c:pt idx="76">
                  <c:v>2.1943964402437679E-5</c:v>
                </c:pt>
                <c:pt idx="77">
                  <c:v>-1.3135585990427676E-4</c:v>
                </c:pt>
                <c:pt idx="78">
                  <c:v>-1.5313553735217569E-4</c:v>
                </c:pt>
                <c:pt idx="79">
                  <c:v>2.3860024947568374E-4</c:v>
                </c:pt>
                <c:pt idx="80">
                  <c:v>-1.9366852501899933E-4</c:v>
                </c:pt>
                <c:pt idx="81">
                  <c:v>1.447020493803309E-4</c:v>
                </c:pt>
                <c:pt idx="82">
                  <c:v>-2.3731453650943322E-5</c:v>
                </c:pt>
                <c:pt idx="83">
                  <c:v>-1.6795299709625876E-5</c:v>
                </c:pt>
                <c:pt idx="84">
                  <c:v>-1.5786103571984548E-4</c:v>
                </c:pt>
                <c:pt idx="85">
                  <c:v>-2.9095455139608815E-6</c:v>
                </c:pt>
                <c:pt idx="86">
                  <c:v>3.1119368224983895E-4</c:v>
                </c:pt>
                <c:pt idx="87">
                  <c:v>-6.0993001604960946E-5</c:v>
                </c:pt>
                <c:pt idx="88">
                  <c:v>5.0976073898931207E-4</c:v>
                </c:pt>
                <c:pt idx="89">
                  <c:v>2.1830488927326074E-4</c:v>
                </c:pt>
                <c:pt idx="90">
                  <c:v>-6.1089754273520132E-5</c:v>
                </c:pt>
                <c:pt idx="91">
                  <c:v>9.0228846265043723E-5</c:v>
                </c:pt>
                <c:pt idx="92">
                  <c:v>-4.8147020045478651E-4</c:v>
                </c:pt>
                <c:pt idx="93">
                  <c:v>3.3105110418430367E-4</c:v>
                </c:pt>
                <c:pt idx="94">
                  <c:v>-3.7410915328254764E-4</c:v>
                </c:pt>
                <c:pt idx="95">
                  <c:v>-2.7405984469783685E-4</c:v>
                </c:pt>
                <c:pt idx="96">
                  <c:v>4.8149626635769766E-4</c:v>
                </c:pt>
                <c:pt idx="97">
                  <c:v>-1.4557773858292296E-4</c:v>
                </c:pt>
                <c:pt idx="98">
                  <c:v>7.2644050790235629E-5</c:v>
                </c:pt>
                <c:pt idx="99">
                  <c:v>-1.9196814015419241E-4</c:v>
                </c:pt>
                <c:pt idx="100">
                  <c:v>1.6366153689524276E-4</c:v>
                </c:pt>
                <c:pt idx="101">
                  <c:v>1.322414215269267E-5</c:v>
                </c:pt>
                <c:pt idx="102">
                  <c:v>-1.2756125824548171E-4</c:v>
                </c:pt>
                <c:pt idx="103">
                  <c:v>-2.7186444134032125E-4</c:v>
                </c:pt>
                <c:pt idx="104">
                  <c:v>1.0261268542867763E-5</c:v>
                </c:pt>
                <c:pt idx="105">
                  <c:v>-1.0034266264208318E-4</c:v>
                </c:pt>
                <c:pt idx="106">
                  <c:v>-9.4269146245976187E-5</c:v>
                </c:pt>
                <c:pt idx="107">
                  <c:v>-1.1705893216831762E-4</c:v>
                </c:pt>
                <c:pt idx="108">
                  <c:v>-3.1604603209538159E-4</c:v>
                </c:pt>
                <c:pt idx="109">
                  <c:v>8.1278938688520878E-5</c:v>
                </c:pt>
                <c:pt idx="110">
                  <c:v>1.9327102042902678E-4</c:v>
                </c:pt>
                <c:pt idx="111">
                  <c:v>1.6913077703594048E-4</c:v>
                </c:pt>
                <c:pt idx="112">
                  <c:v>-2.8475656849357272E-5</c:v>
                </c:pt>
                <c:pt idx="113">
                  <c:v>-6.7115959145360698E-6</c:v>
                </c:pt>
                <c:pt idx="114">
                  <c:v>1.6855032698254527E-4</c:v>
                </c:pt>
                <c:pt idx="115">
                  <c:v>-2.4841661900262005E-4</c:v>
                </c:pt>
                <c:pt idx="116">
                  <c:v>2.249039069724566E-4</c:v>
                </c:pt>
                <c:pt idx="117">
                  <c:v>1.2647347362472076E-4</c:v>
                </c:pt>
                <c:pt idx="118">
                  <c:v>-1.091624063533123E-4</c:v>
                </c:pt>
                <c:pt idx="119">
                  <c:v>-1.7067977607885013E-4</c:v>
                </c:pt>
                <c:pt idx="120">
                  <c:v>-3.3155409465057082E-4</c:v>
                </c:pt>
                <c:pt idx="121">
                  <c:v>3.1024759842541262E-4</c:v>
                </c:pt>
                <c:pt idx="122">
                  <c:v>3.1790889379338961E-4</c:v>
                </c:pt>
                <c:pt idx="123">
                  <c:v>-1.8669343381783431E-4</c:v>
                </c:pt>
                <c:pt idx="124">
                  <c:v>-2.393924705333143E-4</c:v>
                </c:pt>
                <c:pt idx="125">
                  <c:v>2.4085444549133513E-4</c:v>
                </c:pt>
                <c:pt idx="126">
                  <c:v>2.9365823250571816E-4</c:v>
                </c:pt>
                <c:pt idx="127">
                  <c:v>-2.3832433232116694E-4</c:v>
                </c:pt>
                <c:pt idx="128">
                  <c:v>1.2904107028127425E-4</c:v>
                </c:pt>
                <c:pt idx="129">
                  <c:v>-2.8232002682847501E-4</c:v>
                </c:pt>
                <c:pt idx="130">
                  <c:v>1.8755076363194216E-4</c:v>
                </c:pt>
                <c:pt idx="131">
                  <c:v>-2.4708740404315703E-5</c:v>
                </c:pt>
                <c:pt idx="132">
                  <c:v>1.8735273595172134E-4</c:v>
                </c:pt>
                <c:pt idx="133">
                  <c:v>7.2336442543937578E-5</c:v>
                </c:pt>
                <c:pt idx="134">
                  <c:v>3.714786905822458E-4</c:v>
                </c:pt>
                <c:pt idx="135">
                  <c:v>1.3066296012388619E-4</c:v>
                </c:pt>
                <c:pt idx="136">
                  <c:v>-1.8906010985575623E-4</c:v>
                </c:pt>
                <c:pt idx="137">
                  <c:v>-9.0455428517070556E-5</c:v>
                </c:pt>
                <c:pt idx="138">
                  <c:v>1.3035659240393738E-4</c:v>
                </c:pt>
                <c:pt idx="139">
                  <c:v>-2.075377719311412E-4</c:v>
                </c:pt>
                <c:pt idx="140">
                  <c:v>-6.6071846743269154E-5</c:v>
                </c:pt>
                <c:pt idx="141">
                  <c:v>3.2988928375919495E-4</c:v>
                </c:pt>
                <c:pt idx="142">
                  <c:v>9.4424090160028571E-6</c:v>
                </c:pt>
                <c:pt idx="143">
                  <c:v>4.4081384520905521E-5</c:v>
                </c:pt>
                <c:pt idx="144">
                  <c:v>-2.2964247673468053E-6</c:v>
                </c:pt>
                <c:pt idx="145">
                  <c:v>-5.7022250692326303E-4</c:v>
                </c:pt>
                <c:pt idx="146">
                  <c:v>-5.1140738210837312E-4</c:v>
                </c:pt>
                <c:pt idx="147">
                  <c:v>-2.3083879355488454E-4</c:v>
                </c:pt>
                <c:pt idx="148">
                  <c:v>-1.8320274961375419E-4</c:v>
                </c:pt>
                <c:pt idx="149">
                  <c:v>1.7398296530242959E-4</c:v>
                </c:pt>
                <c:pt idx="150">
                  <c:v>-7.1145905201994988E-4</c:v>
                </c:pt>
                <c:pt idx="151">
                  <c:v>-2.868164731014228E-4</c:v>
                </c:pt>
                <c:pt idx="152">
                  <c:v>-2.0158099239073937E-6</c:v>
                </c:pt>
                <c:pt idx="153">
                  <c:v>-6.721569950732099E-5</c:v>
                </c:pt>
                <c:pt idx="154">
                  <c:v>-1.5831662242928821E-4</c:v>
                </c:pt>
                <c:pt idx="155">
                  <c:v>1.2088951546679471E-4</c:v>
                </c:pt>
                <c:pt idx="156">
                  <c:v>-3.0612407059420763E-4</c:v>
                </c:pt>
                <c:pt idx="157">
                  <c:v>-7.0814227984471637E-5</c:v>
                </c:pt>
                <c:pt idx="158">
                  <c:v>-2.1571814723789169E-4</c:v>
                </c:pt>
                <c:pt idx="159">
                  <c:v>1.3627117864267429E-4</c:v>
                </c:pt>
                <c:pt idx="160">
                  <c:v>2.3836949360009466E-4</c:v>
                </c:pt>
                <c:pt idx="161">
                  <c:v>-8.1409336447379267E-5</c:v>
                </c:pt>
                <c:pt idx="162">
                  <c:v>2.0833944253273166E-4</c:v>
                </c:pt>
                <c:pt idx="163">
                  <c:v>1.8550628320555126E-4</c:v>
                </c:pt>
                <c:pt idx="164">
                  <c:v>-2.2629008938023152E-4</c:v>
                </c:pt>
                <c:pt idx="165">
                  <c:v>-1.1555008463291579E-4</c:v>
                </c:pt>
                <c:pt idx="166">
                  <c:v>3.2803799055668799E-4</c:v>
                </c:pt>
                <c:pt idx="167">
                  <c:v>-1.5801655492591487E-4</c:v>
                </c:pt>
                <c:pt idx="168">
                  <c:v>-5.075279281693695E-5</c:v>
                </c:pt>
                <c:pt idx="169">
                  <c:v>7.5054965042862682E-5</c:v>
                </c:pt>
                <c:pt idx="170">
                  <c:v>-1.6470331977399693E-4</c:v>
                </c:pt>
                <c:pt idx="171">
                  <c:v>-1.3569869707027855E-4</c:v>
                </c:pt>
                <c:pt idx="172">
                  <c:v>2.702082537571059E-4</c:v>
                </c:pt>
                <c:pt idx="173">
                  <c:v>1.9748363470849096E-4</c:v>
                </c:pt>
                <c:pt idx="174">
                  <c:v>1.9290069738859842E-4</c:v>
                </c:pt>
                <c:pt idx="175">
                  <c:v>5.7369098964763948E-5</c:v>
                </c:pt>
                <c:pt idx="176">
                  <c:v>-4.4754318539666932E-5</c:v>
                </c:pt>
                <c:pt idx="177">
                  <c:v>-1.5497725799921196E-4</c:v>
                </c:pt>
                <c:pt idx="178">
                  <c:v>1.0186072086764115E-5</c:v>
                </c:pt>
                <c:pt idx="179">
                  <c:v>1.4114300305517866E-4</c:v>
                </c:pt>
                <c:pt idx="180">
                  <c:v>-4.8524001970561355E-6</c:v>
                </c:pt>
                <c:pt idx="181">
                  <c:v>2.5338388351212779E-6</c:v>
                </c:pt>
                <c:pt idx="182">
                  <c:v>2.7086837371791302E-4</c:v>
                </c:pt>
                <c:pt idx="183">
                  <c:v>-9.3916225280243475E-5</c:v>
                </c:pt>
                <c:pt idx="184">
                  <c:v>-2.1531648134070512E-4</c:v>
                </c:pt>
                <c:pt idx="185">
                  <c:v>-3.0078873336390652E-4</c:v>
                </c:pt>
                <c:pt idx="186">
                  <c:v>-3.9092218177119503E-5</c:v>
                </c:pt>
                <c:pt idx="187">
                  <c:v>-5.5742663143220597E-4</c:v>
                </c:pt>
                <c:pt idx="188">
                  <c:v>-4.2765619696290513E-5</c:v>
                </c:pt>
                <c:pt idx="189">
                  <c:v>-2.1168363007371247E-4</c:v>
                </c:pt>
                <c:pt idx="190">
                  <c:v>-2.9682478393905967E-4</c:v>
                </c:pt>
                <c:pt idx="191">
                  <c:v>-2.7181047771707481E-5</c:v>
                </c:pt>
                <c:pt idx="192">
                  <c:v>3.308488080512203E-4</c:v>
                </c:pt>
                <c:pt idx="193">
                  <c:v>-1.3646453106313844E-4</c:v>
                </c:pt>
                <c:pt idx="194">
                  <c:v>-2.5421430169513567E-4</c:v>
                </c:pt>
                <c:pt idx="195">
                  <c:v>-3.0218865243717596E-4</c:v>
                </c:pt>
                <c:pt idx="196">
                  <c:v>-2.0639724404341675E-4</c:v>
                </c:pt>
                <c:pt idx="197">
                  <c:v>5.6230426499969256E-4</c:v>
                </c:pt>
                <c:pt idx="198">
                  <c:v>2.3149862485957376E-4</c:v>
                </c:pt>
                <c:pt idx="199">
                  <c:v>1.4936839640554061E-5</c:v>
                </c:pt>
                <c:pt idx="200">
                  <c:v>2.5934192255060585E-4</c:v>
                </c:pt>
                <c:pt idx="201">
                  <c:v>-1.2007291212633834E-4</c:v>
                </c:pt>
                <c:pt idx="202">
                  <c:v>9.858815973072253E-5</c:v>
                </c:pt>
                <c:pt idx="203">
                  <c:v>-1.8533551309873653E-4</c:v>
                </c:pt>
                <c:pt idx="204">
                  <c:v>-2.2450868676043095E-5</c:v>
                </c:pt>
                <c:pt idx="205">
                  <c:v>-3.1256929433243831E-4</c:v>
                </c:pt>
                <c:pt idx="206">
                  <c:v>5.0103258714257533E-4</c:v>
                </c:pt>
                <c:pt idx="207">
                  <c:v>-1.6055006447682459E-4</c:v>
                </c:pt>
                <c:pt idx="208">
                  <c:v>-4.4390106169226302E-4</c:v>
                </c:pt>
                <c:pt idx="209">
                  <c:v>-2.5650838030784502E-4</c:v>
                </c:pt>
                <c:pt idx="210">
                  <c:v>-1.6455010102964116E-4</c:v>
                </c:pt>
                <c:pt idx="211">
                  <c:v>4.9686061300441203E-5</c:v>
                </c:pt>
                <c:pt idx="212">
                  <c:v>-5.1402288989252517E-4</c:v>
                </c:pt>
                <c:pt idx="213">
                  <c:v>2.6306605510427136E-4</c:v>
                </c:pt>
                <c:pt idx="214">
                  <c:v>2.7671222232878746E-4</c:v>
                </c:pt>
                <c:pt idx="215">
                  <c:v>1.2031657476974507E-4</c:v>
                </c:pt>
                <c:pt idx="216">
                  <c:v>-1.7023902252225482E-4</c:v>
                </c:pt>
                <c:pt idx="217">
                  <c:v>2.1535269348508965E-4</c:v>
                </c:pt>
                <c:pt idx="218">
                  <c:v>-1.0044680003214416E-4</c:v>
                </c:pt>
                <c:pt idx="219">
                  <c:v>2.9316568820869225E-4</c:v>
                </c:pt>
                <c:pt idx="220">
                  <c:v>3.4197267972708913E-4</c:v>
                </c:pt>
                <c:pt idx="221">
                  <c:v>-5.2613661724725794E-4</c:v>
                </c:pt>
                <c:pt idx="222">
                  <c:v>1.7627993718984138E-4</c:v>
                </c:pt>
                <c:pt idx="223">
                  <c:v>-1.5896061336408818E-4</c:v>
                </c:pt>
                <c:pt idx="224">
                  <c:v>3.5467717616332624E-4</c:v>
                </c:pt>
                <c:pt idx="225">
                  <c:v>1.0670034325355984E-4</c:v>
                </c:pt>
                <c:pt idx="226">
                  <c:v>3.1084133670788972E-4</c:v>
                </c:pt>
                <c:pt idx="227">
                  <c:v>-2.2929621402742695E-4</c:v>
                </c:pt>
                <c:pt idx="228">
                  <c:v>-3.1460133254943451E-4</c:v>
                </c:pt>
                <c:pt idx="229">
                  <c:v>-6.533173993301082E-5</c:v>
                </c:pt>
                <c:pt idx="230">
                  <c:v>3.7715314952125136E-4</c:v>
                </c:pt>
                <c:pt idx="231">
                  <c:v>-1.4596887285439104E-4</c:v>
                </c:pt>
                <c:pt idx="232">
                  <c:v>-1.077390948304813E-4</c:v>
                </c:pt>
                <c:pt idx="233">
                  <c:v>1.1345073865191323E-4</c:v>
                </c:pt>
                <c:pt idx="234">
                  <c:v>-1.5737228066837434E-4</c:v>
                </c:pt>
                <c:pt idx="235">
                  <c:v>-1.4934454199834387E-4</c:v>
                </c:pt>
                <c:pt idx="236">
                  <c:v>3.5447816548865146E-4</c:v>
                </c:pt>
                <c:pt idx="237">
                  <c:v>2.8215134694199452E-4</c:v>
                </c:pt>
                <c:pt idx="238">
                  <c:v>-4.5928121081752909E-4</c:v>
                </c:pt>
                <c:pt idx="239">
                  <c:v>2.5452299964788961E-4</c:v>
                </c:pt>
                <c:pt idx="240">
                  <c:v>-2.1908927868779629E-4</c:v>
                </c:pt>
                <c:pt idx="241">
                  <c:v>2.7648750072419725E-4</c:v>
                </c:pt>
                <c:pt idx="242">
                  <c:v>-4.9023738428128911E-4</c:v>
                </c:pt>
                <c:pt idx="243">
                  <c:v>3.9287102017049769E-4</c:v>
                </c:pt>
                <c:pt idx="244">
                  <c:v>-1.3417751128279318E-4</c:v>
                </c:pt>
                <c:pt idx="245">
                  <c:v>-1.670595012533867E-4</c:v>
                </c:pt>
                <c:pt idx="246">
                  <c:v>3.9476892436985284E-4</c:v>
                </c:pt>
                <c:pt idx="247">
                  <c:v>2.7825406010556114E-5</c:v>
                </c:pt>
                <c:pt idx="248">
                  <c:v>-2.2380647900901226E-4</c:v>
                </c:pt>
                <c:pt idx="249">
                  <c:v>-2.3781572304707878E-4</c:v>
                </c:pt>
                <c:pt idx="250">
                  <c:v>-5.3432835012082434E-5</c:v>
                </c:pt>
                <c:pt idx="251">
                  <c:v>2.0049495440493226E-4</c:v>
                </c:pt>
                <c:pt idx="252">
                  <c:v>1.4756108285938853E-4</c:v>
                </c:pt>
                <c:pt idx="253">
                  <c:v>2.4352405533394265E-4</c:v>
                </c:pt>
                <c:pt idx="254">
                  <c:v>-2.6446089496833783E-4</c:v>
                </c:pt>
                <c:pt idx="255">
                  <c:v>-5.685159366432955E-5</c:v>
                </c:pt>
                <c:pt idx="256">
                  <c:v>1.9356206873933073E-4</c:v>
                </c:pt>
                <c:pt idx="257">
                  <c:v>-8.8967391680757303E-5</c:v>
                </c:pt>
                <c:pt idx="258">
                  <c:v>4.7137314973697385E-5</c:v>
                </c:pt>
                <c:pt idx="259">
                  <c:v>-3.0285338355665764E-4</c:v>
                </c:pt>
                <c:pt idx="260">
                  <c:v>-5.2816526953954805E-4</c:v>
                </c:pt>
                <c:pt idx="261">
                  <c:v>3.0123575055588427E-4</c:v>
                </c:pt>
                <c:pt idx="262">
                  <c:v>-2.2466990877133757E-4</c:v>
                </c:pt>
                <c:pt idx="263">
                  <c:v>-2.3403384597185597E-5</c:v>
                </c:pt>
                <c:pt idx="264">
                  <c:v>2.1428604188982985E-4</c:v>
                </c:pt>
                <c:pt idx="265">
                  <c:v>-1.0382068715524422E-4</c:v>
                </c:pt>
                <c:pt idx="266">
                  <c:v>3.673761675851151E-4</c:v>
                </c:pt>
                <c:pt idx="267">
                  <c:v>1.7152289725270794E-4</c:v>
                </c:pt>
                <c:pt idx="268">
                  <c:v>-1.1299261180625004E-4</c:v>
                </c:pt>
                <c:pt idx="269">
                  <c:v>1.9110715144014402E-4</c:v>
                </c:pt>
                <c:pt idx="270">
                  <c:v>-1.3013774392688773E-4</c:v>
                </c:pt>
                <c:pt idx="271">
                  <c:v>1.0582620256224443E-4</c:v>
                </c:pt>
                <c:pt idx="272">
                  <c:v>-3.4290234453971329E-4</c:v>
                </c:pt>
                <c:pt idx="273">
                  <c:v>2.4845798208671197E-4</c:v>
                </c:pt>
                <c:pt idx="274">
                  <c:v>-2.5685136652068563E-5</c:v>
                </c:pt>
                <c:pt idx="275">
                  <c:v>-4.1203265004245212E-6</c:v>
                </c:pt>
                <c:pt idx="276">
                  <c:v>1.1943863471494177E-4</c:v>
                </c:pt>
                <c:pt idx="277">
                  <c:v>6.3866423558608178E-5</c:v>
                </c:pt>
                <c:pt idx="278">
                  <c:v>-8.5855168709315856E-5</c:v>
                </c:pt>
                <c:pt idx="279">
                  <c:v>-2.5893702460802958E-4</c:v>
                </c:pt>
                <c:pt idx="280">
                  <c:v>-2.7202019077209581E-4</c:v>
                </c:pt>
                <c:pt idx="281">
                  <c:v>-1.103845489233556E-4</c:v>
                </c:pt>
                <c:pt idx="282">
                  <c:v>3.1453286808925918E-5</c:v>
                </c:pt>
                <c:pt idx="283">
                  <c:v>1.5107422622268914E-4</c:v>
                </c:pt>
                <c:pt idx="284">
                  <c:v>1.2428723551084113E-4</c:v>
                </c:pt>
                <c:pt idx="285">
                  <c:v>-1.4435254076637215E-5</c:v>
                </c:pt>
                <c:pt idx="286">
                  <c:v>-8.5860547610255449E-5</c:v>
                </c:pt>
                <c:pt idx="287">
                  <c:v>-5.9585169089349374E-5</c:v>
                </c:pt>
                <c:pt idx="288">
                  <c:v>-8.4580185700737431E-6</c:v>
                </c:pt>
                <c:pt idx="289">
                  <c:v>2.4099077507059816E-5</c:v>
                </c:pt>
                <c:pt idx="290">
                  <c:v>-1.6848378052799427E-4</c:v>
                </c:pt>
                <c:pt idx="291">
                  <c:v>2.2256900754315169E-4</c:v>
                </c:pt>
                <c:pt idx="292">
                  <c:v>5.0570700755963238E-4</c:v>
                </c:pt>
                <c:pt idx="293">
                  <c:v>-8.4907690008922726E-5</c:v>
                </c:pt>
                <c:pt idx="294">
                  <c:v>-1.821587183417901E-4</c:v>
                </c:pt>
                <c:pt idx="295">
                  <c:v>-2.4641056009459751E-4</c:v>
                </c:pt>
                <c:pt idx="296">
                  <c:v>-7.0283515506482988E-6</c:v>
                </c:pt>
                <c:pt idx="297">
                  <c:v>-1.1710350482818924E-5</c:v>
                </c:pt>
                <c:pt idx="298">
                  <c:v>4.9198444779305925E-4</c:v>
                </c:pt>
                <c:pt idx="299">
                  <c:v>-8.3998829715528398E-5</c:v>
                </c:pt>
                <c:pt idx="300">
                  <c:v>2.5112196868429314E-4</c:v>
                </c:pt>
                <c:pt idx="301">
                  <c:v>1.7303723873621446E-4</c:v>
                </c:pt>
                <c:pt idx="302">
                  <c:v>-5.2993591644759721E-4</c:v>
                </c:pt>
                <c:pt idx="303">
                  <c:v>1.5439483391048022E-4</c:v>
                </c:pt>
                <c:pt idx="304">
                  <c:v>-8.1319583363936257E-5</c:v>
                </c:pt>
                <c:pt idx="305">
                  <c:v>4.0172754852093473E-4</c:v>
                </c:pt>
                <c:pt idx="306">
                  <c:v>-3.0352737012524886E-4</c:v>
                </c:pt>
                <c:pt idx="307">
                  <c:v>6.1261300705195887E-5</c:v>
                </c:pt>
                <c:pt idx="308">
                  <c:v>7.271322111067598E-4</c:v>
                </c:pt>
                <c:pt idx="309">
                  <c:v>1.643872992488255E-4</c:v>
                </c:pt>
                <c:pt idx="310">
                  <c:v>-2.766075693974586E-4</c:v>
                </c:pt>
                <c:pt idx="311">
                  <c:v>1.5135599634116437E-4</c:v>
                </c:pt>
                <c:pt idx="312">
                  <c:v>1.6482597529228496E-4</c:v>
                </c:pt>
                <c:pt idx="313">
                  <c:v>-1.4176582563614598E-4</c:v>
                </c:pt>
                <c:pt idx="314">
                  <c:v>-4.911324971586951E-4</c:v>
                </c:pt>
                <c:pt idx="315">
                  <c:v>-9.2073577195820447E-5</c:v>
                </c:pt>
                <c:pt idx="316">
                  <c:v>2.1098640947958701E-4</c:v>
                </c:pt>
                <c:pt idx="317">
                  <c:v>-8.8235976228488335E-6</c:v>
                </c:pt>
                <c:pt idx="318">
                  <c:v>-1.1633730474415991E-4</c:v>
                </c:pt>
                <c:pt idx="319">
                  <c:v>-1.2870368487387946E-4</c:v>
                </c:pt>
                <c:pt idx="320">
                  <c:v>-1.651013068938918E-4</c:v>
                </c:pt>
                <c:pt idx="321">
                  <c:v>-1.6015624405164722E-4</c:v>
                </c:pt>
                <c:pt idx="322">
                  <c:v>2.9910398232962189E-4</c:v>
                </c:pt>
                <c:pt idx="323">
                  <c:v>1.157917857209722E-4</c:v>
                </c:pt>
                <c:pt idx="324">
                  <c:v>1.1435623903344354E-4</c:v>
                </c:pt>
                <c:pt idx="325">
                  <c:v>2.9951966461698405E-4</c:v>
                </c:pt>
                <c:pt idx="326">
                  <c:v>-3.0046258751397485E-4</c:v>
                </c:pt>
                <c:pt idx="327">
                  <c:v>3.1539335801309798E-5</c:v>
                </c:pt>
                <c:pt idx="328">
                  <c:v>2.7982352871025137E-4</c:v>
                </c:pt>
                <c:pt idx="329">
                  <c:v>-3.0133635175374883E-4</c:v>
                </c:pt>
                <c:pt idx="330">
                  <c:v>9.4930841988517443E-5</c:v>
                </c:pt>
                <c:pt idx="331">
                  <c:v>-1.9425279824636268E-4</c:v>
                </c:pt>
                <c:pt idx="332">
                  <c:v>-2.5381456757899785E-4</c:v>
                </c:pt>
                <c:pt idx="333">
                  <c:v>-2.4164343500286155E-4</c:v>
                </c:pt>
                <c:pt idx="334">
                  <c:v>3.6992610127376197E-4</c:v>
                </c:pt>
                <c:pt idx="335">
                  <c:v>2.3365245161410068E-4</c:v>
                </c:pt>
                <c:pt idx="336">
                  <c:v>-5.4697213074051581E-4</c:v>
                </c:pt>
                <c:pt idx="337">
                  <c:v>-6.2139409505061326E-5</c:v>
                </c:pt>
                <c:pt idx="338">
                  <c:v>7.5593151749034189E-5</c:v>
                </c:pt>
                <c:pt idx="339">
                  <c:v>-3.7161882297164723E-5</c:v>
                </c:pt>
                <c:pt idx="340">
                  <c:v>2.2307101123934689E-4</c:v>
                </c:pt>
                <c:pt idx="341">
                  <c:v>3.3966973809588196E-4</c:v>
                </c:pt>
                <c:pt idx="342">
                  <c:v>5.0655312364832809E-4</c:v>
                </c:pt>
                <c:pt idx="343">
                  <c:v>-8.0301134311659833E-5</c:v>
                </c:pt>
                <c:pt idx="344">
                  <c:v>-1.31812097336239E-5</c:v>
                </c:pt>
                <c:pt idx="345">
                  <c:v>-2.3848644040642316E-4</c:v>
                </c:pt>
                <c:pt idx="346">
                  <c:v>9.3218800221269633E-5</c:v>
                </c:pt>
                <c:pt idx="347">
                  <c:v>-1.9509898691664584E-4</c:v>
                </c:pt>
                <c:pt idx="348">
                  <c:v>-1.3304029256766905E-4</c:v>
                </c:pt>
                <c:pt idx="349">
                  <c:v>1.3303289179676133E-4</c:v>
                </c:pt>
                <c:pt idx="350">
                  <c:v>6.5848364050729636E-5</c:v>
                </c:pt>
                <c:pt idx="351">
                  <c:v>-1.1441250687954065E-4</c:v>
                </c:pt>
                <c:pt idx="352">
                  <c:v>-3.2139489058231126E-4</c:v>
                </c:pt>
                <c:pt idx="353">
                  <c:v>-1.9144502050440394E-4</c:v>
                </c:pt>
                <c:pt idx="354">
                  <c:v>-2.0321782441704248E-4</c:v>
                </c:pt>
                <c:pt idx="355">
                  <c:v>2.312771158476516E-4</c:v>
                </c:pt>
                <c:pt idx="356">
                  <c:v>2.7166753894573183E-5</c:v>
                </c:pt>
                <c:pt idx="357">
                  <c:v>2.6159110087158087E-4</c:v>
                </c:pt>
                <c:pt idx="358">
                  <c:v>3.5304254819625578E-4</c:v>
                </c:pt>
                <c:pt idx="359">
                  <c:v>5.2782638325307111E-4</c:v>
                </c:pt>
                <c:pt idx="360">
                  <c:v>1.485482528165284E-4</c:v>
                </c:pt>
                <c:pt idx="361">
                  <c:v>3.5531508485070614E-4</c:v>
                </c:pt>
                <c:pt idx="362">
                  <c:v>-5.3113283962946322E-5</c:v>
                </c:pt>
                <c:pt idx="363">
                  <c:v>-6.8844926414298363E-5</c:v>
                </c:pt>
                <c:pt idx="364">
                  <c:v>-3.0598194766572073E-4</c:v>
                </c:pt>
                <c:pt idx="365">
                  <c:v>3.007460405421532E-4</c:v>
                </c:pt>
                <c:pt idx="366">
                  <c:v>-9.4741675739713554E-5</c:v>
                </c:pt>
                <c:pt idx="367">
                  <c:v>-9.6298393439249542E-5</c:v>
                </c:pt>
                <c:pt idx="368">
                  <c:v>3.6812167230579325E-5</c:v>
                </c:pt>
                <c:pt idx="369">
                  <c:v>2.1870028113292659E-4</c:v>
                </c:pt>
                <c:pt idx="370">
                  <c:v>1.998122692889303E-4</c:v>
                </c:pt>
                <c:pt idx="371">
                  <c:v>2.0713852675665164E-4</c:v>
                </c:pt>
                <c:pt idx="372">
                  <c:v>1.9819942271613087E-4</c:v>
                </c:pt>
                <c:pt idx="373">
                  <c:v>1.009286669850398E-5</c:v>
                </c:pt>
                <c:pt idx="374">
                  <c:v>1.7938758855793528E-4</c:v>
                </c:pt>
                <c:pt idx="375">
                  <c:v>2.3315757003811025E-4</c:v>
                </c:pt>
                <c:pt idx="376">
                  <c:v>1.0877675280616398E-4</c:v>
                </c:pt>
                <c:pt idx="377">
                  <c:v>-1.7468296951076464E-4</c:v>
                </c:pt>
                <c:pt idx="378">
                  <c:v>-6.4839584881036825E-5</c:v>
                </c:pt>
                <c:pt idx="379">
                  <c:v>-1.1126816263503512E-4</c:v>
                </c:pt>
                <c:pt idx="380">
                  <c:v>-3.5149998246266734E-5</c:v>
                </c:pt>
                <c:pt idx="381">
                  <c:v>2.1394073346797147E-4</c:v>
                </c:pt>
                <c:pt idx="382">
                  <c:v>-1.9409686560986568E-4</c:v>
                </c:pt>
                <c:pt idx="383">
                  <c:v>4.3544884009684822E-4</c:v>
                </c:pt>
                <c:pt idx="384">
                  <c:v>8.6375057969950209E-5</c:v>
                </c:pt>
                <c:pt idx="385">
                  <c:v>8.4705792109567021E-5</c:v>
                </c:pt>
                <c:pt idx="386">
                  <c:v>-7.2496979197749189E-5</c:v>
                </c:pt>
                <c:pt idx="387">
                  <c:v>-1.493867283745006E-4</c:v>
                </c:pt>
                <c:pt idx="388">
                  <c:v>3.367753580189851E-4</c:v>
                </c:pt>
                <c:pt idx="389">
                  <c:v>2.3137897916845424E-4</c:v>
                </c:pt>
                <c:pt idx="390">
                  <c:v>-3.3132696556817853E-4</c:v>
                </c:pt>
                <c:pt idx="391">
                  <c:v>1.0168193034399943E-4</c:v>
                </c:pt>
                <c:pt idx="392">
                  <c:v>-2.1481363781216919E-4</c:v>
                </c:pt>
                <c:pt idx="393">
                  <c:v>-1.7407135111454925E-4</c:v>
                </c:pt>
                <c:pt idx="394">
                  <c:v>8.8651771998353145E-5</c:v>
                </c:pt>
                <c:pt idx="395">
                  <c:v>9.5008932507308607E-7</c:v>
                </c:pt>
                <c:pt idx="396">
                  <c:v>1.6933069275521854E-4</c:v>
                </c:pt>
                <c:pt idx="397">
                  <c:v>-2.18191342999044E-4</c:v>
                </c:pt>
                <c:pt idx="398">
                  <c:v>1.6944572220153943E-4</c:v>
                </c:pt>
                <c:pt idx="399">
                  <c:v>1.8917856963373506E-4</c:v>
                </c:pt>
                <c:pt idx="400">
                  <c:v>4.9231588923306566E-4</c:v>
                </c:pt>
                <c:pt idx="401">
                  <c:v>1.2721732937512559E-4</c:v>
                </c:pt>
                <c:pt idx="402">
                  <c:v>-1.1642133850726495E-4</c:v>
                </c:pt>
                <c:pt idx="403">
                  <c:v>1.0526433183966097E-4</c:v>
                </c:pt>
                <c:pt idx="404">
                  <c:v>1.8164367680528377E-4</c:v>
                </c:pt>
                <c:pt idx="405">
                  <c:v>-9.721498475441932E-5</c:v>
                </c:pt>
                <c:pt idx="406">
                  <c:v>-4.5976638800150399E-4</c:v>
                </c:pt>
                <c:pt idx="407">
                  <c:v>-4.4971325300340276E-4</c:v>
                </c:pt>
                <c:pt idx="408">
                  <c:v>-7.2765011074618136E-5</c:v>
                </c:pt>
                <c:pt idx="409">
                  <c:v>-3.5160686079918803E-4</c:v>
                </c:pt>
                <c:pt idx="410">
                  <c:v>1.5002900049220622E-4</c:v>
                </c:pt>
                <c:pt idx="411">
                  <c:v>-3.12793366324278E-4</c:v>
                </c:pt>
                <c:pt idx="412">
                  <c:v>1.2058976129021832E-4</c:v>
                </c:pt>
                <c:pt idx="413">
                  <c:v>-1.8277380921910872E-4</c:v>
                </c:pt>
                <c:pt idx="414">
                  <c:v>1.1717718991818496E-4</c:v>
                </c:pt>
                <c:pt idx="415">
                  <c:v>5.1918137806083093E-5</c:v>
                </c:pt>
                <c:pt idx="416">
                  <c:v>-7.2293512309349153E-5</c:v>
                </c:pt>
                <c:pt idx="417">
                  <c:v>4.6129838331391988E-5</c:v>
                </c:pt>
                <c:pt idx="418">
                  <c:v>2.0656456106262939E-4</c:v>
                </c:pt>
                <c:pt idx="419">
                  <c:v>-1.5786010989144813E-5</c:v>
                </c:pt>
                <c:pt idx="420">
                  <c:v>-1.019444193685226E-4</c:v>
                </c:pt>
                <c:pt idx="421">
                  <c:v>-3.0896775291658574E-4</c:v>
                </c:pt>
                <c:pt idx="422">
                  <c:v>-8.3083350448351196E-5</c:v>
                </c:pt>
                <c:pt idx="423">
                  <c:v>6.8133293862986718E-4</c:v>
                </c:pt>
                <c:pt idx="424">
                  <c:v>-2.9743574838923494E-4</c:v>
                </c:pt>
                <c:pt idx="425">
                  <c:v>-5.6985277368151339E-5</c:v>
                </c:pt>
                <c:pt idx="426">
                  <c:v>-3.7350528155863209E-4</c:v>
                </c:pt>
                <c:pt idx="427">
                  <c:v>-2.5750085910694312E-5</c:v>
                </c:pt>
                <c:pt idx="428">
                  <c:v>2.1058174940038224E-4</c:v>
                </c:pt>
                <c:pt idx="429">
                  <c:v>-1.7456617319832672E-4</c:v>
                </c:pt>
                <c:pt idx="430">
                  <c:v>3.9891164397339572E-4</c:v>
                </c:pt>
                <c:pt idx="431">
                  <c:v>8.881578051906802E-5</c:v>
                </c:pt>
                <c:pt idx="432">
                  <c:v>-1.9865855580052436E-6</c:v>
                </c:pt>
                <c:pt idx="433">
                  <c:v>4.3826429117850758E-4</c:v>
                </c:pt>
                <c:pt idx="434">
                  <c:v>-3.1737836723494866E-4</c:v>
                </c:pt>
                <c:pt idx="435">
                  <c:v>0</c:v>
                </c:pt>
                <c:pt idx="436">
                  <c:v>4.9072803615211966E-4</c:v>
                </c:pt>
                <c:pt idx="437">
                  <c:v>2.0484280985080105E-5</c:v>
                </c:pt>
                <c:pt idx="438">
                  <c:v>-2.1460887926486421E-4</c:v>
                </c:pt>
                <c:pt idx="439">
                  <c:v>-1.1204273550850718E-4</c:v>
                </c:pt>
                <c:pt idx="440">
                  <c:v>4.541024920536847E-4</c:v>
                </c:pt>
                <c:pt idx="441">
                  <c:v>1.4960434414460405E-4</c:v>
                </c:pt>
                <c:pt idx="442">
                  <c:v>0</c:v>
                </c:pt>
                <c:pt idx="443">
                  <c:v>-2.0326711778581938E-4</c:v>
                </c:pt>
                <c:pt idx="444">
                  <c:v>-1.5317160794702282E-4</c:v>
                </c:pt>
                <c:pt idx="445">
                  <c:v>-2.642930916245444E-5</c:v>
                </c:pt>
                <c:pt idx="446">
                  <c:v>8.5890989686351595E-5</c:v>
                </c:pt>
                <c:pt idx="447">
                  <c:v>7.8630995049349284E-5</c:v>
                </c:pt>
                <c:pt idx="448">
                  <c:v>3.6077391080215131E-4</c:v>
                </c:pt>
                <c:pt idx="449">
                  <c:v>1.0112440088119182E-4</c:v>
                </c:pt>
                <c:pt idx="450">
                  <c:v>-2.3229431396415442E-4</c:v>
                </c:pt>
                <c:pt idx="451">
                  <c:v>-8.6789591888931177E-5</c:v>
                </c:pt>
                <c:pt idx="452">
                  <c:v>-6.5459057031992137E-5</c:v>
                </c:pt>
                <c:pt idx="453">
                  <c:v>-8.4674913496371844E-5</c:v>
                </c:pt>
                <c:pt idx="454">
                  <c:v>-2.9665007219625578E-4</c:v>
                </c:pt>
                <c:pt idx="455">
                  <c:v>-1.7555815491159801E-4</c:v>
                </c:pt>
                <c:pt idx="456">
                  <c:v>2.3008636562988071E-4</c:v>
                </c:pt>
                <c:pt idx="457">
                  <c:v>2.6331185146615812E-4</c:v>
                </c:pt>
                <c:pt idx="458">
                  <c:v>8.4361606309990658E-7</c:v>
                </c:pt>
                <c:pt idx="459">
                  <c:v>-3.2673168388959952E-5</c:v>
                </c:pt>
                <c:pt idx="460">
                  <c:v>2.263874163387847E-4</c:v>
                </c:pt>
                <c:pt idx="461">
                  <c:v>-3.7644094338611996E-5</c:v>
                </c:pt>
                <c:pt idx="462">
                  <c:v>-8.4248002824741211E-5</c:v>
                </c:pt>
                <c:pt idx="463">
                  <c:v>-2.1356021015026704E-4</c:v>
                </c:pt>
                <c:pt idx="464">
                  <c:v>-1.6654408361785E-5</c:v>
                </c:pt>
                <c:pt idx="465">
                  <c:v>2.2682540740907482E-4</c:v>
                </c:pt>
                <c:pt idx="466">
                  <c:v>1.4549095267892334E-4</c:v>
                </c:pt>
                <c:pt idx="467">
                  <c:v>1.5428404478451483E-4</c:v>
                </c:pt>
                <c:pt idx="468">
                  <c:v>1.3826616813951133E-4</c:v>
                </c:pt>
                <c:pt idx="469">
                  <c:v>3.7711974203838638E-5</c:v>
                </c:pt>
                <c:pt idx="470">
                  <c:v>1.0946217815525994E-4</c:v>
                </c:pt>
                <c:pt idx="471">
                  <c:v>4.1896804649714616E-5</c:v>
                </c:pt>
                <c:pt idx="472">
                  <c:v>7.6656955576963199E-5</c:v>
                </c:pt>
                <c:pt idx="473">
                  <c:v>-1.6387959103116929E-4</c:v>
                </c:pt>
                <c:pt idx="474">
                  <c:v>-1.2538699056974646E-4</c:v>
                </c:pt>
                <c:pt idx="475">
                  <c:v>-2.2327172102377143E-4</c:v>
                </c:pt>
                <c:pt idx="476">
                  <c:v>-1.8337508454742012E-4</c:v>
                </c:pt>
                <c:pt idx="477">
                  <c:v>-7.5647734702060355E-5</c:v>
                </c:pt>
                <c:pt idx="478">
                  <c:v>-2.9851122550649716E-4</c:v>
                </c:pt>
                <c:pt idx="479">
                  <c:v>1.2534714766664805E-4</c:v>
                </c:pt>
                <c:pt idx="480">
                  <c:v>-1.4648809960379622E-4</c:v>
                </c:pt>
                <c:pt idx="481">
                  <c:v>-1.2980493759754249E-4</c:v>
                </c:pt>
                <c:pt idx="482">
                  <c:v>-4.2079182921119408E-5</c:v>
                </c:pt>
                <c:pt idx="483">
                  <c:v>1.5563204950400702E-4</c:v>
                </c:pt>
                <c:pt idx="484">
                  <c:v>2.071647024761126E-4</c:v>
                </c:pt>
                <c:pt idx="485">
                  <c:v>-6.8873854066259639E-5</c:v>
                </c:pt>
                <c:pt idx="486">
                  <c:v>-5.8392273422502337E-5</c:v>
                </c:pt>
                <c:pt idx="487">
                  <c:v>-2.1006224271087254E-4</c:v>
                </c:pt>
                <c:pt idx="488">
                  <c:v>-2.090431406192474E-4</c:v>
                </c:pt>
                <c:pt idx="489">
                  <c:v>-2.2550510283225809E-5</c:v>
                </c:pt>
                <c:pt idx="490">
                  <c:v>3.6733927391195188E-4</c:v>
                </c:pt>
                <c:pt idx="491">
                  <c:v>2.7561265370239273E-4</c:v>
                </c:pt>
                <c:pt idx="492">
                  <c:v>1.9567803162879877E-4</c:v>
                </c:pt>
                <c:pt idx="493">
                  <c:v>-1.1959373681969017E-4</c:v>
                </c:pt>
                <c:pt idx="494">
                  <c:v>-2.1635250095029156E-4</c:v>
                </c:pt>
                <c:pt idx="495">
                  <c:v>-1.472888751454917E-4</c:v>
                </c:pt>
                <c:pt idx="496">
                  <c:v>1.3611089518520501E-5</c:v>
                </c:pt>
                <c:pt idx="497">
                  <c:v>-5.751536241719535E-4</c:v>
                </c:pt>
                <c:pt idx="498">
                  <c:v>2.5521807799658042E-4</c:v>
                </c:pt>
                <c:pt idx="499">
                  <c:v>-1.7189044474834363E-4</c:v>
                </c:pt>
                <c:pt idx="500">
                  <c:v>1.6318575367320673E-4</c:v>
                </c:pt>
                <c:pt idx="501">
                  <c:v>2.4456140798755536E-5</c:v>
                </c:pt>
                <c:pt idx="502">
                  <c:v>5.4526264654689797E-4</c:v>
                </c:pt>
                <c:pt idx="503">
                  <c:v>-1.5590283615003097E-4</c:v>
                </c:pt>
                <c:pt idx="504">
                  <c:v>3.8253311672535205E-4</c:v>
                </c:pt>
                <c:pt idx="505">
                  <c:v>1.2940052170247815E-4</c:v>
                </c:pt>
                <c:pt idx="506">
                  <c:v>1.8785771635912714E-4</c:v>
                </c:pt>
                <c:pt idx="507">
                  <c:v>-1.0742991384709922E-4</c:v>
                </c:pt>
                <c:pt idx="508">
                  <c:v>-1.2720149114089753E-4</c:v>
                </c:pt>
                <c:pt idx="509">
                  <c:v>7.187966576657778E-5</c:v>
                </c:pt>
                <c:pt idx="510">
                  <c:v>2.4956107591838549E-4</c:v>
                </c:pt>
                <c:pt idx="511">
                  <c:v>-1.6975345093863E-4</c:v>
                </c:pt>
                <c:pt idx="512">
                  <c:v>-5.4439913291197157E-4</c:v>
                </c:pt>
                <c:pt idx="513">
                  <c:v>3.45465524628687E-4</c:v>
                </c:pt>
                <c:pt idx="514">
                  <c:v>-6.8119677581572328E-5</c:v>
                </c:pt>
                <c:pt idx="515">
                  <c:v>-7.799915645113961E-5</c:v>
                </c:pt>
                <c:pt idx="516">
                  <c:v>-1.1609034596998935E-5</c:v>
                </c:pt>
                <c:pt idx="517">
                  <c:v>1.1807268732934564E-4</c:v>
                </c:pt>
                <c:pt idx="518">
                  <c:v>4.0554723634384497E-4</c:v>
                </c:pt>
                <c:pt idx="519">
                  <c:v>-1.3364301622197211E-4</c:v>
                </c:pt>
                <c:pt idx="520">
                  <c:v>1.5333425606282226E-5</c:v>
                </c:pt>
                <c:pt idx="521">
                  <c:v>-6.7420669668401219E-5</c:v>
                </c:pt>
                <c:pt idx="522">
                  <c:v>-1.1167703243097207E-4</c:v>
                </c:pt>
                <c:pt idx="523">
                  <c:v>-1.5027316553917747E-4</c:v>
                </c:pt>
                <c:pt idx="524">
                  <c:v>-2.006851713932182E-4</c:v>
                </c:pt>
                <c:pt idx="525">
                  <c:v>3.9213822674557702E-6</c:v>
                </c:pt>
                <c:pt idx="526">
                  <c:v>-6.9446530708771646E-5</c:v>
                </c:pt>
                <c:pt idx="527">
                  <c:v>-7.5842828150236684E-5</c:v>
                </c:pt>
                <c:pt idx="528">
                  <c:v>2.2682819426044783E-4</c:v>
                </c:pt>
                <c:pt idx="529">
                  <c:v>-1.7179083350238897E-4</c:v>
                </c:pt>
                <c:pt idx="530">
                  <c:v>-8.0102421367653456E-5</c:v>
                </c:pt>
                <c:pt idx="531">
                  <c:v>-1.3327239956258694E-4</c:v>
                </c:pt>
                <c:pt idx="532">
                  <c:v>2.2667802607387869E-4</c:v>
                </c:pt>
                <c:pt idx="533">
                  <c:v>-1.2748574172900012E-4</c:v>
                </c:pt>
                <c:pt idx="534">
                  <c:v>-3.8547046609016745E-4</c:v>
                </c:pt>
                <c:pt idx="535">
                  <c:v>3.4722465249059294E-5</c:v>
                </c:pt>
                <c:pt idx="536">
                  <c:v>-1.7480096084186394E-4</c:v>
                </c:pt>
                <c:pt idx="537">
                  <c:v>-3.5062389612285034E-4</c:v>
                </c:pt>
                <c:pt idx="538">
                  <c:v>-1.478219549316162E-4</c:v>
                </c:pt>
                <c:pt idx="539">
                  <c:v>4.200209195834549E-6</c:v>
                </c:pt>
                <c:pt idx="540">
                  <c:v>5.1000242654448739E-5</c:v>
                </c:pt>
                <c:pt idx="541">
                  <c:v>3.1508504125416696E-4</c:v>
                </c:pt>
                <c:pt idx="542">
                  <c:v>2.3979622449650428E-4</c:v>
                </c:pt>
                <c:pt idx="543">
                  <c:v>7.6568428207977556E-5</c:v>
                </c:pt>
                <c:pt idx="544">
                  <c:v>-2.5132562072942592E-4</c:v>
                </c:pt>
                <c:pt idx="545">
                  <c:v>7.9700139373503216E-5</c:v>
                </c:pt>
                <c:pt idx="546">
                  <c:v>2.4758206711135634E-4</c:v>
                </c:pt>
                <c:pt idx="547">
                  <c:v>-6.5082482629282809E-5</c:v>
                </c:pt>
                <c:pt idx="548">
                  <c:v>1.1431156439699025E-4</c:v>
                </c:pt>
                <c:pt idx="549">
                  <c:v>2.1896970387763059E-4</c:v>
                </c:pt>
                <c:pt idx="550">
                  <c:v>-3.9240425413441529E-4</c:v>
                </c:pt>
                <c:pt idx="551">
                  <c:v>-2.9221911749536118E-4</c:v>
                </c:pt>
                <c:pt idx="552">
                  <c:v>-2.1994750950566901E-4</c:v>
                </c:pt>
                <c:pt idx="553">
                  <c:v>-1.2238432759399583E-4</c:v>
                </c:pt>
                <c:pt idx="554">
                  <c:v>2.0061390899831457E-4</c:v>
                </c:pt>
                <c:pt idx="555">
                  <c:v>-1.4114624233900019E-4</c:v>
                </c:pt>
                <c:pt idx="556">
                  <c:v>-3.2970797575966512E-4</c:v>
                </c:pt>
                <c:pt idx="557">
                  <c:v>-6.0986654004079085E-5</c:v>
                </c:pt>
                <c:pt idx="558">
                  <c:v>-3.0546180341514087E-4</c:v>
                </c:pt>
                <c:pt idx="559">
                  <c:v>8.5454180035608287E-5</c:v>
                </c:pt>
                <c:pt idx="560">
                  <c:v>8.2298343418427773E-5</c:v>
                </c:pt>
                <c:pt idx="561">
                  <c:v>-8.4369777415390165E-5</c:v>
                </c:pt>
                <c:pt idx="562">
                  <c:v>1.2479628093546661E-4</c:v>
                </c:pt>
                <c:pt idx="563">
                  <c:v>2.8193499636372472E-4</c:v>
                </c:pt>
                <c:pt idx="564">
                  <c:v>4.3501040275332009E-5</c:v>
                </c:pt>
                <c:pt idx="565">
                  <c:v>-1.1268642863363027E-4</c:v>
                </c:pt>
                <c:pt idx="566">
                  <c:v>1.3051524590381114E-4</c:v>
                </c:pt>
                <c:pt idx="567">
                  <c:v>8.7119693574356832E-5</c:v>
                </c:pt>
                <c:pt idx="568">
                  <c:v>1.6371502272095458E-4</c:v>
                </c:pt>
                <c:pt idx="569">
                  <c:v>5.8371020532044415E-5</c:v>
                </c:pt>
                <c:pt idx="570">
                  <c:v>-2.0264381147974382E-5</c:v>
                </c:pt>
                <c:pt idx="571">
                  <c:v>-3.0102245348063615E-4</c:v>
                </c:pt>
                <c:pt idx="572">
                  <c:v>-3.8410532264759401E-4</c:v>
                </c:pt>
                <c:pt idx="573">
                  <c:v>6.6988579818048232E-5</c:v>
                </c:pt>
                <c:pt idx="574">
                  <c:v>2.5506253437263741E-4</c:v>
                </c:pt>
                <c:pt idx="575">
                  <c:v>-2.6807788511457232E-4</c:v>
                </c:pt>
                <c:pt idx="576">
                  <c:v>-1.9631542730844486E-4</c:v>
                </c:pt>
                <c:pt idx="577">
                  <c:v>1.3119211669576495E-4</c:v>
                </c:pt>
                <c:pt idx="578">
                  <c:v>3.1862164512110047E-4</c:v>
                </c:pt>
                <c:pt idx="579">
                  <c:v>3.0097377715000809E-4</c:v>
                </c:pt>
                <c:pt idx="580">
                  <c:v>-1.3626770974682921E-4</c:v>
                </c:pt>
                <c:pt idx="581">
                  <c:v>-2.7426563939519558E-4</c:v>
                </c:pt>
                <c:pt idx="582">
                  <c:v>-1.4624541801642839E-5</c:v>
                </c:pt>
                <c:pt idx="583">
                  <c:v>8.0043057176592948E-5</c:v>
                </c:pt>
                <c:pt idx="584">
                  <c:v>-1.7405627134795671E-4</c:v>
                </c:pt>
                <c:pt idx="585">
                  <c:v>2.5155998673255108E-4</c:v>
                </c:pt>
                <c:pt idx="586">
                  <c:v>1.4022856216317152E-6</c:v>
                </c:pt>
                <c:pt idx="587">
                  <c:v>1.7412968033433365E-4</c:v>
                </c:pt>
                <c:pt idx="588">
                  <c:v>4.5682643903367672E-5</c:v>
                </c:pt>
                <c:pt idx="589">
                  <c:v>1.2955827322309047E-4</c:v>
                </c:pt>
                <c:pt idx="590">
                  <c:v>-3.2153834119031109E-4</c:v>
                </c:pt>
                <c:pt idx="591">
                  <c:v>-1.570016836991157E-4</c:v>
                </c:pt>
                <c:pt idx="592">
                  <c:v>-1.5950532532718018E-5</c:v>
                </c:pt>
                <c:pt idx="593">
                  <c:v>-7.0411832192711952E-6</c:v>
                </c:pt>
                <c:pt idx="594">
                  <c:v>4.0106006251757392E-4</c:v>
                </c:pt>
                <c:pt idx="595">
                  <c:v>1.2673567084574305E-4</c:v>
                </c:pt>
                <c:pt idx="596">
                  <c:v>-3.7460378752374618E-4</c:v>
                </c:pt>
                <c:pt idx="597">
                  <c:v>4.0780641940514639E-4</c:v>
                </c:pt>
                <c:pt idx="598">
                  <c:v>1.6469207841754831E-4</c:v>
                </c:pt>
                <c:pt idx="599">
                  <c:v>-2.5571900228201259E-4</c:v>
                </c:pt>
                <c:pt idx="600">
                  <c:v>2.4475809428201143E-4</c:v>
                </c:pt>
                <c:pt idx="601">
                  <c:v>-1.6412642331641044E-4</c:v>
                </c:pt>
                <c:pt idx="602">
                  <c:v>3.0608090703797194E-4</c:v>
                </c:pt>
                <c:pt idx="603">
                  <c:v>6.0773329571257991E-4</c:v>
                </c:pt>
                <c:pt idx="604">
                  <c:v>2.636048085029005E-4</c:v>
                </c:pt>
                <c:pt idx="605">
                  <c:v>-1.7775226579515139E-4</c:v>
                </c:pt>
                <c:pt idx="606">
                  <c:v>1.1786906815003883E-4</c:v>
                </c:pt>
                <c:pt idx="607">
                  <c:v>3.114089605170389E-4</c:v>
                </c:pt>
                <c:pt idx="608">
                  <c:v>3.1442059761180421E-4</c:v>
                </c:pt>
                <c:pt idx="609">
                  <c:v>-1.148610958159686E-4</c:v>
                </c:pt>
                <c:pt idx="610">
                  <c:v>-3.0460705771184483E-4</c:v>
                </c:pt>
                <c:pt idx="611">
                  <c:v>3.2763349330947852E-4</c:v>
                </c:pt>
                <c:pt idx="612">
                  <c:v>-1.6237047074597985E-4</c:v>
                </c:pt>
                <c:pt idx="613">
                  <c:v>-2.657853855401895E-4</c:v>
                </c:pt>
                <c:pt idx="614">
                  <c:v>-2.3714085105985095E-4</c:v>
                </c:pt>
                <c:pt idx="615">
                  <c:v>-1.730772558662232E-4</c:v>
                </c:pt>
                <c:pt idx="616">
                  <c:v>-9.3184211586080682E-5</c:v>
                </c:pt>
                <c:pt idx="617">
                  <c:v>-2.1956076604785212E-4</c:v>
                </c:pt>
                <c:pt idx="618">
                  <c:v>-2.4320186412573171E-4</c:v>
                </c:pt>
                <c:pt idx="619">
                  <c:v>2.8431812254491859E-4</c:v>
                </c:pt>
                <c:pt idx="620">
                  <c:v>-3.9482484913288976E-4</c:v>
                </c:pt>
                <c:pt idx="621">
                  <c:v>-3.9821197876570172E-4</c:v>
                </c:pt>
                <c:pt idx="622">
                  <c:v>-7.4839736316346992E-6</c:v>
                </c:pt>
                <c:pt idx="623">
                  <c:v>7.3568869521274343E-5</c:v>
                </c:pt>
                <c:pt idx="624">
                  <c:v>2.8960765977250675E-4</c:v>
                </c:pt>
                <c:pt idx="625">
                  <c:v>-3.0436881890856488E-4</c:v>
                </c:pt>
                <c:pt idx="626">
                  <c:v>-5.5790442008630793E-5</c:v>
                </c:pt>
                <c:pt idx="627">
                  <c:v>-5.5472601395748536E-5</c:v>
                </c:pt>
                <c:pt idx="628">
                  <c:v>-2.3099606845013908E-4</c:v>
                </c:pt>
                <c:pt idx="629">
                  <c:v>1.2206521141180159E-4</c:v>
                </c:pt>
                <c:pt idx="630">
                  <c:v>-8.6741657782179394E-5</c:v>
                </c:pt>
                <c:pt idx="631">
                  <c:v>9.3681681412107905E-5</c:v>
                </c:pt>
                <c:pt idx="632">
                  <c:v>2.051654104998551E-4</c:v>
                </c:pt>
                <c:pt idx="633">
                  <c:v>-1.2475798977415074E-4</c:v>
                </c:pt>
                <c:pt idx="634">
                  <c:v>5.4908173819565422E-4</c:v>
                </c:pt>
                <c:pt idx="635">
                  <c:v>-3.0789155701805497E-4</c:v>
                </c:pt>
                <c:pt idx="636">
                  <c:v>4.8688738228139651E-4</c:v>
                </c:pt>
                <c:pt idx="637">
                  <c:v>6.4106082341135686E-5</c:v>
                </c:pt>
                <c:pt idx="638">
                  <c:v>4.4540153097684566E-4</c:v>
                </c:pt>
                <c:pt idx="639">
                  <c:v>-1.394981916613096E-4</c:v>
                </c:pt>
                <c:pt idx="640">
                  <c:v>-2.6258595150152547E-5</c:v>
                </c:pt>
                <c:pt idx="641">
                  <c:v>6.5845847946554136E-5</c:v>
                </c:pt>
                <c:pt idx="642">
                  <c:v>-2.3985986726594911E-4</c:v>
                </c:pt>
                <c:pt idx="643">
                  <c:v>6.0063190614918517E-6</c:v>
                </c:pt>
                <c:pt idx="644">
                  <c:v>-1.859004707511797E-4</c:v>
                </c:pt>
                <c:pt idx="645">
                  <c:v>-1.5662349914300354E-4</c:v>
                </c:pt>
                <c:pt idx="646">
                  <c:v>1.2935642556820208E-4</c:v>
                </c:pt>
                <c:pt idx="647">
                  <c:v>-1.7619766174306235E-4</c:v>
                </c:pt>
                <c:pt idx="648">
                  <c:v>2.333199900304225E-4</c:v>
                </c:pt>
                <c:pt idx="649">
                  <c:v>-8.0408892011095135E-5</c:v>
                </c:pt>
                <c:pt idx="650">
                  <c:v>1.6370556650125966E-4</c:v>
                </c:pt>
                <c:pt idx="651">
                  <c:v>-1.6087893934770662E-4</c:v>
                </c:pt>
                <c:pt idx="652">
                  <c:v>-2.1363538481115002E-5</c:v>
                </c:pt>
                <c:pt idx="653">
                  <c:v>3.825777164857756E-4</c:v>
                </c:pt>
                <c:pt idx="654">
                  <c:v>6.1052718030284113E-5</c:v>
                </c:pt>
                <c:pt idx="655">
                  <c:v>4.2057041223075667E-5</c:v>
                </c:pt>
                <c:pt idx="656">
                  <c:v>8.9305455321094521E-5</c:v>
                </c:pt>
                <c:pt idx="657">
                  <c:v>5.2633217922629007E-4</c:v>
                </c:pt>
                <c:pt idx="658">
                  <c:v>-1.6739488509304382E-5</c:v>
                </c:pt>
                <c:pt idx="659">
                  <c:v>1.8896715407537703E-4</c:v>
                </c:pt>
                <c:pt idx="660">
                  <c:v>-8.55078203661839E-6</c:v>
                </c:pt>
                <c:pt idx="661">
                  <c:v>-7.9191355558704232E-5</c:v>
                </c:pt>
                <c:pt idx="662">
                  <c:v>-1.1777176265656027E-4</c:v>
                </c:pt>
                <c:pt idx="663">
                  <c:v>1.5398618642656808E-4</c:v>
                </c:pt>
                <c:pt idx="664">
                  <c:v>-2.3350545936329554E-4</c:v>
                </c:pt>
                <c:pt idx="665">
                  <c:v>-9.3321609344380475E-6</c:v>
                </c:pt>
                <c:pt idx="666">
                  <c:v>-7.424996065037386E-4</c:v>
                </c:pt>
                <c:pt idx="667">
                  <c:v>1.6310872669112085E-4</c:v>
                </c:pt>
                <c:pt idx="668">
                  <c:v>1.427425815746514E-4</c:v>
                </c:pt>
                <c:pt idx="669">
                  <c:v>-4.6118463622577352E-4</c:v>
                </c:pt>
                <c:pt idx="670">
                  <c:v>3.5083124930141508E-6</c:v>
                </c:pt>
                <c:pt idx="671">
                  <c:v>-4.7958591097888779E-4</c:v>
                </c:pt>
                <c:pt idx="672">
                  <c:v>5.7169308267001655E-5</c:v>
                </c:pt>
                <c:pt idx="673">
                  <c:v>2.4389590394996791E-4</c:v>
                </c:pt>
                <c:pt idx="674">
                  <c:v>-4.7892239459795161E-5</c:v>
                </c:pt>
                <c:pt idx="675">
                  <c:v>4.1584330229797175E-4</c:v>
                </c:pt>
                <c:pt idx="676">
                  <c:v>1.3250010492132493E-5</c:v>
                </c:pt>
                <c:pt idx="677">
                  <c:v>3.094159431128973E-5</c:v>
                </c:pt>
                <c:pt idx="678">
                  <c:v>3.2354699920344061E-4</c:v>
                </c:pt>
                <c:pt idx="679">
                  <c:v>-1.2309448186666644E-4</c:v>
                </c:pt>
                <c:pt idx="680">
                  <c:v>1.9089103153917177E-4</c:v>
                </c:pt>
                <c:pt idx="681">
                  <c:v>-2.1228219872349125E-5</c:v>
                </c:pt>
                <c:pt idx="682">
                  <c:v>3.9567401891670045E-5</c:v>
                </c:pt>
                <c:pt idx="683">
                  <c:v>-2.0983344637343177E-4</c:v>
                </c:pt>
                <c:pt idx="684">
                  <c:v>-1.5306138935194672E-4</c:v>
                </c:pt>
                <c:pt idx="685">
                  <c:v>-3.3199696869825565E-4</c:v>
                </c:pt>
                <c:pt idx="686">
                  <c:v>2.9068910038237533E-5</c:v>
                </c:pt>
                <c:pt idx="687">
                  <c:v>2.0236426537051363E-5</c:v>
                </c:pt>
                <c:pt idx="688">
                  <c:v>-6.7886939157268291E-5</c:v>
                </c:pt>
                <c:pt idx="689">
                  <c:v>-3.2396795529289544E-4</c:v>
                </c:pt>
                <c:pt idx="690">
                  <c:v>-1.8187012692210514E-4</c:v>
                </c:pt>
                <c:pt idx="691">
                  <c:v>3.0336681721270078E-5</c:v>
                </c:pt>
                <c:pt idx="692">
                  <c:v>-2.042654332998681E-4</c:v>
                </c:pt>
                <c:pt idx="693">
                  <c:v>0</c:v>
                </c:pt>
                <c:pt idx="694">
                  <c:v>2.0542744076912475E-4</c:v>
                </c:pt>
                <c:pt idx="695">
                  <c:v>-1.8700294556385247E-4</c:v>
                </c:pt>
                <c:pt idx="696">
                  <c:v>-2.3911761873091981E-4</c:v>
                </c:pt>
                <c:pt idx="697">
                  <c:v>2.3274587236640136E-4</c:v>
                </c:pt>
                <c:pt idx="698">
                  <c:v>-6.0196245658126326E-5</c:v>
                </c:pt>
                <c:pt idx="699">
                  <c:v>-1.5332752500823242E-4</c:v>
                </c:pt>
                <c:pt idx="700">
                  <c:v>6.6646078614929445E-6</c:v>
                </c:pt>
                <c:pt idx="701">
                  <c:v>8.0498522763875456E-5</c:v>
                </c:pt>
                <c:pt idx="702">
                  <c:v>1.2646916894550604E-6</c:v>
                </c:pt>
                <c:pt idx="703">
                  <c:v>3.4274427873463311E-4</c:v>
                </c:pt>
                <c:pt idx="704">
                  <c:v>-1.0557184154788939E-4</c:v>
                </c:pt>
                <c:pt idx="705">
                  <c:v>-2.1196927599262807E-5</c:v>
                </c:pt>
                <c:pt idx="706">
                  <c:v>2.8179736469565673E-4</c:v>
                </c:pt>
                <c:pt idx="707">
                  <c:v>7.5048293241788847E-5</c:v>
                </c:pt>
                <c:pt idx="708">
                  <c:v>-3.0548155727561554E-4</c:v>
                </c:pt>
                <c:pt idx="709">
                  <c:v>-1.3806728051246955E-4</c:v>
                </c:pt>
                <c:pt idx="710">
                  <c:v>2.1735624109031431E-4</c:v>
                </c:pt>
                <c:pt idx="711">
                  <c:v>4.1780599707470393E-4</c:v>
                </c:pt>
                <c:pt idx="712">
                  <c:v>1.3240010535680398E-4</c:v>
                </c:pt>
                <c:pt idx="713">
                  <c:v>8.6245887244908916E-5</c:v>
                </c:pt>
                <c:pt idx="714">
                  <c:v>2.1372464322022997E-4</c:v>
                </c:pt>
                <c:pt idx="715">
                  <c:v>-1.0468158229387374E-5</c:v>
                </c:pt>
                <c:pt idx="716">
                  <c:v>-1.0625772591718893E-4</c:v>
                </c:pt>
                <c:pt idx="717">
                  <c:v>-2.1800604713602143E-4</c:v>
                </c:pt>
                <c:pt idx="718">
                  <c:v>7.7815438389026699E-5</c:v>
                </c:pt>
                <c:pt idx="719">
                  <c:v>-2.5644413527149505E-4</c:v>
                </c:pt>
                <c:pt idx="720">
                  <c:v>-2.3434140388079409E-6</c:v>
                </c:pt>
                <c:pt idx="721">
                  <c:v>-8.5006771181227051E-5</c:v>
                </c:pt>
                <c:pt idx="722">
                  <c:v>-9.6146611137225482E-6</c:v>
                </c:pt>
                <c:pt idx="723">
                  <c:v>0</c:v>
                </c:pt>
                <c:pt idx="724">
                  <c:v>3.7921133255037267E-4</c:v>
                </c:pt>
                <c:pt idx="725">
                  <c:v>-6.4543240551535487E-5</c:v>
                </c:pt>
                <c:pt idx="726">
                  <c:v>-1.6093281514803037E-4</c:v>
                </c:pt>
                <c:pt idx="727">
                  <c:v>-1.59461138569712E-4</c:v>
                </c:pt>
                <c:pt idx="728">
                  <c:v>-1.638910996397972E-5</c:v>
                </c:pt>
                <c:pt idx="729">
                  <c:v>-2.1609413451654426E-5</c:v>
                </c:pt>
                <c:pt idx="730">
                  <c:v>-2.5650835396984042E-5</c:v>
                </c:pt>
                <c:pt idx="731">
                  <c:v>3.6010802156156212E-5</c:v>
                </c:pt>
                <c:pt idx="732">
                  <c:v>2.1948213159693212E-4</c:v>
                </c:pt>
                <c:pt idx="733">
                  <c:v>1.053353517239868E-4</c:v>
                </c:pt>
                <c:pt idx="734">
                  <c:v>1.7297418809862739E-4</c:v>
                </c:pt>
                <c:pt idx="735">
                  <c:v>3.8284824164546647E-4</c:v>
                </c:pt>
                <c:pt idx="736">
                  <c:v>1.4546567604055289E-4</c:v>
                </c:pt>
                <c:pt idx="737">
                  <c:v>-3.8025442482970788E-4</c:v>
                </c:pt>
                <c:pt idx="738">
                  <c:v>-1.5419296013096328E-4</c:v>
                </c:pt>
                <c:pt idx="739">
                  <c:v>-8.2321983809468489E-5</c:v>
                </c:pt>
                <c:pt idx="740">
                  <c:v>-1.5807166900095251E-4</c:v>
                </c:pt>
                <c:pt idx="741">
                  <c:v>1.6054571415414495E-4</c:v>
                </c:pt>
                <c:pt idx="742">
                  <c:v>1.597846504994456E-4</c:v>
                </c:pt>
                <c:pt idx="743">
                  <c:v>-9.4272985437471337E-5</c:v>
                </c:pt>
                <c:pt idx="744">
                  <c:v>8.2296415399931696E-5</c:v>
                </c:pt>
                <c:pt idx="745">
                  <c:v>-5.6073000389166831E-5</c:v>
                </c:pt>
                <c:pt idx="746">
                  <c:v>5.816977057309509E-5</c:v>
                </c:pt>
                <c:pt idx="747">
                  <c:v>-4.970268235292476E-5</c:v>
                </c:pt>
                <c:pt idx="748">
                  <c:v>-1.0321374959709696E-4</c:v>
                </c:pt>
                <c:pt idx="749">
                  <c:v>2.3339916806244107E-4</c:v>
                </c:pt>
                <c:pt idx="750">
                  <c:v>-4.2891972581155852E-4</c:v>
                </c:pt>
                <c:pt idx="751">
                  <c:v>-3.2250937837447944E-5</c:v>
                </c:pt>
                <c:pt idx="752">
                  <c:v>-1.7548906463726426E-4</c:v>
                </c:pt>
                <c:pt idx="753">
                  <c:v>3.1470612146392859E-4</c:v>
                </c:pt>
                <c:pt idx="754">
                  <c:v>-8.7264287755343449E-5</c:v>
                </c:pt>
                <c:pt idx="755">
                  <c:v>1.5743731264895047E-4</c:v>
                </c:pt>
                <c:pt idx="756">
                  <c:v>1.6122395876083391E-4</c:v>
                </c:pt>
                <c:pt idx="757">
                  <c:v>-1.0990609113294215E-4</c:v>
                </c:pt>
                <c:pt idx="758">
                  <c:v>-1.5701266896693227E-4</c:v>
                </c:pt>
                <c:pt idx="759">
                  <c:v>6.3146147414208304E-5</c:v>
                </c:pt>
                <c:pt idx="760">
                  <c:v>-2.1583455226078789E-4</c:v>
                </c:pt>
                <c:pt idx="761">
                  <c:v>-5.3562836471076215E-5</c:v>
                </c:pt>
                <c:pt idx="762">
                  <c:v>-6.5719631481138836E-5</c:v>
                </c:pt>
                <c:pt idx="763">
                  <c:v>-2.0926046373009925E-4</c:v>
                </c:pt>
                <c:pt idx="764">
                  <c:v>3.7478418655359792E-5</c:v>
                </c:pt>
                <c:pt idx="765">
                  <c:v>8.4722914470031688E-5</c:v>
                </c:pt>
                <c:pt idx="766">
                  <c:v>-2.9196193333824596E-5</c:v>
                </c:pt>
                <c:pt idx="767">
                  <c:v>-1.7700789830797113E-4</c:v>
                </c:pt>
                <c:pt idx="768">
                  <c:v>1.2314972922973172E-4</c:v>
                </c:pt>
                <c:pt idx="769">
                  <c:v>-2.9062565307388867E-4</c:v>
                </c:pt>
                <c:pt idx="770">
                  <c:v>4.4653931744917619E-4</c:v>
                </c:pt>
                <c:pt idx="771">
                  <c:v>4.843812338101385E-4</c:v>
                </c:pt>
                <c:pt idx="772">
                  <c:v>-2.1581669027326796E-4</c:v>
                </c:pt>
                <c:pt idx="773">
                  <c:v>-5.6765465928568714E-4</c:v>
                </c:pt>
                <c:pt idx="774">
                  <c:v>-1.0908493372882081E-4</c:v>
                </c:pt>
                <c:pt idx="775">
                  <c:v>3.447942039147379E-4</c:v>
                </c:pt>
                <c:pt idx="776">
                  <c:v>1.7915308529378471E-4</c:v>
                </c:pt>
                <c:pt idx="777">
                  <c:v>3.8848444927237058E-4</c:v>
                </c:pt>
                <c:pt idx="778">
                  <c:v>2.4286072892884377E-5</c:v>
                </c:pt>
                <c:pt idx="779">
                  <c:v>-2.1069907796340441E-4</c:v>
                </c:pt>
                <c:pt idx="780">
                  <c:v>4.0693429102150166E-5</c:v>
                </c:pt>
                <c:pt idx="781">
                  <c:v>-2.9223319889338492E-4</c:v>
                </c:pt>
                <c:pt idx="782">
                  <c:v>1.5456402119755583E-4</c:v>
                </c:pt>
                <c:pt idx="783">
                  <c:v>-1.2939150548099321E-4</c:v>
                </c:pt>
                <c:pt idx="784">
                  <c:v>-3.7781316220070351E-4</c:v>
                </c:pt>
                <c:pt idx="785">
                  <c:v>-3.713731131179301E-4</c:v>
                </c:pt>
                <c:pt idx="786">
                  <c:v>2.7702585920675433E-4</c:v>
                </c:pt>
                <c:pt idx="787">
                  <c:v>-3.7219352504926252E-4</c:v>
                </c:pt>
                <c:pt idx="788">
                  <c:v>6.4269121945790723E-5</c:v>
                </c:pt>
                <c:pt idx="789">
                  <c:v>-5.0197517059097027E-4</c:v>
                </c:pt>
                <c:pt idx="790">
                  <c:v>-2.6923968240204443E-4</c:v>
                </c:pt>
                <c:pt idx="791">
                  <c:v>2.0380335856403926E-4</c:v>
                </c:pt>
                <c:pt idx="792">
                  <c:v>-1.8584527327788722E-5</c:v>
                </c:pt>
                <c:pt idx="793">
                  <c:v>-7.9656750425260656E-6</c:v>
                </c:pt>
                <c:pt idx="794">
                  <c:v>-4.1097725977880137E-5</c:v>
                </c:pt>
                <c:pt idx="795">
                  <c:v>6.4618840422453374E-6</c:v>
                </c:pt>
                <c:pt idx="796">
                  <c:v>-1.719728872154531E-4</c:v>
                </c:pt>
                <c:pt idx="797">
                  <c:v>-1.1831186562868247E-5</c:v>
                </c:pt>
                <c:pt idx="798">
                  <c:v>1.8038494793321308E-4</c:v>
                </c:pt>
                <c:pt idx="799">
                  <c:v>8.5710743160545273E-5</c:v>
                </c:pt>
                <c:pt idx="800">
                  <c:v>5.8561643007388678E-5</c:v>
                </c:pt>
                <c:pt idx="801">
                  <c:v>1.0999451299309485E-4</c:v>
                </c:pt>
                <c:pt idx="802">
                  <c:v>1.3271177789297094E-4</c:v>
                </c:pt>
                <c:pt idx="803">
                  <c:v>-1.568238982859054E-4</c:v>
                </c:pt>
                <c:pt idx="804">
                  <c:v>-2.6195471067109672E-5</c:v>
                </c:pt>
                <c:pt idx="805">
                  <c:v>2.4688890933566781E-4</c:v>
                </c:pt>
                <c:pt idx="806">
                  <c:v>-2.4928064354540264E-5</c:v>
                </c:pt>
                <c:pt idx="807">
                  <c:v>-1.0797415545220573E-4</c:v>
                </c:pt>
                <c:pt idx="808">
                  <c:v>6.4619133736810525E-5</c:v>
                </c:pt>
                <c:pt idx="809">
                  <c:v>3.5639388091576225E-4</c:v>
                </c:pt>
                <c:pt idx="810">
                  <c:v>1.9870016206469457E-4</c:v>
                </c:pt>
                <c:pt idx="811">
                  <c:v>-1.8122376830264713E-5</c:v>
                </c:pt>
                <c:pt idx="812">
                  <c:v>-1.2165307919136932E-4</c:v>
                </c:pt>
                <c:pt idx="813">
                  <c:v>-2.3638104481034226E-4</c:v>
                </c:pt>
                <c:pt idx="814">
                  <c:v>2.1603264511502784E-4</c:v>
                </c:pt>
                <c:pt idx="815">
                  <c:v>-2.4572265813393941E-4</c:v>
                </c:pt>
                <c:pt idx="816">
                  <c:v>-1.2858776055470948E-4</c:v>
                </c:pt>
                <c:pt idx="817">
                  <c:v>-1.8627726915330609E-5</c:v>
                </c:pt>
                <c:pt idx="818">
                  <c:v>4.4759841609212626E-4</c:v>
                </c:pt>
                <c:pt idx="819">
                  <c:v>1.0471572068961849E-4</c:v>
                </c:pt>
                <c:pt idx="820">
                  <c:v>9.6603765997472168E-5</c:v>
                </c:pt>
                <c:pt idx="821">
                  <c:v>1.4067951257816624E-4</c:v>
                </c:pt>
                <c:pt idx="822">
                  <c:v>5.8739586658485585E-4</c:v>
                </c:pt>
                <c:pt idx="823">
                  <c:v>-1.4929682205615984E-4</c:v>
                </c:pt>
                <c:pt idx="824">
                  <c:v>-3.6272091453103214E-4</c:v>
                </c:pt>
                <c:pt idx="825">
                  <c:v>3.9523590523391205E-4</c:v>
                </c:pt>
                <c:pt idx="826">
                  <c:v>-3.3863115372588401E-4</c:v>
                </c:pt>
                <c:pt idx="827">
                  <c:v>9.9405977426403217E-5</c:v>
                </c:pt>
                <c:pt idx="828">
                  <c:v>-2.4276137086749438E-4</c:v>
                </c:pt>
                <c:pt idx="829">
                  <c:v>-5.7534910480783327E-4</c:v>
                </c:pt>
                <c:pt idx="830">
                  <c:v>3.5827273130476959E-4</c:v>
                </c:pt>
                <c:pt idx="831">
                  <c:v>7.0722769639599168E-5</c:v>
                </c:pt>
                <c:pt idx="832">
                  <c:v>1.186315685130725E-4</c:v>
                </c:pt>
                <c:pt idx="833">
                  <c:v>-1.9657723349368088E-4</c:v>
                </c:pt>
                <c:pt idx="834">
                  <c:v>1.7830949633071641E-4</c:v>
                </c:pt>
                <c:pt idx="835">
                  <c:v>1.0204928353004031E-4</c:v>
                </c:pt>
                <c:pt idx="836">
                  <c:v>3.1096557884846771E-4</c:v>
                </c:pt>
                <c:pt idx="837">
                  <c:v>2.0818341972119608E-4</c:v>
                </c:pt>
                <c:pt idx="838">
                  <c:v>-5.7852756291156411E-5</c:v>
                </c:pt>
                <c:pt idx="839">
                  <c:v>-8.5504367262750403E-5</c:v>
                </c:pt>
                <c:pt idx="840">
                  <c:v>-5.8280047161656305E-5</c:v>
                </c:pt>
                <c:pt idx="841">
                  <c:v>1.393433774422096E-5</c:v>
                </c:pt>
                <c:pt idx="842">
                  <c:v>-1.4677249295331151E-4</c:v>
                </c:pt>
                <c:pt idx="843">
                  <c:v>1.1721272420612674E-4</c:v>
                </c:pt>
                <c:pt idx="844">
                  <c:v>1.1748333941915749E-4</c:v>
                </c:pt>
                <c:pt idx="845">
                  <c:v>2.889359036724468E-5</c:v>
                </c:pt>
                <c:pt idx="846">
                  <c:v>-3.5930186327096835E-4</c:v>
                </c:pt>
                <c:pt idx="847">
                  <c:v>-2.7698751797456398E-4</c:v>
                </c:pt>
                <c:pt idx="848">
                  <c:v>2.7756226439901188E-7</c:v>
                </c:pt>
                <c:pt idx="849">
                  <c:v>-4.9447588990405211E-4</c:v>
                </c:pt>
                <c:pt idx="850">
                  <c:v>-3.7004802977720527E-4</c:v>
                </c:pt>
                <c:pt idx="851">
                  <c:v>1.5478392963439613E-4</c:v>
                </c:pt>
                <c:pt idx="852">
                  <c:v>-3.6266292064541638E-4</c:v>
                </c:pt>
                <c:pt idx="853">
                  <c:v>6.4857650838036167E-4</c:v>
                </c:pt>
                <c:pt idx="854">
                  <c:v>-2.968926194833748E-4</c:v>
                </c:pt>
                <c:pt idx="855">
                  <c:v>1.9415210087375743E-4</c:v>
                </c:pt>
                <c:pt idx="856">
                  <c:v>-1.7821764530091386E-5</c:v>
                </c:pt>
                <c:pt idx="857">
                  <c:v>-1.3535489670449486E-4</c:v>
                </c:pt>
                <c:pt idx="858">
                  <c:v>-1.5896324350025642E-4</c:v>
                </c:pt>
                <c:pt idx="859">
                  <c:v>-6.9200495763962368E-5</c:v>
                </c:pt>
                <c:pt idx="860">
                  <c:v>-3.428232109122605E-4</c:v>
                </c:pt>
                <c:pt idx="861">
                  <c:v>-8.7242187434986873E-5</c:v>
                </c:pt>
                <c:pt idx="862">
                  <c:v>-3.4381750013358977E-4</c:v>
                </c:pt>
                <c:pt idx="863">
                  <c:v>3.2834314445808849E-4</c:v>
                </c:pt>
                <c:pt idx="864">
                  <c:v>2.6398133650496814E-4</c:v>
                </c:pt>
                <c:pt idx="865">
                  <c:v>1.1894944618906451E-4</c:v>
                </c:pt>
                <c:pt idx="866">
                  <c:v>-2.5701125762313005E-4</c:v>
                </c:pt>
                <c:pt idx="867">
                  <c:v>2.9259292941477803E-5</c:v>
                </c:pt>
                <c:pt idx="868">
                  <c:v>1.6665618826106724E-4</c:v>
                </c:pt>
                <c:pt idx="869">
                  <c:v>-8.8838604755217955E-5</c:v>
                </c:pt>
                <c:pt idx="870">
                  <c:v>2.085887754357612E-4</c:v>
                </c:pt>
                <c:pt idx="871">
                  <c:v>1.9059312520239099E-4</c:v>
                </c:pt>
                <c:pt idx="872">
                  <c:v>7.0851895952210009E-5</c:v>
                </c:pt>
                <c:pt idx="873">
                  <c:v>-4.8025069919850524E-5</c:v>
                </c:pt>
                <c:pt idx="874">
                  <c:v>-2.7785523802207916E-5</c:v>
                </c:pt>
                <c:pt idx="875">
                  <c:v>1.4484759554476054E-4</c:v>
                </c:pt>
                <c:pt idx="876">
                  <c:v>5.2424523746389714E-5</c:v>
                </c:pt>
                <c:pt idx="877">
                  <c:v>-7.0856584351398487E-5</c:v>
                </c:pt>
                <c:pt idx="878">
                  <c:v>4.0119519282284714E-5</c:v>
                </c:pt>
                <c:pt idx="879">
                  <c:v>2.0911922779827559E-4</c:v>
                </c:pt>
                <c:pt idx="880">
                  <c:v>-6.6504226360506862E-5</c:v>
                </c:pt>
                <c:pt idx="881">
                  <c:v>-2.0901660799418274E-4</c:v>
                </c:pt>
                <c:pt idx="882">
                  <c:v>2.1505736486541894E-4</c:v>
                </c:pt>
                <c:pt idx="883">
                  <c:v>-2.4725000079552848E-4</c:v>
                </c:pt>
                <c:pt idx="884">
                  <c:v>-6.1888679765925665E-5</c:v>
                </c:pt>
                <c:pt idx="885">
                  <c:v>2.5831117252448482E-4</c:v>
                </c:pt>
                <c:pt idx="886">
                  <c:v>1.7305142853080234E-4</c:v>
                </c:pt>
                <c:pt idx="887">
                  <c:v>-3.1538807211534538E-4</c:v>
                </c:pt>
                <c:pt idx="888">
                  <c:v>2.4689050010851758E-4</c:v>
                </c:pt>
                <c:pt idx="889">
                  <c:v>-2.9131785549522233E-5</c:v>
                </c:pt>
                <c:pt idx="890">
                  <c:v>-7.1188935759401437E-6</c:v>
                </c:pt>
                <c:pt idx="891">
                  <c:v>-6.434760970234414E-4</c:v>
                </c:pt>
                <c:pt idx="892">
                  <c:v>5.0977524170307831E-4</c:v>
                </c:pt>
                <c:pt idx="893">
                  <c:v>-2.4329201276342746E-4</c:v>
                </c:pt>
                <c:pt idx="894">
                  <c:v>1.1300889939163456E-4</c:v>
                </c:pt>
                <c:pt idx="895">
                  <c:v>-1.081675807775293E-4</c:v>
                </c:pt>
                <c:pt idx="896">
                  <c:v>-3.1838676427031195E-4</c:v>
                </c:pt>
                <c:pt idx="897">
                  <c:v>-2.2903158196875861E-5</c:v>
                </c:pt>
                <c:pt idx="898">
                  <c:v>-6.5196144363502507E-5</c:v>
                </c:pt>
                <c:pt idx="899">
                  <c:v>-1.7892712345807946E-4</c:v>
                </c:pt>
                <c:pt idx="900">
                  <c:v>3.2940018813145175E-4</c:v>
                </c:pt>
                <c:pt idx="901">
                  <c:v>-1.5222567935238408E-4</c:v>
                </c:pt>
                <c:pt idx="902">
                  <c:v>3.6702388898056555E-4</c:v>
                </c:pt>
                <c:pt idx="903">
                  <c:v>9.9483782818166026E-5</c:v>
                </c:pt>
                <c:pt idx="904">
                  <c:v>-3.4508919704719261E-4</c:v>
                </c:pt>
                <c:pt idx="905">
                  <c:v>-5.3417487853313553E-5</c:v>
                </c:pt>
                <c:pt idx="906">
                  <c:v>3.0965114902321904E-4</c:v>
                </c:pt>
                <c:pt idx="907">
                  <c:v>2.347380627549308E-4</c:v>
                </c:pt>
                <c:pt idx="908">
                  <c:v>-2.1050734102583943E-4</c:v>
                </c:pt>
                <c:pt idx="909">
                  <c:v>1.0066792854962124E-4</c:v>
                </c:pt>
                <c:pt idx="910">
                  <c:v>-3.9688404433464166E-4</c:v>
                </c:pt>
                <c:pt idx="911">
                  <c:v>-2.7893015872916045E-4</c:v>
                </c:pt>
                <c:pt idx="912">
                  <c:v>-2.7586286485024218E-4</c:v>
                </c:pt>
                <c:pt idx="913">
                  <c:v>-1.2295550789233046E-4</c:v>
                </c:pt>
                <c:pt idx="914">
                  <c:v>-5.2650064771300295E-5</c:v>
                </c:pt>
                <c:pt idx="915">
                  <c:v>3.6637904636594708E-5</c:v>
                </c:pt>
                <c:pt idx="916">
                  <c:v>-1.6410445617667975E-4</c:v>
                </c:pt>
                <c:pt idx="917">
                  <c:v>-6.0448163873928975E-5</c:v>
                </c:pt>
                <c:pt idx="918">
                  <c:v>3.9987453968946427E-5</c:v>
                </c:pt>
                <c:pt idx="919">
                  <c:v>2.5064774682525881E-4</c:v>
                </c:pt>
                <c:pt idx="920">
                  <c:v>-4.905669256230204E-4</c:v>
                </c:pt>
                <c:pt idx="921">
                  <c:v>1.1666740638169667E-4</c:v>
                </c:pt>
                <c:pt idx="922">
                  <c:v>-1.0245081108852281E-4</c:v>
                </c:pt>
                <c:pt idx="923">
                  <c:v>2.6801139657243073E-4</c:v>
                </c:pt>
                <c:pt idx="924">
                  <c:v>-2.2802711159750151E-4</c:v>
                </c:pt>
                <c:pt idx="925">
                  <c:v>1.8456200503158531E-5</c:v>
                </c:pt>
                <c:pt idx="926">
                  <c:v>-2.5842405139307712E-4</c:v>
                </c:pt>
                <c:pt idx="927">
                  <c:v>2.0921704202087205E-5</c:v>
                </c:pt>
                <c:pt idx="928">
                  <c:v>-2.5806672373361562E-4</c:v>
                </c:pt>
                <c:pt idx="929">
                  <c:v>4.0645889232014799E-5</c:v>
                </c:pt>
                <c:pt idx="930">
                  <c:v>8.8408369969522491E-5</c:v>
                </c:pt>
                <c:pt idx="931">
                  <c:v>-6.005039399898394E-5</c:v>
                </c:pt>
                <c:pt idx="932">
                  <c:v>1.0261283569788679E-4</c:v>
                </c:pt>
                <c:pt idx="933">
                  <c:v>-2.0227655939775822E-4</c:v>
                </c:pt>
                <c:pt idx="934">
                  <c:v>-3.6109269309563232E-6</c:v>
                </c:pt>
                <c:pt idx="935">
                  <c:v>-2.3620326865479878E-4</c:v>
                </c:pt>
                <c:pt idx="936">
                  <c:v>-1.5786298223718434E-4</c:v>
                </c:pt>
                <c:pt idx="937">
                  <c:v>2.5756404251524908E-4</c:v>
                </c:pt>
                <c:pt idx="938">
                  <c:v>2.163587394867573E-4</c:v>
                </c:pt>
                <c:pt idx="939">
                  <c:v>8.6844510062164133E-5</c:v>
                </c:pt>
                <c:pt idx="940">
                  <c:v>3.0234674011358353E-4</c:v>
                </c:pt>
                <c:pt idx="941">
                  <c:v>3.3227974320791773E-4</c:v>
                </c:pt>
                <c:pt idx="942">
                  <c:v>2.1160652375334059E-4</c:v>
                </c:pt>
                <c:pt idx="943">
                  <c:v>5.3624558718779345E-5</c:v>
                </c:pt>
                <c:pt idx="944">
                  <c:v>-3.311057882165021E-4</c:v>
                </c:pt>
                <c:pt idx="945">
                  <c:v>-2.6088897735821012E-4</c:v>
                </c:pt>
                <c:pt idx="946">
                  <c:v>5.1292594387738535E-5</c:v>
                </c:pt>
                <c:pt idx="947">
                  <c:v>4.2171301889770067E-4</c:v>
                </c:pt>
                <c:pt idx="948">
                  <c:v>-1.6810604921645272E-4</c:v>
                </c:pt>
                <c:pt idx="949">
                  <c:v>2.8377522083847088E-4</c:v>
                </c:pt>
                <c:pt idx="950">
                  <c:v>2.8705452327533541E-4</c:v>
                </c:pt>
                <c:pt idx="951">
                  <c:v>-1.6161129485440582E-4</c:v>
                </c:pt>
                <c:pt idx="952">
                  <c:v>-3.7062389889480339E-5</c:v>
                </c:pt>
                <c:pt idx="953">
                  <c:v>4.5918818719636021E-5</c:v>
                </c:pt>
                <c:pt idx="954">
                  <c:v>1.4656930802187785E-4</c:v>
                </c:pt>
                <c:pt idx="955">
                  <c:v>3.3582191803015649E-4</c:v>
                </c:pt>
                <c:pt idx="956">
                  <c:v>-3.3680150309379429E-4</c:v>
                </c:pt>
                <c:pt idx="957">
                  <c:v>-3.2674749359230067E-4</c:v>
                </c:pt>
                <c:pt idx="958">
                  <c:v>-2.3164354990768161E-4</c:v>
                </c:pt>
                <c:pt idx="959">
                  <c:v>-1.5412697511202488E-4</c:v>
                </c:pt>
                <c:pt idx="960">
                  <c:v>-1.0196053505634936E-4</c:v>
                </c:pt>
                <c:pt idx="961">
                  <c:v>4.9770046887426115E-4</c:v>
                </c:pt>
                <c:pt idx="962">
                  <c:v>-4.181662810962199E-4</c:v>
                </c:pt>
                <c:pt idx="963">
                  <c:v>5.0418938091299618E-4</c:v>
                </c:pt>
                <c:pt idx="964">
                  <c:v>-2.814550920989192E-5</c:v>
                </c:pt>
                <c:pt idx="965">
                  <c:v>-7.2775366468966169E-5</c:v>
                </c:pt>
                <c:pt idx="966">
                  <c:v>-2.5178552641056138E-4</c:v>
                </c:pt>
                <c:pt idx="967">
                  <c:v>-9.0813267293082117E-5</c:v>
                </c:pt>
                <c:pt idx="968">
                  <c:v>8.7781048647188415E-5</c:v>
                </c:pt>
                <c:pt idx="969">
                  <c:v>-4.2248194566402869E-4</c:v>
                </c:pt>
                <c:pt idx="970">
                  <c:v>-1.1759699954344974E-4</c:v>
                </c:pt>
                <c:pt idx="971">
                  <c:v>-2.6414150077178598E-5</c:v>
                </c:pt>
                <c:pt idx="972">
                  <c:v>-7.6668423898725304E-5</c:v>
                </c:pt>
                <c:pt idx="973">
                  <c:v>1.6282524086230722E-4</c:v>
                </c:pt>
                <c:pt idx="974">
                  <c:v>-4.6212589290169987E-4</c:v>
                </c:pt>
                <c:pt idx="975">
                  <c:v>2.4673006340014935E-4</c:v>
                </c:pt>
                <c:pt idx="976">
                  <c:v>1.2618238576961104E-4</c:v>
                </c:pt>
                <c:pt idx="977">
                  <c:v>-3.6084014654610085E-4</c:v>
                </c:pt>
                <c:pt idx="978">
                  <c:v>5.956054626407441E-4</c:v>
                </c:pt>
                <c:pt idx="979">
                  <c:v>3.4173327616453978E-5</c:v>
                </c:pt>
                <c:pt idx="980">
                  <c:v>1.2969357721280829E-4</c:v>
                </c:pt>
                <c:pt idx="981">
                  <c:v>1.9469769479824647E-4</c:v>
                </c:pt>
                <c:pt idx="982">
                  <c:v>2.2854850706462856E-4</c:v>
                </c:pt>
                <c:pt idx="983">
                  <c:v>2.4266656345746135E-4</c:v>
                </c:pt>
                <c:pt idx="984">
                  <c:v>1.9023787111046691E-4</c:v>
                </c:pt>
                <c:pt idx="985">
                  <c:v>1.0500065995989076E-4</c:v>
                </c:pt>
                <c:pt idx="986">
                  <c:v>1.1438777232180724E-4</c:v>
                </c:pt>
                <c:pt idx="987">
                  <c:v>1.8829637483820633E-4</c:v>
                </c:pt>
                <c:pt idx="988">
                  <c:v>2.2597180675828154E-4</c:v>
                </c:pt>
                <c:pt idx="989">
                  <c:v>-4.3558809514153375E-4</c:v>
                </c:pt>
                <c:pt idx="990">
                  <c:v>1.4726378061312648E-4</c:v>
                </c:pt>
                <c:pt idx="991">
                  <c:v>-2.7708319061960296E-4</c:v>
                </c:pt>
                <c:pt idx="992">
                  <c:v>-8.7657477970718632E-5</c:v>
                </c:pt>
                <c:pt idx="993">
                  <c:v>3.436985967976319E-4</c:v>
                </c:pt>
                <c:pt idx="994">
                  <c:v>8.7815649676531104E-5</c:v>
                </c:pt>
                <c:pt idx="995">
                  <c:v>1.5900857636356598E-4</c:v>
                </c:pt>
                <c:pt idx="996">
                  <c:v>1.8652472974152017E-4</c:v>
                </c:pt>
                <c:pt idx="997">
                  <c:v>-1.3444585219545498E-4</c:v>
                </c:pt>
              </c:numCache>
            </c:numRef>
          </c:xVal>
          <c:yVal>
            <c:numRef>
              <c:f>DATA!$AK$3:$AK$1000</c:f>
              <c:numCache>
                <c:formatCode>0.00%</c:formatCode>
                <c:ptCount val="998"/>
                <c:pt idx="0">
                  <c:v>-5.5293164088306569E-5</c:v>
                </c:pt>
                <c:pt idx="1">
                  <c:v>-1.3348752473357731E-4</c:v>
                </c:pt>
                <c:pt idx="2">
                  <c:v>-3.1538057352303128E-6</c:v>
                </c:pt>
                <c:pt idx="3">
                  <c:v>-1.2791877345564025E-4</c:v>
                </c:pt>
                <c:pt idx="4">
                  <c:v>-6.1724330542707237E-4</c:v>
                </c:pt>
                <c:pt idx="5">
                  <c:v>7.5469442305485144E-4</c:v>
                </c:pt>
                <c:pt idx="6">
                  <c:v>3.8798487354791371E-4</c:v>
                </c:pt>
                <c:pt idx="7">
                  <c:v>2.3077083643657824E-4</c:v>
                </c:pt>
                <c:pt idx="8">
                  <c:v>3.6803123832205306E-4</c:v>
                </c:pt>
                <c:pt idx="9">
                  <c:v>1.5279728424817481E-4</c:v>
                </c:pt>
                <c:pt idx="10">
                  <c:v>2.4978378200318655E-4</c:v>
                </c:pt>
                <c:pt idx="11">
                  <c:v>1.5856073644838705E-4</c:v>
                </c:pt>
                <c:pt idx="12">
                  <c:v>2.4755052556336415E-5</c:v>
                </c:pt>
                <c:pt idx="13">
                  <c:v>-3.5257847091617393E-4</c:v>
                </c:pt>
                <c:pt idx="14">
                  <c:v>4.4020607591803743E-4</c:v>
                </c:pt>
                <c:pt idx="15">
                  <c:v>6.7779266735097364E-5</c:v>
                </c:pt>
                <c:pt idx="16">
                  <c:v>4.0554955048706154E-4</c:v>
                </c:pt>
                <c:pt idx="17">
                  <c:v>8.4275684372555194E-4</c:v>
                </c:pt>
                <c:pt idx="18">
                  <c:v>-6.2188611926609547E-4</c:v>
                </c:pt>
                <c:pt idx="19">
                  <c:v>4.1305735606637044E-4</c:v>
                </c:pt>
                <c:pt idx="20">
                  <c:v>2.5336218315208527E-4</c:v>
                </c:pt>
                <c:pt idx="21">
                  <c:v>-9.0623243768334907E-5</c:v>
                </c:pt>
                <c:pt idx="22">
                  <c:v>4.892829127545312E-4</c:v>
                </c:pt>
                <c:pt idx="23">
                  <c:v>1.0297756572787089E-4</c:v>
                </c:pt>
                <c:pt idx="24">
                  <c:v>-3.5340584136053435E-4</c:v>
                </c:pt>
                <c:pt idx="25">
                  <c:v>-1.2819768716092241E-5</c:v>
                </c:pt>
                <c:pt idx="26">
                  <c:v>-2.7334249900591101E-4</c:v>
                </c:pt>
                <c:pt idx="27">
                  <c:v>5.3949899126404168E-4</c:v>
                </c:pt>
                <c:pt idx="28">
                  <c:v>-1.1300989625051947E-4</c:v>
                </c:pt>
                <c:pt idx="29">
                  <c:v>-9.4854437642210199E-4</c:v>
                </c:pt>
                <c:pt idx="30">
                  <c:v>1.5322987987447171E-4</c:v>
                </c:pt>
                <c:pt idx="31">
                  <c:v>-2.1145863208868522E-4</c:v>
                </c:pt>
                <c:pt idx="32">
                  <c:v>-5.7701401648432641E-5</c:v>
                </c:pt>
                <c:pt idx="33">
                  <c:v>1.9524273176823429E-4</c:v>
                </c:pt>
                <c:pt idx="34">
                  <c:v>-5.6976034450049712E-6</c:v>
                </c:pt>
                <c:pt idx="35">
                  <c:v>-5.2833666282826695E-5</c:v>
                </c:pt>
                <c:pt idx="36">
                  <c:v>-4.5847832879111159E-4</c:v>
                </c:pt>
                <c:pt idx="37">
                  <c:v>-6.0108262250869866E-5</c:v>
                </c:pt>
                <c:pt idx="38">
                  <c:v>-1.8483150636240821E-4</c:v>
                </c:pt>
                <c:pt idx="39">
                  <c:v>1.4805284360233436E-4</c:v>
                </c:pt>
                <c:pt idx="40">
                  <c:v>-1.4108598707059027E-4</c:v>
                </c:pt>
                <c:pt idx="41">
                  <c:v>-3.9905980821776198E-4</c:v>
                </c:pt>
                <c:pt idx="42">
                  <c:v>8.462163989145806E-5</c:v>
                </c:pt>
                <c:pt idx="43">
                  <c:v>-4.4705505299528234E-4</c:v>
                </c:pt>
                <c:pt idx="44">
                  <c:v>-1.7231312830002292E-4</c:v>
                </c:pt>
                <c:pt idx="45">
                  <c:v>5.5428554534065941E-4</c:v>
                </c:pt>
                <c:pt idx="46">
                  <c:v>2.9425621949789E-5</c:v>
                </c:pt>
                <c:pt idx="47">
                  <c:v>3.2303126790977199E-4</c:v>
                </c:pt>
                <c:pt idx="48">
                  <c:v>3.1907994522851303E-4</c:v>
                </c:pt>
                <c:pt idx="49">
                  <c:v>2.8708693246770614E-5</c:v>
                </c:pt>
                <c:pt idx="50">
                  <c:v>4.7263799485505621E-5</c:v>
                </c:pt>
                <c:pt idx="51">
                  <c:v>-7.0977227257568957E-4</c:v>
                </c:pt>
                <c:pt idx="52">
                  <c:v>-7.1031014849528738E-4</c:v>
                </c:pt>
                <c:pt idx="53">
                  <c:v>-4.0397481788453498E-4</c:v>
                </c:pt>
                <c:pt idx="54">
                  <c:v>-1.1790519670779583E-4</c:v>
                </c:pt>
                <c:pt idx="55">
                  <c:v>-5.1001391295179112E-4</c:v>
                </c:pt>
                <c:pt idx="56">
                  <c:v>-9.6051593734994037E-5</c:v>
                </c:pt>
                <c:pt idx="57">
                  <c:v>8.827335330681478E-4</c:v>
                </c:pt>
                <c:pt idx="58">
                  <c:v>0</c:v>
                </c:pt>
                <c:pt idx="59">
                  <c:v>-5.2715351349236087E-4</c:v>
                </c:pt>
                <c:pt idx="60">
                  <c:v>-6.876129338467536E-4</c:v>
                </c:pt>
                <c:pt idx="61">
                  <c:v>1.1545856091340256E-5</c:v>
                </c:pt>
                <c:pt idx="62">
                  <c:v>4.4691700514964901E-4</c:v>
                </c:pt>
                <c:pt idx="63">
                  <c:v>1.6397626527600632E-4</c:v>
                </c:pt>
                <c:pt idx="64">
                  <c:v>-8.047103994742945E-4</c:v>
                </c:pt>
                <c:pt idx="65">
                  <c:v>-6.1342763131555096E-5</c:v>
                </c:pt>
                <c:pt idx="66">
                  <c:v>4.7295317602232241E-5</c:v>
                </c:pt>
                <c:pt idx="67">
                  <c:v>-4.1091486107190671E-5</c:v>
                </c:pt>
                <c:pt idx="68">
                  <c:v>8.7471176484174229E-5</c:v>
                </c:pt>
                <c:pt idx="69">
                  <c:v>-2.3909340660997731E-4</c:v>
                </c:pt>
                <c:pt idx="70">
                  <c:v>-3.294422067597006E-5</c:v>
                </c:pt>
                <c:pt idx="71">
                  <c:v>-2.6118082120020897E-5</c:v>
                </c:pt>
                <c:pt idx="72">
                  <c:v>-8.936497491240545E-5</c:v>
                </c:pt>
                <c:pt idx="73">
                  <c:v>-2.1542509688173911E-4</c:v>
                </c:pt>
                <c:pt idx="74">
                  <c:v>-4.2235515077162692E-4</c:v>
                </c:pt>
                <c:pt idx="75">
                  <c:v>-3.2920438899035169E-4</c:v>
                </c:pt>
                <c:pt idx="76">
                  <c:v>-3.0659328040965743E-4</c:v>
                </c:pt>
                <c:pt idx="77">
                  <c:v>7.9079881954837274E-4</c:v>
                </c:pt>
                <c:pt idx="78">
                  <c:v>3.6811176882705195E-4</c:v>
                </c:pt>
                <c:pt idx="79">
                  <c:v>6.8877095906983322E-5</c:v>
                </c:pt>
                <c:pt idx="80">
                  <c:v>1.347554227667344E-4</c:v>
                </c:pt>
                <c:pt idx="81">
                  <c:v>-4.368919921289568E-4</c:v>
                </c:pt>
                <c:pt idx="82">
                  <c:v>1.7239177635508781E-4</c:v>
                </c:pt>
                <c:pt idx="83">
                  <c:v>-1.7043068601230545E-4</c:v>
                </c:pt>
                <c:pt idx="84">
                  <c:v>2.1806531075710755E-4</c:v>
                </c:pt>
                <c:pt idx="85">
                  <c:v>9.3762735266756837E-5</c:v>
                </c:pt>
                <c:pt idx="86">
                  <c:v>2.670783063449582E-5</c:v>
                </c:pt>
                <c:pt idx="87">
                  <c:v>1.7863372569155043E-4</c:v>
                </c:pt>
                <c:pt idx="88">
                  <c:v>4.9738631785389105E-4</c:v>
                </c:pt>
                <c:pt idx="89">
                  <c:v>1.074371691603707E-4</c:v>
                </c:pt>
                <c:pt idx="90">
                  <c:v>-1.0456761046479231E-4</c:v>
                </c:pt>
                <c:pt idx="91">
                  <c:v>1.014911227365459E-3</c:v>
                </c:pt>
                <c:pt idx="92">
                  <c:v>-5.3362567226482359E-4</c:v>
                </c:pt>
                <c:pt idx="93">
                  <c:v>-1.6633794520593125E-4</c:v>
                </c:pt>
                <c:pt idx="94">
                  <c:v>-3.7428107592991922E-4</c:v>
                </c:pt>
                <c:pt idx="95">
                  <c:v>4.4547059708367518E-6</c:v>
                </c:pt>
                <c:pt idx="96">
                  <c:v>3.5911773217118121E-4</c:v>
                </c:pt>
                <c:pt idx="97">
                  <c:v>-8.1044679824938124E-4</c:v>
                </c:pt>
                <c:pt idx="98">
                  <c:v>3.9178487766677041E-5</c:v>
                </c:pt>
                <c:pt idx="99">
                  <c:v>-1.5457807676161347E-4</c:v>
                </c:pt>
                <c:pt idx="100">
                  <c:v>-3.6359131342197411E-4</c:v>
                </c:pt>
                <c:pt idx="101">
                  <c:v>-1.1374678000501503E-6</c:v>
                </c:pt>
                <c:pt idx="102">
                  <c:v>1.6125830240339064E-4</c:v>
                </c:pt>
                <c:pt idx="103">
                  <c:v>-2.2445534432317751E-4</c:v>
                </c:pt>
                <c:pt idx="104">
                  <c:v>-2.2907174486640279E-4</c:v>
                </c:pt>
                <c:pt idx="105">
                  <c:v>-2.7366655109100019E-4</c:v>
                </c:pt>
                <c:pt idx="106">
                  <c:v>-2.8107609975203883E-4</c:v>
                </c:pt>
                <c:pt idx="107">
                  <c:v>-2.0163865692617697E-4</c:v>
                </c:pt>
                <c:pt idx="108">
                  <c:v>-3.5280320261109647E-4</c:v>
                </c:pt>
                <c:pt idx="109">
                  <c:v>4.6720137418645427E-4</c:v>
                </c:pt>
                <c:pt idx="110">
                  <c:v>-6.3659273774207561E-4</c:v>
                </c:pt>
                <c:pt idx="111">
                  <c:v>2.0157969100566465E-4</c:v>
                </c:pt>
                <c:pt idx="112">
                  <c:v>-1.5020102921230327E-4</c:v>
                </c:pt>
                <c:pt idx="113">
                  <c:v>-1.8835769867089195E-4</c:v>
                </c:pt>
                <c:pt idx="114">
                  <c:v>-2.2656330006564187E-4</c:v>
                </c:pt>
                <c:pt idx="115">
                  <c:v>-1.9098924256564289E-4</c:v>
                </c:pt>
                <c:pt idx="116">
                  <c:v>-2.5209489840524122E-4</c:v>
                </c:pt>
                <c:pt idx="117">
                  <c:v>-5.4087270251362916E-4</c:v>
                </c:pt>
                <c:pt idx="118">
                  <c:v>1.1015822110258418E-4</c:v>
                </c:pt>
                <c:pt idx="119">
                  <c:v>-6.3919965212871465E-4</c:v>
                </c:pt>
                <c:pt idx="120">
                  <c:v>3.2563426679136238E-4</c:v>
                </c:pt>
                <c:pt idx="121">
                  <c:v>-3.3322240029818597E-4</c:v>
                </c:pt>
                <c:pt idx="122">
                  <c:v>-2.0386338041616979E-4</c:v>
                </c:pt>
                <c:pt idx="123">
                  <c:v>-1.5290860639780661E-4</c:v>
                </c:pt>
                <c:pt idx="124">
                  <c:v>2.6580114060027581E-4</c:v>
                </c:pt>
                <c:pt idx="125">
                  <c:v>-3.6596560467772038E-4</c:v>
                </c:pt>
                <c:pt idx="126">
                  <c:v>3.6176083469147255E-4</c:v>
                </c:pt>
                <c:pt idx="127">
                  <c:v>2.6240363484007795E-5</c:v>
                </c:pt>
                <c:pt idx="128">
                  <c:v>-1.448436124096969E-4</c:v>
                </c:pt>
                <c:pt idx="129">
                  <c:v>-3.570488079906677E-4</c:v>
                </c:pt>
                <c:pt idx="130">
                  <c:v>4.1455389490163886E-4</c:v>
                </c:pt>
                <c:pt idx="131">
                  <c:v>1.3023495546368537E-4</c:v>
                </c:pt>
                <c:pt idx="132">
                  <c:v>-3.8945530329906873E-4</c:v>
                </c:pt>
                <c:pt idx="133">
                  <c:v>3.5117781130201335E-4</c:v>
                </c:pt>
                <c:pt idx="134">
                  <c:v>9.3199140883725579E-4</c:v>
                </c:pt>
                <c:pt idx="135">
                  <c:v>6.0229871501587531E-4</c:v>
                </c:pt>
                <c:pt idx="136">
                  <c:v>7.9555345088897444E-4</c:v>
                </c:pt>
                <c:pt idx="137">
                  <c:v>-3.1337262626650081E-4</c:v>
                </c:pt>
                <c:pt idx="138">
                  <c:v>2.937428026675545E-6</c:v>
                </c:pt>
                <c:pt idx="139">
                  <c:v>2.0484446101292299E-4</c:v>
                </c:pt>
                <c:pt idx="140">
                  <c:v>3.124066581275004E-4</c:v>
                </c:pt>
                <c:pt idx="141">
                  <c:v>-5.5856566239037363E-6</c:v>
                </c:pt>
                <c:pt idx="142">
                  <c:v>4.1637056571596664E-4</c:v>
                </c:pt>
                <c:pt idx="143">
                  <c:v>3.5005905696622547E-4</c:v>
                </c:pt>
                <c:pt idx="144">
                  <c:v>-4.7378479976312372E-4</c:v>
                </c:pt>
                <c:pt idx="145">
                  <c:v>-3.0170654158016104E-4</c:v>
                </c:pt>
                <c:pt idx="146">
                  <c:v>-5.8480822113109448E-4</c:v>
                </c:pt>
                <c:pt idx="147">
                  <c:v>-5.6744803644827042E-4</c:v>
                </c:pt>
                <c:pt idx="148">
                  <c:v>-4.7271679293465807E-4</c:v>
                </c:pt>
                <c:pt idx="149">
                  <c:v>9.69916840550407E-5</c:v>
                </c:pt>
                <c:pt idx="150">
                  <c:v>4.1075750126966823E-4</c:v>
                </c:pt>
                <c:pt idx="151">
                  <c:v>3.8470555926382253E-4</c:v>
                </c:pt>
                <c:pt idx="152">
                  <c:v>-3.9160898980213722E-4</c:v>
                </c:pt>
                <c:pt idx="153">
                  <c:v>-2.0285514485083415E-4</c:v>
                </c:pt>
                <c:pt idx="154">
                  <c:v>-7.3440354364236052E-4</c:v>
                </c:pt>
                <c:pt idx="155">
                  <c:v>-2.0622904344079926E-4</c:v>
                </c:pt>
                <c:pt idx="156">
                  <c:v>4.0800497160105114E-4</c:v>
                </c:pt>
                <c:pt idx="157">
                  <c:v>-2.9687784422638847E-4</c:v>
                </c:pt>
                <c:pt idx="158">
                  <c:v>-1.474845916632272E-4</c:v>
                </c:pt>
                <c:pt idx="159">
                  <c:v>-2.2323309852940299E-4</c:v>
                </c:pt>
                <c:pt idx="160">
                  <c:v>-5.7434190702566558E-5</c:v>
                </c:pt>
                <c:pt idx="161">
                  <c:v>-3.6123441569784324E-5</c:v>
                </c:pt>
                <c:pt idx="162">
                  <c:v>-3.8896076550378633E-4</c:v>
                </c:pt>
                <c:pt idx="163">
                  <c:v>-3.3779001957976698E-4</c:v>
                </c:pt>
                <c:pt idx="164">
                  <c:v>5.132585694410999E-4</c:v>
                </c:pt>
                <c:pt idx="165">
                  <c:v>5.6731492437166978E-4</c:v>
                </c:pt>
                <c:pt idx="166">
                  <c:v>-4.9621663595256823E-4</c:v>
                </c:pt>
                <c:pt idx="167">
                  <c:v>2.6629546588497849E-4</c:v>
                </c:pt>
                <c:pt idx="168">
                  <c:v>2.354391927682677E-4</c:v>
                </c:pt>
                <c:pt idx="169">
                  <c:v>1.0422438562896864E-4</c:v>
                </c:pt>
                <c:pt idx="170">
                  <c:v>3.2404414283069557E-6</c:v>
                </c:pt>
                <c:pt idx="171">
                  <c:v>1.4341972643306373E-4</c:v>
                </c:pt>
                <c:pt idx="172">
                  <c:v>-1.8649025577418131E-4</c:v>
                </c:pt>
                <c:pt idx="173">
                  <c:v>3.1195307205529474E-4</c:v>
                </c:pt>
                <c:pt idx="174">
                  <c:v>9.5487081864103457E-5</c:v>
                </c:pt>
                <c:pt idx="175">
                  <c:v>-5.0488834353347911E-4</c:v>
                </c:pt>
                <c:pt idx="176">
                  <c:v>-2.3780136583406752E-4</c:v>
                </c:pt>
                <c:pt idx="177">
                  <c:v>6.8084299927740068E-5</c:v>
                </c:pt>
                <c:pt idx="178">
                  <c:v>1.961996920374483E-4</c:v>
                </c:pt>
                <c:pt idx="179">
                  <c:v>6.5258491384173742E-6</c:v>
                </c:pt>
                <c:pt idx="180">
                  <c:v>3.6044542640502726E-4</c:v>
                </c:pt>
                <c:pt idx="181">
                  <c:v>-5.0106560163956182E-4</c:v>
                </c:pt>
                <c:pt idx="182">
                  <c:v>-1.0848459238213585E-5</c:v>
                </c:pt>
                <c:pt idx="183">
                  <c:v>-3.4883671811701718E-4</c:v>
                </c:pt>
                <c:pt idx="184">
                  <c:v>2.7523987053572558E-4</c:v>
                </c:pt>
                <c:pt idx="185">
                  <c:v>-3.3361734869907268E-4</c:v>
                </c:pt>
                <c:pt idx="186">
                  <c:v>2.3956148831854531E-5</c:v>
                </c:pt>
                <c:pt idx="187">
                  <c:v>-3.820918222790866E-4</c:v>
                </c:pt>
                <c:pt idx="188">
                  <c:v>-4.8492084448802266E-4</c:v>
                </c:pt>
                <c:pt idx="189">
                  <c:v>-2.931620175565765E-4</c:v>
                </c:pt>
                <c:pt idx="190">
                  <c:v>-2.3098246638114141E-4</c:v>
                </c:pt>
                <c:pt idx="191">
                  <c:v>-8.2976469431798156E-4</c:v>
                </c:pt>
                <c:pt idx="192">
                  <c:v>7.7907082146574231E-4</c:v>
                </c:pt>
                <c:pt idx="193">
                  <c:v>3.2655176637819513E-4</c:v>
                </c:pt>
                <c:pt idx="194">
                  <c:v>-3.2372541451330467E-4</c:v>
                </c:pt>
                <c:pt idx="195">
                  <c:v>-2.9325816460104543E-4</c:v>
                </c:pt>
                <c:pt idx="196">
                  <c:v>-1.8007206659947632E-4</c:v>
                </c:pt>
                <c:pt idx="197">
                  <c:v>2.6647912942717088E-4</c:v>
                </c:pt>
                <c:pt idx="198">
                  <c:v>-2.631479730015523E-4</c:v>
                </c:pt>
                <c:pt idx="199">
                  <c:v>-2.5481554909402809E-4</c:v>
                </c:pt>
                <c:pt idx="200">
                  <c:v>7.8381543398553532E-4</c:v>
                </c:pt>
                <c:pt idx="201">
                  <c:v>3.8837847687723067E-4</c:v>
                </c:pt>
                <c:pt idx="202">
                  <c:v>-6.4257485130907101E-4</c:v>
                </c:pt>
                <c:pt idx="203">
                  <c:v>-3.5911540254237944E-4</c:v>
                </c:pt>
                <c:pt idx="204">
                  <c:v>-1.1066203453397077E-4</c:v>
                </c:pt>
                <c:pt idx="205">
                  <c:v>2.4968691019729898E-4</c:v>
                </c:pt>
                <c:pt idx="206">
                  <c:v>3.04144649683607E-4</c:v>
                </c:pt>
                <c:pt idx="207">
                  <c:v>-6.1791189306447436E-5</c:v>
                </c:pt>
                <c:pt idx="208">
                  <c:v>7.7073290640938721E-4</c:v>
                </c:pt>
                <c:pt idx="209">
                  <c:v>-6.2046517048404415E-4</c:v>
                </c:pt>
                <c:pt idx="210">
                  <c:v>4.7967788571776917E-4</c:v>
                </c:pt>
                <c:pt idx="211">
                  <c:v>-1.0932386009021554E-4</c:v>
                </c:pt>
                <c:pt idx="212">
                  <c:v>3.5629267896174872E-4</c:v>
                </c:pt>
                <c:pt idx="213">
                  <c:v>2.1311315246310279E-4</c:v>
                </c:pt>
                <c:pt idx="214">
                  <c:v>-4.9152309328698589E-4</c:v>
                </c:pt>
                <c:pt idx="215">
                  <c:v>-5.8861973748451949E-4</c:v>
                </c:pt>
                <c:pt idx="216">
                  <c:v>-3.8226560069602538E-4</c:v>
                </c:pt>
                <c:pt idx="217">
                  <c:v>-1.4024721625989067E-4</c:v>
                </c:pt>
                <c:pt idx="218">
                  <c:v>-8.7611438846430453E-5</c:v>
                </c:pt>
                <c:pt idx="219">
                  <c:v>3.8243646639243346E-4</c:v>
                </c:pt>
                <c:pt idx="220">
                  <c:v>7.4529585384492834E-4</c:v>
                </c:pt>
                <c:pt idx="221">
                  <c:v>4.4752816357461063E-5</c:v>
                </c:pt>
                <c:pt idx="222">
                  <c:v>4.9611638060945818E-5</c:v>
                </c:pt>
                <c:pt idx="223">
                  <c:v>1.6070602787508087E-5</c:v>
                </c:pt>
                <c:pt idx="224">
                  <c:v>5.1753559202498466E-4</c:v>
                </c:pt>
                <c:pt idx="225">
                  <c:v>3.410102634400006E-4</c:v>
                </c:pt>
                <c:pt idx="226">
                  <c:v>-2.2583305788714128E-4</c:v>
                </c:pt>
                <c:pt idx="227">
                  <c:v>-6.9927765550607238E-4</c:v>
                </c:pt>
                <c:pt idx="228">
                  <c:v>1.6835598742060611E-4</c:v>
                </c:pt>
                <c:pt idx="229">
                  <c:v>1.176035178749149E-4</c:v>
                </c:pt>
                <c:pt idx="230">
                  <c:v>-9.4591583586596423E-5</c:v>
                </c:pt>
                <c:pt idx="231">
                  <c:v>1.169183243597298E-4</c:v>
                </c:pt>
                <c:pt idx="232">
                  <c:v>3.1364350119821282E-4</c:v>
                </c:pt>
                <c:pt idx="233">
                  <c:v>-5.6265359010385721E-5</c:v>
                </c:pt>
                <c:pt idx="234">
                  <c:v>-8.6186653384109707E-5</c:v>
                </c:pt>
                <c:pt idx="235">
                  <c:v>-4.3820973890233472E-4</c:v>
                </c:pt>
                <c:pt idx="236">
                  <c:v>-1.2854427215625087E-4</c:v>
                </c:pt>
                <c:pt idx="237">
                  <c:v>3.3899130092734437E-4</c:v>
                </c:pt>
                <c:pt idx="238">
                  <c:v>5.2546957637102337E-4</c:v>
                </c:pt>
                <c:pt idx="239">
                  <c:v>6.1110350197471312E-5</c:v>
                </c:pt>
                <c:pt idx="240">
                  <c:v>2.4919709288214473E-4</c:v>
                </c:pt>
                <c:pt idx="241">
                  <c:v>3.2306564268074021E-4</c:v>
                </c:pt>
                <c:pt idx="242">
                  <c:v>-1.850641110386402E-4</c:v>
                </c:pt>
                <c:pt idx="243">
                  <c:v>-3.3826636715185405E-4</c:v>
                </c:pt>
                <c:pt idx="244">
                  <c:v>4.860149505232551E-4</c:v>
                </c:pt>
                <c:pt idx="245">
                  <c:v>-1.3654457680599714E-4</c:v>
                </c:pt>
                <c:pt idx="246">
                  <c:v>-3.3583717556397757E-5</c:v>
                </c:pt>
                <c:pt idx="247">
                  <c:v>-1.1547371017789465E-4</c:v>
                </c:pt>
                <c:pt idx="248">
                  <c:v>6.8023043377895022E-5</c:v>
                </c:pt>
                <c:pt idx="249">
                  <c:v>1.2105626699916006E-4</c:v>
                </c:pt>
                <c:pt idx="250">
                  <c:v>2.144919002159778E-4</c:v>
                </c:pt>
                <c:pt idx="251">
                  <c:v>3.4244311023363829E-5</c:v>
                </c:pt>
                <c:pt idx="252">
                  <c:v>-6.7102117710113145E-4</c:v>
                </c:pt>
                <c:pt idx="253">
                  <c:v>-6.7234259201955527E-5</c:v>
                </c:pt>
                <c:pt idx="254">
                  <c:v>-2.3276325049431659E-4</c:v>
                </c:pt>
                <c:pt idx="255">
                  <c:v>-2.075729614959369E-4</c:v>
                </c:pt>
                <c:pt idx="256">
                  <c:v>-1.7980040601394377E-4</c:v>
                </c:pt>
                <c:pt idx="257">
                  <c:v>1.6235214818325074E-4</c:v>
                </c:pt>
                <c:pt idx="258">
                  <c:v>4.9987562724220511E-4</c:v>
                </c:pt>
                <c:pt idx="259">
                  <c:v>3.6754412181328735E-5</c:v>
                </c:pt>
                <c:pt idx="260">
                  <c:v>-5.0399870028480461E-4</c:v>
                </c:pt>
                <c:pt idx="261">
                  <c:v>-3.0937627965144473E-4</c:v>
                </c:pt>
                <c:pt idx="262">
                  <c:v>1.656433974101365E-4</c:v>
                </c:pt>
                <c:pt idx="263">
                  <c:v>-2.3715490919807783E-4</c:v>
                </c:pt>
                <c:pt idx="264">
                  <c:v>-4.4880832157569254E-4</c:v>
                </c:pt>
                <c:pt idx="265">
                  <c:v>2.7944791971786306E-4</c:v>
                </c:pt>
                <c:pt idx="266">
                  <c:v>9.5193195605995944E-4</c:v>
                </c:pt>
                <c:pt idx="267">
                  <c:v>-2.616072725311737E-4</c:v>
                </c:pt>
                <c:pt idx="268">
                  <c:v>-4.5357788406518666E-5</c:v>
                </c:pt>
                <c:pt idx="269">
                  <c:v>-2.651587472148177E-5</c:v>
                </c:pt>
                <c:pt idx="270">
                  <c:v>2.6260587248346602E-4</c:v>
                </c:pt>
                <c:pt idx="271">
                  <c:v>-7.6357380232144789E-5</c:v>
                </c:pt>
                <c:pt idx="272">
                  <c:v>-4.0333194007058029E-4</c:v>
                </c:pt>
                <c:pt idx="273">
                  <c:v>1.2169398220664337E-4</c:v>
                </c:pt>
                <c:pt idx="274">
                  <c:v>6.8623184226330192E-5</c:v>
                </c:pt>
                <c:pt idx="275">
                  <c:v>-1.4090361001549445E-4</c:v>
                </c:pt>
                <c:pt idx="276">
                  <c:v>3.0289314001875558E-4</c:v>
                </c:pt>
                <c:pt idx="277">
                  <c:v>8.753911575035073E-4</c:v>
                </c:pt>
                <c:pt idx="278">
                  <c:v>-5.1290120261220172E-4</c:v>
                </c:pt>
                <c:pt idx="279">
                  <c:v>-1.2961233682453306E-4</c:v>
                </c:pt>
                <c:pt idx="280">
                  <c:v>-8.4972295734555723E-4</c:v>
                </c:pt>
                <c:pt idx="281">
                  <c:v>2.8223755120335403E-4</c:v>
                </c:pt>
                <c:pt idx="282">
                  <c:v>-1.1471962101809129E-4</c:v>
                </c:pt>
                <c:pt idx="283">
                  <c:v>-1.6396897584580196E-4</c:v>
                </c:pt>
                <c:pt idx="284">
                  <c:v>-3.456011540585158E-4</c:v>
                </c:pt>
                <c:pt idx="285">
                  <c:v>3.9570239046287075E-4</c:v>
                </c:pt>
                <c:pt idx="286">
                  <c:v>-3.3530731178088988E-5</c:v>
                </c:pt>
                <c:pt idx="287">
                  <c:v>-2.146320932444709E-4</c:v>
                </c:pt>
                <c:pt idx="288">
                  <c:v>-4.470166252729209E-4</c:v>
                </c:pt>
                <c:pt idx="289">
                  <c:v>-2.6608287720277098E-4</c:v>
                </c:pt>
                <c:pt idx="290">
                  <c:v>-4.0957426054119431E-4</c:v>
                </c:pt>
                <c:pt idx="291">
                  <c:v>4.283138073428332E-4</c:v>
                </c:pt>
                <c:pt idx="292">
                  <c:v>4.6098954106268134E-4</c:v>
                </c:pt>
                <c:pt idx="293">
                  <c:v>2.0162683509039201E-5</c:v>
                </c:pt>
                <c:pt idx="294">
                  <c:v>4.5737406328441349E-4</c:v>
                </c:pt>
                <c:pt idx="295">
                  <c:v>-4.5197088985824763E-4</c:v>
                </c:pt>
                <c:pt idx="296">
                  <c:v>-3.3825754836387906E-4</c:v>
                </c:pt>
                <c:pt idx="297">
                  <c:v>-1.1919857339279362E-4</c:v>
                </c:pt>
                <c:pt idx="298">
                  <c:v>2.1255776927354136E-5</c:v>
                </c:pt>
                <c:pt idx="299">
                  <c:v>4.504121465577415E-4</c:v>
                </c:pt>
                <c:pt idx="300">
                  <c:v>2.8107650099567491E-4</c:v>
                </c:pt>
                <c:pt idx="301">
                  <c:v>3.2096635829948091E-4</c:v>
                </c:pt>
                <c:pt idx="302">
                  <c:v>1.2013705973021847E-4</c:v>
                </c:pt>
                <c:pt idx="303">
                  <c:v>3.7174561532672548E-4</c:v>
                </c:pt>
                <c:pt idx="304">
                  <c:v>2.9707366278177431E-4</c:v>
                </c:pt>
                <c:pt idx="305">
                  <c:v>-6.1380461343220935E-5</c:v>
                </c:pt>
                <c:pt idx="306">
                  <c:v>-4.0606829135164256E-4</c:v>
                </c:pt>
                <c:pt idx="307">
                  <c:v>4.9870899409724327E-4</c:v>
                </c:pt>
                <c:pt idx="308">
                  <c:v>-3.112208233561389E-5</c:v>
                </c:pt>
                <c:pt idx="309">
                  <c:v>-1.7890612586350396E-5</c:v>
                </c:pt>
                <c:pt idx="310">
                  <c:v>6.6799658786578805E-5</c:v>
                </c:pt>
                <c:pt idx="311">
                  <c:v>-4.3483068975217604E-4</c:v>
                </c:pt>
                <c:pt idx="312">
                  <c:v>6.7499348220312371E-4</c:v>
                </c:pt>
                <c:pt idx="313">
                  <c:v>-5.0996125176175453E-4</c:v>
                </c:pt>
                <c:pt idx="314">
                  <c:v>1.2145533049584165E-3</c:v>
                </c:pt>
                <c:pt idx="315">
                  <c:v>-1.5304474971080257E-4</c:v>
                </c:pt>
                <c:pt idx="316">
                  <c:v>0</c:v>
                </c:pt>
                <c:pt idx="317">
                  <c:v>6.5384443022341841E-4</c:v>
                </c:pt>
                <c:pt idx="318">
                  <c:v>4.1300282441905634E-4</c:v>
                </c:pt>
                <c:pt idx="319">
                  <c:v>1.5969236210971785E-4</c:v>
                </c:pt>
                <c:pt idx="320">
                  <c:v>-3.8484698720797881E-5</c:v>
                </c:pt>
                <c:pt idx="321">
                  <c:v>-1.12447312727526E-3</c:v>
                </c:pt>
                <c:pt idx="322">
                  <c:v>8.5869117222224154E-4</c:v>
                </c:pt>
                <c:pt idx="323">
                  <c:v>-1.4700759355665388E-4</c:v>
                </c:pt>
                <c:pt idx="324">
                  <c:v>-4.3382312296784745E-4</c:v>
                </c:pt>
                <c:pt idx="325">
                  <c:v>3.96622751108621E-4</c:v>
                </c:pt>
                <c:pt idx="326">
                  <c:v>-2.9518165364235562E-4</c:v>
                </c:pt>
                <c:pt idx="327">
                  <c:v>-2.3921722279050426E-4</c:v>
                </c:pt>
                <c:pt idx="328">
                  <c:v>-6.3608221881239783E-4</c:v>
                </c:pt>
                <c:pt idx="329">
                  <c:v>-4.1112792914613629E-5</c:v>
                </c:pt>
                <c:pt idx="330">
                  <c:v>-1.5145399885687925E-4</c:v>
                </c:pt>
                <c:pt idx="331">
                  <c:v>-3.5426823832099128E-4</c:v>
                </c:pt>
                <c:pt idx="332">
                  <c:v>-7.4894643691952138E-6</c:v>
                </c:pt>
                <c:pt idx="333">
                  <c:v>1.5274231977280782E-4</c:v>
                </c:pt>
                <c:pt idx="334">
                  <c:v>4.536874414013974E-4</c:v>
                </c:pt>
                <c:pt idx="335">
                  <c:v>-6.7705978753290156E-5</c:v>
                </c:pt>
                <c:pt idx="336">
                  <c:v>4.249234623475808E-4</c:v>
                </c:pt>
                <c:pt idx="337">
                  <c:v>-3.1841499307321843E-4</c:v>
                </c:pt>
                <c:pt idx="338">
                  <c:v>-8.3650831410982823E-4</c:v>
                </c:pt>
                <c:pt idx="339">
                  <c:v>6.4352184434135148E-4</c:v>
                </c:pt>
                <c:pt idx="340">
                  <c:v>5.3609439313103801E-4</c:v>
                </c:pt>
                <c:pt idx="341">
                  <c:v>4.5114511794198411E-4</c:v>
                </c:pt>
                <c:pt idx="342">
                  <c:v>1.9986123643258463E-4</c:v>
                </c:pt>
                <c:pt idx="343">
                  <c:v>1.5746620836331503E-4</c:v>
                </c:pt>
                <c:pt idx="344">
                  <c:v>4.1290824528926229E-4</c:v>
                </c:pt>
                <c:pt idx="345">
                  <c:v>-5.627726930427697E-6</c:v>
                </c:pt>
                <c:pt idx="346">
                  <c:v>1.3598609936074554E-4</c:v>
                </c:pt>
                <c:pt idx="347">
                  <c:v>1.5902973733480417E-4</c:v>
                </c:pt>
                <c:pt idx="348">
                  <c:v>5.3931607756111397E-4</c:v>
                </c:pt>
                <c:pt idx="349">
                  <c:v>-2.0529034554613262E-4</c:v>
                </c:pt>
                <c:pt idx="350">
                  <c:v>-3.7236833078156739E-5</c:v>
                </c:pt>
                <c:pt idx="351">
                  <c:v>7.3653948318604356E-5</c:v>
                </c:pt>
                <c:pt idx="352">
                  <c:v>2.3642024348432617E-4</c:v>
                </c:pt>
                <c:pt idx="353">
                  <c:v>-2.939699925389346E-4</c:v>
                </c:pt>
                <c:pt idx="354">
                  <c:v>-2.7530995680096566E-4</c:v>
                </c:pt>
                <c:pt idx="355">
                  <c:v>-1.4395684917763881E-4</c:v>
                </c:pt>
                <c:pt idx="356">
                  <c:v>1.4628979664163501E-4</c:v>
                </c:pt>
                <c:pt idx="357">
                  <c:v>5.293441328718594E-5</c:v>
                </c:pt>
                <c:pt idx="358">
                  <c:v>2.1073516857543967E-4</c:v>
                </c:pt>
                <c:pt idx="359">
                  <c:v>-1.4963101159636347E-5</c:v>
                </c:pt>
                <c:pt idx="360">
                  <c:v>-2.1414312851939589E-4</c:v>
                </c:pt>
                <c:pt idx="361">
                  <c:v>3.6657755508555151E-4</c:v>
                </c:pt>
                <c:pt idx="362">
                  <c:v>-5.3871408559576391E-4</c:v>
                </c:pt>
                <c:pt idx="363">
                  <c:v>3.1828700974977504E-4</c:v>
                </c:pt>
                <c:pt idx="364">
                  <c:v>-6.6800772175304435E-5</c:v>
                </c:pt>
                <c:pt idx="365">
                  <c:v>-1.6815435047882289E-4</c:v>
                </c:pt>
                <c:pt idx="366">
                  <c:v>8.6424656059371418E-5</c:v>
                </c:pt>
                <c:pt idx="367">
                  <c:v>6.4994164247364483E-4</c:v>
                </c:pt>
                <c:pt idx="368">
                  <c:v>-1.2709974167179157E-4</c:v>
                </c:pt>
                <c:pt idx="369">
                  <c:v>-1.743688497131492E-4</c:v>
                </c:pt>
                <c:pt idx="370">
                  <c:v>-3.1149452462174887E-4</c:v>
                </c:pt>
                <c:pt idx="371">
                  <c:v>2.9705084548310072E-6</c:v>
                </c:pt>
                <c:pt idx="372">
                  <c:v>1.371773475792543E-4</c:v>
                </c:pt>
                <c:pt idx="373">
                  <c:v>1.6401221013980882E-4</c:v>
                </c:pt>
                <c:pt idx="374">
                  <c:v>5.4611090460702084E-4</c:v>
                </c:pt>
                <c:pt idx="375">
                  <c:v>4.4279104200333581E-4</c:v>
                </c:pt>
                <c:pt idx="376">
                  <c:v>6.6711897854275124E-4</c:v>
                </c:pt>
                <c:pt idx="377">
                  <c:v>2.1819883339001177E-4</c:v>
                </c:pt>
                <c:pt idx="378">
                  <c:v>-4.3782140282021149E-5</c:v>
                </c:pt>
                <c:pt idx="379">
                  <c:v>1.2762780744531555E-4</c:v>
                </c:pt>
                <c:pt idx="380">
                  <c:v>-4.6223542198384811E-4</c:v>
                </c:pt>
                <c:pt idx="381">
                  <c:v>-2.404848220456676E-5</c:v>
                </c:pt>
                <c:pt idx="382">
                  <c:v>-2.4642008284043873E-4</c:v>
                </c:pt>
                <c:pt idx="383">
                  <c:v>-8.9955369883024279E-4</c:v>
                </c:pt>
                <c:pt idx="384">
                  <c:v>2.4724704247164401E-4</c:v>
                </c:pt>
                <c:pt idx="385">
                  <c:v>1.4210260459982367E-4</c:v>
                </c:pt>
                <c:pt idx="386">
                  <c:v>-2.1502189348248844E-4</c:v>
                </c:pt>
                <c:pt idx="387">
                  <c:v>2.7689237303243929E-4</c:v>
                </c:pt>
                <c:pt idx="388">
                  <c:v>-6.4969540243369492E-4</c:v>
                </c:pt>
                <c:pt idx="389">
                  <c:v>2.8536375706610838E-4</c:v>
                </c:pt>
                <c:pt idx="390">
                  <c:v>-3.3662812659689291E-4</c:v>
                </c:pt>
                <c:pt idx="391">
                  <c:v>5.8504071525449061E-4</c:v>
                </c:pt>
                <c:pt idx="392">
                  <c:v>4.0570471669996815E-4</c:v>
                </c:pt>
                <c:pt idx="393">
                  <c:v>-1.0724595693077623E-4</c:v>
                </c:pt>
                <c:pt idx="394">
                  <c:v>1.8333513227272613E-4</c:v>
                </c:pt>
                <c:pt idx="395">
                  <c:v>-3.3910432951218936E-4</c:v>
                </c:pt>
                <c:pt idx="396">
                  <c:v>-1.9040207629887162E-4</c:v>
                </c:pt>
                <c:pt idx="397">
                  <c:v>1.2327202078820187E-4</c:v>
                </c:pt>
                <c:pt idx="398">
                  <c:v>2.9879654438888417E-4</c:v>
                </c:pt>
                <c:pt idx="399">
                  <c:v>-2.0453863138200385E-4</c:v>
                </c:pt>
                <c:pt idx="400">
                  <c:v>3.7787997770255148E-4</c:v>
                </c:pt>
                <c:pt idx="401">
                  <c:v>-4.3083372488475788E-5</c:v>
                </c:pt>
                <c:pt idx="402">
                  <c:v>5.9455487933575901E-4</c:v>
                </c:pt>
                <c:pt idx="403">
                  <c:v>2.1265303991268087E-4</c:v>
                </c:pt>
                <c:pt idx="404">
                  <c:v>-6.4247911779415784E-4</c:v>
                </c:pt>
                <c:pt idx="405">
                  <c:v>-1.6676086394148295E-6</c:v>
                </c:pt>
                <c:pt idx="406">
                  <c:v>-3.8872268872208159E-5</c:v>
                </c:pt>
                <c:pt idx="407">
                  <c:v>9.7225797658221042E-5</c:v>
                </c:pt>
                <c:pt idx="408">
                  <c:v>1.4193914419095849E-4</c:v>
                </c:pt>
                <c:pt idx="409">
                  <c:v>8.1726613045873017E-4</c:v>
                </c:pt>
                <c:pt idx="410">
                  <c:v>-3.1770416119654529E-4</c:v>
                </c:pt>
                <c:pt idx="411">
                  <c:v>-5.1674062314569251E-4</c:v>
                </c:pt>
                <c:pt idx="412">
                  <c:v>2.2205169265738519E-5</c:v>
                </c:pt>
                <c:pt idx="413">
                  <c:v>3.3855378200800583E-4</c:v>
                </c:pt>
                <c:pt idx="414">
                  <c:v>3.4299091170141054E-4</c:v>
                </c:pt>
                <c:pt idx="415">
                  <c:v>-5.4451913464580528E-4</c:v>
                </c:pt>
                <c:pt idx="416">
                  <c:v>5.618719464205384E-5</c:v>
                </c:pt>
                <c:pt idx="417">
                  <c:v>5.799418270430631E-4</c:v>
                </c:pt>
                <c:pt idx="418">
                  <c:v>-2.5152594857705382E-4</c:v>
                </c:pt>
                <c:pt idx="419">
                  <c:v>3.173970387740819E-4</c:v>
                </c:pt>
                <c:pt idx="420">
                  <c:v>-3.7329751825210067E-5</c:v>
                </c:pt>
                <c:pt idx="421">
                  <c:v>5.4587504099246173E-4</c:v>
                </c:pt>
                <c:pt idx="422">
                  <c:v>1.0772135362742867E-4</c:v>
                </c:pt>
                <c:pt idx="423">
                  <c:v>-2.0459063434799218E-4</c:v>
                </c:pt>
                <c:pt idx="424">
                  <c:v>-2.8397007387099551E-4</c:v>
                </c:pt>
                <c:pt idx="425">
                  <c:v>5.7750343682783993E-6</c:v>
                </c:pt>
                <c:pt idx="426">
                  <c:v>4.5220061765347035E-4</c:v>
                </c:pt>
                <c:pt idx="427">
                  <c:v>-4.6260653945134661E-4</c:v>
                </c:pt>
                <c:pt idx="428">
                  <c:v>2.2656736755527753E-4</c:v>
                </c:pt>
                <c:pt idx="429">
                  <c:v>-1.4885744105229865E-4</c:v>
                </c:pt>
                <c:pt idx="430">
                  <c:v>1.6597400215129099E-4</c:v>
                </c:pt>
                <c:pt idx="431">
                  <c:v>-2.7354276662419489E-4</c:v>
                </c:pt>
                <c:pt idx="432">
                  <c:v>-2.0859219874962002E-4</c:v>
                </c:pt>
                <c:pt idx="433">
                  <c:v>1.7818796477511473E-4</c:v>
                </c:pt>
                <c:pt idx="434">
                  <c:v>1.9114428294265384E-4</c:v>
                </c:pt>
                <c:pt idx="435">
                  <c:v>-7.7100320398220938E-5</c:v>
                </c:pt>
                <c:pt idx="436">
                  <c:v>2.2084992223214426E-4</c:v>
                </c:pt>
                <c:pt idx="437">
                  <c:v>3.2336042409475413E-4</c:v>
                </c:pt>
                <c:pt idx="438">
                  <c:v>6.6506425303508121E-4</c:v>
                </c:pt>
                <c:pt idx="439">
                  <c:v>5.8817160193909109E-4</c:v>
                </c:pt>
                <c:pt idx="440">
                  <c:v>4.2384917103218051E-4</c:v>
                </c:pt>
                <c:pt idx="441">
                  <c:v>-1.6666375649216779E-4</c:v>
                </c:pt>
                <c:pt idx="442">
                  <c:v>2.5751499825716061E-4</c:v>
                </c:pt>
                <c:pt idx="443">
                  <c:v>-1.1809176670708814E-4</c:v>
                </c:pt>
                <c:pt idx="444">
                  <c:v>2.0119158290113953E-4</c:v>
                </c:pt>
                <c:pt idx="445">
                  <c:v>-7.107363355825637E-5</c:v>
                </c:pt>
                <c:pt idx="446">
                  <c:v>3.3162731541838664E-4</c:v>
                </c:pt>
                <c:pt idx="447">
                  <c:v>7.8347341162966733E-5</c:v>
                </c:pt>
                <c:pt idx="448">
                  <c:v>-4.7163669677206045E-5</c:v>
                </c:pt>
                <c:pt idx="449">
                  <c:v>-4.7444531706894894E-4</c:v>
                </c:pt>
                <c:pt idx="450">
                  <c:v>7.5573539049094817E-4</c:v>
                </c:pt>
                <c:pt idx="451">
                  <c:v>4.4740981056465236E-6</c:v>
                </c:pt>
                <c:pt idx="452">
                  <c:v>-2.5745112965379498E-4</c:v>
                </c:pt>
                <c:pt idx="453">
                  <c:v>4.0660920608527335E-4</c:v>
                </c:pt>
                <c:pt idx="454">
                  <c:v>-8.3415816562464821E-4</c:v>
                </c:pt>
                <c:pt idx="455">
                  <c:v>-3.3608620676268996E-4</c:v>
                </c:pt>
                <c:pt idx="456">
                  <c:v>-1.9434157468314171E-4</c:v>
                </c:pt>
                <c:pt idx="457">
                  <c:v>-1.4141356927782934E-4</c:v>
                </c:pt>
                <c:pt idx="458">
                  <c:v>2.5005573996146933E-4</c:v>
                </c:pt>
                <c:pt idx="459">
                  <c:v>5.8340237671404273E-5</c:v>
                </c:pt>
                <c:pt idx="460">
                  <c:v>2.353378730155194E-4</c:v>
                </c:pt>
                <c:pt idx="461">
                  <c:v>-3.2231974853934227E-4</c:v>
                </c:pt>
                <c:pt idx="462">
                  <c:v>6.1068092660292449E-5</c:v>
                </c:pt>
                <c:pt idx="463">
                  <c:v>1.4055401026426802E-4</c:v>
                </c:pt>
                <c:pt idx="464">
                  <c:v>-1.2090905063021485E-4</c:v>
                </c:pt>
                <c:pt idx="465">
                  <c:v>1.937439168766111E-5</c:v>
                </c:pt>
                <c:pt idx="466">
                  <c:v>-1.9788856356700403E-4</c:v>
                </c:pt>
                <c:pt idx="467">
                  <c:v>9.4643075569440213E-5</c:v>
                </c:pt>
                <c:pt idx="468">
                  <c:v>1.6248467643784705E-4</c:v>
                </c:pt>
                <c:pt idx="469">
                  <c:v>-2.3689500720591963E-4</c:v>
                </c:pt>
                <c:pt idx="470">
                  <c:v>-2.8606415065518898E-5</c:v>
                </c:pt>
                <c:pt idx="471">
                  <c:v>1.9721434362139287E-5</c:v>
                </c:pt>
                <c:pt idx="472">
                  <c:v>5.9280568187017953E-4</c:v>
                </c:pt>
                <c:pt idx="473">
                  <c:v>7.8372903965405417E-4</c:v>
                </c:pt>
                <c:pt idx="474">
                  <c:v>-3.6411129435647889E-4</c:v>
                </c:pt>
                <c:pt idx="475">
                  <c:v>5.6930485843236292E-4</c:v>
                </c:pt>
                <c:pt idx="476">
                  <c:v>-7.0069533726965652E-4</c:v>
                </c:pt>
                <c:pt idx="477">
                  <c:v>3.1818761353799297E-4</c:v>
                </c:pt>
                <c:pt idx="478">
                  <c:v>-5.8525907458311592E-4</c:v>
                </c:pt>
                <c:pt idx="479">
                  <c:v>-2.3623197701475387E-4</c:v>
                </c:pt>
                <c:pt idx="480">
                  <c:v>2.3160265164321808E-6</c:v>
                </c:pt>
                <c:pt idx="481">
                  <c:v>-3.1949170314861359E-4</c:v>
                </c:pt>
                <c:pt idx="482">
                  <c:v>-4.0954332056044717E-4</c:v>
                </c:pt>
                <c:pt idx="483">
                  <c:v>2.8528339104198839E-4</c:v>
                </c:pt>
                <c:pt idx="484">
                  <c:v>4.8367952684572838E-4</c:v>
                </c:pt>
                <c:pt idx="485">
                  <c:v>5.4575165640391565E-5</c:v>
                </c:pt>
                <c:pt idx="486">
                  <c:v>-1.3093046342032254E-4</c:v>
                </c:pt>
                <c:pt idx="487">
                  <c:v>7.5505942270662514E-5</c:v>
                </c:pt>
                <c:pt idx="488">
                  <c:v>5.9199990902251975E-4</c:v>
                </c:pt>
                <c:pt idx="489">
                  <c:v>6.6618519474958565E-5</c:v>
                </c:pt>
                <c:pt idx="490">
                  <c:v>3.1608994287637493E-4</c:v>
                </c:pt>
                <c:pt idx="491">
                  <c:v>-3.0038224192927286E-4</c:v>
                </c:pt>
                <c:pt idx="492">
                  <c:v>-1.937120882579466E-4</c:v>
                </c:pt>
                <c:pt idx="493">
                  <c:v>-5.6176088880725857E-5</c:v>
                </c:pt>
                <c:pt idx="494">
                  <c:v>4.5700391669495751E-4</c:v>
                </c:pt>
                <c:pt idx="495">
                  <c:v>-5.390498967035429E-4</c:v>
                </c:pt>
                <c:pt idx="496">
                  <c:v>4.2742416050381551E-4</c:v>
                </c:pt>
                <c:pt idx="497">
                  <c:v>-3.5756437225177134E-4</c:v>
                </c:pt>
                <c:pt idx="498">
                  <c:v>-1.8194953512315899E-4</c:v>
                </c:pt>
                <c:pt idx="499">
                  <c:v>-2.7667064137626055E-4</c:v>
                </c:pt>
                <c:pt idx="500">
                  <c:v>-7.9889293135777144E-6</c:v>
                </c:pt>
                <c:pt idx="501">
                  <c:v>-9.0148399551923615E-5</c:v>
                </c:pt>
                <c:pt idx="502">
                  <c:v>7.8023594238234263E-4</c:v>
                </c:pt>
                <c:pt idx="503">
                  <c:v>1.2717614005439845E-4</c:v>
                </c:pt>
                <c:pt idx="504">
                  <c:v>2.0594360536164391E-4</c:v>
                </c:pt>
                <c:pt idx="505">
                  <c:v>-2.337190029742769E-5</c:v>
                </c:pt>
                <c:pt idx="506">
                  <c:v>7.9741989583123661E-4</c:v>
                </c:pt>
                <c:pt idx="507">
                  <c:v>3.7473971024897147E-4</c:v>
                </c:pt>
                <c:pt idx="508">
                  <c:v>-8.0041929223415118E-4</c:v>
                </c:pt>
                <c:pt idx="509">
                  <c:v>-3.3011698788792509E-4</c:v>
                </c:pt>
                <c:pt idx="510">
                  <c:v>-4.096193874786734E-4</c:v>
                </c:pt>
                <c:pt idx="511">
                  <c:v>-7.3463030606384506E-4</c:v>
                </c:pt>
                <c:pt idx="512">
                  <c:v>-4.7873090898978852E-4</c:v>
                </c:pt>
                <c:pt idx="513">
                  <c:v>-2.3845320504571268E-4</c:v>
                </c:pt>
                <c:pt idx="514">
                  <c:v>-4.4602976852890574E-4</c:v>
                </c:pt>
                <c:pt idx="515">
                  <c:v>-1.4036175961070163E-4</c:v>
                </c:pt>
                <c:pt idx="516">
                  <c:v>-1.021525415797808E-4</c:v>
                </c:pt>
                <c:pt idx="517">
                  <c:v>-5.5427151747580155E-5</c:v>
                </c:pt>
                <c:pt idx="518">
                  <c:v>2.4530439049448105E-4</c:v>
                </c:pt>
                <c:pt idx="519">
                  <c:v>2.0335329017738527E-4</c:v>
                </c:pt>
                <c:pt idx="520">
                  <c:v>4.4099148840484679E-4</c:v>
                </c:pt>
                <c:pt idx="521">
                  <c:v>-3.9110865026941799E-4</c:v>
                </c:pt>
                <c:pt idx="522">
                  <c:v>-7.0882154629161773E-5</c:v>
                </c:pt>
                <c:pt idx="523">
                  <c:v>8.8815329450869806E-5</c:v>
                </c:pt>
                <c:pt idx="524">
                  <c:v>5.0774464865032851E-4</c:v>
                </c:pt>
                <c:pt idx="525">
                  <c:v>-1.5418855264705654E-4</c:v>
                </c:pt>
                <c:pt idx="526">
                  <c:v>-1.2499241527934521E-4</c:v>
                </c:pt>
                <c:pt idx="527">
                  <c:v>8.2408007089875099E-4</c:v>
                </c:pt>
                <c:pt idx="528">
                  <c:v>5.6833172051468854E-4</c:v>
                </c:pt>
                <c:pt idx="529">
                  <c:v>1.8328620694857596E-4</c:v>
                </c:pt>
                <c:pt idx="530">
                  <c:v>3.5761934507408497E-4</c:v>
                </c:pt>
                <c:pt idx="531">
                  <c:v>-1.5766658808304685E-4</c:v>
                </c:pt>
                <c:pt idx="532">
                  <c:v>2.0988562721968163E-6</c:v>
                </c:pt>
                <c:pt idx="533">
                  <c:v>-1.3050030228818605E-4</c:v>
                </c:pt>
                <c:pt idx="534">
                  <c:v>-6.4270938334789563E-4</c:v>
                </c:pt>
                <c:pt idx="535">
                  <c:v>-3.8919423968152998E-4</c:v>
                </c:pt>
                <c:pt idx="536">
                  <c:v>-2.3965385419422003E-6</c:v>
                </c:pt>
                <c:pt idx="537">
                  <c:v>-4.1354957487562218E-4</c:v>
                </c:pt>
                <c:pt idx="538">
                  <c:v>2.2228070072376964E-4</c:v>
                </c:pt>
                <c:pt idx="539">
                  <c:v>3.8274133655064431E-4</c:v>
                </c:pt>
                <c:pt idx="540">
                  <c:v>-6.3265344150370962E-4</c:v>
                </c:pt>
                <c:pt idx="541">
                  <c:v>3.6038077348394594E-4</c:v>
                </c:pt>
                <c:pt idx="542">
                  <c:v>-2.7608399511069924E-4</c:v>
                </c:pt>
                <c:pt idx="543">
                  <c:v>4.9878519222423768E-4</c:v>
                </c:pt>
                <c:pt idx="544">
                  <c:v>2.3411330708617765E-4</c:v>
                </c:pt>
                <c:pt idx="545">
                  <c:v>2.9320461151761815E-4</c:v>
                </c:pt>
                <c:pt idx="546">
                  <c:v>3.0628820065164725E-4</c:v>
                </c:pt>
                <c:pt idx="547">
                  <c:v>-3.6103565437353077E-5</c:v>
                </c:pt>
                <c:pt idx="548">
                  <c:v>-3.3088112297819663E-4</c:v>
                </c:pt>
                <c:pt idx="549">
                  <c:v>-3.141898899627871E-4</c:v>
                </c:pt>
                <c:pt idx="550">
                  <c:v>3.6054288604420214E-4</c:v>
                </c:pt>
                <c:pt idx="551">
                  <c:v>2.3413929229720436E-4</c:v>
                </c:pt>
                <c:pt idx="552">
                  <c:v>-3.449020277332686E-4</c:v>
                </c:pt>
                <c:pt idx="553">
                  <c:v>1.9840119921481514E-5</c:v>
                </c:pt>
                <c:pt idx="554">
                  <c:v>9.2099130610581012E-5</c:v>
                </c:pt>
                <c:pt idx="555">
                  <c:v>7.5878742534598604E-6</c:v>
                </c:pt>
                <c:pt idx="556">
                  <c:v>1.3431565350985E-4</c:v>
                </c:pt>
                <c:pt idx="557">
                  <c:v>-8.963449432594742E-4</c:v>
                </c:pt>
                <c:pt idx="558">
                  <c:v>-4.4456356784933611E-5</c:v>
                </c:pt>
                <c:pt idx="559">
                  <c:v>2.3357495861211038E-4</c:v>
                </c:pt>
                <c:pt idx="560">
                  <c:v>2.7023022654877967E-4</c:v>
                </c:pt>
                <c:pt idx="561">
                  <c:v>4.613873246016425E-4</c:v>
                </c:pt>
                <c:pt idx="562">
                  <c:v>1.1481633379243468E-4</c:v>
                </c:pt>
                <c:pt idx="563">
                  <c:v>-2.5306560432672453E-4</c:v>
                </c:pt>
                <c:pt idx="564">
                  <c:v>-6.4161424722211993E-4</c:v>
                </c:pt>
                <c:pt idx="565">
                  <c:v>-4.5328386985591328E-4</c:v>
                </c:pt>
                <c:pt idx="566">
                  <c:v>1.5892726923646069E-4</c:v>
                </c:pt>
                <c:pt idx="567">
                  <c:v>-2.108560217554562E-4</c:v>
                </c:pt>
                <c:pt idx="568">
                  <c:v>-1.1681576791252117E-4</c:v>
                </c:pt>
                <c:pt idx="569">
                  <c:v>-6.0889946319293213E-4</c:v>
                </c:pt>
                <c:pt idx="570">
                  <c:v>-1.0169065569850176E-4</c:v>
                </c:pt>
                <c:pt idx="571">
                  <c:v>3.5470293028050739E-4</c:v>
                </c:pt>
                <c:pt idx="572">
                  <c:v>-9.4526842746523336E-6</c:v>
                </c:pt>
                <c:pt idx="573">
                  <c:v>-3.3290661685009418E-6</c:v>
                </c:pt>
                <c:pt idx="574">
                  <c:v>-1.9812366486832904E-4</c:v>
                </c:pt>
                <c:pt idx="575">
                  <c:v>1.780926084437458E-4</c:v>
                </c:pt>
                <c:pt idx="576">
                  <c:v>2.6340147410764444E-4</c:v>
                </c:pt>
                <c:pt idx="577">
                  <c:v>-1.2372580158704621E-4</c:v>
                </c:pt>
                <c:pt idx="578">
                  <c:v>-1.9573114812603307E-4</c:v>
                </c:pt>
                <c:pt idx="579">
                  <c:v>1.4504457912174594E-4</c:v>
                </c:pt>
                <c:pt idx="580">
                  <c:v>-3.3529594974365584E-4</c:v>
                </c:pt>
                <c:pt idx="581">
                  <c:v>-4.4227637075540896E-5</c:v>
                </c:pt>
                <c:pt idx="582">
                  <c:v>-2.9327144998973867E-4</c:v>
                </c:pt>
                <c:pt idx="583">
                  <c:v>-5.6430230634823132E-4</c:v>
                </c:pt>
                <c:pt idx="584">
                  <c:v>3.9816959453322959E-4</c:v>
                </c:pt>
                <c:pt idx="585">
                  <c:v>2.840948920201944E-4</c:v>
                </c:pt>
                <c:pt idx="586">
                  <c:v>-3.945947372935261E-4</c:v>
                </c:pt>
                <c:pt idx="587">
                  <c:v>1.2366883530858885E-4</c:v>
                </c:pt>
                <c:pt idx="588">
                  <c:v>-5.7283722977412277E-4</c:v>
                </c:pt>
                <c:pt idx="589">
                  <c:v>2.2573532817763279E-4</c:v>
                </c:pt>
                <c:pt idx="590">
                  <c:v>-4.2039892715467063E-4</c:v>
                </c:pt>
                <c:pt idx="591">
                  <c:v>2.6492653987342517E-4</c:v>
                </c:pt>
                <c:pt idx="592">
                  <c:v>-8.4086520564157679E-4</c:v>
                </c:pt>
                <c:pt idx="593">
                  <c:v>-9.1798434399595574E-6</c:v>
                </c:pt>
                <c:pt idx="594">
                  <c:v>-1.7296688730378116E-4</c:v>
                </c:pt>
                <c:pt idx="595">
                  <c:v>2.6007447094703783E-4</c:v>
                </c:pt>
                <c:pt idx="596">
                  <c:v>-8.3872053003497979E-5</c:v>
                </c:pt>
                <c:pt idx="597">
                  <c:v>-2.120967410651429E-4</c:v>
                </c:pt>
                <c:pt idx="598">
                  <c:v>-2.220684636854455E-4</c:v>
                </c:pt>
                <c:pt idx="599">
                  <c:v>-7.5666678861638099E-4</c:v>
                </c:pt>
                <c:pt idx="600">
                  <c:v>2.0387928773552715E-4</c:v>
                </c:pt>
                <c:pt idx="601">
                  <c:v>-2.1421951708731673E-4</c:v>
                </c:pt>
                <c:pt idx="602">
                  <c:v>-2.5416772194551489E-4</c:v>
                </c:pt>
                <c:pt idx="603">
                  <c:v>-3.5525207552895269E-4</c:v>
                </c:pt>
                <c:pt idx="604">
                  <c:v>3.6170399456750507E-4</c:v>
                </c:pt>
                <c:pt idx="605">
                  <c:v>2.6274177073950866E-4</c:v>
                </c:pt>
                <c:pt idx="606">
                  <c:v>-5.8335807601264645E-4</c:v>
                </c:pt>
                <c:pt idx="607">
                  <c:v>2.6352434051607602E-5</c:v>
                </c:pt>
                <c:pt idx="608">
                  <c:v>6.2479776283929679E-4</c:v>
                </c:pt>
                <c:pt idx="609">
                  <c:v>3.3614046584304688E-4</c:v>
                </c:pt>
                <c:pt idx="610">
                  <c:v>-2.2744316074662691E-7</c:v>
                </c:pt>
                <c:pt idx="611">
                  <c:v>3.996955902137939E-4</c:v>
                </c:pt>
                <c:pt idx="612">
                  <c:v>1.1175558272475547E-4</c:v>
                </c:pt>
                <c:pt idx="613">
                  <c:v>-7.0647483835212764E-4</c:v>
                </c:pt>
                <c:pt idx="614">
                  <c:v>-4.6486317049336744E-5</c:v>
                </c:pt>
                <c:pt idx="615">
                  <c:v>2.1210158126581426E-4</c:v>
                </c:pt>
                <c:pt idx="616">
                  <c:v>2.9783161864396801E-4</c:v>
                </c:pt>
                <c:pt idx="617">
                  <c:v>7.4323133094308523E-5</c:v>
                </c:pt>
                <c:pt idx="618">
                  <c:v>6.6343316523731694E-4</c:v>
                </c:pt>
                <c:pt idx="619">
                  <c:v>7.4751108531194432E-4</c:v>
                </c:pt>
                <c:pt idx="620">
                  <c:v>-8.5595417689755568E-5</c:v>
                </c:pt>
                <c:pt idx="621">
                  <c:v>-4.6484351332525182E-4</c:v>
                </c:pt>
                <c:pt idx="622">
                  <c:v>-4.0652039769873793E-4</c:v>
                </c:pt>
                <c:pt idx="623">
                  <c:v>1.8752273986925882E-4</c:v>
                </c:pt>
                <c:pt idx="624">
                  <c:v>9.9044805688628467E-5</c:v>
                </c:pt>
                <c:pt idx="625">
                  <c:v>0</c:v>
                </c:pt>
                <c:pt idx="626">
                  <c:v>-2.1980720595203611E-4</c:v>
                </c:pt>
                <c:pt idx="627">
                  <c:v>6.9368214499027065E-5</c:v>
                </c:pt>
                <c:pt idx="628">
                  <c:v>5.1463073741133119E-4</c:v>
                </c:pt>
                <c:pt idx="629">
                  <c:v>7.8596005476068988E-6</c:v>
                </c:pt>
                <c:pt idx="630">
                  <c:v>1.6646686871001521E-4</c:v>
                </c:pt>
                <c:pt idx="631">
                  <c:v>-3.5837739246483304E-4</c:v>
                </c:pt>
                <c:pt idx="632">
                  <c:v>-4.1212431206557221E-4</c:v>
                </c:pt>
                <c:pt idx="633">
                  <c:v>-5.265526245202361E-4</c:v>
                </c:pt>
                <c:pt idx="634">
                  <c:v>-2.5304061007758985E-4</c:v>
                </c:pt>
                <c:pt idx="635">
                  <c:v>-1.637245798946432E-4</c:v>
                </c:pt>
                <c:pt idx="636">
                  <c:v>1.1566333878926089E-4</c:v>
                </c:pt>
                <c:pt idx="637">
                  <c:v>-6.1519399782083517E-4</c:v>
                </c:pt>
                <c:pt idx="638">
                  <c:v>-1.935361774915889E-4</c:v>
                </c:pt>
                <c:pt idx="639">
                  <c:v>2.8094723295475648E-4</c:v>
                </c:pt>
                <c:pt idx="640">
                  <c:v>-3.848325014876975E-4</c:v>
                </c:pt>
                <c:pt idx="641">
                  <c:v>-1.0308899373531004E-4</c:v>
                </c:pt>
                <c:pt idx="642">
                  <c:v>-1.0255360273708554E-4</c:v>
                </c:pt>
                <c:pt idx="643">
                  <c:v>1.4762885962578152E-4</c:v>
                </c:pt>
                <c:pt idx="644">
                  <c:v>-5.0098698991603535E-4</c:v>
                </c:pt>
                <c:pt idx="645">
                  <c:v>3.1252457827836037E-4</c:v>
                </c:pt>
                <c:pt idx="646">
                  <c:v>2.5022970393350798E-4</c:v>
                </c:pt>
                <c:pt idx="647">
                  <c:v>4.952844029012972E-4</c:v>
                </c:pt>
                <c:pt idx="648">
                  <c:v>-3.5936941585748669E-4</c:v>
                </c:pt>
                <c:pt idx="649">
                  <c:v>-1.1613977184782014E-4</c:v>
                </c:pt>
                <c:pt idx="650">
                  <c:v>-1.7017899618935865E-4</c:v>
                </c:pt>
                <c:pt idx="651">
                  <c:v>-2.2795926698374494E-4</c:v>
                </c:pt>
                <c:pt idx="652">
                  <c:v>5.0261388512167231E-4</c:v>
                </c:pt>
                <c:pt idx="653">
                  <c:v>9.5961357604145618E-4</c:v>
                </c:pt>
                <c:pt idx="654">
                  <c:v>1.317431212713161E-4</c:v>
                </c:pt>
                <c:pt idx="655">
                  <c:v>8.900024480537879E-5</c:v>
                </c:pt>
                <c:pt idx="656">
                  <c:v>6.0999737588564209E-4</c:v>
                </c:pt>
                <c:pt idx="657">
                  <c:v>3.4797536493023391E-4</c:v>
                </c:pt>
                <c:pt idx="658">
                  <c:v>8.5891941113056254E-5</c:v>
                </c:pt>
                <c:pt idx="659">
                  <c:v>6.2254810835796201E-5</c:v>
                </c:pt>
                <c:pt idx="660">
                  <c:v>-1.2605391979703253E-4</c:v>
                </c:pt>
                <c:pt idx="661">
                  <c:v>-2.3735015252966487E-4</c:v>
                </c:pt>
                <c:pt idx="662">
                  <c:v>2.9797590771520323E-5</c:v>
                </c:pt>
                <c:pt idx="663">
                  <c:v>1.8051632016522187E-4</c:v>
                </c:pt>
                <c:pt idx="664">
                  <c:v>-1.0945211618764472E-4</c:v>
                </c:pt>
                <c:pt idx="665">
                  <c:v>1.598653207245944E-4</c:v>
                </c:pt>
                <c:pt idx="666">
                  <c:v>-3.7649059292546388E-4</c:v>
                </c:pt>
                <c:pt idx="667">
                  <c:v>-3.7784358179417641E-4</c:v>
                </c:pt>
                <c:pt idx="668">
                  <c:v>-4.9820890475909875E-5</c:v>
                </c:pt>
                <c:pt idx="669">
                  <c:v>-2.8601073932507952E-4</c:v>
                </c:pt>
                <c:pt idx="670">
                  <c:v>-1.0710400963508392E-4</c:v>
                </c:pt>
                <c:pt idx="671">
                  <c:v>-1.2445236360464273E-4</c:v>
                </c:pt>
                <c:pt idx="672">
                  <c:v>-2.7741057916300442E-5</c:v>
                </c:pt>
                <c:pt idx="673">
                  <c:v>-2.7354391887699924E-4</c:v>
                </c:pt>
                <c:pt idx="674">
                  <c:v>3.6051738165222534E-5</c:v>
                </c:pt>
                <c:pt idx="675">
                  <c:v>-1.5534202801364801E-4</c:v>
                </c:pt>
                <c:pt idx="676">
                  <c:v>-2.3401264987889505E-4</c:v>
                </c:pt>
                <c:pt idx="677">
                  <c:v>2.6593738311705208E-4</c:v>
                </c:pt>
                <c:pt idx="678">
                  <c:v>2.0305653839802391E-4</c:v>
                </c:pt>
                <c:pt idx="679">
                  <c:v>7.3170912148735944E-5</c:v>
                </c:pt>
                <c:pt idx="680">
                  <c:v>8.2879978575589369E-4</c:v>
                </c:pt>
                <c:pt idx="681">
                  <c:v>-3.793752714903275E-4</c:v>
                </c:pt>
                <c:pt idx="682">
                  <c:v>-1.0479735309149951E-4</c:v>
                </c:pt>
                <c:pt idx="683">
                  <c:v>-2.116382572866508E-4</c:v>
                </c:pt>
                <c:pt idx="684">
                  <c:v>-5.3359999168212715E-5</c:v>
                </c:pt>
                <c:pt idx="685">
                  <c:v>-1.8904276166496981E-4</c:v>
                </c:pt>
                <c:pt idx="686">
                  <c:v>-1.5099711973710527E-5</c:v>
                </c:pt>
                <c:pt idx="687">
                  <c:v>1.9563018751631755E-4</c:v>
                </c:pt>
                <c:pt idx="688">
                  <c:v>-3.6476863797602722E-4</c:v>
                </c:pt>
                <c:pt idx="689">
                  <c:v>-4.7128542003264083E-4</c:v>
                </c:pt>
                <c:pt idx="690">
                  <c:v>-2.1978404211980658E-4</c:v>
                </c:pt>
                <c:pt idx="691">
                  <c:v>-1.4288895801634245E-4</c:v>
                </c:pt>
                <c:pt idx="692">
                  <c:v>-2.9009926568024299E-4</c:v>
                </c:pt>
                <c:pt idx="693">
                  <c:v>-2.6021133623472398E-4</c:v>
                </c:pt>
                <c:pt idx="694">
                  <c:v>-5.4478578076419967E-5</c:v>
                </c:pt>
                <c:pt idx="695">
                  <c:v>-8.9238415049690744E-4</c:v>
                </c:pt>
                <c:pt idx="696">
                  <c:v>6.2799636281080237E-4</c:v>
                </c:pt>
                <c:pt idx="697">
                  <c:v>-6.7790402002661449E-4</c:v>
                </c:pt>
                <c:pt idx="698">
                  <c:v>4.2997595592493049E-6</c:v>
                </c:pt>
                <c:pt idx="699">
                  <c:v>-1.4098586505125875E-4</c:v>
                </c:pt>
                <c:pt idx="700">
                  <c:v>-4.0500123035696245E-4</c:v>
                </c:pt>
                <c:pt idx="701">
                  <c:v>3.7431762151209414E-5</c:v>
                </c:pt>
                <c:pt idx="702">
                  <c:v>-2.047391180772385E-4</c:v>
                </c:pt>
                <c:pt idx="703">
                  <c:v>4.2504733692797728E-4</c:v>
                </c:pt>
                <c:pt idx="704">
                  <c:v>-6.7041159720581268E-5</c:v>
                </c:pt>
                <c:pt idx="705">
                  <c:v>-9.4269643832113154E-5</c:v>
                </c:pt>
                <c:pt idx="706">
                  <c:v>4.2426537222330101E-5</c:v>
                </c:pt>
                <c:pt idx="707">
                  <c:v>2.1133036488268385E-4</c:v>
                </c:pt>
                <c:pt idx="708">
                  <c:v>-5.0046890032079134E-4</c:v>
                </c:pt>
                <c:pt idx="709">
                  <c:v>-3.1805430305887283E-4</c:v>
                </c:pt>
                <c:pt idx="710">
                  <c:v>-9.2593514638817113E-4</c:v>
                </c:pt>
                <c:pt idx="711">
                  <c:v>4.1736852816225172E-4</c:v>
                </c:pt>
                <c:pt idx="712">
                  <c:v>-3.2249550670254712E-4</c:v>
                </c:pt>
                <c:pt idx="713">
                  <c:v>2.4978521208214431E-4</c:v>
                </c:pt>
                <c:pt idx="714">
                  <c:v>1.1927639012116236E-4</c:v>
                </c:pt>
                <c:pt idx="715">
                  <c:v>-3.1412299650705093E-4</c:v>
                </c:pt>
                <c:pt idx="716">
                  <c:v>4.8636278360751434E-5</c:v>
                </c:pt>
                <c:pt idx="717">
                  <c:v>-2.8112239575086781E-4</c:v>
                </c:pt>
                <c:pt idx="718">
                  <c:v>-3.262166862674235E-5</c:v>
                </c:pt>
                <c:pt idx="719">
                  <c:v>4.3818799334890241E-4</c:v>
                </c:pt>
                <c:pt idx="720">
                  <c:v>2.6677160383664861E-4</c:v>
                </c:pt>
                <c:pt idx="721">
                  <c:v>-3.0322230768746504E-4</c:v>
                </c:pt>
                <c:pt idx="722">
                  <c:v>9.2999691037944242E-5</c:v>
                </c:pt>
                <c:pt idx="723">
                  <c:v>-1.9753756716117573E-4</c:v>
                </c:pt>
                <c:pt idx="724">
                  <c:v>-2.8454309094989643E-4</c:v>
                </c:pt>
                <c:pt idx="725">
                  <c:v>-4.9243998491649743E-4</c:v>
                </c:pt>
                <c:pt idx="726">
                  <c:v>-2.6551740098035764E-4</c:v>
                </c:pt>
                <c:pt idx="727">
                  <c:v>5.9475482477938104E-4</c:v>
                </c:pt>
                <c:pt idx="728">
                  <c:v>1.1332857683611401E-4</c:v>
                </c:pt>
                <c:pt idx="729">
                  <c:v>-1.3963249117228535E-4</c:v>
                </c:pt>
                <c:pt idx="730">
                  <c:v>-2.253977242852017E-4</c:v>
                </c:pt>
                <c:pt idx="731">
                  <c:v>-9.1442980628772435E-5</c:v>
                </c:pt>
                <c:pt idx="732">
                  <c:v>-9.0460094652510843E-5</c:v>
                </c:pt>
                <c:pt idx="733">
                  <c:v>-4.1298366896437497E-5</c:v>
                </c:pt>
                <c:pt idx="734">
                  <c:v>-3.6772584557262408E-4</c:v>
                </c:pt>
                <c:pt idx="735">
                  <c:v>-3.8071221189769737E-4</c:v>
                </c:pt>
                <c:pt idx="736">
                  <c:v>4.3222241444885014E-4</c:v>
                </c:pt>
                <c:pt idx="737">
                  <c:v>-6.2497194035759679E-4</c:v>
                </c:pt>
                <c:pt idx="738">
                  <c:v>5.9151569437556337E-4</c:v>
                </c:pt>
                <c:pt idx="739">
                  <c:v>5.211598644455015E-4</c:v>
                </c:pt>
                <c:pt idx="740">
                  <c:v>-5.3443325440852127E-5</c:v>
                </c:pt>
                <c:pt idx="741">
                  <c:v>8.3307340316579191E-5</c:v>
                </c:pt>
                <c:pt idx="742">
                  <c:v>-5.0105771970518138E-5</c:v>
                </c:pt>
                <c:pt idx="743">
                  <c:v>4.9253724891331707E-4</c:v>
                </c:pt>
                <c:pt idx="744">
                  <c:v>4.1201733051512487E-6</c:v>
                </c:pt>
                <c:pt idx="745">
                  <c:v>-6.213155432061773E-4</c:v>
                </c:pt>
                <c:pt idx="746">
                  <c:v>-6.8974040131057385E-4</c:v>
                </c:pt>
                <c:pt idx="747">
                  <c:v>-7.0099931213436705E-5</c:v>
                </c:pt>
                <c:pt idx="748">
                  <c:v>-6.2869247879753312E-4</c:v>
                </c:pt>
                <c:pt idx="749">
                  <c:v>-6.1446210871457898E-4</c:v>
                </c:pt>
                <c:pt idx="750">
                  <c:v>-6.1244849413430403E-4</c:v>
                </c:pt>
                <c:pt idx="751">
                  <c:v>1.7460424487991516E-5</c:v>
                </c:pt>
                <c:pt idx="752">
                  <c:v>3.5147962110813511E-4</c:v>
                </c:pt>
                <c:pt idx="753">
                  <c:v>-5.8355997517349279E-5</c:v>
                </c:pt>
                <c:pt idx="754">
                  <c:v>6.4730017161776271E-4</c:v>
                </c:pt>
                <c:pt idx="755">
                  <c:v>2.2819543368809202E-4</c:v>
                </c:pt>
                <c:pt idx="756">
                  <c:v>2.0612523185905036E-4</c:v>
                </c:pt>
                <c:pt idx="757">
                  <c:v>4.2192754309773573E-4</c:v>
                </c:pt>
                <c:pt idx="758">
                  <c:v>4.9824124625101813E-4</c:v>
                </c:pt>
                <c:pt idx="759">
                  <c:v>-6.741316663543323E-4</c:v>
                </c:pt>
                <c:pt idx="760">
                  <c:v>-5.3595201770944851E-4</c:v>
                </c:pt>
                <c:pt idx="761">
                  <c:v>-2.9928826211775766E-4</c:v>
                </c:pt>
                <c:pt idx="762">
                  <c:v>5.5468881759854007E-5</c:v>
                </c:pt>
                <c:pt idx="763">
                  <c:v>1.5403720197247465E-4</c:v>
                </c:pt>
                <c:pt idx="764">
                  <c:v>2.0779389198660698E-4</c:v>
                </c:pt>
                <c:pt idx="765">
                  <c:v>1.4843342701070669E-4</c:v>
                </c:pt>
                <c:pt idx="766">
                  <c:v>3.6717401434274618E-4</c:v>
                </c:pt>
                <c:pt idx="767">
                  <c:v>-2.0955691014512245E-4</c:v>
                </c:pt>
                <c:pt idx="768">
                  <c:v>5.2272772244969215E-4</c:v>
                </c:pt>
                <c:pt idx="769">
                  <c:v>3.3243581097750229E-4</c:v>
                </c:pt>
                <c:pt idx="770">
                  <c:v>-3.216376582948945E-4</c:v>
                </c:pt>
                <c:pt idx="771">
                  <c:v>3.9072481793276314E-4</c:v>
                </c:pt>
                <c:pt idx="772">
                  <c:v>4.9589657797651399E-4</c:v>
                </c:pt>
                <c:pt idx="773">
                  <c:v>-4.272355963440806E-4</c:v>
                </c:pt>
                <c:pt idx="774">
                  <c:v>-7.0654704319218645E-4</c:v>
                </c:pt>
                <c:pt idx="775">
                  <c:v>-1.3663757162484192E-4</c:v>
                </c:pt>
                <c:pt idx="776">
                  <c:v>-3.4610023770822128E-4</c:v>
                </c:pt>
                <c:pt idx="777">
                  <c:v>-5.1177765116559642E-4</c:v>
                </c:pt>
                <c:pt idx="778">
                  <c:v>-7.7144935128999997E-5</c:v>
                </c:pt>
                <c:pt idx="779">
                  <c:v>4.7782408309322426E-4</c:v>
                </c:pt>
                <c:pt idx="780">
                  <c:v>9.7016700874861004E-5</c:v>
                </c:pt>
                <c:pt idx="781">
                  <c:v>-1.5141043172717532E-4</c:v>
                </c:pt>
                <c:pt idx="782">
                  <c:v>2.6071180237733857E-4</c:v>
                </c:pt>
                <c:pt idx="783">
                  <c:v>9.4038608916697988E-4</c:v>
                </c:pt>
                <c:pt idx="784">
                  <c:v>5.463833327103082E-4</c:v>
                </c:pt>
                <c:pt idx="785">
                  <c:v>1.6364973464571739E-4</c:v>
                </c:pt>
                <c:pt idx="786">
                  <c:v>5.7713796595099598E-4</c:v>
                </c:pt>
                <c:pt idx="787">
                  <c:v>-8.2038771079814214E-4</c:v>
                </c:pt>
                <c:pt idx="788">
                  <c:v>-2.669806637776651E-4</c:v>
                </c:pt>
                <c:pt idx="789">
                  <c:v>-3.328889291811316E-4</c:v>
                </c:pt>
                <c:pt idx="790">
                  <c:v>-2.1190955699453066E-4</c:v>
                </c:pt>
                <c:pt idx="791">
                  <c:v>-1.6784083505306003E-5</c:v>
                </c:pt>
                <c:pt idx="792">
                  <c:v>1.6919782595182156E-4</c:v>
                </c:pt>
                <c:pt idx="793">
                  <c:v>1.2039377656529584E-4</c:v>
                </c:pt>
                <c:pt idx="794">
                  <c:v>-6.3913575395634076E-5</c:v>
                </c:pt>
                <c:pt idx="795">
                  <c:v>1.8724714679326581E-4</c:v>
                </c:pt>
                <c:pt idx="796">
                  <c:v>-3.6789082401834857E-4</c:v>
                </c:pt>
                <c:pt idx="797">
                  <c:v>-1.3370407957366326E-4</c:v>
                </c:pt>
                <c:pt idx="798">
                  <c:v>3.0513896766113795E-4</c:v>
                </c:pt>
                <c:pt idx="799">
                  <c:v>1.6529557542653946E-4</c:v>
                </c:pt>
                <c:pt idx="800">
                  <c:v>-4.7455533242690467E-4</c:v>
                </c:pt>
                <c:pt idx="801">
                  <c:v>1.7798947247252032E-4</c:v>
                </c:pt>
                <c:pt idx="802">
                  <c:v>5.0172596280595168E-4</c:v>
                </c:pt>
                <c:pt idx="803">
                  <c:v>-3.3872700988972449E-4</c:v>
                </c:pt>
                <c:pt idx="804">
                  <c:v>5.1751993120417893E-5</c:v>
                </c:pt>
                <c:pt idx="805">
                  <c:v>2.8852763040923031E-4</c:v>
                </c:pt>
                <c:pt idx="806">
                  <c:v>5.292501444922311E-4</c:v>
                </c:pt>
                <c:pt idx="807">
                  <c:v>9.3835270260629602E-5</c:v>
                </c:pt>
                <c:pt idx="808">
                  <c:v>-3.1478277286693635E-4</c:v>
                </c:pt>
                <c:pt idx="809">
                  <c:v>4.3345134010701997E-4</c:v>
                </c:pt>
                <c:pt idx="810">
                  <c:v>1.9909934487716678E-4</c:v>
                </c:pt>
                <c:pt idx="811">
                  <c:v>3.7465158208693745E-4</c:v>
                </c:pt>
                <c:pt idx="812">
                  <c:v>4.3231334465694879E-4</c:v>
                </c:pt>
                <c:pt idx="813">
                  <c:v>-1.2472199860003762E-4</c:v>
                </c:pt>
                <c:pt idx="814">
                  <c:v>-1.8891919996537148E-4</c:v>
                </c:pt>
                <c:pt idx="815">
                  <c:v>-8.2471314274726587E-6</c:v>
                </c:pt>
                <c:pt idx="816">
                  <c:v>3.5385245967665876E-4</c:v>
                </c:pt>
                <c:pt idx="817">
                  <c:v>1.4254960227694829E-4</c:v>
                </c:pt>
                <c:pt idx="818">
                  <c:v>-1.6082378825850105E-4</c:v>
                </c:pt>
                <c:pt idx="819">
                  <c:v>-1.9863541991519854E-4</c:v>
                </c:pt>
                <c:pt idx="820">
                  <c:v>-2.7875592593306009E-4</c:v>
                </c:pt>
                <c:pt idx="821">
                  <c:v>5.0865548058357706E-4</c:v>
                </c:pt>
                <c:pt idx="822">
                  <c:v>-1.0832130639814959E-5</c:v>
                </c:pt>
                <c:pt idx="823">
                  <c:v>5.5696362203507595E-4</c:v>
                </c:pt>
                <c:pt idx="824">
                  <c:v>-2.2074713604084816E-4</c:v>
                </c:pt>
                <c:pt idx="825">
                  <c:v>1.0802676776869176E-5</c:v>
                </c:pt>
                <c:pt idx="826">
                  <c:v>5.4501409382303107E-4</c:v>
                </c:pt>
                <c:pt idx="827">
                  <c:v>3.2080884113286943E-6</c:v>
                </c:pt>
                <c:pt idx="828">
                  <c:v>3.253505098399692E-4</c:v>
                </c:pt>
                <c:pt idx="829">
                  <c:v>4.0037239534789257E-4</c:v>
                </c:pt>
                <c:pt idx="830">
                  <c:v>2.2922287586091541E-4</c:v>
                </c:pt>
                <c:pt idx="831">
                  <c:v>-3.7457372929719018E-5</c:v>
                </c:pt>
                <c:pt idx="832">
                  <c:v>6.9849038605651278E-4</c:v>
                </c:pt>
                <c:pt idx="833">
                  <c:v>-2.3804630419357062E-4</c:v>
                </c:pt>
                <c:pt idx="834">
                  <c:v>1.2388466736191469E-4</c:v>
                </c:pt>
                <c:pt idx="835">
                  <c:v>9.4899317855018416E-6</c:v>
                </c:pt>
                <c:pt idx="836">
                  <c:v>1.2079791860845829E-4</c:v>
                </c:pt>
                <c:pt idx="837">
                  <c:v>3.6290151330872468E-4</c:v>
                </c:pt>
                <c:pt idx="838">
                  <c:v>4.083690828870848E-5</c:v>
                </c:pt>
                <c:pt idx="839">
                  <c:v>-2.1342365218176976E-4</c:v>
                </c:pt>
                <c:pt idx="840">
                  <c:v>1.7596801521021111E-4</c:v>
                </c:pt>
                <c:pt idx="841">
                  <c:v>1.7166534445976097E-4</c:v>
                </c:pt>
                <c:pt idx="842">
                  <c:v>5.6275420599125037E-4</c:v>
                </c:pt>
                <c:pt idx="843">
                  <c:v>-3.0787177429348006E-4</c:v>
                </c:pt>
                <c:pt idx="844">
                  <c:v>3.3491753344833206E-4</c:v>
                </c:pt>
                <c:pt idx="845">
                  <c:v>-3.7163807135219063E-4</c:v>
                </c:pt>
                <c:pt idx="846">
                  <c:v>-8.540982502295762E-5</c:v>
                </c:pt>
                <c:pt idx="847">
                  <c:v>4.0080850637161424E-4</c:v>
                </c:pt>
                <c:pt idx="848">
                  <c:v>1.1687821555761223E-5</c:v>
                </c:pt>
                <c:pt idx="849">
                  <c:v>5.4043248243373779E-4</c:v>
                </c:pt>
                <c:pt idx="850">
                  <c:v>-8.741211380503592E-5</c:v>
                </c:pt>
                <c:pt idx="851">
                  <c:v>-4.0240460102854993E-5</c:v>
                </c:pt>
                <c:pt idx="852">
                  <c:v>5.6388572482160523E-5</c:v>
                </c:pt>
                <c:pt idx="853">
                  <c:v>-2.5324768064227714E-4</c:v>
                </c:pt>
                <c:pt idx="854">
                  <c:v>-1.086298772617325E-3</c:v>
                </c:pt>
                <c:pt idx="855">
                  <c:v>3.4011665425679222E-5</c:v>
                </c:pt>
                <c:pt idx="856">
                  <c:v>-2.1108533964174587E-4</c:v>
                </c:pt>
                <c:pt idx="857">
                  <c:v>7.7561475242401867E-5</c:v>
                </c:pt>
                <c:pt idx="858">
                  <c:v>-1.9438251598940322E-4</c:v>
                </c:pt>
                <c:pt idx="859">
                  <c:v>3.8326769357801383E-5</c:v>
                </c:pt>
                <c:pt idx="860">
                  <c:v>1.250071369064993E-4</c:v>
                </c:pt>
                <c:pt idx="861">
                  <c:v>-4.3242387331212187E-4</c:v>
                </c:pt>
                <c:pt idx="862">
                  <c:v>-1.8225860399435836E-4</c:v>
                </c:pt>
                <c:pt idx="863">
                  <c:v>-4.4210404617427954E-4</c:v>
                </c:pt>
                <c:pt idx="864">
                  <c:v>-7.6147152441233864E-4</c:v>
                </c:pt>
                <c:pt idx="865">
                  <c:v>6.427931337023296E-4</c:v>
                </c:pt>
                <c:pt idx="866">
                  <c:v>-4.0581309847536831E-4</c:v>
                </c:pt>
                <c:pt idx="867">
                  <c:v>2.671220530030438E-4</c:v>
                </c:pt>
                <c:pt idx="868">
                  <c:v>3.0494830439331631E-4</c:v>
                </c:pt>
                <c:pt idx="869">
                  <c:v>1.1394130420961457E-4</c:v>
                </c:pt>
                <c:pt idx="870">
                  <c:v>-1.8975767614991073E-4</c:v>
                </c:pt>
                <c:pt idx="871">
                  <c:v>4.2803789795460589E-4</c:v>
                </c:pt>
                <c:pt idx="872">
                  <c:v>9.1595393924855198E-5</c:v>
                </c:pt>
                <c:pt idx="873">
                  <c:v>-8.4057773946317622E-5</c:v>
                </c:pt>
                <c:pt idx="874">
                  <c:v>-1.2643307351829729E-4</c:v>
                </c:pt>
                <c:pt idx="875">
                  <c:v>-1.8990959958402995E-4</c:v>
                </c:pt>
                <c:pt idx="876">
                  <c:v>1.031648993420109E-4</c:v>
                </c:pt>
                <c:pt idx="877">
                  <c:v>-4.9871183027640925E-4</c:v>
                </c:pt>
                <c:pt idx="878">
                  <c:v>4.7187251710711545E-4</c:v>
                </c:pt>
                <c:pt idx="879">
                  <c:v>5.0253439164080443E-4</c:v>
                </c:pt>
                <c:pt idx="880">
                  <c:v>5.7775107332307942E-4</c:v>
                </c:pt>
                <c:pt idx="881">
                  <c:v>8.2223554089518773E-6</c:v>
                </c:pt>
                <c:pt idx="882">
                  <c:v>1.8971824475781031E-4</c:v>
                </c:pt>
                <c:pt idx="883">
                  <c:v>2.0950181540381555E-4</c:v>
                </c:pt>
                <c:pt idx="884">
                  <c:v>-8.7612508795704218E-5</c:v>
                </c:pt>
                <c:pt idx="885">
                  <c:v>7.4801833953638049E-4</c:v>
                </c:pt>
                <c:pt idx="886">
                  <c:v>6.6547958242395679E-4</c:v>
                </c:pt>
                <c:pt idx="887">
                  <c:v>2.9914379934089169E-4</c:v>
                </c:pt>
                <c:pt idx="888">
                  <c:v>2.6789255510664391E-4</c:v>
                </c:pt>
                <c:pt idx="889">
                  <c:v>-2.0952104468852757E-4</c:v>
                </c:pt>
                <c:pt idx="890">
                  <c:v>2.4057751848251351E-5</c:v>
                </c:pt>
                <c:pt idx="891">
                  <c:v>6.0851806935485579E-4</c:v>
                </c:pt>
                <c:pt idx="892">
                  <c:v>-1.8018201872995306E-4</c:v>
                </c:pt>
                <c:pt idx="893">
                  <c:v>-2.2365386617983126E-4</c:v>
                </c:pt>
                <c:pt idx="894">
                  <c:v>2.8196741033791474E-4</c:v>
                </c:pt>
                <c:pt idx="895">
                  <c:v>3.7083694962071332E-4</c:v>
                </c:pt>
                <c:pt idx="896">
                  <c:v>-2.7055526834174511E-4</c:v>
                </c:pt>
                <c:pt idx="897">
                  <c:v>-1.5306212421690961E-5</c:v>
                </c:pt>
                <c:pt idx="898">
                  <c:v>5.9479502830492824E-4</c:v>
                </c:pt>
                <c:pt idx="899">
                  <c:v>-2.0346836882597405E-4</c:v>
                </c:pt>
                <c:pt idx="900">
                  <c:v>3.5719012438230997E-4</c:v>
                </c:pt>
                <c:pt idx="901">
                  <c:v>1.9232202324910677E-4</c:v>
                </c:pt>
                <c:pt idx="902">
                  <c:v>-2.2297220777980778E-4</c:v>
                </c:pt>
                <c:pt idx="903">
                  <c:v>-2.4255690017388218E-4</c:v>
                </c:pt>
                <c:pt idx="904">
                  <c:v>-8.8232526129538108E-5</c:v>
                </c:pt>
                <c:pt idx="905">
                  <c:v>1.1070194621322887E-4</c:v>
                </c:pt>
                <c:pt idx="906">
                  <c:v>1.8649084236967083E-5</c:v>
                </c:pt>
                <c:pt idx="907">
                  <c:v>-3.3912086512198253E-5</c:v>
                </c:pt>
                <c:pt idx="908">
                  <c:v>4.2568357095914086E-4</c:v>
                </c:pt>
                <c:pt idx="909">
                  <c:v>4.3640495191937014E-4</c:v>
                </c:pt>
                <c:pt idx="910">
                  <c:v>1.1450317808176713E-4</c:v>
                </c:pt>
                <c:pt idx="911">
                  <c:v>2.2114723026186333E-4</c:v>
                </c:pt>
                <c:pt idx="912">
                  <c:v>-1.8385591564968695E-4</c:v>
                </c:pt>
                <c:pt idx="913">
                  <c:v>3.057855980529786E-4</c:v>
                </c:pt>
                <c:pt idx="914">
                  <c:v>6.1262085259514357E-5</c:v>
                </c:pt>
                <c:pt idx="915">
                  <c:v>-1.2181142077973269E-4</c:v>
                </c:pt>
                <c:pt idx="916">
                  <c:v>-1.7933209434537297E-4</c:v>
                </c:pt>
                <c:pt idx="917">
                  <c:v>-3.0922271507634985E-5</c:v>
                </c:pt>
                <c:pt idx="918">
                  <c:v>-9.5942881285343418E-5</c:v>
                </c:pt>
                <c:pt idx="919">
                  <c:v>8.2020551920429551E-4</c:v>
                </c:pt>
                <c:pt idx="920">
                  <c:v>-1.6084608661137733E-4</c:v>
                </c:pt>
                <c:pt idx="921">
                  <c:v>-2.0333022402586954E-4</c:v>
                </c:pt>
                <c:pt idx="922">
                  <c:v>-4.8051595885985831E-4</c:v>
                </c:pt>
                <c:pt idx="923">
                  <c:v>3.9105786805578279E-4</c:v>
                </c:pt>
                <c:pt idx="924">
                  <c:v>-4.1236344029123984E-4</c:v>
                </c:pt>
                <c:pt idx="925">
                  <c:v>2.0014772937872963E-4</c:v>
                </c:pt>
                <c:pt idx="926">
                  <c:v>1.3147709867627203E-4</c:v>
                </c:pt>
                <c:pt idx="927">
                  <c:v>-9.4240055516263047E-5</c:v>
                </c:pt>
                <c:pt idx="928">
                  <c:v>1.8229496204039071E-4</c:v>
                </c:pt>
                <c:pt idx="929">
                  <c:v>6.2572083562891217E-4</c:v>
                </c:pt>
                <c:pt idx="930">
                  <c:v>-3.6738504410375669E-4</c:v>
                </c:pt>
                <c:pt idx="931">
                  <c:v>1.7062273173790513E-4</c:v>
                </c:pt>
                <c:pt idx="932">
                  <c:v>1.7949747162978173E-4</c:v>
                </c:pt>
                <c:pt idx="933">
                  <c:v>1.4369318372531458E-4</c:v>
                </c:pt>
                <c:pt idx="934">
                  <c:v>3.8427170951907673E-4</c:v>
                </c:pt>
                <c:pt idx="935">
                  <c:v>-3.3062820061148816E-4</c:v>
                </c:pt>
                <c:pt idx="936">
                  <c:v>7.9491514050136064E-5</c:v>
                </c:pt>
                <c:pt idx="937">
                  <c:v>8.0488540570132879E-7</c:v>
                </c:pt>
                <c:pt idx="938">
                  <c:v>-2.4125621605085155E-4</c:v>
                </c:pt>
                <c:pt idx="939">
                  <c:v>-3.2069411549897914E-4</c:v>
                </c:pt>
                <c:pt idx="940">
                  <c:v>4.6158824521579377E-4</c:v>
                </c:pt>
                <c:pt idx="941">
                  <c:v>-3.9147260570115261E-4</c:v>
                </c:pt>
                <c:pt idx="942">
                  <c:v>-1.8814296299628238E-4</c:v>
                </c:pt>
                <c:pt idx="943">
                  <c:v>-5.19531298255316E-5</c:v>
                </c:pt>
                <c:pt idx="944">
                  <c:v>-1.7398119622561512E-5</c:v>
                </c:pt>
                <c:pt idx="945">
                  <c:v>3.1565106244412319E-4</c:v>
                </c:pt>
                <c:pt idx="946">
                  <c:v>-5.0054751945702726E-4</c:v>
                </c:pt>
                <c:pt idx="947">
                  <c:v>3.0646279911676058E-4</c:v>
                </c:pt>
                <c:pt idx="948">
                  <c:v>2.9589824261242083E-5</c:v>
                </c:pt>
                <c:pt idx="949">
                  <c:v>3.3961422460774041E-4</c:v>
                </c:pt>
                <c:pt idx="950">
                  <c:v>-3.2476049550018461E-4</c:v>
                </c:pt>
                <c:pt idx="951">
                  <c:v>3.1532166869927935E-4</c:v>
                </c:pt>
                <c:pt idx="952">
                  <c:v>-2.0496696531839857E-4</c:v>
                </c:pt>
                <c:pt idx="953">
                  <c:v>9.6066782020116345E-5</c:v>
                </c:pt>
                <c:pt idx="954">
                  <c:v>3.6760128312584396E-4</c:v>
                </c:pt>
                <c:pt idx="955">
                  <c:v>-2.3535038351793413E-4</c:v>
                </c:pt>
                <c:pt idx="956">
                  <c:v>-1.7270296519344646E-4</c:v>
                </c:pt>
                <c:pt idx="957">
                  <c:v>1.360416015535234E-4</c:v>
                </c:pt>
                <c:pt idx="958">
                  <c:v>-3.7318979338831751E-4</c:v>
                </c:pt>
                <c:pt idx="959">
                  <c:v>2.5383165516279591E-4</c:v>
                </c:pt>
                <c:pt idx="960">
                  <c:v>-1.8270995669148981E-4</c:v>
                </c:pt>
                <c:pt idx="961">
                  <c:v>2.3095909379224525E-4</c:v>
                </c:pt>
                <c:pt idx="962">
                  <c:v>-2.6037555409005018E-4</c:v>
                </c:pt>
                <c:pt idx="963">
                  <c:v>2.9112979126671534E-5</c:v>
                </c:pt>
                <c:pt idx="964">
                  <c:v>-3.2373051945066498E-4</c:v>
                </c:pt>
                <c:pt idx="965">
                  <c:v>4.6281692522126192E-4</c:v>
                </c:pt>
                <c:pt idx="966">
                  <c:v>-1.8431538129411629E-4</c:v>
                </c:pt>
                <c:pt idx="967">
                  <c:v>3.0112294510653879E-4</c:v>
                </c:pt>
                <c:pt idx="968">
                  <c:v>2.4803807522370564E-4</c:v>
                </c:pt>
                <c:pt idx="969">
                  <c:v>2.3629191749408086E-4</c:v>
                </c:pt>
                <c:pt idx="970">
                  <c:v>-2.4514558252402825E-4</c:v>
                </c:pt>
                <c:pt idx="971">
                  <c:v>-3.7181058768918549E-4</c:v>
                </c:pt>
                <c:pt idx="972">
                  <c:v>-3.3303348771869615E-4</c:v>
                </c:pt>
                <c:pt idx="973">
                  <c:v>-1.2999712398268335E-4</c:v>
                </c:pt>
                <c:pt idx="974">
                  <c:v>6.9367662620482785E-4</c:v>
                </c:pt>
                <c:pt idx="975">
                  <c:v>-1.0407313083568081E-4</c:v>
                </c:pt>
                <c:pt idx="976">
                  <c:v>7.0421726429727909E-4</c:v>
                </c:pt>
                <c:pt idx="977">
                  <c:v>5.9783556249416367E-4</c:v>
                </c:pt>
                <c:pt idx="978">
                  <c:v>3.019499436613101E-4</c:v>
                </c:pt>
                <c:pt idx="979">
                  <c:v>6.3607297286783751E-4</c:v>
                </c:pt>
                <c:pt idx="980">
                  <c:v>-5.4916881195703389E-5</c:v>
                </c:pt>
                <c:pt idx="981">
                  <c:v>-1.1231715755480837E-4</c:v>
                </c:pt>
                <c:pt idx="982">
                  <c:v>-1.0643062105562594E-4</c:v>
                </c:pt>
                <c:pt idx="983">
                  <c:v>4.3507959434435514E-4</c:v>
                </c:pt>
                <c:pt idx="984">
                  <c:v>-5.1976737748722006E-4</c:v>
                </c:pt>
                <c:pt idx="985">
                  <c:v>3.2472208073832114E-4</c:v>
                </c:pt>
                <c:pt idx="986">
                  <c:v>2.9256465965469831E-4</c:v>
                </c:pt>
                <c:pt idx="987">
                  <c:v>3.1139037651040097E-4</c:v>
                </c:pt>
                <c:pt idx="988">
                  <c:v>-1.957106218394528E-4</c:v>
                </c:pt>
                <c:pt idx="989">
                  <c:v>2.8671895587546828E-4</c:v>
                </c:pt>
                <c:pt idx="990">
                  <c:v>-6.8034072737074698E-5</c:v>
                </c:pt>
                <c:pt idx="991">
                  <c:v>7.123243479811327E-4</c:v>
                </c:pt>
                <c:pt idx="992">
                  <c:v>-1.4361712956315726E-4</c:v>
                </c:pt>
                <c:pt idx="993">
                  <c:v>6.0307265732856426E-4</c:v>
                </c:pt>
                <c:pt idx="994">
                  <c:v>-3.3211332941831254E-4</c:v>
                </c:pt>
                <c:pt idx="995">
                  <c:v>-2.3260871219279823E-4</c:v>
                </c:pt>
                <c:pt idx="996">
                  <c:v>8.9075842964093206E-5</c:v>
                </c:pt>
                <c:pt idx="997">
                  <c:v>1.8915458101232839E-4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3E-4853-A16D-266C531B439D}"/>
            </c:ext>
          </c:extLst>
        </c:ser>
        <c:ser>
          <c:idx val="1"/>
          <c:order val="1"/>
          <c:tx>
            <c:strRef>
              <c:f>DATA!$AH$2</c:f>
              <c:strCache>
                <c:ptCount val="1"/>
                <c:pt idx="0">
                  <c:v>RETURN DATA 02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DATA!$AK$3:$AK$1000</c:f>
              <c:numCache>
                <c:formatCode>0.00%</c:formatCode>
                <c:ptCount val="998"/>
                <c:pt idx="0">
                  <c:v>-5.5293164088306569E-5</c:v>
                </c:pt>
                <c:pt idx="1">
                  <c:v>-1.3348752473357731E-4</c:v>
                </c:pt>
                <c:pt idx="2">
                  <c:v>-3.1538057352303128E-6</c:v>
                </c:pt>
                <c:pt idx="3">
                  <c:v>-1.2791877345564025E-4</c:v>
                </c:pt>
                <c:pt idx="4">
                  <c:v>-6.1724330542707237E-4</c:v>
                </c:pt>
                <c:pt idx="5">
                  <c:v>7.5469442305485144E-4</c:v>
                </c:pt>
                <c:pt idx="6">
                  <c:v>3.8798487354791371E-4</c:v>
                </c:pt>
                <c:pt idx="7">
                  <c:v>2.3077083643657824E-4</c:v>
                </c:pt>
                <c:pt idx="8">
                  <c:v>3.6803123832205306E-4</c:v>
                </c:pt>
                <c:pt idx="9">
                  <c:v>1.5279728424817481E-4</c:v>
                </c:pt>
                <c:pt idx="10">
                  <c:v>2.4978378200318655E-4</c:v>
                </c:pt>
                <c:pt idx="11">
                  <c:v>1.5856073644838705E-4</c:v>
                </c:pt>
                <c:pt idx="12">
                  <c:v>2.4755052556336415E-5</c:v>
                </c:pt>
                <c:pt idx="13">
                  <c:v>-3.5257847091617393E-4</c:v>
                </c:pt>
                <c:pt idx="14">
                  <c:v>4.4020607591803743E-4</c:v>
                </c:pt>
                <c:pt idx="15">
                  <c:v>6.7779266735097364E-5</c:v>
                </c:pt>
                <c:pt idx="16">
                  <c:v>4.0554955048706154E-4</c:v>
                </c:pt>
                <c:pt idx="17">
                  <c:v>8.4275684372555194E-4</c:v>
                </c:pt>
                <c:pt idx="18">
                  <c:v>-6.2188611926609547E-4</c:v>
                </c:pt>
                <c:pt idx="19">
                  <c:v>4.1305735606637044E-4</c:v>
                </c:pt>
                <c:pt idx="20">
                  <c:v>2.5336218315208527E-4</c:v>
                </c:pt>
                <c:pt idx="21">
                  <c:v>-9.0623243768334907E-5</c:v>
                </c:pt>
                <c:pt idx="22">
                  <c:v>4.892829127545312E-4</c:v>
                </c:pt>
                <c:pt idx="23">
                  <c:v>1.0297756572787089E-4</c:v>
                </c:pt>
                <c:pt idx="24">
                  <c:v>-3.5340584136053435E-4</c:v>
                </c:pt>
                <c:pt idx="25">
                  <c:v>-1.2819768716092241E-5</c:v>
                </c:pt>
                <c:pt idx="26">
                  <c:v>-2.7334249900591101E-4</c:v>
                </c:pt>
                <c:pt idx="27">
                  <c:v>5.3949899126404168E-4</c:v>
                </c:pt>
                <c:pt idx="28">
                  <c:v>-1.1300989625051947E-4</c:v>
                </c:pt>
                <c:pt idx="29">
                  <c:v>-9.4854437642210199E-4</c:v>
                </c:pt>
                <c:pt idx="30">
                  <c:v>1.5322987987447171E-4</c:v>
                </c:pt>
                <c:pt idx="31">
                  <c:v>-2.1145863208868522E-4</c:v>
                </c:pt>
                <c:pt idx="32">
                  <c:v>-5.7701401648432641E-5</c:v>
                </c:pt>
                <c:pt idx="33">
                  <c:v>1.9524273176823429E-4</c:v>
                </c:pt>
                <c:pt idx="34">
                  <c:v>-5.6976034450049712E-6</c:v>
                </c:pt>
                <c:pt idx="35">
                  <c:v>-5.2833666282826695E-5</c:v>
                </c:pt>
                <c:pt idx="36">
                  <c:v>-4.5847832879111159E-4</c:v>
                </c:pt>
                <c:pt idx="37">
                  <c:v>-6.0108262250869866E-5</c:v>
                </c:pt>
                <c:pt idx="38">
                  <c:v>-1.8483150636240821E-4</c:v>
                </c:pt>
                <c:pt idx="39">
                  <c:v>1.4805284360233436E-4</c:v>
                </c:pt>
                <c:pt idx="40">
                  <c:v>-1.4108598707059027E-4</c:v>
                </c:pt>
                <c:pt idx="41">
                  <c:v>-3.9905980821776198E-4</c:v>
                </c:pt>
                <c:pt idx="42">
                  <c:v>8.462163989145806E-5</c:v>
                </c:pt>
                <c:pt idx="43">
                  <c:v>-4.4705505299528234E-4</c:v>
                </c:pt>
                <c:pt idx="44">
                  <c:v>-1.7231312830002292E-4</c:v>
                </c:pt>
                <c:pt idx="45">
                  <c:v>5.5428554534065941E-4</c:v>
                </c:pt>
                <c:pt idx="46">
                  <c:v>2.9425621949789E-5</c:v>
                </c:pt>
                <c:pt idx="47">
                  <c:v>3.2303126790977199E-4</c:v>
                </c:pt>
                <c:pt idx="48">
                  <c:v>3.1907994522851303E-4</c:v>
                </c:pt>
                <c:pt idx="49">
                  <c:v>2.8708693246770614E-5</c:v>
                </c:pt>
                <c:pt idx="50">
                  <c:v>4.7263799485505621E-5</c:v>
                </c:pt>
                <c:pt idx="51">
                  <c:v>-7.0977227257568957E-4</c:v>
                </c:pt>
                <c:pt idx="52">
                  <c:v>-7.1031014849528738E-4</c:v>
                </c:pt>
                <c:pt idx="53">
                  <c:v>-4.0397481788453498E-4</c:v>
                </c:pt>
                <c:pt idx="54">
                  <c:v>-1.1790519670779583E-4</c:v>
                </c:pt>
                <c:pt idx="55">
                  <c:v>-5.1001391295179112E-4</c:v>
                </c:pt>
                <c:pt idx="56">
                  <c:v>-9.6051593734994037E-5</c:v>
                </c:pt>
                <c:pt idx="57">
                  <c:v>8.827335330681478E-4</c:v>
                </c:pt>
                <c:pt idx="58">
                  <c:v>0</c:v>
                </c:pt>
                <c:pt idx="59">
                  <c:v>-5.2715351349236087E-4</c:v>
                </c:pt>
                <c:pt idx="60">
                  <c:v>-6.876129338467536E-4</c:v>
                </c:pt>
                <c:pt idx="61">
                  <c:v>1.1545856091340256E-5</c:v>
                </c:pt>
                <c:pt idx="62">
                  <c:v>4.4691700514964901E-4</c:v>
                </c:pt>
                <c:pt idx="63">
                  <c:v>1.6397626527600632E-4</c:v>
                </c:pt>
                <c:pt idx="64">
                  <c:v>-8.047103994742945E-4</c:v>
                </c:pt>
                <c:pt idx="65">
                  <c:v>-6.1342763131555096E-5</c:v>
                </c:pt>
                <c:pt idx="66">
                  <c:v>4.7295317602232241E-5</c:v>
                </c:pt>
                <c:pt idx="67">
                  <c:v>-4.1091486107190671E-5</c:v>
                </c:pt>
                <c:pt idx="68">
                  <c:v>8.7471176484174229E-5</c:v>
                </c:pt>
                <c:pt idx="69">
                  <c:v>-2.3909340660997731E-4</c:v>
                </c:pt>
                <c:pt idx="70">
                  <c:v>-3.294422067597006E-5</c:v>
                </c:pt>
                <c:pt idx="71">
                  <c:v>-2.6118082120020897E-5</c:v>
                </c:pt>
                <c:pt idx="72">
                  <c:v>-8.936497491240545E-5</c:v>
                </c:pt>
                <c:pt idx="73">
                  <c:v>-2.1542509688173911E-4</c:v>
                </c:pt>
                <c:pt idx="74">
                  <c:v>-4.2235515077162692E-4</c:v>
                </c:pt>
                <c:pt idx="75">
                  <c:v>-3.2920438899035169E-4</c:v>
                </c:pt>
                <c:pt idx="76">
                  <c:v>-3.0659328040965743E-4</c:v>
                </c:pt>
                <c:pt idx="77">
                  <c:v>7.9079881954837274E-4</c:v>
                </c:pt>
                <c:pt idx="78">
                  <c:v>3.6811176882705195E-4</c:v>
                </c:pt>
                <c:pt idx="79">
                  <c:v>6.8877095906983322E-5</c:v>
                </c:pt>
                <c:pt idx="80">
                  <c:v>1.347554227667344E-4</c:v>
                </c:pt>
                <c:pt idx="81">
                  <c:v>-4.368919921289568E-4</c:v>
                </c:pt>
                <c:pt idx="82">
                  <c:v>1.7239177635508781E-4</c:v>
                </c:pt>
                <c:pt idx="83">
                  <c:v>-1.7043068601230545E-4</c:v>
                </c:pt>
                <c:pt idx="84">
                  <c:v>2.1806531075710755E-4</c:v>
                </c:pt>
                <c:pt idx="85">
                  <c:v>9.3762735266756837E-5</c:v>
                </c:pt>
                <c:pt idx="86">
                  <c:v>2.670783063449582E-5</c:v>
                </c:pt>
                <c:pt idx="87">
                  <c:v>1.7863372569155043E-4</c:v>
                </c:pt>
                <c:pt idx="88">
                  <c:v>4.9738631785389105E-4</c:v>
                </c:pt>
                <c:pt idx="89">
                  <c:v>1.074371691603707E-4</c:v>
                </c:pt>
                <c:pt idx="90">
                  <c:v>-1.0456761046479231E-4</c:v>
                </c:pt>
                <c:pt idx="91">
                  <c:v>1.014911227365459E-3</c:v>
                </c:pt>
                <c:pt idx="92">
                  <c:v>-5.3362567226482359E-4</c:v>
                </c:pt>
                <c:pt idx="93">
                  <c:v>-1.6633794520593125E-4</c:v>
                </c:pt>
                <c:pt idx="94">
                  <c:v>-3.7428107592991922E-4</c:v>
                </c:pt>
                <c:pt idx="95">
                  <c:v>4.4547059708367518E-6</c:v>
                </c:pt>
                <c:pt idx="96">
                  <c:v>3.5911773217118121E-4</c:v>
                </c:pt>
                <c:pt idx="97">
                  <c:v>-8.1044679824938124E-4</c:v>
                </c:pt>
                <c:pt idx="98">
                  <c:v>3.9178487766677041E-5</c:v>
                </c:pt>
                <c:pt idx="99">
                  <c:v>-1.5457807676161347E-4</c:v>
                </c:pt>
                <c:pt idx="100">
                  <c:v>-3.6359131342197411E-4</c:v>
                </c:pt>
                <c:pt idx="101">
                  <c:v>-1.1374678000501503E-6</c:v>
                </c:pt>
                <c:pt idx="102">
                  <c:v>1.6125830240339064E-4</c:v>
                </c:pt>
                <c:pt idx="103">
                  <c:v>-2.2445534432317751E-4</c:v>
                </c:pt>
                <c:pt idx="104">
                  <c:v>-2.2907174486640279E-4</c:v>
                </c:pt>
                <c:pt idx="105">
                  <c:v>-2.7366655109100019E-4</c:v>
                </c:pt>
                <c:pt idx="106">
                  <c:v>-2.8107609975203883E-4</c:v>
                </c:pt>
                <c:pt idx="107">
                  <c:v>-2.0163865692617697E-4</c:v>
                </c:pt>
                <c:pt idx="108">
                  <c:v>-3.5280320261109647E-4</c:v>
                </c:pt>
                <c:pt idx="109">
                  <c:v>4.6720137418645427E-4</c:v>
                </c:pt>
                <c:pt idx="110">
                  <c:v>-6.3659273774207561E-4</c:v>
                </c:pt>
                <c:pt idx="111">
                  <c:v>2.0157969100566465E-4</c:v>
                </c:pt>
                <c:pt idx="112">
                  <c:v>-1.5020102921230327E-4</c:v>
                </c:pt>
                <c:pt idx="113">
                  <c:v>-1.8835769867089195E-4</c:v>
                </c:pt>
                <c:pt idx="114">
                  <c:v>-2.2656330006564187E-4</c:v>
                </c:pt>
                <c:pt idx="115">
                  <c:v>-1.9098924256564289E-4</c:v>
                </c:pt>
                <c:pt idx="116">
                  <c:v>-2.5209489840524122E-4</c:v>
                </c:pt>
                <c:pt idx="117">
                  <c:v>-5.4087270251362916E-4</c:v>
                </c:pt>
                <c:pt idx="118">
                  <c:v>1.1015822110258418E-4</c:v>
                </c:pt>
                <c:pt idx="119">
                  <c:v>-6.3919965212871465E-4</c:v>
                </c:pt>
                <c:pt idx="120">
                  <c:v>3.2563426679136238E-4</c:v>
                </c:pt>
                <c:pt idx="121">
                  <c:v>-3.3322240029818597E-4</c:v>
                </c:pt>
                <c:pt idx="122">
                  <c:v>-2.0386338041616979E-4</c:v>
                </c:pt>
                <c:pt idx="123">
                  <c:v>-1.5290860639780661E-4</c:v>
                </c:pt>
                <c:pt idx="124">
                  <c:v>2.6580114060027581E-4</c:v>
                </c:pt>
                <c:pt idx="125">
                  <c:v>-3.6596560467772038E-4</c:v>
                </c:pt>
                <c:pt idx="126">
                  <c:v>3.6176083469147255E-4</c:v>
                </c:pt>
                <c:pt idx="127">
                  <c:v>2.6240363484007795E-5</c:v>
                </c:pt>
                <c:pt idx="128">
                  <c:v>-1.448436124096969E-4</c:v>
                </c:pt>
                <c:pt idx="129">
                  <c:v>-3.570488079906677E-4</c:v>
                </c:pt>
                <c:pt idx="130">
                  <c:v>4.1455389490163886E-4</c:v>
                </c:pt>
                <c:pt idx="131">
                  <c:v>1.3023495546368537E-4</c:v>
                </c:pt>
                <c:pt idx="132">
                  <c:v>-3.8945530329906873E-4</c:v>
                </c:pt>
                <c:pt idx="133">
                  <c:v>3.5117781130201335E-4</c:v>
                </c:pt>
                <c:pt idx="134">
                  <c:v>9.3199140883725579E-4</c:v>
                </c:pt>
                <c:pt idx="135">
                  <c:v>6.0229871501587531E-4</c:v>
                </c:pt>
                <c:pt idx="136">
                  <c:v>7.9555345088897444E-4</c:v>
                </c:pt>
                <c:pt idx="137">
                  <c:v>-3.1337262626650081E-4</c:v>
                </c:pt>
                <c:pt idx="138">
                  <c:v>2.937428026675545E-6</c:v>
                </c:pt>
                <c:pt idx="139">
                  <c:v>2.0484446101292299E-4</c:v>
                </c:pt>
                <c:pt idx="140">
                  <c:v>3.124066581275004E-4</c:v>
                </c:pt>
                <c:pt idx="141">
                  <c:v>-5.5856566239037363E-6</c:v>
                </c:pt>
                <c:pt idx="142">
                  <c:v>4.1637056571596664E-4</c:v>
                </c:pt>
                <c:pt idx="143">
                  <c:v>3.5005905696622547E-4</c:v>
                </c:pt>
                <c:pt idx="144">
                  <c:v>-4.7378479976312372E-4</c:v>
                </c:pt>
                <c:pt idx="145">
                  <c:v>-3.0170654158016104E-4</c:v>
                </c:pt>
                <c:pt idx="146">
                  <c:v>-5.8480822113109448E-4</c:v>
                </c:pt>
                <c:pt idx="147">
                  <c:v>-5.6744803644827042E-4</c:v>
                </c:pt>
                <c:pt idx="148">
                  <c:v>-4.7271679293465807E-4</c:v>
                </c:pt>
                <c:pt idx="149">
                  <c:v>9.69916840550407E-5</c:v>
                </c:pt>
                <c:pt idx="150">
                  <c:v>4.1075750126966823E-4</c:v>
                </c:pt>
                <c:pt idx="151">
                  <c:v>3.8470555926382253E-4</c:v>
                </c:pt>
                <c:pt idx="152">
                  <c:v>-3.9160898980213722E-4</c:v>
                </c:pt>
                <c:pt idx="153">
                  <c:v>-2.0285514485083415E-4</c:v>
                </c:pt>
                <c:pt idx="154">
                  <c:v>-7.3440354364236052E-4</c:v>
                </c:pt>
                <c:pt idx="155">
                  <c:v>-2.0622904344079926E-4</c:v>
                </c:pt>
                <c:pt idx="156">
                  <c:v>4.0800497160105114E-4</c:v>
                </c:pt>
                <c:pt idx="157">
                  <c:v>-2.9687784422638847E-4</c:v>
                </c:pt>
                <c:pt idx="158">
                  <c:v>-1.474845916632272E-4</c:v>
                </c:pt>
                <c:pt idx="159">
                  <c:v>-2.2323309852940299E-4</c:v>
                </c:pt>
                <c:pt idx="160">
                  <c:v>-5.7434190702566558E-5</c:v>
                </c:pt>
                <c:pt idx="161">
                  <c:v>-3.6123441569784324E-5</c:v>
                </c:pt>
                <c:pt idx="162">
                  <c:v>-3.8896076550378633E-4</c:v>
                </c:pt>
                <c:pt idx="163">
                  <c:v>-3.3779001957976698E-4</c:v>
                </c:pt>
                <c:pt idx="164">
                  <c:v>5.132585694410999E-4</c:v>
                </c:pt>
                <c:pt idx="165">
                  <c:v>5.6731492437166978E-4</c:v>
                </c:pt>
                <c:pt idx="166">
                  <c:v>-4.9621663595256823E-4</c:v>
                </c:pt>
                <c:pt idx="167">
                  <c:v>2.6629546588497849E-4</c:v>
                </c:pt>
                <c:pt idx="168">
                  <c:v>2.354391927682677E-4</c:v>
                </c:pt>
                <c:pt idx="169">
                  <c:v>1.0422438562896864E-4</c:v>
                </c:pt>
                <c:pt idx="170">
                  <c:v>3.2404414283069557E-6</c:v>
                </c:pt>
                <c:pt idx="171">
                  <c:v>1.4341972643306373E-4</c:v>
                </c:pt>
                <c:pt idx="172">
                  <c:v>-1.8649025577418131E-4</c:v>
                </c:pt>
                <c:pt idx="173">
                  <c:v>3.1195307205529474E-4</c:v>
                </c:pt>
                <c:pt idx="174">
                  <c:v>9.5487081864103457E-5</c:v>
                </c:pt>
                <c:pt idx="175">
                  <c:v>-5.0488834353347911E-4</c:v>
                </c:pt>
                <c:pt idx="176">
                  <c:v>-2.3780136583406752E-4</c:v>
                </c:pt>
                <c:pt idx="177">
                  <c:v>6.8084299927740068E-5</c:v>
                </c:pt>
                <c:pt idx="178">
                  <c:v>1.961996920374483E-4</c:v>
                </c:pt>
                <c:pt idx="179">
                  <c:v>6.5258491384173742E-6</c:v>
                </c:pt>
                <c:pt idx="180">
                  <c:v>3.6044542640502726E-4</c:v>
                </c:pt>
                <c:pt idx="181">
                  <c:v>-5.0106560163956182E-4</c:v>
                </c:pt>
                <c:pt idx="182">
                  <c:v>-1.0848459238213585E-5</c:v>
                </c:pt>
                <c:pt idx="183">
                  <c:v>-3.4883671811701718E-4</c:v>
                </c:pt>
                <c:pt idx="184">
                  <c:v>2.7523987053572558E-4</c:v>
                </c:pt>
                <c:pt idx="185">
                  <c:v>-3.3361734869907268E-4</c:v>
                </c:pt>
                <c:pt idx="186">
                  <c:v>2.3956148831854531E-5</c:v>
                </c:pt>
                <c:pt idx="187">
                  <c:v>-3.820918222790866E-4</c:v>
                </c:pt>
                <c:pt idx="188">
                  <c:v>-4.8492084448802266E-4</c:v>
                </c:pt>
                <c:pt idx="189">
                  <c:v>-2.931620175565765E-4</c:v>
                </c:pt>
                <c:pt idx="190">
                  <c:v>-2.3098246638114141E-4</c:v>
                </c:pt>
                <c:pt idx="191">
                  <c:v>-8.2976469431798156E-4</c:v>
                </c:pt>
                <c:pt idx="192">
                  <c:v>7.7907082146574231E-4</c:v>
                </c:pt>
                <c:pt idx="193">
                  <c:v>3.2655176637819513E-4</c:v>
                </c:pt>
                <c:pt idx="194">
                  <c:v>-3.2372541451330467E-4</c:v>
                </c:pt>
                <c:pt idx="195">
                  <c:v>-2.9325816460104543E-4</c:v>
                </c:pt>
                <c:pt idx="196">
                  <c:v>-1.8007206659947632E-4</c:v>
                </c:pt>
                <c:pt idx="197">
                  <c:v>2.6647912942717088E-4</c:v>
                </c:pt>
                <c:pt idx="198">
                  <c:v>-2.631479730015523E-4</c:v>
                </c:pt>
                <c:pt idx="199">
                  <c:v>-2.5481554909402809E-4</c:v>
                </c:pt>
                <c:pt idx="200">
                  <c:v>7.8381543398553532E-4</c:v>
                </c:pt>
                <c:pt idx="201">
                  <c:v>3.8837847687723067E-4</c:v>
                </c:pt>
                <c:pt idx="202">
                  <c:v>-6.4257485130907101E-4</c:v>
                </c:pt>
                <c:pt idx="203">
                  <c:v>-3.5911540254237944E-4</c:v>
                </c:pt>
                <c:pt idx="204">
                  <c:v>-1.1066203453397077E-4</c:v>
                </c:pt>
                <c:pt idx="205">
                  <c:v>2.4968691019729898E-4</c:v>
                </c:pt>
                <c:pt idx="206">
                  <c:v>3.04144649683607E-4</c:v>
                </c:pt>
                <c:pt idx="207">
                  <c:v>-6.1791189306447436E-5</c:v>
                </c:pt>
                <c:pt idx="208">
                  <c:v>7.7073290640938721E-4</c:v>
                </c:pt>
                <c:pt idx="209">
                  <c:v>-6.2046517048404415E-4</c:v>
                </c:pt>
                <c:pt idx="210">
                  <c:v>4.7967788571776917E-4</c:v>
                </c:pt>
                <c:pt idx="211">
                  <c:v>-1.0932386009021554E-4</c:v>
                </c:pt>
                <c:pt idx="212">
                  <c:v>3.5629267896174872E-4</c:v>
                </c:pt>
                <c:pt idx="213">
                  <c:v>2.1311315246310279E-4</c:v>
                </c:pt>
                <c:pt idx="214">
                  <c:v>-4.9152309328698589E-4</c:v>
                </c:pt>
                <c:pt idx="215">
                  <c:v>-5.8861973748451949E-4</c:v>
                </c:pt>
                <c:pt idx="216">
                  <c:v>-3.8226560069602538E-4</c:v>
                </c:pt>
                <c:pt idx="217">
                  <c:v>-1.4024721625989067E-4</c:v>
                </c:pt>
                <c:pt idx="218">
                  <c:v>-8.7611438846430453E-5</c:v>
                </c:pt>
                <c:pt idx="219">
                  <c:v>3.8243646639243346E-4</c:v>
                </c:pt>
                <c:pt idx="220">
                  <c:v>7.4529585384492834E-4</c:v>
                </c:pt>
                <c:pt idx="221">
                  <c:v>4.4752816357461063E-5</c:v>
                </c:pt>
                <c:pt idx="222">
                  <c:v>4.9611638060945818E-5</c:v>
                </c:pt>
                <c:pt idx="223">
                  <c:v>1.6070602787508087E-5</c:v>
                </c:pt>
                <c:pt idx="224">
                  <c:v>5.1753559202498466E-4</c:v>
                </c:pt>
                <c:pt idx="225">
                  <c:v>3.410102634400006E-4</c:v>
                </c:pt>
                <c:pt idx="226">
                  <c:v>-2.2583305788714128E-4</c:v>
                </c:pt>
                <c:pt idx="227">
                  <c:v>-6.9927765550607238E-4</c:v>
                </c:pt>
                <c:pt idx="228">
                  <c:v>1.6835598742060611E-4</c:v>
                </c:pt>
                <c:pt idx="229">
                  <c:v>1.176035178749149E-4</c:v>
                </c:pt>
                <c:pt idx="230">
                  <c:v>-9.4591583586596423E-5</c:v>
                </c:pt>
                <c:pt idx="231">
                  <c:v>1.169183243597298E-4</c:v>
                </c:pt>
                <c:pt idx="232">
                  <c:v>3.1364350119821282E-4</c:v>
                </c:pt>
                <c:pt idx="233">
                  <c:v>-5.6265359010385721E-5</c:v>
                </c:pt>
                <c:pt idx="234">
                  <c:v>-8.6186653384109707E-5</c:v>
                </c:pt>
                <c:pt idx="235">
                  <c:v>-4.3820973890233472E-4</c:v>
                </c:pt>
                <c:pt idx="236">
                  <c:v>-1.2854427215625087E-4</c:v>
                </c:pt>
                <c:pt idx="237">
                  <c:v>3.3899130092734437E-4</c:v>
                </c:pt>
                <c:pt idx="238">
                  <c:v>5.2546957637102337E-4</c:v>
                </c:pt>
                <c:pt idx="239">
                  <c:v>6.1110350197471312E-5</c:v>
                </c:pt>
                <c:pt idx="240">
                  <c:v>2.4919709288214473E-4</c:v>
                </c:pt>
                <c:pt idx="241">
                  <c:v>3.2306564268074021E-4</c:v>
                </c:pt>
                <c:pt idx="242">
                  <c:v>-1.850641110386402E-4</c:v>
                </c:pt>
                <c:pt idx="243">
                  <c:v>-3.3826636715185405E-4</c:v>
                </c:pt>
                <c:pt idx="244">
                  <c:v>4.860149505232551E-4</c:v>
                </c:pt>
                <c:pt idx="245">
                  <c:v>-1.3654457680599714E-4</c:v>
                </c:pt>
                <c:pt idx="246">
                  <c:v>-3.3583717556397757E-5</c:v>
                </c:pt>
                <c:pt idx="247">
                  <c:v>-1.1547371017789465E-4</c:v>
                </c:pt>
                <c:pt idx="248">
                  <c:v>6.8023043377895022E-5</c:v>
                </c:pt>
                <c:pt idx="249">
                  <c:v>1.2105626699916006E-4</c:v>
                </c:pt>
                <c:pt idx="250">
                  <c:v>2.144919002159778E-4</c:v>
                </c:pt>
                <c:pt idx="251">
                  <c:v>3.4244311023363829E-5</c:v>
                </c:pt>
                <c:pt idx="252">
                  <c:v>-6.7102117710113145E-4</c:v>
                </c:pt>
                <c:pt idx="253">
                  <c:v>-6.7234259201955527E-5</c:v>
                </c:pt>
                <c:pt idx="254">
                  <c:v>-2.3276325049431659E-4</c:v>
                </c:pt>
                <c:pt idx="255">
                  <c:v>-2.075729614959369E-4</c:v>
                </c:pt>
                <c:pt idx="256">
                  <c:v>-1.7980040601394377E-4</c:v>
                </c:pt>
                <c:pt idx="257">
                  <c:v>1.6235214818325074E-4</c:v>
                </c:pt>
                <c:pt idx="258">
                  <c:v>4.9987562724220511E-4</c:v>
                </c:pt>
                <c:pt idx="259">
                  <c:v>3.6754412181328735E-5</c:v>
                </c:pt>
                <c:pt idx="260">
                  <c:v>-5.0399870028480461E-4</c:v>
                </c:pt>
                <c:pt idx="261">
                  <c:v>-3.0937627965144473E-4</c:v>
                </c:pt>
                <c:pt idx="262">
                  <c:v>1.656433974101365E-4</c:v>
                </c:pt>
                <c:pt idx="263">
                  <c:v>-2.3715490919807783E-4</c:v>
                </c:pt>
                <c:pt idx="264">
                  <c:v>-4.4880832157569254E-4</c:v>
                </c:pt>
                <c:pt idx="265">
                  <c:v>2.7944791971786306E-4</c:v>
                </c:pt>
                <c:pt idx="266">
                  <c:v>9.5193195605995944E-4</c:v>
                </c:pt>
                <c:pt idx="267">
                  <c:v>-2.616072725311737E-4</c:v>
                </c:pt>
                <c:pt idx="268">
                  <c:v>-4.5357788406518666E-5</c:v>
                </c:pt>
                <c:pt idx="269">
                  <c:v>-2.651587472148177E-5</c:v>
                </c:pt>
                <c:pt idx="270">
                  <c:v>2.6260587248346602E-4</c:v>
                </c:pt>
                <c:pt idx="271">
                  <c:v>-7.6357380232144789E-5</c:v>
                </c:pt>
                <c:pt idx="272">
                  <c:v>-4.0333194007058029E-4</c:v>
                </c:pt>
                <c:pt idx="273">
                  <c:v>1.2169398220664337E-4</c:v>
                </c:pt>
                <c:pt idx="274">
                  <c:v>6.8623184226330192E-5</c:v>
                </c:pt>
                <c:pt idx="275">
                  <c:v>-1.4090361001549445E-4</c:v>
                </c:pt>
                <c:pt idx="276">
                  <c:v>3.0289314001875558E-4</c:v>
                </c:pt>
                <c:pt idx="277">
                  <c:v>8.753911575035073E-4</c:v>
                </c:pt>
                <c:pt idx="278">
                  <c:v>-5.1290120261220172E-4</c:v>
                </c:pt>
                <c:pt idx="279">
                  <c:v>-1.2961233682453306E-4</c:v>
                </c:pt>
                <c:pt idx="280">
                  <c:v>-8.4972295734555723E-4</c:v>
                </c:pt>
                <c:pt idx="281">
                  <c:v>2.8223755120335403E-4</c:v>
                </c:pt>
                <c:pt idx="282">
                  <c:v>-1.1471962101809129E-4</c:v>
                </c:pt>
                <c:pt idx="283">
                  <c:v>-1.6396897584580196E-4</c:v>
                </c:pt>
                <c:pt idx="284">
                  <c:v>-3.456011540585158E-4</c:v>
                </c:pt>
                <c:pt idx="285">
                  <c:v>3.9570239046287075E-4</c:v>
                </c:pt>
                <c:pt idx="286">
                  <c:v>-3.3530731178088988E-5</c:v>
                </c:pt>
                <c:pt idx="287">
                  <c:v>-2.146320932444709E-4</c:v>
                </c:pt>
                <c:pt idx="288">
                  <c:v>-4.470166252729209E-4</c:v>
                </c:pt>
                <c:pt idx="289">
                  <c:v>-2.6608287720277098E-4</c:v>
                </c:pt>
                <c:pt idx="290">
                  <c:v>-4.0957426054119431E-4</c:v>
                </c:pt>
                <c:pt idx="291">
                  <c:v>4.283138073428332E-4</c:v>
                </c:pt>
                <c:pt idx="292">
                  <c:v>4.6098954106268134E-4</c:v>
                </c:pt>
                <c:pt idx="293">
                  <c:v>2.0162683509039201E-5</c:v>
                </c:pt>
                <c:pt idx="294">
                  <c:v>4.5737406328441349E-4</c:v>
                </c:pt>
                <c:pt idx="295">
                  <c:v>-4.5197088985824763E-4</c:v>
                </c:pt>
                <c:pt idx="296">
                  <c:v>-3.3825754836387906E-4</c:v>
                </c:pt>
                <c:pt idx="297">
                  <c:v>-1.1919857339279362E-4</c:v>
                </c:pt>
                <c:pt idx="298">
                  <c:v>2.1255776927354136E-5</c:v>
                </c:pt>
                <c:pt idx="299">
                  <c:v>4.504121465577415E-4</c:v>
                </c:pt>
                <c:pt idx="300">
                  <c:v>2.8107650099567491E-4</c:v>
                </c:pt>
                <c:pt idx="301">
                  <c:v>3.2096635829948091E-4</c:v>
                </c:pt>
                <c:pt idx="302">
                  <c:v>1.2013705973021847E-4</c:v>
                </c:pt>
                <c:pt idx="303">
                  <c:v>3.7174561532672548E-4</c:v>
                </c:pt>
                <c:pt idx="304">
                  <c:v>2.9707366278177431E-4</c:v>
                </c:pt>
                <c:pt idx="305">
                  <c:v>-6.1380461343220935E-5</c:v>
                </c:pt>
                <c:pt idx="306">
                  <c:v>-4.0606829135164256E-4</c:v>
                </c:pt>
                <c:pt idx="307">
                  <c:v>4.9870899409724327E-4</c:v>
                </c:pt>
                <c:pt idx="308">
                  <c:v>-3.112208233561389E-5</c:v>
                </c:pt>
                <c:pt idx="309">
                  <c:v>-1.7890612586350396E-5</c:v>
                </c:pt>
                <c:pt idx="310">
                  <c:v>6.6799658786578805E-5</c:v>
                </c:pt>
                <c:pt idx="311">
                  <c:v>-4.3483068975217604E-4</c:v>
                </c:pt>
                <c:pt idx="312">
                  <c:v>6.7499348220312371E-4</c:v>
                </c:pt>
                <c:pt idx="313">
                  <c:v>-5.0996125176175453E-4</c:v>
                </c:pt>
                <c:pt idx="314">
                  <c:v>1.2145533049584165E-3</c:v>
                </c:pt>
                <c:pt idx="315">
                  <c:v>-1.5304474971080257E-4</c:v>
                </c:pt>
                <c:pt idx="316">
                  <c:v>0</c:v>
                </c:pt>
                <c:pt idx="317">
                  <c:v>6.5384443022341841E-4</c:v>
                </c:pt>
                <c:pt idx="318">
                  <c:v>4.1300282441905634E-4</c:v>
                </c:pt>
                <c:pt idx="319">
                  <c:v>1.5969236210971785E-4</c:v>
                </c:pt>
                <c:pt idx="320">
                  <c:v>-3.8484698720797881E-5</c:v>
                </c:pt>
                <c:pt idx="321">
                  <c:v>-1.12447312727526E-3</c:v>
                </c:pt>
                <c:pt idx="322">
                  <c:v>8.5869117222224154E-4</c:v>
                </c:pt>
                <c:pt idx="323">
                  <c:v>-1.4700759355665388E-4</c:v>
                </c:pt>
                <c:pt idx="324">
                  <c:v>-4.3382312296784745E-4</c:v>
                </c:pt>
                <c:pt idx="325">
                  <c:v>3.96622751108621E-4</c:v>
                </c:pt>
                <c:pt idx="326">
                  <c:v>-2.9518165364235562E-4</c:v>
                </c:pt>
                <c:pt idx="327">
                  <c:v>-2.3921722279050426E-4</c:v>
                </c:pt>
                <c:pt idx="328">
                  <c:v>-6.3608221881239783E-4</c:v>
                </c:pt>
                <c:pt idx="329">
                  <c:v>-4.1112792914613629E-5</c:v>
                </c:pt>
                <c:pt idx="330">
                  <c:v>-1.5145399885687925E-4</c:v>
                </c:pt>
                <c:pt idx="331">
                  <c:v>-3.5426823832099128E-4</c:v>
                </c:pt>
                <c:pt idx="332">
                  <c:v>-7.4894643691952138E-6</c:v>
                </c:pt>
                <c:pt idx="333">
                  <c:v>1.5274231977280782E-4</c:v>
                </c:pt>
                <c:pt idx="334">
                  <c:v>4.536874414013974E-4</c:v>
                </c:pt>
                <c:pt idx="335">
                  <c:v>-6.7705978753290156E-5</c:v>
                </c:pt>
                <c:pt idx="336">
                  <c:v>4.249234623475808E-4</c:v>
                </c:pt>
                <c:pt idx="337">
                  <c:v>-3.1841499307321843E-4</c:v>
                </c:pt>
                <c:pt idx="338">
                  <c:v>-8.3650831410982823E-4</c:v>
                </c:pt>
                <c:pt idx="339">
                  <c:v>6.4352184434135148E-4</c:v>
                </c:pt>
                <c:pt idx="340">
                  <c:v>5.3609439313103801E-4</c:v>
                </c:pt>
                <c:pt idx="341">
                  <c:v>4.5114511794198411E-4</c:v>
                </c:pt>
                <c:pt idx="342">
                  <c:v>1.9986123643258463E-4</c:v>
                </c:pt>
                <c:pt idx="343">
                  <c:v>1.5746620836331503E-4</c:v>
                </c:pt>
                <c:pt idx="344">
                  <c:v>4.1290824528926229E-4</c:v>
                </c:pt>
                <c:pt idx="345">
                  <c:v>-5.627726930427697E-6</c:v>
                </c:pt>
                <c:pt idx="346">
                  <c:v>1.3598609936074554E-4</c:v>
                </c:pt>
                <c:pt idx="347">
                  <c:v>1.5902973733480417E-4</c:v>
                </c:pt>
                <c:pt idx="348">
                  <c:v>5.3931607756111397E-4</c:v>
                </c:pt>
                <c:pt idx="349">
                  <c:v>-2.0529034554613262E-4</c:v>
                </c:pt>
                <c:pt idx="350">
                  <c:v>-3.7236833078156739E-5</c:v>
                </c:pt>
                <c:pt idx="351">
                  <c:v>7.3653948318604356E-5</c:v>
                </c:pt>
                <c:pt idx="352">
                  <c:v>2.3642024348432617E-4</c:v>
                </c:pt>
                <c:pt idx="353">
                  <c:v>-2.939699925389346E-4</c:v>
                </c:pt>
                <c:pt idx="354">
                  <c:v>-2.7530995680096566E-4</c:v>
                </c:pt>
                <c:pt idx="355">
                  <c:v>-1.4395684917763881E-4</c:v>
                </c:pt>
                <c:pt idx="356">
                  <c:v>1.4628979664163501E-4</c:v>
                </c:pt>
                <c:pt idx="357">
                  <c:v>5.293441328718594E-5</c:v>
                </c:pt>
                <c:pt idx="358">
                  <c:v>2.1073516857543967E-4</c:v>
                </c:pt>
                <c:pt idx="359">
                  <c:v>-1.4963101159636347E-5</c:v>
                </c:pt>
                <c:pt idx="360">
                  <c:v>-2.1414312851939589E-4</c:v>
                </c:pt>
                <c:pt idx="361">
                  <c:v>3.6657755508555151E-4</c:v>
                </c:pt>
                <c:pt idx="362">
                  <c:v>-5.3871408559576391E-4</c:v>
                </c:pt>
                <c:pt idx="363">
                  <c:v>3.1828700974977504E-4</c:v>
                </c:pt>
                <c:pt idx="364">
                  <c:v>-6.6800772175304435E-5</c:v>
                </c:pt>
                <c:pt idx="365">
                  <c:v>-1.6815435047882289E-4</c:v>
                </c:pt>
                <c:pt idx="366">
                  <c:v>8.6424656059371418E-5</c:v>
                </c:pt>
                <c:pt idx="367">
                  <c:v>6.4994164247364483E-4</c:v>
                </c:pt>
                <c:pt idx="368">
                  <c:v>-1.2709974167179157E-4</c:v>
                </c:pt>
                <c:pt idx="369">
                  <c:v>-1.743688497131492E-4</c:v>
                </c:pt>
                <c:pt idx="370">
                  <c:v>-3.1149452462174887E-4</c:v>
                </c:pt>
                <c:pt idx="371">
                  <c:v>2.9705084548310072E-6</c:v>
                </c:pt>
                <c:pt idx="372">
                  <c:v>1.371773475792543E-4</c:v>
                </c:pt>
                <c:pt idx="373">
                  <c:v>1.6401221013980882E-4</c:v>
                </c:pt>
                <c:pt idx="374">
                  <c:v>5.4611090460702084E-4</c:v>
                </c:pt>
                <c:pt idx="375">
                  <c:v>4.4279104200333581E-4</c:v>
                </c:pt>
                <c:pt idx="376">
                  <c:v>6.6711897854275124E-4</c:v>
                </c:pt>
                <c:pt idx="377">
                  <c:v>2.1819883339001177E-4</c:v>
                </c:pt>
                <c:pt idx="378">
                  <c:v>-4.3782140282021149E-5</c:v>
                </c:pt>
                <c:pt idx="379">
                  <c:v>1.2762780744531555E-4</c:v>
                </c:pt>
                <c:pt idx="380">
                  <c:v>-4.6223542198384811E-4</c:v>
                </c:pt>
                <c:pt idx="381">
                  <c:v>-2.404848220456676E-5</c:v>
                </c:pt>
                <c:pt idx="382">
                  <c:v>-2.4642008284043873E-4</c:v>
                </c:pt>
                <c:pt idx="383">
                  <c:v>-8.9955369883024279E-4</c:v>
                </c:pt>
                <c:pt idx="384">
                  <c:v>2.4724704247164401E-4</c:v>
                </c:pt>
                <c:pt idx="385">
                  <c:v>1.4210260459982367E-4</c:v>
                </c:pt>
                <c:pt idx="386">
                  <c:v>-2.1502189348248844E-4</c:v>
                </c:pt>
                <c:pt idx="387">
                  <c:v>2.7689237303243929E-4</c:v>
                </c:pt>
                <c:pt idx="388">
                  <c:v>-6.4969540243369492E-4</c:v>
                </c:pt>
                <c:pt idx="389">
                  <c:v>2.8536375706610838E-4</c:v>
                </c:pt>
                <c:pt idx="390">
                  <c:v>-3.3662812659689291E-4</c:v>
                </c:pt>
                <c:pt idx="391">
                  <c:v>5.8504071525449061E-4</c:v>
                </c:pt>
                <c:pt idx="392">
                  <c:v>4.0570471669996815E-4</c:v>
                </c:pt>
                <c:pt idx="393">
                  <c:v>-1.0724595693077623E-4</c:v>
                </c:pt>
                <c:pt idx="394">
                  <c:v>1.8333513227272613E-4</c:v>
                </c:pt>
                <c:pt idx="395">
                  <c:v>-3.3910432951218936E-4</c:v>
                </c:pt>
                <c:pt idx="396">
                  <c:v>-1.9040207629887162E-4</c:v>
                </c:pt>
                <c:pt idx="397">
                  <c:v>1.2327202078820187E-4</c:v>
                </c:pt>
                <c:pt idx="398">
                  <c:v>2.9879654438888417E-4</c:v>
                </c:pt>
                <c:pt idx="399">
                  <c:v>-2.0453863138200385E-4</c:v>
                </c:pt>
                <c:pt idx="400">
                  <c:v>3.7787997770255148E-4</c:v>
                </c:pt>
                <c:pt idx="401">
                  <c:v>-4.3083372488475788E-5</c:v>
                </c:pt>
                <c:pt idx="402">
                  <c:v>5.9455487933575901E-4</c:v>
                </c:pt>
                <c:pt idx="403">
                  <c:v>2.1265303991268087E-4</c:v>
                </c:pt>
                <c:pt idx="404">
                  <c:v>-6.4247911779415784E-4</c:v>
                </c:pt>
                <c:pt idx="405">
                  <c:v>-1.6676086394148295E-6</c:v>
                </c:pt>
                <c:pt idx="406">
                  <c:v>-3.8872268872208159E-5</c:v>
                </c:pt>
                <c:pt idx="407">
                  <c:v>9.7225797658221042E-5</c:v>
                </c:pt>
                <c:pt idx="408">
                  <c:v>1.4193914419095849E-4</c:v>
                </c:pt>
                <c:pt idx="409">
                  <c:v>8.1726613045873017E-4</c:v>
                </c:pt>
                <c:pt idx="410">
                  <c:v>-3.1770416119654529E-4</c:v>
                </c:pt>
                <c:pt idx="411">
                  <c:v>-5.1674062314569251E-4</c:v>
                </c:pt>
                <c:pt idx="412">
                  <c:v>2.2205169265738519E-5</c:v>
                </c:pt>
                <c:pt idx="413">
                  <c:v>3.3855378200800583E-4</c:v>
                </c:pt>
                <c:pt idx="414">
                  <c:v>3.4299091170141054E-4</c:v>
                </c:pt>
                <c:pt idx="415">
                  <c:v>-5.4451913464580528E-4</c:v>
                </c:pt>
                <c:pt idx="416">
                  <c:v>5.618719464205384E-5</c:v>
                </c:pt>
                <c:pt idx="417">
                  <c:v>5.799418270430631E-4</c:v>
                </c:pt>
                <c:pt idx="418">
                  <c:v>-2.5152594857705382E-4</c:v>
                </c:pt>
                <c:pt idx="419">
                  <c:v>3.173970387740819E-4</c:v>
                </c:pt>
                <c:pt idx="420">
                  <c:v>-3.7329751825210067E-5</c:v>
                </c:pt>
                <c:pt idx="421">
                  <c:v>5.4587504099246173E-4</c:v>
                </c:pt>
                <c:pt idx="422">
                  <c:v>1.0772135362742867E-4</c:v>
                </c:pt>
                <c:pt idx="423">
                  <c:v>-2.0459063434799218E-4</c:v>
                </c:pt>
                <c:pt idx="424">
                  <c:v>-2.8397007387099551E-4</c:v>
                </c:pt>
                <c:pt idx="425">
                  <c:v>5.7750343682783993E-6</c:v>
                </c:pt>
                <c:pt idx="426">
                  <c:v>4.5220061765347035E-4</c:v>
                </c:pt>
                <c:pt idx="427">
                  <c:v>-4.6260653945134661E-4</c:v>
                </c:pt>
                <c:pt idx="428">
                  <c:v>2.2656736755527753E-4</c:v>
                </c:pt>
                <c:pt idx="429">
                  <c:v>-1.4885744105229865E-4</c:v>
                </c:pt>
                <c:pt idx="430">
                  <c:v>1.6597400215129099E-4</c:v>
                </c:pt>
                <c:pt idx="431">
                  <c:v>-2.7354276662419489E-4</c:v>
                </c:pt>
                <c:pt idx="432">
                  <c:v>-2.0859219874962002E-4</c:v>
                </c:pt>
                <c:pt idx="433">
                  <c:v>1.7818796477511473E-4</c:v>
                </c:pt>
                <c:pt idx="434">
                  <c:v>1.9114428294265384E-4</c:v>
                </c:pt>
                <c:pt idx="435">
                  <c:v>-7.7100320398220938E-5</c:v>
                </c:pt>
                <c:pt idx="436">
                  <c:v>2.2084992223214426E-4</c:v>
                </c:pt>
                <c:pt idx="437">
                  <c:v>3.2336042409475413E-4</c:v>
                </c:pt>
                <c:pt idx="438">
                  <c:v>6.6506425303508121E-4</c:v>
                </c:pt>
                <c:pt idx="439">
                  <c:v>5.8817160193909109E-4</c:v>
                </c:pt>
                <c:pt idx="440">
                  <c:v>4.2384917103218051E-4</c:v>
                </c:pt>
                <c:pt idx="441">
                  <c:v>-1.6666375649216779E-4</c:v>
                </c:pt>
                <c:pt idx="442">
                  <c:v>2.5751499825716061E-4</c:v>
                </c:pt>
                <c:pt idx="443">
                  <c:v>-1.1809176670708814E-4</c:v>
                </c:pt>
                <c:pt idx="444">
                  <c:v>2.0119158290113953E-4</c:v>
                </c:pt>
                <c:pt idx="445">
                  <c:v>-7.107363355825637E-5</c:v>
                </c:pt>
                <c:pt idx="446">
                  <c:v>3.3162731541838664E-4</c:v>
                </c:pt>
                <c:pt idx="447">
                  <c:v>7.8347341162966733E-5</c:v>
                </c:pt>
                <c:pt idx="448">
                  <c:v>-4.7163669677206045E-5</c:v>
                </c:pt>
                <c:pt idx="449">
                  <c:v>-4.7444531706894894E-4</c:v>
                </c:pt>
                <c:pt idx="450">
                  <c:v>7.5573539049094817E-4</c:v>
                </c:pt>
                <c:pt idx="451">
                  <c:v>4.4740981056465236E-6</c:v>
                </c:pt>
                <c:pt idx="452">
                  <c:v>-2.5745112965379498E-4</c:v>
                </c:pt>
                <c:pt idx="453">
                  <c:v>4.0660920608527335E-4</c:v>
                </c:pt>
                <c:pt idx="454">
                  <c:v>-8.3415816562464821E-4</c:v>
                </c:pt>
                <c:pt idx="455">
                  <c:v>-3.3608620676268996E-4</c:v>
                </c:pt>
                <c:pt idx="456">
                  <c:v>-1.9434157468314171E-4</c:v>
                </c:pt>
                <c:pt idx="457">
                  <c:v>-1.4141356927782934E-4</c:v>
                </c:pt>
                <c:pt idx="458">
                  <c:v>2.5005573996146933E-4</c:v>
                </c:pt>
                <c:pt idx="459">
                  <c:v>5.8340237671404273E-5</c:v>
                </c:pt>
                <c:pt idx="460">
                  <c:v>2.353378730155194E-4</c:v>
                </c:pt>
                <c:pt idx="461">
                  <c:v>-3.2231974853934227E-4</c:v>
                </c:pt>
                <c:pt idx="462">
                  <c:v>6.1068092660292449E-5</c:v>
                </c:pt>
                <c:pt idx="463">
                  <c:v>1.4055401026426802E-4</c:v>
                </c:pt>
                <c:pt idx="464">
                  <c:v>-1.2090905063021485E-4</c:v>
                </c:pt>
                <c:pt idx="465">
                  <c:v>1.937439168766111E-5</c:v>
                </c:pt>
                <c:pt idx="466">
                  <c:v>-1.9788856356700403E-4</c:v>
                </c:pt>
                <c:pt idx="467">
                  <c:v>9.4643075569440213E-5</c:v>
                </c:pt>
                <c:pt idx="468">
                  <c:v>1.6248467643784705E-4</c:v>
                </c:pt>
                <c:pt idx="469">
                  <c:v>-2.3689500720591963E-4</c:v>
                </c:pt>
                <c:pt idx="470">
                  <c:v>-2.8606415065518898E-5</c:v>
                </c:pt>
                <c:pt idx="471">
                  <c:v>1.9721434362139287E-5</c:v>
                </c:pt>
                <c:pt idx="472">
                  <c:v>5.9280568187017953E-4</c:v>
                </c:pt>
                <c:pt idx="473">
                  <c:v>7.8372903965405417E-4</c:v>
                </c:pt>
                <c:pt idx="474">
                  <c:v>-3.6411129435647889E-4</c:v>
                </c:pt>
                <c:pt idx="475">
                  <c:v>5.6930485843236292E-4</c:v>
                </c:pt>
                <c:pt idx="476">
                  <c:v>-7.0069533726965652E-4</c:v>
                </c:pt>
                <c:pt idx="477">
                  <c:v>3.1818761353799297E-4</c:v>
                </c:pt>
                <c:pt idx="478">
                  <c:v>-5.8525907458311592E-4</c:v>
                </c:pt>
                <c:pt idx="479">
                  <c:v>-2.3623197701475387E-4</c:v>
                </c:pt>
                <c:pt idx="480">
                  <c:v>2.3160265164321808E-6</c:v>
                </c:pt>
                <c:pt idx="481">
                  <c:v>-3.1949170314861359E-4</c:v>
                </c:pt>
                <c:pt idx="482">
                  <c:v>-4.0954332056044717E-4</c:v>
                </c:pt>
                <c:pt idx="483">
                  <c:v>2.8528339104198839E-4</c:v>
                </c:pt>
                <c:pt idx="484">
                  <c:v>4.8367952684572838E-4</c:v>
                </c:pt>
                <c:pt idx="485">
                  <c:v>5.4575165640391565E-5</c:v>
                </c:pt>
                <c:pt idx="486">
                  <c:v>-1.3093046342032254E-4</c:v>
                </c:pt>
                <c:pt idx="487">
                  <c:v>7.5505942270662514E-5</c:v>
                </c:pt>
                <c:pt idx="488">
                  <c:v>5.9199990902251975E-4</c:v>
                </c:pt>
                <c:pt idx="489">
                  <c:v>6.6618519474958565E-5</c:v>
                </c:pt>
                <c:pt idx="490">
                  <c:v>3.1608994287637493E-4</c:v>
                </c:pt>
                <c:pt idx="491">
                  <c:v>-3.0038224192927286E-4</c:v>
                </c:pt>
                <c:pt idx="492">
                  <c:v>-1.937120882579466E-4</c:v>
                </c:pt>
                <c:pt idx="493">
                  <c:v>-5.6176088880725857E-5</c:v>
                </c:pt>
                <c:pt idx="494">
                  <c:v>4.5700391669495751E-4</c:v>
                </c:pt>
                <c:pt idx="495">
                  <c:v>-5.390498967035429E-4</c:v>
                </c:pt>
                <c:pt idx="496">
                  <c:v>4.2742416050381551E-4</c:v>
                </c:pt>
                <c:pt idx="497">
                  <c:v>-3.5756437225177134E-4</c:v>
                </c:pt>
                <c:pt idx="498">
                  <c:v>-1.8194953512315899E-4</c:v>
                </c:pt>
                <c:pt idx="499">
                  <c:v>-2.7667064137626055E-4</c:v>
                </c:pt>
                <c:pt idx="500">
                  <c:v>-7.9889293135777144E-6</c:v>
                </c:pt>
                <c:pt idx="501">
                  <c:v>-9.0148399551923615E-5</c:v>
                </c:pt>
                <c:pt idx="502">
                  <c:v>7.8023594238234263E-4</c:v>
                </c:pt>
                <c:pt idx="503">
                  <c:v>1.2717614005439845E-4</c:v>
                </c:pt>
                <c:pt idx="504">
                  <c:v>2.0594360536164391E-4</c:v>
                </c:pt>
                <c:pt idx="505">
                  <c:v>-2.337190029742769E-5</c:v>
                </c:pt>
                <c:pt idx="506">
                  <c:v>7.9741989583123661E-4</c:v>
                </c:pt>
                <c:pt idx="507">
                  <c:v>3.7473971024897147E-4</c:v>
                </c:pt>
                <c:pt idx="508">
                  <c:v>-8.0041929223415118E-4</c:v>
                </c:pt>
                <c:pt idx="509">
                  <c:v>-3.3011698788792509E-4</c:v>
                </c:pt>
                <c:pt idx="510">
                  <c:v>-4.096193874786734E-4</c:v>
                </c:pt>
                <c:pt idx="511">
                  <c:v>-7.3463030606384506E-4</c:v>
                </c:pt>
                <c:pt idx="512">
                  <c:v>-4.7873090898978852E-4</c:v>
                </c:pt>
                <c:pt idx="513">
                  <c:v>-2.3845320504571268E-4</c:v>
                </c:pt>
                <c:pt idx="514">
                  <c:v>-4.4602976852890574E-4</c:v>
                </c:pt>
                <c:pt idx="515">
                  <c:v>-1.4036175961070163E-4</c:v>
                </c:pt>
                <c:pt idx="516">
                  <c:v>-1.021525415797808E-4</c:v>
                </c:pt>
                <c:pt idx="517">
                  <c:v>-5.5427151747580155E-5</c:v>
                </c:pt>
                <c:pt idx="518">
                  <c:v>2.4530439049448105E-4</c:v>
                </c:pt>
                <c:pt idx="519">
                  <c:v>2.0335329017738527E-4</c:v>
                </c:pt>
                <c:pt idx="520">
                  <c:v>4.4099148840484679E-4</c:v>
                </c:pt>
                <c:pt idx="521">
                  <c:v>-3.9110865026941799E-4</c:v>
                </c:pt>
                <c:pt idx="522">
                  <c:v>-7.0882154629161773E-5</c:v>
                </c:pt>
                <c:pt idx="523">
                  <c:v>8.8815329450869806E-5</c:v>
                </c:pt>
                <c:pt idx="524">
                  <c:v>5.0774464865032851E-4</c:v>
                </c:pt>
                <c:pt idx="525">
                  <c:v>-1.5418855264705654E-4</c:v>
                </c:pt>
                <c:pt idx="526">
                  <c:v>-1.2499241527934521E-4</c:v>
                </c:pt>
                <c:pt idx="527">
                  <c:v>8.2408007089875099E-4</c:v>
                </c:pt>
                <c:pt idx="528">
                  <c:v>5.6833172051468854E-4</c:v>
                </c:pt>
                <c:pt idx="529">
                  <c:v>1.8328620694857596E-4</c:v>
                </c:pt>
                <c:pt idx="530">
                  <c:v>3.5761934507408497E-4</c:v>
                </c:pt>
                <c:pt idx="531">
                  <c:v>-1.5766658808304685E-4</c:v>
                </c:pt>
                <c:pt idx="532">
                  <c:v>2.0988562721968163E-6</c:v>
                </c:pt>
                <c:pt idx="533">
                  <c:v>-1.3050030228818605E-4</c:v>
                </c:pt>
                <c:pt idx="534">
                  <c:v>-6.4270938334789563E-4</c:v>
                </c:pt>
                <c:pt idx="535">
                  <c:v>-3.8919423968152998E-4</c:v>
                </c:pt>
                <c:pt idx="536">
                  <c:v>-2.3965385419422003E-6</c:v>
                </c:pt>
                <c:pt idx="537">
                  <c:v>-4.1354957487562218E-4</c:v>
                </c:pt>
                <c:pt idx="538">
                  <c:v>2.2228070072376964E-4</c:v>
                </c:pt>
                <c:pt idx="539">
                  <c:v>3.8274133655064431E-4</c:v>
                </c:pt>
                <c:pt idx="540">
                  <c:v>-6.3265344150370962E-4</c:v>
                </c:pt>
                <c:pt idx="541">
                  <c:v>3.6038077348394594E-4</c:v>
                </c:pt>
                <c:pt idx="542">
                  <c:v>-2.7608399511069924E-4</c:v>
                </c:pt>
                <c:pt idx="543">
                  <c:v>4.9878519222423768E-4</c:v>
                </c:pt>
                <c:pt idx="544">
                  <c:v>2.3411330708617765E-4</c:v>
                </c:pt>
                <c:pt idx="545">
                  <c:v>2.9320461151761815E-4</c:v>
                </c:pt>
                <c:pt idx="546">
                  <c:v>3.0628820065164725E-4</c:v>
                </c:pt>
                <c:pt idx="547">
                  <c:v>-3.6103565437353077E-5</c:v>
                </c:pt>
                <c:pt idx="548">
                  <c:v>-3.3088112297819663E-4</c:v>
                </c:pt>
                <c:pt idx="549">
                  <c:v>-3.141898899627871E-4</c:v>
                </c:pt>
                <c:pt idx="550">
                  <c:v>3.6054288604420214E-4</c:v>
                </c:pt>
                <c:pt idx="551">
                  <c:v>2.3413929229720436E-4</c:v>
                </c:pt>
                <c:pt idx="552">
                  <c:v>-3.449020277332686E-4</c:v>
                </c:pt>
                <c:pt idx="553">
                  <c:v>1.9840119921481514E-5</c:v>
                </c:pt>
                <c:pt idx="554">
                  <c:v>9.2099130610581012E-5</c:v>
                </c:pt>
                <c:pt idx="555">
                  <c:v>7.5878742534598604E-6</c:v>
                </c:pt>
                <c:pt idx="556">
                  <c:v>1.3431565350985E-4</c:v>
                </c:pt>
                <c:pt idx="557">
                  <c:v>-8.963449432594742E-4</c:v>
                </c:pt>
                <c:pt idx="558">
                  <c:v>-4.4456356784933611E-5</c:v>
                </c:pt>
                <c:pt idx="559">
                  <c:v>2.3357495861211038E-4</c:v>
                </c:pt>
                <c:pt idx="560">
                  <c:v>2.7023022654877967E-4</c:v>
                </c:pt>
                <c:pt idx="561">
                  <c:v>4.613873246016425E-4</c:v>
                </c:pt>
                <c:pt idx="562">
                  <c:v>1.1481633379243468E-4</c:v>
                </c:pt>
                <c:pt idx="563">
                  <c:v>-2.5306560432672453E-4</c:v>
                </c:pt>
                <c:pt idx="564">
                  <c:v>-6.4161424722211993E-4</c:v>
                </c:pt>
                <c:pt idx="565">
                  <c:v>-4.5328386985591328E-4</c:v>
                </c:pt>
                <c:pt idx="566">
                  <c:v>1.5892726923646069E-4</c:v>
                </c:pt>
                <c:pt idx="567">
                  <c:v>-2.108560217554562E-4</c:v>
                </c:pt>
                <c:pt idx="568">
                  <c:v>-1.1681576791252117E-4</c:v>
                </c:pt>
                <c:pt idx="569">
                  <c:v>-6.0889946319293213E-4</c:v>
                </c:pt>
                <c:pt idx="570">
                  <c:v>-1.0169065569850176E-4</c:v>
                </c:pt>
                <c:pt idx="571">
                  <c:v>3.5470293028050739E-4</c:v>
                </c:pt>
                <c:pt idx="572">
                  <c:v>-9.4526842746523336E-6</c:v>
                </c:pt>
                <c:pt idx="573">
                  <c:v>-3.3290661685009418E-6</c:v>
                </c:pt>
                <c:pt idx="574">
                  <c:v>-1.9812366486832904E-4</c:v>
                </c:pt>
                <c:pt idx="575">
                  <c:v>1.780926084437458E-4</c:v>
                </c:pt>
                <c:pt idx="576">
                  <c:v>2.6340147410764444E-4</c:v>
                </c:pt>
                <c:pt idx="577">
                  <c:v>-1.2372580158704621E-4</c:v>
                </c:pt>
                <c:pt idx="578">
                  <c:v>-1.9573114812603307E-4</c:v>
                </c:pt>
                <c:pt idx="579">
                  <c:v>1.4504457912174594E-4</c:v>
                </c:pt>
                <c:pt idx="580">
                  <c:v>-3.3529594974365584E-4</c:v>
                </c:pt>
                <c:pt idx="581">
                  <c:v>-4.4227637075540896E-5</c:v>
                </c:pt>
                <c:pt idx="582">
                  <c:v>-2.9327144998973867E-4</c:v>
                </c:pt>
                <c:pt idx="583">
                  <c:v>-5.6430230634823132E-4</c:v>
                </c:pt>
                <c:pt idx="584">
                  <c:v>3.9816959453322959E-4</c:v>
                </c:pt>
                <c:pt idx="585">
                  <c:v>2.840948920201944E-4</c:v>
                </c:pt>
                <c:pt idx="586">
                  <c:v>-3.945947372935261E-4</c:v>
                </c:pt>
                <c:pt idx="587">
                  <c:v>1.2366883530858885E-4</c:v>
                </c:pt>
                <c:pt idx="588">
                  <c:v>-5.7283722977412277E-4</c:v>
                </c:pt>
                <c:pt idx="589">
                  <c:v>2.2573532817763279E-4</c:v>
                </c:pt>
                <c:pt idx="590">
                  <c:v>-4.2039892715467063E-4</c:v>
                </c:pt>
                <c:pt idx="591">
                  <c:v>2.6492653987342517E-4</c:v>
                </c:pt>
                <c:pt idx="592">
                  <c:v>-8.4086520564157679E-4</c:v>
                </c:pt>
                <c:pt idx="593">
                  <c:v>-9.1798434399595574E-6</c:v>
                </c:pt>
                <c:pt idx="594">
                  <c:v>-1.7296688730378116E-4</c:v>
                </c:pt>
                <c:pt idx="595">
                  <c:v>2.6007447094703783E-4</c:v>
                </c:pt>
                <c:pt idx="596">
                  <c:v>-8.3872053003497979E-5</c:v>
                </c:pt>
                <c:pt idx="597">
                  <c:v>-2.120967410651429E-4</c:v>
                </c:pt>
                <c:pt idx="598">
                  <c:v>-2.220684636854455E-4</c:v>
                </c:pt>
                <c:pt idx="599">
                  <c:v>-7.5666678861638099E-4</c:v>
                </c:pt>
                <c:pt idx="600">
                  <c:v>2.0387928773552715E-4</c:v>
                </c:pt>
                <c:pt idx="601">
                  <c:v>-2.1421951708731673E-4</c:v>
                </c:pt>
                <c:pt idx="602">
                  <c:v>-2.5416772194551489E-4</c:v>
                </c:pt>
                <c:pt idx="603">
                  <c:v>-3.5525207552895269E-4</c:v>
                </c:pt>
                <c:pt idx="604">
                  <c:v>3.6170399456750507E-4</c:v>
                </c:pt>
                <c:pt idx="605">
                  <c:v>2.6274177073950866E-4</c:v>
                </c:pt>
                <c:pt idx="606">
                  <c:v>-5.8335807601264645E-4</c:v>
                </c:pt>
                <c:pt idx="607">
                  <c:v>2.6352434051607602E-5</c:v>
                </c:pt>
                <c:pt idx="608">
                  <c:v>6.2479776283929679E-4</c:v>
                </c:pt>
                <c:pt idx="609">
                  <c:v>3.3614046584304688E-4</c:v>
                </c:pt>
                <c:pt idx="610">
                  <c:v>-2.2744316074662691E-7</c:v>
                </c:pt>
                <c:pt idx="611">
                  <c:v>3.996955902137939E-4</c:v>
                </c:pt>
                <c:pt idx="612">
                  <c:v>1.1175558272475547E-4</c:v>
                </c:pt>
                <c:pt idx="613">
                  <c:v>-7.0647483835212764E-4</c:v>
                </c:pt>
                <c:pt idx="614">
                  <c:v>-4.6486317049336744E-5</c:v>
                </c:pt>
                <c:pt idx="615">
                  <c:v>2.1210158126581426E-4</c:v>
                </c:pt>
                <c:pt idx="616">
                  <c:v>2.9783161864396801E-4</c:v>
                </c:pt>
                <c:pt idx="617">
                  <c:v>7.4323133094308523E-5</c:v>
                </c:pt>
                <c:pt idx="618">
                  <c:v>6.6343316523731694E-4</c:v>
                </c:pt>
                <c:pt idx="619">
                  <c:v>7.4751108531194432E-4</c:v>
                </c:pt>
                <c:pt idx="620">
                  <c:v>-8.5595417689755568E-5</c:v>
                </c:pt>
                <c:pt idx="621">
                  <c:v>-4.6484351332525182E-4</c:v>
                </c:pt>
                <c:pt idx="622">
                  <c:v>-4.0652039769873793E-4</c:v>
                </c:pt>
                <c:pt idx="623">
                  <c:v>1.8752273986925882E-4</c:v>
                </c:pt>
                <c:pt idx="624">
                  <c:v>9.9044805688628467E-5</c:v>
                </c:pt>
                <c:pt idx="625">
                  <c:v>0</c:v>
                </c:pt>
                <c:pt idx="626">
                  <c:v>-2.1980720595203611E-4</c:v>
                </c:pt>
                <c:pt idx="627">
                  <c:v>6.9368214499027065E-5</c:v>
                </c:pt>
                <c:pt idx="628">
                  <c:v>5.1463073741133119E-4</c:v>
                </c:pt>
                <c:pt idx="629">
                  <c:v>7.8596005476068988E-6</c:v>
                </c:pt>
                <c:pt idx="630">
                  <c:v>1.6646686871001521E-4</c:v>
                </c:pt>
                <c:pt idx="631">
                  <c:v>-3.5837739246483304E-4</c:v>
                </c:pt>
                <c:pt idx="632">
                  <c:v>-4.1212431206557221E-4</c:v>
                </c:pt>
                <c:pt idx="633">
                  <c:v>-5.265526245202361E-4</c:v>
                </c:pt>
                <c:pt idx="634">
                  <c:v>-2.5304061007758985E-4</c:v>
                </c:pt>
                <c:pt idx="635">
                  <c:v>-1.637245798946432E-4</c:v>
                </c:pt>
                <c:pt idx="636">
                  <c:v>1.1566333878926089E-4</c:v>
                </c:pt>
                <c:pt idx="637">
                  <c:v>-6.1519399782083517E-4</c:v>
                </c:pt>
                <c:pt idx="638">
                  <c:v>-1.935361774915889E-4</c:v>
                </c:pt>
                <c:pt idx="639">
                  <c:v>2.8094723295475648E-4</c:v>
                </c:pt>
                <c:pt idx="640">
                  <c:v>-3.848325014876975E-4</c:v>
                </c:pt>
                <c:pt idx="641">
                  <c:v>-1.0308899373531004E-4</c:v>
                </c:pt>
                <c:pt idx="642">
                  <c:v>-1.0255360273708554E-4</c:v>
                </c:pt>
                <c:pt idx="643">
                  <c:v>1.4762885962578152E-4</c:v>
                </c:pt>
                <c:pt idx="644">
                  <c:v>-5.0098698991603535E-4</c:v>
                </c:pt>
                <c:pt idx="645">
                  <c:v>3.1252457827836037E-4</c:v>
                </c:pt>
                <c:pt idx="646">
                  <c:v>2.5022970393350798E-4</c:v>
                </c:pt>
                <c:pt idx="647">
                  <c:v>4.952844029012972E-4</c:v>
                </c:pt>
                <c:pt idx="648">
                  <c:v>-3.5936941585748669E-4</c:v>
                </c:pt>
                <c:pt idx="649">
                  <c:v>-1.1613977184782014E-4</c:v>
                </c:pt>
                <c:pt idx="650">
                  <c:v>-1.7017899618935865E-4</c:v>
                </c:pt>
                <c:pt idx="651">
                  <c:v>-2.2795926698374494E-4</c:v>
                </c:pt>
                <c:pt idx="652">
                  <c:v>5.0261388512167231E-4</c:v>
                </c:pt>
                <c:pt idx="653">
                  <c:v>9.5961357604145618E-4</c:v>
                </c:pt>
                <c:pt idx="654">
                  <c:v>1.317431212713161E-4</c:v>
                </c:pt>
                <c:pt idx="655">
                  <c:v>8.900024480537879E-5</c:v>
                </c:pt>
                <c:pt idx="656">
                  <c:v>6.0999737588564209E-4</c:v>
                </c:pt>
                <c:pt idx="657">
                  <c:v>3.4797536493023391E-4</c:v>
                </c:pt>
                <c:pt idx="658">
                  <c:v>8.5891941113056254E-5</c:v>
                </c:pt>
                <c:pt idx="659">
                  <c:v>6.2254810835796201E-5</c:v>
                </c:pt>
                <c:pt idx="660">
                  <c:v>-1.2605391979703253E-4</c:v>
                </c:pt>
                <c:pt idx="661">
                  <c:v>-2.3735015252966487E-4</c:v>
                </c:pt>
                <c:pt idx="662">
                  <c:v>2.9797590771520323E-5</c:v>
                </c:pt>
                <c:pt idx="663">
                  <c:v>1.8051632016522187E-4</c:v>
                </c:pt>
                <c:pt idx="664">
                  <c:v>-1.0945211618764472E-4</c:v>
                </c:pt>
                <c:pt idx="665">
                  <c:v>1.598653207245944E-4</c:v>
                </c:pt>
                <c:pt idx="666">
                  <c:v>-3.7649059292546388E-4</c:v>
                </c:pt>
                <c:pt idx="667">
                  <c:v>-3.7784358179417641E-4</c:v>
                </c:pt>
                <c:pt idx="668">
                  <c:v>-4.9820890475909875E-5</c:v>
                </c:pt>
                <c:pt idx="669">
                  <c:v>-2.8601073932507952E-4</c:v>
                </c:pt>
                <c:pt idx="670">
                  <c:v>-1.0710400963508392E-4</c:v>
                </c:pt>
                <c:pt idx="671">
                  <c:v>-1.2445236360464273E-4</c:v>
                </c:pt>
                <c:pt idx="672">
                  <c:v>-2.7741057916300442E-5</c:v>
                </c:pt>
                <c:pt idx="673">
                  <c:v>-2.7354391887699924E-4</c:v>
                </c:pt>
                <c:pt idx="674">
                  <c:v>3.6051738165222534E-5</c:v>
                </c:pt>
                <c:pt idx="675">
                  <c:v>-1.5534202801364801E-4</c:v>
                </c:pt>
                <c:pt idx="676">
                  <c:v>-2.3401264987889505E-4</c:v>
                </c:pt>
                <c:pt idx="677">
                  <c:v>2.6593738311705208E-4</c:v>
                </c:pt>
                <c:pt idx="678">
                  <c:v>2.0305653839802391E-4</c:v>
                </c:pt>
                <c:pt idx="679">
                  <c:v>7.3170912148735944E-5</c:v>
                </c:pt>
                <c:pt idx="680">
                  <c:v>8.2879978575589369E-4</c:v>
                </c:pt>
                <c:pt idx="681">
                  <c:v>-3.793752714903275E-4</c:v>
                </c:pt>
                <c:pt idx="682">
                  <c:v>-1.0479735309149951E-4</c:v>
                </c:pt>
                <c:pt idx="683">
                  <c:v>-2.116382572866508E-4</c:v>
                </c:pt>
                <c:pt idx="684">
                  <c:v>-5.3359999168212715E-5</c:v>
                </c:pt>
                <c:pt idx="685">
                  <c:v>-1.8904276166496981E-4</c:v>
                </c:pt>
                <c:pt idx="686">
                  <c:v>-1.5099711973710527E-5</c:v>
                </c:pt>
                <c:pt idx="687">
                  <c:v>1.9563018751631755E-4</c:v>
                </c:pt>
                <c:pt idx="688">
                  <c:v>-3.6476863797602722E-4</c:v>
                </c:pt>
                <c:pt idx="689">
                  <c:v>-4.7128542003264083E-4</c:v>
                </c:pt>
                <c:pt idx="690">
                  <c:v>-2.1978404211980658E-4</c:v>
                </c:pt>
                <c:pt idx="691">
                  <c:v>-1.4288895801634245E-4</c:v>
                </c:pt>
                <c:pt idx="692">
                  <c:v>-2.9009926568024299E-4</c:v>
                </c:pt>
                <c:pt idx="693">
                  <c:v>-2.6021133623472398E-4</c:v>
                </c:pt>
                <c:pt idx="694">
                  <c:v>-5.4478578076419967E-5</c:v>
                </c:pt>
                <c:pt idx="695">
                  <c:v>-8.9238415049690744E-4</c:v>
                </c:pt>
                <c:pt idx="696">
                  <c:v>6.2799636281080237E-4</c:v>
                </c:pt>
                <c:pt idx="697">
                  <c:v>-6.7790402002661449E-4</c:v>
                </c:pt>
                <c:pt idx="698">
                  <c:v>4.2997595592493049E-6</c:v>
                </c:pt>
                <c:pt idx="699">
                  <c:v>-1.4098586505125875E-4</c:v>
                </c:pt>
                <c:pt idx="700">
                  <c:v>-4.0500123035696245E-4</c:v>
                </c:pt>
                <c:pt idx="701">
                  <c:v>3.7431762151209414E-5</c:v>
                </c:pt>
                <c:pt idx="702">
                  <c:v>-2.047391180772385E-4</c:v>
                </c:pt>
                <c:pt idx="703">
                  <c:v>4.2504733692797728E-4</c:v>
                </c:pt>
                <c:pt idx="704">
                  <c:v>-6.7041159720581268E-5</c:v>
                </c:pt>
                <c:pt idx="705">
                  <c:v>-9.4269643832113154E-5</c:v>
                </c:pt>
                <c:pt idx="706">
                  <c:v>4.2426537222330101E-5</c:v>
                </c:pt>
                <c:pt idx="707">
                  <c:v>2.1133036488268385E-4</c:v>
                </c:pt>
                <c:pt idx="708">
                  <c:v>-5.0046890032079134E-4</c:v>
                </c:pt>
                <c:pt idx="709">
                  <c:v>-3.1805430305887283E-4</c:v>
                </c:pt>
                <c:pt idx="710">
                  <c:v>-9.2593514638817113E-4</c:v>
                </c:pt>
                <c:pt idx="711">
                  <c:v>4.1736852816225172E-4</c:v>
                </c:pt>
                <c:pt idx="712">
                  <c:v>-3.2249550670254712E-4</c:v>
                </c:pt>
                <c:pt idx="713">
                  <c:v>2.4978521208214431E-4</c:v>
                </c:pt>
                <c:pt idx="714">
                  <c:v>1.1927639012116236E-4</c:v>
                </c:pt>
                <c:pt idx="715">
                  <c:v>-3.1412299650705093E-4</c:v>
                </c:pt>
                <c:pt idx="716">
                  <c:v>4.8636278360751434E-5</c:v>
                </c:pt>
                <c:pt idx="717">
                  <c:v>-2.8112239575086781E-4</c:v>
                </c:pt>
                <c:pt idx="718">
                  <c:v>-3.262166862674235E-5</c:v>
                </c:pt>
                <c:pt idx="719">
                  <c:v>4.3818799334890241E-4</c:v>
                </c:pt>
                <c:pt idx="720">
                  <c:v>2.6677160383664861E-4</c:v>
                </c:pt>
                <c:pt idx="721">
                  <c:v>-3.0322230768746504E-4</c:v>
                </c:pt>
                <c:pt idx="722">
                  <c:v>9.2999691037944242E-5</c:v>
                </c:pt>
                <c:pt idx="723">
                  <c:v>-1.9753756716117573E-4</c:v>
                </c:pt>
                <c:pt idx="724">
                  <c:v>-2.8454309094989643E-4</c:v>
                </c:pt>
                <c:pt idx="725">
                  <c:v>-4.9243998491649743E-4</c:v>
                </c:pt>
                <c:pt idx="726">
                  <c:v>-2.6551740098035764E-4</c:v>
                </c:pt>
                <c:pt idx="727">
                  <c:v>5.9475482477938104E-4</c:v>
                </c:pt>
                <c:pt idx="728">
                  <c:v>1.1332857683611401E-4</c:v>
                </c:pt>
                <c:pt idx="729">
                  <c:v>-1.3963249117228535E-4</c:v>
                </c:pt>
                <c:pt idx="730">
                  <c:v>-2.253977242852017E-4</c:v>
                </c:pt>
                <c:pt idx="731">
                  <c:v>-9.1442980628772435E-5</c:v>
                </c:pt>
                <c:pt idx="732">
                  <c:v>-9.0460094652510843E-5</c:v>
                </c:pt>
                <c:pt idx="733">
                  <c:v>-4.1298366896437497E-5</c:v>
                </c:pt>
                <c:pt idx="734">
                  <c:v>-3.6772584557262408E-4</c:v>
                </c:pt>
                <c:pt idx="735">
                  <c:v>-3.8071221189769737E-4</c:v>
                </c:pt>
                <c:pt idx="736">
                  <c:v>4.3222241444885014E-4</c:v>
                </c:pt>
                <c:pt idx="737">
                  <c:v>-6.2497194035759679E-4</c:v>
                </c:pt>
                <c:pt idx="738">
                  <c:v>5.9151569437556337E-4</c:v>
                </c:pt>
                <c:pt idx="739">
                  <c:v>5.211598644455015E-4</c:v>
                </c:pt>
                <c:pt idx="740">
                  <c:v>-5.3443325440852127E-5</c:v>
                </c:pt>
                <c:pt idx="741">
                  <c:v>8.3307340316579191E-5</c:v>
                </c:pt>
                <c:pt idx="742">
                  <c:v>-5.0105771970518138E-5</c:v>
                </c:pt>
                <c:pt idx="743">
                  <c:v>4.9253724891331707E-4</c:v>
                </c:pt>
                <c:pt idx="744">
                  <c:v>4.1201733051512487E-6</c:v>
                </c:pt>
                <c:pt idx="745">
                  <c:v>-6.213155432061773E-4</c:v>
                </c:pt>
                <c:pt idx="746">
                  <c:v>-6.8974040131057385E-4</c:v>
                </c:pt>
                <c:pt idx="747">
                  <c:v>-7.0099931213436705E-5</c:v>
                </c:pt>
                <c:pt idx="748">
                  <c:v>-6.2869247879753312E-4</c:v>
                </c:pt>
                <c:pt idx="749">
                  <c:v>-6.1446210871457898E-4</c:v>
                </c:pt>
                <c:pt idx="750">
                  <c:v>-6.1244849413430403E-4</c:v>
                </c:pt>
                <c:pt idx="751">
                  <c:v>1.7460424487991516E-5</c:v>
                </c:pt>
                <c:pt idx="752">
                  <c:v>3.5147962110813511E-4</c:v>
                </c:pt>
                <c:pt idx="753">
                  <c:v>-5.8355997517349279E-5</c:v>
                </c:pt>
                <c:pt idx="754">
                  <c:v>6.4730017161776271E-4</c:v>
                </c:pt>
                <c:pt idx="755">
                  <c:v>2.2819543368809202E-4</c:v>
                </c:pt>
                <c:pt idx="756">
                  <c:v>2.0612523185905036E-4</c:v>
                </c:pt>
                <c:pt idx="757">
                  <c:v>4.2192754309773573E-4</c:v>
                </c:pt>
                <c:pt idx="758">
                  <c:v>4.9824124625101813E-4</c:v>
                </c:pt>
                <c:pt idx="759">
                  <c:v>-6.741316663543323E-4</c:v>
                </c:pt>
                <c:pt idx="760">
                  <c:v>-5.3595201770944851E-4</c:v>
                </c:pt>
                <c:pt idx="761">
                  <c:v>-2.9928826211775766E-4</c:v>
                </c:pt>
                <c:pt idx="762">
                  <c:v>5.5468881759854007E-5</c:v>
                </c:pt>
                <c:pt idx="763">
                  <c:v>1.5403720197247465E-4</c:v>
                </c:pt>
                <c:pt idx="764">
                  <c:v>2.0779389198660698E-4</c:v>
                </c:pt>
                <c:pt idx="765">
                  <c:v>1.4843342701070669E-4</c:v>
                </c:pt>
                <c:pt idx="766">
                  <c:v>3.6717401434274618E-4</c:v>
                </c:pt>
                <c:pt idx="767">
                  <c:v>-2.0955691014512245E-4</c:v>
                </c:pt>
                <c:pt idx="768">
                  <c:v>5.2272772244969215E-4</c:v>
                </c:pt>
                <c:pt idx="769">
                  <c:v>3.3243581097750229E-4</c:v>
                </c:pt>
                <c:pt idx="770">
                  <c:v>-3.216376582948945E-4</c:v>
                </c:pt>
                <c:pt idx="771">
                  <c:v>3.9072481793276314E-4</c:v>
                </c:pt>
                <c:pt idx="772">
                  <c:v>4.9589657797651399E-4</c:v>
                </c:pt>
                <c:pt idx="773">
                  <c:v>-4.272355963440806E-4</c:v>
                </c:pt>
                <c:pt idx="774">
                  <c:v>-7.0654704319218645E-4</c:v>
                </c:pt>
                <c:pt idx="775">
                  <c:v>-1.3663757162484192E-4</c:v>
                </c:pt>
                <c:pt idx="776">
                  <c:v>-3.4610023770822128E-4</c:v>
                </c:pt>
                <c:pt idx="777">
                  <c:v>-5.1177765116559642E-4</c:v>
                </c:pt>
                <c:pt idx="778">
                  <c:v>-7.7144935128999997E-5</c:v>
                </c:pt>
                <c:pt idx="779">
                  <c:v>4.7782408309322426E-4</c:v>
                </c:pt>
                <c:pt idx="780">
                  <c:v>9.7016700874861004E-5</c:v>
                </c:pt>
                <c:pt idx="781">
                  <c:v>-1.5141043172717532E-4</c:v>
                </c:pt>
                <c:pt idx="782">
                  <c:v>2.6071180237733857E-4</c:v>
                </c:pt>
                <c:pt idx="783">
                  <c:v>9.4038608916697988E-4</c:v>
                </c:pt>
                <c:pt idx="784">
                  <c:v>5.463833327103082E-4</c:v>
                </c:pt>
                <c:pt idx="785">
                  <c:v>1.6364973464571739E-4</c:v>
                </c:pt>
                <c:pt idx="786">
                  <c:v>5.7713796595099598E-4</c:v>
                </c:pt>
                <c:pt idx="787">
                  <c:v>-8.2038771079814214E-4</c:v>
                </c:pt>
                <c:pt idx="788">
                  <c:v>-2.669806637776651E-4</c:v>
                </c:pt>
                <c:pt idx="789">
                  <c:v>-3.328889291811316E-4</c:v>
                </c:pt>
                <c:pt idx="790">
                  <c:v>-2.1190955699453066E-4</c:v>
                </c:pt>
                <c:pt idx="791">
                  <c:v>-1.6784083505306003E-5</c:v>
                </c:pt>
                <c:pt idx="792">
                  <c:v>1.6919782595182156E-4</c:v>
                </c:pt>
                <c:pt idx="793">
                  <c:v>1.2039377656529584E-4</c:v>
                </c:pt>
                <c:pt idx="794">
                  <c:v>-6.3913575395634076E-5</c:v>
                </c:pt>
                <c:pt idx="795">
                  <c:v>1.8724714679326581E-4</c:v>
                </c:pt>
                <c:pt idx="796">
                  <c:v>-3.6789082401834857E-4</c:v>
                </c:pt>
                <c:pt idx="797">
                  <c:v>-1.3370407957366326E-4</c:v>
                </c:pt>
                <c:pt idx="798">
                  <c:v>3.0513896766113795E-4</c:v>
                </c:pt>
                <c:pt idx="799">
                  <c:v>1.6529557542653946E-4</c:v>
                </c:pt>
                <c:pt idx="800">
                  <c:v>-4.7455533242690467E-4</c:v>
                </c:pt>
                <c:pt idx="801">
                  <c:v>1.7798947247252032E-4</c:v>
                </c:pt>
                <c:pt idx="802">
                  <c:v>5.0172596280595168E-4</c:v>
                </c:pt>
                <c:pt idx="803">
                  <c:v>-3.3872700988972449E-4</c:v>
                </c:pt>
                <c:pt idx="804">
                  <c:v>5.1751993120417893E-5</c:v>
                </c:pt>
                <c:pt idx="805">
                  <c:v>2.8852763040923031E-4</c:v>
                </c:pt>
                <c:pt idx="806">
                  <c:v>5.292501444922311E-4</c:v>
                </c:pt>
                <c:pt idx="807">
                  <c:v>9.3835270260629602E-5</c:v>
                </c:pt>
                <c:pt idx="808">
                  <c:v>-3.1478277286693635E-4</c:v>
                </c:pt>
                <c:pt idx="809">
                  <c:v>4.3345134010701997E-4</c:v>
                </c:pt>
                <c:pt idx="810">
                  <c:v>1.9909934487716678E-4</c:v>
                </c:pt>
                <c:pt idx="811">
                  <c:v>3.7465158208693745E-4</c:v>
                </c:pt>
                <c:pt idx="812">
                  <c:v>4.3231334465694879E-4</c:v>
                </c:pt>
                <c:pt idx="813">
                  <c:v>-1.2472199860003762E-4</c:v>
                </c:pt>
                <c:pt idx="814">
                  <c:v>-1.8891919996537148E-4</c:v>
                </c:pt>
                <c:pt idx="815">
                  <c:v>-8.2471314274726587E-6</c:v>
                </c:pt>
                <c:pt idx="816">
                  <c:v>3.5385245967665876E-4</c:v>
                </c:pt>
                <c:pt idx="817">
                  <c:v>1.4254960227694829E-4</c:v>
                </c:pt>
                <c:pt idx="818">
                  <c:v>-1.6082378825850105E-4</c:v>
                </c:pt>
                <c:pt idx="819">
                  <c:v>-1.9863541991519854E-4</c:v>
                </c:pt>
                <c:pt idx="820">
                  <c:v>-2.7875592593306009E-4</c:v>
                </c:pt>
                <c:pt idx="821">
                  <c:v>5.0865548058357706E-4</c:v>
                </c:pt>
                <c:pt idx="822">
                  <c:v>-1.0832130639814959E-5</c:v>
                </c:pt>
                <c:pt idx="823">
                  <c:v>5.5696362203507595E-4</c:v>
                </c:pt>
                <c:pt idx="824">
                  <c:v>-2.2074713604084816E-4</c:v>
                </c:pt>
                <c:pt idx="825">
                  <c:v>1.0802676776869176E-5</c:v>
                </c:pt>
                <c:pt idx="826">
                  <c:v>5.4501409382303107E-4</c:v>
                </c:pt>
                <c:pt idx="827">
                  <c:v>3.2080884113286943E-6</c:v>
                </c:pt>
                <c:pt idx="828">
                  <c:v>3.253505098399692E-4</c:v>
                </c:pt>
                <c:pt idx="829">
                  <c:v>4.0037239534789257E-4</c:v>
                </c:pt>
                <c:pt idx="830">
                  <c:v>2.2922287586091541E-4</c:v>
                </c:pt>
                <c:pt idx="831">
                  <c:v>-3.7457372929719018E-5</c:v>
                </c:pt>
                <c:pt idx="832">
                  <c:v>6.9849038605651278E-4</c:v>
                </c:pt>
                <c:pt idx="833">
                  <c:v>-2.3804630419357062E-4</c:v>
                </c:pt>
                <c:pt idx="834">
                  <c:v>1.2388466736191469E-4</c:v>
                </c:pt>
                <c:pt idx="835">
                  <c:v>9.4899317855018416E-6</c:v>
                </c:pt>
                <c:pt idx="836">
                  <c:v>1.2079791860845829E-4</c:v>
                </c:pt>
                <c:pt idx="837">
                  <c:v>3.6290151330872468E-4</c:v>
                </c:pt>
                <c:pt idx="838">
                  <c:v>4.083690828870848E-5</c:v>
                </c:pt>
                <c:pt idx="839">
                  <c:v>-2.1342365218176976E-4</c:v>
                </c:pt>
                <c:pt idx="840">
                  <c:v>1.7596801521021111E-4</c:v>
                </c:pt>
                <c:pt idx="841">
                  <c:v>1.7166534445976097E-4</c:v>
                </c:pt>
                <c:pt idx="842">
                  <c:v>5.6275420599125037E-4</c:v>
                </c:pt>
                <c:pt idx="843">
                  <c:v>-3.0787177429348006E-4</c:v>
                </c:pt>
                <c:pt idx="844">
                  <c:v>3.3491753344833206E-4</c:v>
                </c:pt>
                <c:pt idx="845">
                  <c:v>-3.7163807135219063E-4</c:v>
                </c:pt>
                <c:pt idx="846">
                  <c:v>-8.540982502295762E-5</c:v>
                </c:pt>
                <c:pt idx="847">
                  <c:v>4.0080850637161424E-4</c:v>
                </c:pt>
                <c:pt idx="848">
                  <c:v>1.1687821555761223E-5</c:v>
                </c:pt>
                <c:pt idx="849">
                  <c:v>5.4043248243373779E-4</c:v>
                </c:pt>
                <c:pt idx="850">
                  <c:v>-8.741211380503592E-5</c:v>
                </c:pt>
                <c:pt idx="851">
                  <c:v>-4.0240460102854993E-5</c:v>
                </c:pt>
                <c:pt idx="852">
                  <c:v>5.6388572482160523E-5</c:v>
                </c:pt>
                <c:pt idx="853">
                  <c:v>-2.5324768064227714E-4</c:v>
                </c:pt>
                <c:pt idx="854">
                  <c:v>-1.086298772617325E-3</c:v>
                </c:pt>
                <c:pt idx="855">
                  <c:v>3.4011665425679222E-5</c:v>
                </c:pt>
                <c:pt idx="856">
                  <c:v>-2.1108533964174587E-4</c:v>
                </c:pt>
                <c:pt idx="857">
                  <c:v>7.7561475242401867E-5</c:v>
                </c:pt>
                <c:pt idx="858">
                  <c:v>-1.9438251598940322E-4</c:v>
                </c:pt>
                <c:pt idx="859">
                  <c:v>3.8326769357801383E-5</c:v>
                </c:pt>
                <c:pt idx="860">
                  <c:v>1.250071369064993E-4</c:v>
                </c:pt>
                <c:pt idx="861">
                  <c:v>-4.3242387331212187E-4</c:v>
                </c:pt>
                <c:pt idx="862">
                  <c:v>-1.8225860399435836E-4</c:v>
                </c:pt>
                <c:pt idx="863">
                  <c:v>-4.4210404617427954E-4</c:v>
                </c:pt>
                <c:pt idx="864">
                  <c:v>-7.6147152441233864E-4</c:v>
                </c:pt>
                <c:pt idx="865">
                  <c:v>6.427931337023296E-4</c:v>
                </c:pt>
                <c:pt idx="866">
                  <c:v>-4.0581309847536831E-4</c:v>
                </c:pt>
                <c:pt idx="867">
                  <c:v>2.671220530030438E-4</c:v>
                </c:pt>
                <c:pt idx="868">
                  <c:v>3.0494830439331631E-4</c:v>
                </c:pt>
                <c:pt idx="869">
                  <c:v>1.1394130420961457E-4</c:v>
                </c:pt>
                <c:pt idx="870">
                  <c:v>-1.8975767614991073E-4</c:v>
                </c:pt>
                <c:pt idx="871">
                  <c:v>4.2803789795460589E-4</c:v>
                </c:pt>
                <c:pt idx="872">
                  <c:v>9.1595393924855198E-5</c:v>
                </c:pt>
                <c:pt idx="873">
                  <c:v>-8.4057773946317622E-5</c:v>
                </c:pt>
                <c:pt idx="874">
                  <c:v>-1.2643307351829729E-4</c:v>
                </c:pt>
                <c:pt idx="875">
                  <c:v>-1.8990959958402995E-4</c:v>
                </c:pt>
                <c:pt idx="876">
                  <c:v>1.031648993420109E-4</c:v>
                </c:pt>
                <c:pt idx="877">
                  <c:v>-4.9871183027640925E-4</c:v>
                </c:pt>
                <c:pt idx="878">
                  <c:v>4.7187251710711545E-4</c:v>
                </c:pt>
                <c:pt idx="879">
                  <c:v>5.0253439164080443E-4</c:v>
                </c:pt>
                <c:pt idx="880">
                  <c:v>5.7775107332307942E-4</c:v>
                </c:pt>
                <c:pt idx="881">
                  <c:v>8.2223554089518773E-6</c:v>
                </c:pt>
                <c:pt idx="882">
                  <c:v>1.8971824475781031E-4</c:v>
                </c:pt>
                <c:pt idx="883">
                  <c:v>2.0950181540381555E-4</c:v>
                </c:pt>
                <c:pt idx="884">
                  <c:v>-8.7612508795704218E-5</c:v>
                </c:pt>
                <c:pt idx="885">
                  <c:v>7.4801833953638049E-4</c:v>
                </c:pt>
                <c:pt idx="886">
                  <c:v>6.6547958242395679E-4</c:v>
                </c:pt>
                <c:pt idx="887">
                  <c:v>2.9914379934089169E-4</c:v>
                </c:pt>
                <c:pt idx="888">
                  <c:v>2.6789255510664391E-4</c:v>
                </c:pt>
                <c:pt idx="889">
                  <c:v>-2.0952104468852757E-4</c:v>
                </c:pt>
                <c:pt idx="890">
                  <c:v>2.4057751848251351E-5</c:v>
                </c:pt>
                <c:pt idx="891">
                  <c:v>6.0851806935485579E-4</c:v>
                </c:pt>
                <c:pt idx="892">
                  <c:v>-1.8018201872995306E-4</c:v>
                </c:pt>
                <c:pt idx="893">
                  <c:v>-2.2365386617983126E-4</c:v>
                </c:pt>
                <c:pt idx="894">
                  <c:v>2.8196741033791474E-4</c:v>
                </c:pt>
                <c:pt idx="895">
                  <c:v>3.7083694962071332E-4</c:v>
                </c:pt>
                <c:pt idx="896">
                  <c:v>-2.7055526834174511E-4</c:v>
                </c:pt>
                <c:pt idx="897">
                  <c:v>-1.5306212421690961E-5</c:v>
                </c:pt>
                <c:pt idx="898">
                  <c:v>5.9479502830492824E-4</c:v>
                </c:pt>
                <c:pt idx="899">
                  <c:v>-2.0346836882597405E-4</c:v>
                </c:pt>
                <c:pt idx="900">
                  <c:v>3.5719012438230997E-4</c:v>
                </c:pt>
                <c:pt idx="901">
                  <c:v>1.9232202324910677E-4</c:v>
                </c:pt>
                <c:pt idx="902">
                  <c:v>-2.2297220777980778E-4</c:v>
                </c:pt>
                <c:pt idx="903">
                  <c:v>-2.4255690017388218E-4</c:v>
                </c:pt>
                <c:pt idx="904">
                  <c:v>-8.8232526129538108E-5</c:v>
                </c:pt>
                <c:pt idx="905">
                  <c:v>1.1070194621322887E-4</c:v>
                </c:pt>
                <c:pt idx="906">
                  <c:v>1.8649084236967083E-5</c:v>
                </c:pt>
                <c:pt idx="907">
                  <c:v>-3.3912086512198253E-5</c:v>
                </c:pt>
                <c:pt idx="908">
                  <c:v>4.2568357095914086E-4</c:v>
                </c:pt>
                <c:pt idx="909">
                  <c:v>4.3640495191937014E-4</c:v>
                </c:pt>
                <c:pt idx="910">
                  <c:v>1.1450317808176713E-4</c:v>
                </c:pt>
                <c:pt idx="911">
                  <c:v>2.2114723026186333E-4</c:v>
                </c:pt>
                <c:pt idx="912">
                  <c:v>-1.8385591564968695E-4</c:v>
                </c:pt>
                <c:pt idx="913">
                  <c:v>3.057855980529786E-4</c:v>
                </c:pt>
                <c:pt idx="914">
                  <c:v>6.1262085259514357E-5</c:v>
                </c:pt>
                <c:pt idx="915">
                  <c:v>-1.2181142077973269E-4</c:v>
                </c:pt>
                <c:pt idx="916">
                  <c:v>-1.7933209434537297E-4</c:v>
                </c:pt>
                <c:pt idx="917">
                  <c:v>-3.0922271507634985E-5</c:v>
                </c:pt>
                <c:pt idx="918">
                  <c:v>-9.5942881285343418E-5</c:v>
                </c:pt>
                <c:pt idx="919">
                  <c:v>8.2020551920429551E-4</c:v>
                </c:pt>
                <c:pt idx="920">
                  <c:v>-1.6084608661137733E-4</c:v>
                </c:pt>
                <c:pt idx="921">
                  <c:v>-2.0333022402586954E-4</c:v>
                </c:pt>
                <c:pt idx="922">
                  <c:v>-4.8051595885985831E-4</c:v>
                </c:pt>
                <c:pt idx="923">
                  <c:v>3.9105786805578279E-4</c:v>
                </c:pt>
                <c:pt idx="924">
                  <c:v>-4.1236344029123984E-4</c:v>
                </c:pt>
                <c:pt idx="925">
                  <c:v>2.0014772937872963E-4</c:v>
                </c:pt>
                <c:pt idx="926">
                  <c:v>1.3147709867627203E-4</c:v>
                </c:pt>
                <c:pt idx="927">
                  <c:v>-9.4240055516263047E-5</c:v>
                </c:pt>
                <c:pt idx="928">
                  <c:v>1.8229496204039071E-4</c:v>
                </c:pt>
                <c:pt idx="929">
                  <c:v>6.2572083562891217E-4</c:v>
                </c:pt>
                <c:pt idx="930">
                  <c:v>-3.6738504410375669E-4</c:v>
                </c:pt>
                <c:pt idx="931">
                  <c:v>1.7062273173790513E-4</c:v>
                </c:pt>
                <c:pt idx="932">
                  <c:v>1.7949747162978173E-4</c:v>
                </c:pt>
                <c:pt idx="933">
                  <c:v>1.4369318372531458E-4</c:v>
                </c:pt>
                <c:pt idx="934">
                  <c:v>3.8427170951907673E-4</c:v>
                </c:pt>
                <c:pt idx="935">
                  <c:v>-3.3062820061148816E-4</c:v>
                </c:pt>
                <c:pt idx="936">
                  <c:v>7.9491514050136064E-5</c:v>
                </c:pt>
                <c:pt idx="937">
                  <c:v>8.0488540570132879E-7</c:v>
                </c:pt>
                <c:pt idx="938">
                  <c:v>-2.4125621605085155E-4</c:v>
                </c:pt>
                <c:pt idx="939">
                  <c:v>-3.2069411549897914E-4</c:v>
                </c:pt>
                <c:pt idx="940">
                  <c:v>4.6158824521579377E-4</c:v>
                </c:pt>
                <c:pt idx="941">
                  <c:v>-3.9147260570115261E-4</c:v>
                </c:pt>
                <c:pt idx="942">
                  <c:v>-1.8814296299628238E-4</c:v>
                </c:pt>
                <c:pt idx="943">
                  <c:v>-5.19531298255316E-5</c:v>
                </c:pt>
                <c:pt idx="944">
                  <c:v>-1.7398119622561512E-5</c:v>
                </c:pt>
                <c:pt idx="945">
                  <c:v>3.1565106244412319E-4</c:v>
                </c:pt>
                <c:pt idx="946">
                  <c:v>-5.0054751945702726E-4</c:v>
                </c:pt>
                <c:pt idx="947">
                  <c:v>3.0646279911676058E-4</c:v>
                </c:pt>
                <c:pt idx="948">
                  <c:v>2.9589824261242083E-5</c:v>
                </c:pt>
                <c:pt idx="949">
                  <c:v>3.3961422460774041E-4</c:v>
                </c:pt>
                <c:pt idx="950">
                  <c:v>-3.2476049550018461E-4</c:v>
                </c:pt>
                <c:pt idx="951">
                  <c:v>3.1532166869927935E-4</c:v>
                </c:pt>
                <c:pt idx="952">
                  <c:v>-2.0496696531839857E-4</c:v>
                </c:pt>
                <c:pt idx="953">
                  <c:v>9.6066782020116345E-5</c:v>
                </c:pt>
                <c:pt idx="954">
                  <c:v>3.6760128312584396E-4</c:v>
                </c:pt>
                <c:pt idx="955">
                  <c:v>-2.3535038351793413E-4</c:v>
                </c:pt>
                <c:pt idx="956">
                  <c:v>-1.7270296519344646E-4</c:v>
                </c:pt>
                <c:pt idx="957">
                  <c:v>1.360416015535234E-4</c:v>
                </c:pt>
                <c:pt idx="958">
                  <c:v>-3.7318979338831751E-4</c:v>
                </c:pt>
                <c:pt idx="959">
                  <c:v>2.5383165516279591E-4</c:v>
                </c:pt>
                <c:pt idx="960">
                  <c:v>-1.8270995669148981E-4</c:v>
                </c:pt>
                <c:pt idx="961">
                  <c:v>2.3095909379224525E-4</c:v>
                </c:pt>
                <c:pt idx="962">
                  <c:v>-2.6037555409005018E-4</c:v>
                </c:pt>
                <c:pt idx="963">
                  <c:v>2.9112979126671534E-5</c:v>
                </c:pt>
                <c:pt idx="964">
                  <c:v>-3.2373051945066498E-4</c:v>
                </c:pt>
                <c:pt idx="965">
                  <c:v>4.6281692522126192E-4</c:v>
                </c:pt>
                <c:pt idx="966">
                  <c:v>-1.8431538129411629E-4</c:v>
                </c:pt>
                <c:pt idx="967">
                  <c:v>3.0112294510653879E-4</c:v>
                </c:pt>
                <c:pt idx="968">
                  <c:v>2.4803807522370564E-4</c:v>
                </c:pt>
                <c:pt idx="969">
                  <c:v>2.3629191749408086E-4</c:v>
                </c:pt>
                <c:pt idx="970">
                  <c:v>-2.4514558252402825E-4</c:v>
                </c:pt>
                <c:pt idx="971">
                  <c:v>-3.7181058768918549E-4</c:v>
                </c:pt>
                <c:pt idx="972">
                  <c:v>-3.3303348771869615E-4</c:v>
                </c:pt>
                <c:pt idx="973">
                  <c:v>-1.2999712398268335E-4</c:v>
                </c:pt>
                <c:pt idx="974">
                  <c:v>6.9367662620482785E-4</c:v>
                </c:pt>
                <c:pt idx="975">
                  <c:v>-1.0407313083568081E-4</c:v>
                </c:pt>
                <c:pt idx="976">
                  <c:v>7.0421726429727909E-4</c:v>
                </c:pt>
                <c:pt idx="977">
                  <c:v>5.9783556249416367E-4</c:v>
                </c:pt>
                <c:pt idx="978">
                  <c:v>3.019499436613101E-4</c:v>
                </c:pt>
                <c:pt idx="979">
                  <c:v>6.3607297286783751E-4</c:v>
                </c:pt>
                <c:pt idx="980">
                  <c:v>-5.4916881195703389E-5</c:v>
                </c:pt>
                <c:pt idx="981">
                  <c:v>-1.1231715755480837E-4</c:v>
                </c:pt>
                <c:pt idx="982">
                  <c:v>-1.0643062105562594E-4</c:v>
                </c:pt>
                <c:pt idx="983">
                  <c:v>4.3507959434435514E-4</c:v>
                </c:pt>
                <c:pt idx="984">
                  <c:v>-5.1976737748722006E-4</c:v>
                </c:pt>
                <c:pt idx="985">
                  <c:v>3.2472208073832114E-4</c:v>
                </c:pt>
                <c:pt idx="986">
                  <c:v>2.9256465965469831E-4</c:v>
                </c:pt>
                <c:pt idx="987">
                  <c:v>3.1139037651040097E-4</c:v>
                </c:pt>
                <c:pt idx="988">
                  <c:v>-1.957106218394528E-4</c:v>
                </c:pt>
                <c:pt idx="989">
                  <c:v>2.8671895587546828E-4</c:v>
                </c:pt>
                <c:pt idx="990">
                  <c:v>-6.8034072737074698E-5</c:v>
                </c:pt>
                <c:pt idx="991">
                  <c:v>7.123243479811327E-4</c:v>
                </c:pt>
                <c:pt idx="992">
                  <c:v>-1.4361712956315726E-4</c:v>
                </c:pt>
                <c:pt idx="993">
                  <c:v>6.0307265732856426E-4</c:v>
                </c:pt>
                <c:pt idx="994">
                  <c:v>-3.3211332941831254E-4</c:v>
                </c:pt>
                <c:pt idx="995">
                  <c:v>-2.3260871219279823E-4</c:v>
                </c:pt>
                <c:pt idx="996">
                  <c:v>8.9075842964093206E-5</c:v>
                </c:pt>
                <c:pt idx="997">
                  <c:v>1.8915458101232839E-4</c:v>
                </c:pt>
              </c:numCache>
            </c:numRef>
          </c:xVal>
          <c:yVal>
            <c:numRef>
              <c:f>DATA!$AH$3:$AH$1000</c:f>
              <c:numCache>
                <c:formatCode>0.00%</c:formatCode>
                <c:ptCount val="998"/>
                <c:pt idx="0">
                  <c:v>1.1049742458819343E-3</c:v>
                </c:pt>
                <c:pt idx="1">
                  <c:v>3.8079915807844147E-4</c:v>
                </c:pt>
                <c:pt idx="2">
                  <c:v>8.0367524592996116E-5</c:v>
                </c:pt>
                <c:pt idx="3">
                  <c:v>-5.8358549921823702E-4</c:v>
                </c:pt>
                <c:pt idx="4">
                  <c:v>-1.1670900886578946E-4</c:v>
                </c:pt>
                <c:pt idx="5">
                  <c:v>-2.2753315683725879E-4</c:v>
                </c:pt>
                <c:pt idx="6">
                  <c:v>-1.7957485237997763E-4</c:v>
                </c:pt>
                <c:pt idx="7">
                  <c:v>-3.5303616292944032E-4</c:v>
                </c:pt>
                <c:pt idx="8">
                  <c:v>-1.6117340028081245E-4</c:v>
                </c:pt>
                <c:pt idx="9">
                  <c:v>5.5447711163118558E-4</c:v>
                </c:pt>
                <c:pt idx="10">
                  <c:v>5.6402690444340019E-4</c:v>
                </c:pt>
                <c:pt idx="11">
                  <c:v>3.5108459058694964E-5</c:v>
                </c:pt>
                <c:pt idx="12">
                  <c:v>1.9706635880851171E-4</c:v>
                </c:pt>
                <c:pt idx="13">
                  <c:v>-5.5906535436411658E-4</c:v>
                </c:pt>
                <c:pt idx="14">
                  <c:v>-3.6685972713026044E-4</c:v>
                </c:pt>
                <c:pt idx="15">
                  <c:v>6.2270469481118121E-4</c:v>
                </c:pt>
                <c:pt idx="16">
                  <c:v>-3.8605767998540255E-4</c:v>
                </c:pt>
                <c:pt idx="17">
                  <c:v>3.6685998531469151E-5</c:v>
                </c:pt>
                <c:pt idx="18">
                  <c:v>2.4949384985593063E-4</c:v>
                </c:pt>
                <c:pt idx="19">
                  <c:v>1.3983515463171021E-4</c:v>
                </c:pt>
                <c:pt idx="20">
                  <c:v>-5.5862845007749473E-4</c:v>
                </c:pt>
                <c:pt idx="21">
                  <c:v>-3.316898087666071E-4</c:v>
                </c:pt>
                <c:pt idx="22">
                  <c:v>-6.8131226131707898E-5</c:v>
                </c:pt>
                <c:pt idx="23">
                  <c:v>1.7774586760418998E-4</c:v>
                </c:pt>
                <c:pt idx="24">
                  <c:v>2.7069639539392698E-4</c:v>
                </c:pt>
                <c:pt idx="25">
                  <c:v>-6.9231775785052546E-5</c:v>
                </c:pt>
                <c:pt idx="26">
                  <c:v>-4.2699711038336105E-5</c:v>
                </c:pt>
                <c:pt idx="27">
                  <c:v>-2.0026282333243184E-4</c:v>
                </c:pt>
                <c:pt idx="28">
                  <c:v>-6.0479007100112351E-4</c:v>
                </c:pt>
                <c:pt idx="29">
                  <c:v>3.7317342084559554E-4</c:v>
                </c:pt>
                <c:pt idx="30">
                  <c:v>6.1523287644485371E-4</c:v>
                </c:pt>
                <c:pt idx="31">
                  <c:v>8.4553319732630112E-4</c:v>
                </c:pt>
                <c:pt idx="32">
                  <c:v>-2.0525144986640456E-4</c:v>
                </c:pt>
                <c:pt idx="33">
                  <c:v>-5.4226783239733263E-4</c:v>
                </c:pt>
                <c:pt idx="34">
                  <c:v>-7.2702869834931642E-4</c:v>
                </c:pt>
                <c:pt idx="35">
                  <c:v>8.3007728531205103E-4</c:v>
                </c:pt>
                <c:pt idx="36">
                  <c:v>6.0227646173740136E-4</c:v>
                </c:pt>
                <c:pt idx="37">
                  <c:v>4.2002323280820885E-4</c:v>
                </c:pt>
                <c:pt idx="38">
                  <c:v>-6.5987720104369743E-4</c:v>
                </c:pt>
                <c:pt idx="39">
                  <c:v>-5.5025513509253735E-4</c:v>
                </c:pt>
                <c:pt idx="40">
                  <c:v>-5.1195614545761616E-4</c:v>
                </c:pt>
                <c:pt idx="41">
                  <c:v>-6.4015451907496388E-4</c:v>
                </c:pt>
                <c:pt idx="42">
                  <c:v>-8.4746608991337886E-5</c:v>
                </c:pt>
                <c:pt idx="43">
                  <c:v>2.1870483960400463E-4</c:v>
                </c:pt>
                <c:pt idx="44">
                  <c:v>-2.9871846560147416E-4</c:v>
                </c:pt>
                <c:pt idx="45">
                  <c:v>-2.6031915240475419E-4</c:v>
                </c:pt>
                <c:pt idx="46">
                  <c:v>1.4359465933010753E-4</c:v>
                </c:pt>
                <c:pt idx="47">
                  <c:v>-7.10262033248272E-4</c:v>
                </c:pt>
                <c:pt idx="48">
                  <c:v>-5.0069967248234201E-4</c:v>
                </c:pt>
                <c:pt idx="49">
                  <c:v>-3.5988648916351678E-4</c:v>
                </c:pt>
                <c:pt idx="50">
                  <c:v>-9.4057539112029894E-4</c:v>
                </c:pt>
                <c:pt idx="51">
                  <c:v>-4.7690132497568835E-4</c:v>
                </c:pt>
                <c:pt idx="52">
                  <c:v>4.2098497904311942E-4</c:v>
                </c:pt>
                <c:pt idx="53">
                  <c:v>-1.7284845413540791E-5</c:v>
                </c:pt>
                <c:pt idx="54">
                  <c:v>9.0128199857802049E-4</c:v>
                </c:pt>
                <c:pt idx="55">
                  <c:v>-1.1325655244141035E-4</c:v>
                </c:pt>
                <c:pt idx="56">
                  <c:v>7.7303876807972055E-5</c:v>
                </c:pt>
                <c:pt idx="57">
                  <c:v>2.218601669032123E-4</c:v>
                </c:pt>
                <c:pt idx="58">
                  <c:v>-7.1640572366495775E-4</c:v>
                </c:pt>
                <c:pt idx="59">
                  <c:v>2.9109248247986256E-5</c:v>
                </c:pt>
                <c:pt idx="60">
                  <c:v>1.0749510184716547E-3</c:v>
                </c:pt>
                <c:pt idx="61">
                  <c:v>-2.9829649937515991E-4</c:v>
                </c:pt>
                <c:pt idx="62">
                  <c:v>4.7981606433260314E-4</c:v>
                </c:pt>
                <c:pt idx="63">
                  <c:v>-5.7866436870502799E-4</c:v>
                </c:pt>
                <c:pt idx="64">
                  <c:v>-1.1566039344951478E-4</c:v>
                </c:pt>
                <c:pt idx="65">
                  <c:v>4.313282351865783E-4</c:v>
                </c:pt>
                <c:pt idx="66">
                  <c:v>-1.1633764336815708E-4</c:v>
                </c:pt>
                <c:pt idx="67">
                  <c:v>-1.6702942277719044E-4</c:v>
                </c:pt>
                <c:pt idx="68">
                  <c:v>-4.1326816004657636E-4</c:v>
                </c:pt>
                <c:pt idx="69">
                  <c:v>4.2592963258119448E-4</c:v>
                </c:pt>
                <c:pt idx="70">
                  <c:v>3.2877586871793049E-6</c:v>
                </c:pt>
                <c:pt idx="71">
                  <c:v>8.3475884354136762E-4</c:v>
                </c:pt>
                <c:pt idx="72">
                  <c:v>9.4576624199043562E-4</c:v>
                </c:pt>
                <c:pt idx="73">
                  <c:v>1.3001439313049449E-4</c:v>
                </c:pt>
                <c:pt idx="74">
                  <c:v>1.5630526575548587E-4</c:v>
                </c:pt>
                <c:pt idx="75">
                  <c:v>-6.2156433727704189E-5</c:v>
                </c:pt>
                <c:pt idx="76">
                  <c:v>-6.1623520160773162E-4</c:v>
                </c:pt>
                <c:pt idx="77">
                  <c:v>-2.1920001884770325E-4</c:v>
                </c:pt>
                <c:pt idx="78">
                  <c:v>-1.7345512942730321E-5</c:v>
                </c:pt>
                <c:pt idx="79">
                  <c:v>-3.3574230099465144E-4</c:v>
                </c:pt>
                <c:pt idx="80">
                  <c:v>-8.8765637739156495E-5</c:v>
                </c:pt>
                <c:pt idx="81">
                  <c:v>-3.8111089850229816E-4</c:v>
                </c:pt>
                <c:pt idx="82">
                  <c:v>-2.6176778882892656E-5</c:v>
                </c:pt>
                <c:pt idx="83">
                  <c:v>4.0274599294732872E-4</c:v>
                </c:pt>
                <c:pt idx="84">
                  <c:v>-1.3250393953472155E-4</c:v>
                </c:pt>
                <c:pt idx="85">
                  <c:v>3.4010616331295313E-4</c:v>
                </c:pt>
                <c:pt idx="86">
                  <c:v>-5.4095057335783138E-4</c:v>
                </c:pt>
                <c:pt idx="87">
                  <c:v>-9.4458417052457845E-4</c:v>
                </c:pt>
                <c:pt idx="88">
                  <c:v>-5.6001330469333256E-5</c:v>
                </c:pt>
                <c:pt idx="89">
                  <c:v>-2.1074079017478799E-4</c:v>
                </c:pt>
                <c:pt idx="90">
                  <c:v>-2.3021205251161456E-4</c:v>
                </c:pt>
                <c:pt idx="91">
                  <c:v>-5.9659100450529972E-4</c:v>
                </c:pt>
                <c:pt idx="92">
                  <c:v>-5.6730700144298762E-4</c:v>
                </c:pt>
                <c:pt idx="93">
                  <c:v>-7.8625054304240589E-5</c:v>
                </c:pt>
                <c:pt idx="94">
                  <c:v>9.2334168204739452E-4</c:v>
                </c:pt>
                <c:pt idx="95">
                  <c:v>1.0958086347710632E-3</c:v>
                </c:pt>
                <c:pt idx="96">
                  <c:v>-2.9637610950682494E-4</c:v>
                </c:pt>
                <c:pt idx="97">
                  <c:v>-6.8430245942547341E-5</c:v>
                </c:pt>
                <c:pt idx="98">
                  <c:v>-1.2233215143192793E-4</c:v>
                </c:pt>
                <c:pt idx="99">
                  <c:v>-7.0645785535162434E-4</c:v>
                </c:pt>
                <c:pt idx="100">
                  <c:v>3.2881575651499067E-4</c:v>
                </c:pt>
                <c:pt idx="101">
                  <c:v>-6.8181124722756605E-4</c:v>
                </c:pt>
                <c:pt idx="102">
                  <c:v>-3.0723762685433951E-4</c:v>
                </c:pt>
                <c:pt idx="103">
                  <c:v>8.657859809996913E-4</c:v>
                </c:pt>
                <c:pt idx="104">
                  <c:v>-4.4832580884193537E-5</c:v>
                </c:pt>
                <c:pt idx="105">
                  <c:v>-2.3437981458949609E-4</c:v>
                </c:pt>
                <c:pt idx="106">
                  <c:v>-6.6230532648905809E-4</c:v>
                </c:pt>
                <c:pt idx="107">
                  <c:v>2.488275017691389E-4</c:v>
                </c:pt>
                <c:pt idx="108">
                  <c:v>2.4856109941117803E-4</c:v>
                </c:pt>
                <c:pt idx="109">
                  <c:v>-2.0152471366686293E-4</c:v>
                </c:pt>
                <c:pt idx="110">
                  <c:v>1.0034393165760077E-3</c:v>
                </c:pt>
                <c:pt idx="111">
                  <c:v>7.7660697872913007E-4</c:v>
                </c:pt>
                <c:pt idx="112">
                  <c:v>-7.5279348859809685E-4</c:v>
                </c:pt>
                <c:pt idx="113">
                  <c:v>1.6941227462194806E-4</c:v>
                </c:pt>
                <c:pt idx="114">
                  <c:v>8.1504456656322644E-5</c:v>
                </c:pt>
                <c:pt idx="115">
                  <c:v>1.6861386285551484E-4</c:v>
                </c:pt>
                <c:pt idx="116">
                  <c:v>-4.8264274488141645E-5</c:v>
                </c:pt>
                <c:pt idx="117">
                  <c:v>-8.5981252307096182E-4</c:v>
                </c:pt>
                <c:pt idx="118">
                  <c:v>7.2100311754570798E-4</c:v>
                </c:pt>
                <c:pt idx="119">
                  <c:v>1.446431582321851E-4</c:v>
                </c:pt>
                <c:pt idx="120">
                  <c:v>-1.5548885231727217E-4</c:v>
                </c:pt>
                <c:pt idx="121">
                  <c:v>9.1847710015334808E-4</c:v>
                </c:pt>
                <c:pt idx="122">
                  <c:v>9.3809556672591401E-5</c:v>
                </c:pt>
                <c:pt idx="123">
                  <c:v>-4.7654172746971609E-5</c:v>
                </c:pt>
                <c:pt idx="124">
                  <c:v>-1.4654646293162192E-3</c:v>
                </c:pt>
                <c:pt idx="125">
                  <c:v>-3.6264441503487205E-4</c:v>
                </c:pt>
                <c:pt idx="126">
                  <c:v>-3.6009145605663971E-4</c:v>
                </c:pt>
                <c:pt idx="127">
                  <c:v>8.9364397772415517E-4</c:v>
                </c:pt>
                <c:pt idx="128">
                  <c:v>3.4726682819469402E-4</c:v>
                </c:pt>
                <c:pt idx="129">
                  <c:v>3.49284248968545E-4</c:v>
                </c:pt>
                <c:pt idx="130">
                  <c:v>7.8274160478279079E-4</c:v>
                </c:pt>
                <c:pt idx="131">
                  <c:v>6.9961678668817306E-4</c:v>
                </c:pt>
                <c:pt idx="132">
                  <c:v>-2.0698958239682646E-4</c:v>
                </c:pt>
                <c:pt idx="133">
                  <c:v>-7.9189619816843072E-4</c:v>
                </c:pt>
                <c:pt idx="134">
                  <c:v>-5.2529377793847267E-4</c:v>
                </c:pt>
                <c:pt idx="135">
                  <c:v>-2.278800719849303E-4</c:v>
                </c:pt>
                <c:pt idx="136">
                  <c:v>9.1108241550302854E-5</c:v>
                </c:pt>
                <c:pt idx="137">
                  <c:v>-8.2618430267418464E-4</c:v>
                </c:pt>
                <c:pt idx="138">
                  <c:v>-2.9615449311610743E-4</c:v>
                </c:pt>
                <c:pt idx="139">
                  <c:v>5.4624080020797803E-4</c:v>
                </c:pt>
                <c:pt idx="140">
                  <c:v>1.1472003610745964E-5</c:v>
                </c:pt>
                <c:pt idx="141">
                  <c:v>-5.7718668873676131E-5</c:v>
                </c:pt>
                <c:pt idx="142">
                  <c:v>1.8050753957204885E-4</c:v>
                </c:pt>
                <c:pt idx="143">
                  <c:v>-2.8603875454586547E-4</c:v>
                </c:pt>
                <c:pt idx="144">
                  <c:v>1.0381187251466645E-3</c:v>
                </c:pt>
                <c:pt idx="145">
                  <c:v>-9.4111890876148057E-4</c:v>
                </c:pt>
                <c:pt idx="146">
                  <c:v>-1.1929841315013318E-5</c:v>
                </c:pt>
                <c:pt idx="147">
                  <c:v>3.4101085270293279E-5</c:v>
                </c:pt>
                <c:pt idx="148">
                  <c:v>3.9018493976802134E-4</c:v>
                </c:pt>
                <c:pt idx="149">
                  <c:v>5.7646602688920243E-4</c:v>
                </c:pt>
                <c:pt idx="150">
                  <c:v>-5.1771021510162586E-4</c:v>
                </c:pt>
                <c:pt idx="151">
                  <c:v>7.6346755853148288E-4</c:v>
                </c:pt>
                <c:pt idx="152">
                  <c:v>-3.6241336929476731E-4</c:v>
                </c:pt>
                <c:pt idx="153">
                  <c:v>-1.9314687166143926E-4</c:v>
                </c:pt>
                <c:pt idx="154">
                  <c:v>-5.843970829254978E-4</c:v>
                </c:pt>
                <c:pt idx="155">
                  <c:v>-6.4877997889666581E-4</c:v>
                </c:pt>
                <c:pt idx="156">
                  <c:v>5.7008418162304359E-6</c:v>
                </c:pt>
                <c:pt idx="157">
                  <c:v>1.5183525949316807E-4</c:v>
                </c:pt>
                <c:pt idx="158">
                  <c:v>1.7525526480257481E-4</c:v>
                </c:pt>
                <c:pt idx="159">
                  <c:v>3.2553366503274049E-4</c:v>
                </c:pt>
                <c:pt idx="160">
                  <c:v>-3.1443757298008692E-4</c:v>
                </c:pt>
                <c:pt idx="161">
                  <c:v>-6.7537923358329088E-4</c:v>
                </c:pt>
                <c:pt idx="162">
                  <c:v>-5.0669804819347144E-4</c:v>
                </c:pt>
                <c:pt idx="163">
                  <c:v>7.5491303904832118E-4</c:v>
                </c:pt>
                <c:pt idx="164">
                  <c:v>6.1133885393407819E-4</c:v>
                </c:pt>
                <c:pt idx="165">
                  <c:v>-1.325926410698115E-4</c:v>
                </c:pt>
                <c:pt idx="166">
                  <c:v>6.3750393664322054E-4</c:v>
                </c:pt>
                <c:pt idx="167">
                  <c:v>7.7959185194041353E-5</c:v>
                </c:pt>
                <c:pt idx="168">
                  <c:v>-5.1346906306380278E-4</c:v>
                </c:pt>
                <c:pt idx="169">
                  <c:v>1.3683540032815772E-4</c:v>
                </c:pt>
                <c:pt idx="170">
                  <c:v>1.303758281963147E-3</c:v>
                </c:pt>
                <c:pt idx="171">
                  <c:v>-8.9168334706765673E-4</c:v>
                </c:pt>
                <c:pt idx="172">
                  <c:v>2.3215220600461244E-4</c:v>
                </c:pt>
                <c:pt idx="173">
                  <c:v>-2.5365481972820087E-4</c:v>
                </c:pt>
                <c:pt idx="174">
                  <c:v>8.1547006437727412E-4</c:v>
                </c:pt>
                <c:pt idx="175">
                  <c:v>6.3156241381061089E-4</c:v>
                </c:pt>
                <c:pt idx="176">
                  <c:v>-4.4115318150277717E-4</c:v>
                </c:pt>
                <c:pt idx="177">
                  <c:v>5.9210925742033207E-4</c:v>
                </c:pt>
                <c:pt idx="178">
                  <c:v>4.6760073991177886E-4</c:v>
                </c:pt>
                <c:pt idx="179">
                  <c:v>-5.461641771031952E-4</c:v>
                </c:pt>
                <c:pt idx="180">
                  <c:v>-1.0406050657620662E-3</c:v>
                </c:pt>
                <c:pt idx="181">
                  <c:v>3.4203624386404754E-4</c:v>
                </c:pt>
                <c:pt idx="182">
                  <c:v>-1.4434793154011778E-5</c:v>
                </c:pt>
                <c:pt idx="183">
                  <c:v>-1.4644872241413758E-4</c:v>
                </c:pt>
                <c:pt idx="184">
                  <c:v>1.7180707852048236E-4</c:v>
                </c:pt>
                <c:pt idx="185">
                  <c:v>4.1092823772003676E-4</c:v>
                </c:pt>
                <c:pt idx="186">
                  <c:v>5.8635679345277138E-4</c:v>
                </c:pt>
                <c:pt idx="187">
                  <c:v>1.510982397354686E-4</c:v>
                </c:pt>
                <c:pt idx="188">
                  <c:v>9.7554368501480372E-4</c:v>
                </c:pt>
                <c:pt idx="189">
                  <c:v>3.001426753096534E-4</c:v>
                </c:pt>
                <c:pt idx="190">
                  <c:v>-3.5413953023262241E-4</c:v>
                </c:pt>
                <c:pt idx="191">
                  <c:v>6.0430852134336742E-5</c:v>
                </c:pt>
                <c:pt idx="192">
                  <c:v>4.2452125862334894E-4</c:v>
                </c:pt>
                <c:pt idx="193">
                  <c:v>9.0655094682055157E-5</c:v>
                </c:pt>
                <c:pt idx="194">
                  <c:v>-2.6434182392186126E-4</c:v>
                </c:pt>
                <c:pt idx="195">
                  <c:v>-1.7464487626395105E-4</c:v>
                </c:pt>
                <c:pt idx="196">
                  <c:v>2.8703417655361697E-4</c:v>
                </c:pt>
                <c:pt idx="197">
                  <c:v>3.5266105772542323E-4</c:v>
                </c:pt>
                <c:pt idx="198">
                  <c:v>-1.1224132154468321E-6</c:v>
                </c:pt>
                <c:pt idx="199">
                  <c:v>-5.5043164741930999E-4</c:v>
                </c:pt>
                <c:pt idx="200">
                  <c:v>-8.0887114411439692E-4</c:v>
                </c:pt>
                <c:pt idx="201">
                  <c:v>-2.5577532987279474E-4</c:v>
                </c:pt>
                <c:pt idx="202">
                  <c:v>-1.0062137402775253E-4</c:v>
                </c:pt>
                <c:pt idx="203">
                  <c:v>-5.3188490534088943E-4</c:v>
                </c:pt>
                <c:pt idx="204">
                  <c:v>8.2798877839825681E-5</c:v>
                </c:pt>
                <c:pt idx="205">
                  <c:v>-5.7290946396392449E-4</c:v>
                </c:pt>
                <c:pt idx="206">
                  <c:v>4.2976261345603872E-4</c:v>
                </c:pt>
                <c:pt idx="207">
                  <c:v>3.4478681843853686E-4</c:v>
                </c:pt>
                <c:pt idx="208">
                  <c:v>2.3825869961525736E-4</c:v>
                </c:pt>
                <c:pt idx="209">
                  <c:v>4.843077810775297E-4</c:v>
                </c:pt>
                <c:pt idx="210">
                  <c:v>1.0249247834015205E-3</c:v>
                </c:pt>
                <c:pt idx="211">
                  <c:v>1.0746498928938302E-4</c:v>
                </c:pt>
                <c:pt idx="212">
                  <c:v>-8.1332047621220254E-5</c:v>
                </c:pt>
                <c:pt idx="213">
                  <c:v>-2.8493431226232763E-4</c:v>
                </c:pt>
                <c:pt idx="214">
                  <c:v>-4.094348401841367E-4</c:v>
                </c:pt>
                <c:pt idx="215">
                  <c:v>-2.4912255503850399E-4</c:v>
                </c:pt>
                <c:pt idx="216">
                  <c:v>1.8649007160337843E-4</c:v>
                </c:pt>
                <c:pt idx="217">
                  <c:v>1.0262503703400756E-4</c:v>
                </c:pt>
                <c:pt idx="218">
                  <c:v>1.3420875297945716E-4</c:v>
                </c:pt>
                <c:pt idx="219">
                  <c:v>5.880762285689196E-5</c:v>
                </c:pt>
                <c:pt idx="220">
                  <c:v>4.9120564135688631E-4</c:v>
                </c:pt>
                <c:pt idx="221">
                  <c:v>2.7163768518201673E-4</c:v>
                </c:pt>
                <c:pt idx="222">
                  <c:v>-4.2775191019260864E-6</c:v>
                </c:pt>
                <c:pt idx="223">
                  <c:v>1.0711744117369393E-3</c:v>
                </c:pt>
                <c:pt idx="224">
                  <c:v>-8.1512334945045578E-5</c:v>
                </c:pt>
                <c:pt idx="225">
                  <c:v>3.9208016597259271E-4</c:v>
                </c:pt>
                <c:pt idx="226">
                  <c:v>-6.8202375025064224E-4</c:v>
                </c:pt>
                <c:pt idx="227">
                  <c:v>7.2961487652489624E-4</c:v>
                </c:pt>
                <c:pt idx="228">
                  <c:v>1.4286015854066349E-3</c:v>
                </c:pt>
                <c:pt idx="229">
                  <c:v>-1.2612051063964642E-4</c:v>
                </c:pt>
                <c:pt idx="230">
                  <c:v>-3.1749635105458971E-4</c:v>
                </c:pt>
                <c:pt idx="231">
                  <c:v>-4.0843460491287045E-4</c:v>
                </c:pt>
                <c:pt idx="232">
                  <c:v>-1.1780212341022158E-4</c:v>
                </c:pt>
                <c:pt idx="233">
                  <c:v>4.3485353621148636E-4</c:v>
                </c:pt>
                <c:pt idx="234">
                  <c:v>4.7876318302093689E-4</c:v>
                </c:pt>
                <c:pt idx="235">
                  <c:v>4.9817750021986925E-4</c:v>
                </c:pt>
                <c:pt idx="236">
                  <c:v>-2.85620276034493E-4</c:v>
                </c:pt>
                <c:pt idx="237">
                  <c:v>-2.4560111958611089E-4</c:v>
                </c:pt>
                <c:pt idx="238">
                  <c:v>-2.0259069547248735E-4</c:v>
                </c:pt>
                <c:pt idx="239">
                  <c:v>-7.5468317616296477E-4</c:v>
                </c:pt>
                <c:pt idx="240">
                  <c:v>-9.9013298513124189E-4</c:v>
                </c:pt>
                <c:pt idx="241">
                  <c:v>-2.1923832576352709E-4</c:v>
                </c:pt>
                <c:pt idx="242">
                  <c:v>1.1544073445030241E-4</c:v>
                </c:pt>
                <c:pt idx="243">
                  <c:v>1.9040908364434964E-4</c:v>
                </c:pt>
                <c:pt idx="244">
                  <c:v>-5.6489830365456426E-4</c:v>
                </c:pt>
                <c:pt idx="245">
                  <c:v>-6.3089789900033213E-4</c:v>
                </c:pt>
                <c:pt idx="246">
                  <c:v>-2.4702676151749491E-4</c:v>
                </c:pt>
                <c:pt idx="247">
                  <c:v>-1.8144984432138638E-4</c:v>
                </c:pt>
                <c:pt idx="248">
                  <c:v>-1.5288070233261271E-4</c:v>
                </c:pt>
                <c:pt idx="249">
                  <c:v>5.4165633135923883E-4</c:v>
                </c:pt>
                <c:pt idx="250">
                  <c:v>1.8720498459445019E-4</c:v>
                </c:pt>
                <c:pt idx="251">
                  <c:v>-6.227262156890249E-4</c:v>
                </c:pt>
                <c:pt idx="252">
                  <c:v>-6.249460592277202E-4</c:v>
                </c:pt>
                <c:pt idx="253">
                  <c:v>6.3395102363552084E-4</c:v>
                </c:pt>
                <c:pt idx="254">
                  <c:v>-6.3907776496114298E-4</c:v>
                </c:pt>
                <c:pt idx="255">
                  <c:v>-6.2180174111860632E-4</c:v>
                </c:pt>
                <c:pt idx="256">
                  <c:v>-8.2220819091774629E-4</c:v>
                </c:pt>
                <c:pt idx="257">
                  <c:v>-3.7419088664157027E-4</c:v>
                </c:pt>
                <c:pt idx="258">
                  <c:v>4.0901958430619869E-4</c:v>
                </c:pt>
                <c:pt idx="259">
                  <c:v>-2.291135693353137E-4</c:v>
                </c:pt>
                <c:pt idx="260">
                  <c:v>-4.9689484360556345E-4</c:v>
                </c:pt>
                <c:pt idx="261">
                  <c:v>8.0147027098612697E-4</c:v>
                </c:pt>
                <c:pt idx="262">
                  <c:v>-9.4367153077690364E-4</c:v>
                </c:pt>
                <c:pt idx="263">
                  <c:v>-4.6607034018287939E-4</c:v>
                </c:pt>
                <c:pt idx="264">
                  <c:v>-6.2052876486979572E-4</c:v>
                </c:pt>
                <c:pt idx="265">
                  <c:v>9.5212274154552192E-5</c:v>
                </c:pt>
                <c:pt idx="266">
                  <c:v>3.4185776743981595E-4</c:v>
                </c:pt>
                <c:pt idx="267">
                  <c:v>6.2765410322983129E-6</c:v>
                </c:pt>
                <c:pt idx="268">
                  <c:v>-3.2599495086540721E-4</c:v>
                </c:pt>
                <c:pt idx="269">
                  <c:v>5.4805152037849954E-4</c:v>
                </c:pt>
                <c:pt idx="270">
                  <c:v>-5.8484520431744715E-4</c:v>
                </c:pt>
                <c:pt idx="271">
                  <c:v>-2.0925881173151326E-4</c:v>
                </c:pt>
                <c:pt idx="272">
                  <c:v>4.2975143382177882E-4</c:v>
                </c:pt>
                <c:pt idx="273">
                  <c:v>2.4902293102700457E-4</c:v>
                </c:pt>
                <c:pt idx="274">
                  <c:v>3.4614614027422467E-4</c:v>
                </c:pt>
                <c:pt idx="275">
                  <c:v>6.162361931960949E-4</c:v>
                </c:pt>
                <c:pt idx="276">
                  <c:v>-1.9627665619927718E-4</c:v>
                </c:pt>
                <c:pt idx="277">
                  <c:v>8.2401377644957399E-6</c:v>
                </c:pt>
                <c:pt idx="278">
                  <c:v>-3.8215133710839776E-5</c:v>
                </c:pt>
                <c:pt idx="279">
                  <c:v>-3.5829871425077132E-4</c:v>
                </c:pt>
                <c:pt idx="280">
                  <c:v>4.743175965178743E-4</c:v>
                </c:pt>
                <c:pt idx="281">
                  <c:v>-1.9576265306571041E-5</c:v>
                </c:pt>
                <c:pt idx="282">
                  <c:v>1.1966345505535761E-3</c:v>
                </c:pt>
                <c:pt idx="283">
                  <c:v>-4.7527231381933732E-4</c:v>
                </c:pt>
                <c:pt idx="284">
                  <c:v>1.2712112344290399E-4</c:v>
                </c:pt>
                <c:pt idx="285">
                  <c:v>3.558171665024946E-4</c:v>
                </c:pt>
                <c:pt idx="286">
                  <c:v>3.3342617552035926E-4</c:v>
                </c:pt>
                <c:pt idx="287">
                  <c:v>-4.9520459729017355E-4</c:v>
                </c:pt>
                <c:pt idx="288">
                  <c:v>-3.2994501088695887E-4</c:v>
                </c:pt>
                <c:pt idx="289">
                  <c:v>-2.076328281356098E-4</c:v>
                </c:pt>
                <c:pt idx="290">
                  <c:v>1.1082734311089347E-4</c:v>
                </c:pt>
                <c:pt idx="291">
                  <c:v>-5.8371835141619509E-5</c:v>
                </c:pt>
                <c:pt idx="292">
                  <c:v>-1.4030236448131934E-4</c:v>
                </c:pt>
                <c:pt idx="293">
                  <c:v>-1.0143680798547212E-3</c:v>
                </c:pt>
                <c:pt idx="294">
                  <c:v>-2.3351417799216827E-4</c:v>
                </c:pt>
                <c:pt idx="295">
                  <c:v>-1.312639517077948E-4</c:v>
                </c:pt>
                <c:pt idx="296">
                  <c:v>2.3189854727199239E-4</c:v>
                </c:pt>
                <c:pt idx="297">
                  <c:v>-6.2475102409717941E-5</c:v>
                </c:pt>
                <c:pt idx="298">
                  <c:v>-5.2935189182627424E-4</c:v>
                </c:pt>
                <c:pt idx="299">
                  <c:v>1.0701225324007584E-4</c:v>
                </c:pt>
                <c:pt idx="300">
                  <c:v>-7.7941874500921525E-5</c:v>
                </c:pt>
                <c:pt idx="301">
                  <c:v>9.4627709538664913E-4</c:v>
                </c:pt>
                <c:pt idx="302">
                  <c:v>-5.4094956424267595E-6</c:v>
                </c:pt>
                <c:pt idx="303">
                  <c:v>-2.1657938187007875E-4</c:v>
                </c:pt>
                <c:pt idx="304">
                  <c:v>6.3922984894358088E-5</c:v>
                </c:pt>
                <c:pt idx="305">
                  <c:v>1.5947315426196888E-4</c:v>
                </c:pt>
                <c:pt idx="306">
                  <c:v>-3.8200098641228233E-4</c:v>
                </c:pt>
                <c:pt idx="307">
                  <c:v>9.3900007550275691E-5</c:v>
                </c:pt>
                <c:pt idx="308">
                  <c:v>-4.7362752877938276E-4</c:v>
                </c:pt>
                <c:pt idx="309">
                  <c:v>-1.2169168842449684E-3</c:v>
                </c:pt>
                <c:pt idx="310">
                  <c:v>2.5439909021231639E-4</c:v>
                </c:pt>
                <c:pt idx="311">
                  <c:v>-5.587102479721552E-4</c:v>
                </c:pt>
                <c:pt idx="312">
                  <c:v>-2.0111648015463525E-5</c:v>
                </c:pt>
                <c:pt idx="313">
                  <c:v>-2.5243991386290156E-4</c:v>
                </c:pt>
                <c:pt idx="314">
                  <c:v>-6.6913461933536841E-4</c:v>
                </c:pt>
                <c:pt idx="315">
                  <c:v>1.2883422816973672E-4</c:v>
                </c:pt>
                <c:pt idx="316">
                  <c:v>-5.4503271700396692E-4</c:v>
                </c:pt>
                <c:pt idx="317">
                  <c:v>-1.0865113988215493E-4</c:v>
                </c:pt>
                <c:pt idx="318">
                  <c:v>-1.9980077110546673E-4</c:v>
                </c:pt>
                <c:pt idx="319">
                  <c:v>-3.7797655874432257E-5</c:v>
                </c:pt>
                <c:pt idx="320">
                  <c:v>-3.3902458909129522E-4</c:v>
                </c:pt>
                <c:pt idx="321">
                  <c:v>5.9313740603205106E-4</c:v>
                </c:pt>
                <c:pt idx="322">
                  <c:v>1.2841114315363482E-4</c:v>
                </c:pt>
                <c:pt idx="323">
                  <c:v>6.6741608443073768E-4</c:v>
                </c:pt>
                <c:pt idx="324">
                  <c:v>-3.0592859368255355E-4</c:v>
                </c:pt>
                <c:pt idx="325">
                  <c:v>-4.8444890126482927E-4</c:v>
                </c:pt>
                <c:pt idx="326">
                  <c:v>-1.0340414022824082E-4</c:v>
                </c:pt>
                <c:pt idx="327">
                  <c:v>2.4250350421952343E-4</c:v>
                </c:pt>
                <c:pt idx="328">
                  <c:v>1.7386850238765379E-4</c:v>
                </c:pt>
                <c:pt idx="329">
                  <c:v>1.1266084275823345E-4</c:v>
                </c:pt>
                <c:pt idx="330">
                  <c:v>-7.1994183521479198E-5</c:v>
                </c:pt>
                <c:pt idx="331">
                  <c:v>1.8033227043237211E-4</c:v>
                </c:pt>
                <c:pt idx="332">
                  <c:v>7.570025449694729E-5</c:v>
                </c:pt>
                <c:pt idx="333">
                  <c:v>6.9660163574779852E-4</c:v>
                </c:pt>
                <c:pt idx="334">
                  <c:v>6.1305354259343076E-5</c:v>
                </c:pt>
                <c:pt idx="335">
                  <c:v>3.9596478186870732E-4</c:v>
                </c:pt>
                <c:pt idx="336">
                  <c:v>1.1744461983930708E-3</c:v>
                </c:pt>
                <c:pt idx="337">
                  <c:v>-1.9470752534609466E-4</c:v>
                </c:pt>
                <c:pt idx="338">
                  <c:v>2.2832834234328716E-5</c:v>
                </c:pt>
                <c:pt idx="339">
                  <c:v>-3.0982916823161648E-4</c:v>
                </c:pt>
                <c:pt idx="340">
                  <c:v>3.6225026731228064E-5</c:v>
                </c:pt>
                <c:pt idx="341">
                  <c:v>7.3205113809056974E-4</c:v>
                </c:pt>
                <c:pt idx="342">
                  <c:v>2.1634005072430535E-4</c:v>
                </c:pt>
                <c:pt idx="343">
                  <c:v>-2.404041823560627E-4</c:v>
                </c:pt>
                <c:pt idx="344">
                  <c:v>-1.2544257439512768E-4</c:v>
                </c:pt>
                <c:pt idx="345">
                  <c:v>-2.2557634541428979E-4</c:v>
                </c:pt>
                <c:pt idx="346">
                  <c:v>-3.8000187718460908E-5</c:v>
                </c:pt>
                <c:pt idx="347">
                  <c:v>-6.7120406506502797E-5</c:v>
                </c:pt>
                <c:pt idx="348">
                  <c:v>3.3832237692422551E-4</c:v>
                </c:pt>
                <c:pt idx="349">
                  <c:v>-8.8863352242075791E-4</c:v>
                </c:pt>
                <c:pt idx="350">
                  <c:v>-2.0223447050084215E-4</c:v>
                </c:pt>
                <c:pt idx="351">
                  <c:v>1.2164378543832715E-3</c:v>
                </c:pt>
                <c:pt idx="352">
                  <c:v>-5.1436645190920606E-4</c:v>
                </c:pt>
                <c:pt idx="353">
                  <c:v>-4.1209596416670672E-4</c:v>
                </c:pt>
                <c:pt idx="354">
                  <c:v>3.7955062579514675E-5</c:v>
                </c:pt>
                <c:pt idx="355">
                  <c:v>-3.1222432812613558E-4</c:v>
                </c:pt>
                <c:pt idx="356">
                  <c:v>-4.5789507252849861E-4</c:v>
                </c:pt>
                <c:pt idx="357">
                  <c:v>1.7544999661265009E-4</c:v>
                </c:pt>
                <c:pt idx="358">
                  <c:v>6.7691017415587499E-5</c:v>
                </c:pt>
                <c:pt idx="359">
                  <c:v>-1.1000821051200093E-5</c:v>
                </c:pt>
                <c:pt idx="360">
                  <c:v>-2.0688971786730312E-4</c:v>
                </c:pt>
                <c:pt idx="361">
                  <c:v>5.9512884849387008E-5</c:v>
                </c:pt>
                <c:pt idx="362">
                  <c:v>-5.0043437367916922E-4</c:v>
                </c:pt>
                <c:pt idx="363">
                  <c:v>-1.1047138139252963E-3</c:v>
                </c:pt>
                <c:pt idx="364">
                  <c:v>2.7136201445081959E-4</c:v>
                </c:pt>
                <c:pt idx="365">
                  <c:v>-4.4957425775014794E-4</c:v>
                </c:pt>
                <c:pt idx="366">
                  <c:v>2.354253932319255E-4</c:v>
                </c:pt>
                <c:pt idx="367">
                  <c:v>-1.1102118954621365E-4</c:v>
                </c:pt>
                <c:pt idx="368">
                  <c:v>3.204560496232808E-4</c:v>
                </c:pt>
                <c:pt idx="369">
                  <c:v>-1.4039918315135761E-3</c:v>
                </c:pt>
                <c:pt idx="370">
                  <c:v>-5.4988214591990931E-4</c:v>
                </c:pt>
                <c:pt idx="371">
                  <c:v>-1.5579153455974661E-4</c:v>
                </c:pt>
                <c:pt idx="372">
                  <c:v>1.2148283004291347E-3</c:v>
                </c:pt>
                <c:pt idx="373">
                  <c:v>4.5689926740235235E-4</c:v>
                </c:pt>
                <c:pt idx="374">
                  <c:v>4.9920352729498567E-5</c:v>
                </c:pt>
                <c:pt idx="375">
                  <c:v>-7.2092948505709292E-5</c:v>
                </c:pt>
                <c:pt idx="376">
                  <c:v>1.1806918593749248E-4</c:v>
                </c:pt>
                <c:pt idx="377">
                  <c:v>6.2127648274505783E-5</c:v>
                </c:pt>
                <c:pt idx="378">
                  <c:v>2.1449322595820731E-4</c:v>
                </c:pt>
                <c:pt idx="379">
                  <c:v>4.3975028829845839E-4</c:v>
                </c:pt>
                <c:pt idx="380">
                  <c:v>2.1928692321012131E-5</c:v>
                </c:pt>
                <c:pt idx="381">
                  <c:v>8.3426160643324898E-4</c:v>
                </c:pt>
                <c:pt idx="382">
                  <c:v>-9.0782142606236351E-4</c:v>
                </c:pt>
                <c:pt idx="383">
                  <c:v>6.5496100066653477E-4</c:v>
                </c:pt>
                <c:pt idx="384">
                  <c:v>4.420171798795119E-4</c:v>
                </c:pt>
                <c:pt idx="385">
                  <c:v>-4.0879088689683562E-4</c:v>
                </c:pt>
                <c:pt idx="386">
                  <c:v>7.9010261507068112E-4</c:v>
                </c:pt>
                <c:pt idx="387">
                  <c:v>1.1740388717957023E-3</c:v>
                </c:pt>
                <c:pt idx="388">
                  <c:v>3.2851709435376803E-4</c:v>
                </c:pt>
                <c:pt idx="389">
                  <c:v>6.0884461838415637E-4</c:v>
                </c:pt>
                <c:pt idx="390">
                  <c:v>2.6688950038318625E-4</c:v>
                </c:pt>
                <c:pt idx="391">
                  <c:v>-3.0150143332927353E-4</c:v>
                </c:pt>
                <c:pt idx="392">
                  <c:v>2.8128244632972421E-4</c:v>
                </c:pt>
                <c:pt idx="393">
                  <c:v>6.2886841191796901E-4</c:v>
                </c:pt>
                <c:pt idx="394">
                  <c:v>-3.8334387250232291E-4</c:v>
                </c:pt>
                <c:pt idx="395">
                  <c:v>-1.2761760550294811E-4</c:v>
                </c:pt>
                <c:pt idx="396">
                  <c:v>-9.6047688799776943E-4</c:v>
                </c:pt>
                <c:pt idx="397">
                  <c:v>-2.2173825504535218E-4</c:v>
                </c:pt>
                <c:pt idx="398">
                  <c:v>-1.3516127698600202E-3</c:v>
                </c:pt>
                <c:pt idx="399">
                  <c:v>-3.4918401065678578E-4</c:v>
                </c:pt>
                <c:pt idx="400">
                  <c:v>3.6959770223108355E-4</c:v>
                </c:pt>
                <c:pt idx="401">
                  <c:v>9.6504974203793202E-4</c:v>
                </c:pt>
                <c:pt idx="402">
                  <c:v>-1.1856219905498177E-3</c:v>
                </c:pt>
                <c:pt idx="403">
                  <c:v>-6.0619319415223941E-4</c:v>
                </c:pt>
                <c:pt idx="404">
                  <c:v>-6.1960113523228469E-4</c:v>
                </c:pt>
                <c:pt idx="405">
                  <c:v>-6.2731793927662321E-5</c:v>
                </c:pt>
                <c:pt idx="406">
                  <c:v>2.3824290051439358E-4</c:v>
                </c:pt>
                <c:pt idx="407">
                  <c:v>-3.4569966028264647E-4</c:v>
                </c:pt>
                <c:pt idx="408">
                  <c:v>-6.92895352176406E-4</c:v>
                </c:pt>
                <c:pt idx="409">
                  <c:v>-1.0483257957887662E-3</c:v>
                </c:pt>
                <c:pt idx="410">
                  <c:v>-6.5816205194387271E-4</c:v>
                </c:pt>
                <c:pt idx="411">
                  <c:v>-1.0392312724670447E-4</c:v>
                </c:pt>
                <c:pt idx="412">
                  <c:v>-8.5399204874834667E-5</c:v>
                </c:pt>
                <c:pt idx="413">
                  <c:v>1.7600650289278458E-4</c:v>
                </c:pt>
                <c:pt idx="414">
                  <c:v>2.9784516427812168E-4</c:v>
                </c:pt>
                <c:pt idx="415">
                  <c:v>9.6425254818499647E-5</c:v>
                </c:pt>
                <c:pt idx="416">
                  <c:v>2.5541579851408856E-4</c:v>
                </c:pt>
                <c:pt idx="417">
                  <c:v>1.0053395469915062E-5</c:v>
                </c:pt>
                <c:pt idx="418">
                  <c:v>-2.1722135392139848E-4</c:v>
                </c:pt>
                <c:pt idx="419">
                  <c:v>6.2037182061013511E-5</c:v>
                </c:pt>
                <c:pt idx="420">
                  <c:v>1.0612120290686079E-3</c:v>
                </c:pt>
                <c:pt idx="421">
                  <c:v>-2.5726200821930606E-4</c:v>
                </c:pt>
                <c:pt idx="422">
                  <c:v>1.5784998056780783E-4</c:v>
                </c:pt>
                <c:pt idx="423">
                  <c:v>-5.4349004392064424E-4</c:v>
                </c:pt>
                <c:pt idx="424">
                  <c:v>5.2862191948261045E-4</c:v>
                </c:pt>
                <c:pt idx="425">
                  <c:v>-7.2774462285565692E-4</c:v>
                </c:pt>
                <c:pt idx="426">
                  <c:v>-6.0496470892577689E-5</c:v>
                </c:pt>
                <c:pt idx="427">
                  <c:v>-1.5139523433790094E-4</c:v>
                </c:pt>
                <c:pt idx="428">
                  <c:v>7.4589214077153601E-5</c:v>
                </c:pt>
                <c:pt idx="429">
                  <c:v>-1.526671272838862E-4</c:v>
                </c:pt>
                <c:pt idx="430">
                  <c:v>-2.52926196204136E-4</c:v>
                </c:pt>
                <c:pt idx="431">
                  <c:v>-6.2352071653108714E-5</c:v>
                </c:pt>
                <c:pt idx="432">
                  <c:v>7.1378396345835051E-5</c:v>
                </c:pt>
                <c:pt idx="433">
                  <c:v>-5.4881464027493128E-4</c:v>
                </c:pt>
                <c:pt idx="434">
                  <c:v>3.5146520251605289E-4</c:v>
                </c:pt>
                <c:pt idx="435">
                  <c:v>-3.5598633634320641E-4</c:v>
                </c:pt>
                <c:pt idx="436">
                  <c:v>-4.2617098271058624E-5</c:v>
                </c:pt>
                <c:pt idx="437">
                  <c:v>-5.5037749781535264E-4</c:v>
                </c:pt>
                <c:pt idx="438">
                  <c:v>-2.8602040953691415E-4</c:v>
                </c:pt>
                <c:pt idx="439">
                  <c:v>5.6405048516616286E-4</c:v>
                </c:pt>
                <c:pt idx="440">
                  <c:v>3.4447108193933699E-4</c:v>
                </c:pt>
                <c:pt idx="441">
                  <c:v>1.1452040509919203E-4</c:v>
                </c:pt>
                <c:pt idx="442">
                  <c:v>-2.7315827552169819E-4</c:v>
                </c:pt>
                <c:pt idx="443">
                  <c:v>2.3195599140193705E-4</c:v>
                </c:pt>
                <c:pt idx="444">
                  <c:v>3.7278515166668815E-4</c:v>
                </c:pt>
                <c:pt idx="445">
                  <c:v>6.232432328298872E-4</c:v>
                </c:pt>
                <c:pt idx="446">
                  <c:v>-3.9150506094007639E-4</c:v>
                </c:pt>
                <c:pt idx="447">
                  <c:v>1.6326605713370507E-4</c:v>
                </c:pt>
                <c:pt idx="448">
                  <c:v>-5.3521305105002154E-5</c:v>
                </c:pt>
                <c:pt idx="449">
                  <c:v>-5.9720466284494988E-4</c:v>
                </c:pt>
                <c:pt idx="450">
                  <c:v>2.788743548234534E-5</c:v>
                </c:pt>
                <c:pt idx="451">
                  <c:v>2.3816639742333965E-4</c:v>
                </c:pt>
                <c:pt idx="452">
                  <c:v>7.1857232952214005E-4</c:v>
                </c:pt>
                <c:pt idx="453">
                  <c:v>-2.4850288539829922E-4</c:v>
                </c:pt>
                <c:pt idx="454">
                  <c:v>-1.5032625165484645E-4</c:v>
                </c:pt>
                <c:pt idx="455">
                  <c:v>5.7648073262291967E-4</c:v>
                </c:pt>
                <c:pt idx="456">
                  <c:v>4.5703317098688424E-4</c:v>
                </c:pt>
                <c:pt idx="457">
                  <c:v>5.6859693393249958E-4</c:v>
                </c:pt>
                <c:pt idx="458">
                  <c:v>-1.2581910184700302E-4</c:v>
                </c:pt>
                <c:pt idx="459">
                  <c:v>-7.1689481309928339E-5</c:v>
                </c:pt>
                <c:pt idx="460">
                  <c:v>-1.3091425418910042E-4</c:v>
                </c:pt>
                <c:pt idx="461">
                  <c:v>6.7582195703569327E-4</c:v>
                </c:pt>
                <c:pt idx="462">
                  <c:v>4.6501233353586489E-4</c:v>
                </c:pt>
                <c:pt idx="463">
                  <c:v>-2.2734918190956232E-4</c:v>
                </c:pt>
                <c:pt idx="464">
                  <c:v>-3.7311341136850187E-4</c:v>
                </c:pt>
                <c:pt idx="465">
                  <c:v>1.5271925516812177E-4</c:v>
                </c:pt>
                <c:pt idx="466">
                  <c:v>-1.003566055446469E-3</c:v>
                </c:pt>
                <c:pt idx="467">
                  <c:v>2.639301034352693E-4</c:v>
                </c:pt>
                <c:pt idx="468">
                  <c:v>4.0110978678222577E-4</c:v>
                </c:pt>
                <c:pt idx="469">
                  <c:v>-1.0012693426510709E-4</c:v>
                </c:pt>
                <c:pt idx="470">
                  <c:v>-2.5848963522564324E-6</c:v>
                </c:pt>
                <c:pt idx="471">
                  <c:v>7.2563062561920304E-4</c:v>
                </c:pt>
                <c:pt idx="472">
                  <c:v>5.0600127368149637E-4</c:v>
                </c:pt>
                <c:pt idx="473">
                  <c:v>-9.7002670651834052E-5</c:v>
                </c:pt>
                <c:pt idx="474">
                  <c:v>2.5890947751128641E-4</c:v>
                </c:pt>
                <c:pt idx="475">
                  <c:v>4.6548814922361406E-4</c:v>
                </c:pt>
                <c:pt idx="476">
                  <c:v>-7.175455453827279E-4</c:v>
                </c:pt>
                <c:pt idx="477">
                  <c:v>3.9483833459689647E-4</c:v>
                </c:pt>
                <c:pt idx="478">
                  <c:v>-6.6921755752653064E-4</c:v>
                </c:pt>
                <c:pt idx="479">
                  <c:v>-4.8041175049688635E-4</c:v>
                </c:pt>
                <c:pt idx="480">
                  <c:v>3.340412883805996E-4</c:v>
                </c:pt>
                <c:pt idx="481">
                  <c:v>-9.3023709638834722E-5</c:v>
                </c:pt>
                <c:pt idx="482">
                  <c:v>9.0687084490389787E-4</c:v>
                </c:pt>
                <c:pt idx="483">
                  <c:v>1.1251537737747975E-3</c:v>
                </c:pt>
                <c:pt idx="484">
                  <c:v>-5.2875141812287567E-4</c:v>
                </c:pt>
                <c:pt idx="485">
                  <c:v>4.5795421111124453E-4</c:v>
                </c:pt>
                <c:pt idx="486">
                  <c:v>-1.3875419212813512E-4</c:v>
                </c:pt>
                <c:pt idx="487">
                  <c:v>-1.4830422649430403E-4</c:v>
                </c:pt>
                <c:pt idx="488">
                  <c:v>4.6597992608968778E-4</c:v>
                </c:pt>
                <c:pt idx="489">
                  <c:v>-3.467029360818101E-4</c:v>
                </c:pt>
                <c:pt idx="490">
                  <c:v>7.1992161870824739E-4</c:v>
                </c:pt>
                <c:pt idx="491">
                  <c:v>-3.6749399131629287E-4</c:v>
                </c:pt>
                <c:pt idx="492">
                  <c:v>-1.135641910466849E-3</c:v>
                </c:pt>
                <c:pt idx="493">
                  <c:v>-2.7201105530063154E-4</c:v>
                </c:pt>
                <c:pt idx="494">
                  <c:v>1.2011593792227566E-4</c:v>
                </c:pt>
                <c:pt idx="495">
                  <c:v>-6.8342134243900502E-4</c:v>
                </c:pt>
                <c:pt idx="496">
                  <c:v>2.5561574386888115E-4</c:v>
                </c:pt>
                <c:pt idx="497">
                  <c:v>-3.5534911514686728E-4</c:v>
                </c:pt>
                <c:pt idx="498">
                  <c:v>-2.5273428360724102E-6</c:v>
                </c:pt>
                <c:pt idx="499">
                  <c:v>-2.7542754875650727E-4</c:v>
                </c:pt>
                <c:pt idx="500">
                  <c:v>1.0269831780925715E-4</c:v>
                </c:pt>
                <c:pt idx="501">
                  <c:v>3.8635089459035577E-4</c:v>
                </c:pt>
                <c:pt idx="502">
                  <c:v>2.1530011060979417E-4</c:v>
                </c:pt>
                <c:pt idx="503">
                  <c:v>7.0676148085382451E-4</c:v>
                </c:pt>
                <c:pt idx="504">
                  <c:v>6.2795640220825069E-4</c:v>
                </c:pt>
                <c:pt idx="505">
                  <c:v>2.8078957407140802E-4</c:v>
                </c:pt>
                <c:pt idx="506">
                  <c:v>-2.3646887115125667E-4</c:v>
                </c:pt>
                <c:pt idx="507">
                  <c:v>-2.1325159115458689E-4</c:v>
                </c:pt>
                <c:pt idx="508">
                  <c:v>-4.6819633176772618E-4</c:v>
                </c:pt>
                <c:pt idx="509">
                  <c:v>-3.3760269749338191E-5</c:v>
                </c:pt>
                <c:pt idx="510">
                  <c:v>5.7536454000447579E-4</c:v>
                </c:pt>
                <c:pt idx="511">
                  <c:v>-1.7328785233235898E-4</c:v>
                </c:pt>
                <c:pt idx="512">
                  <c:v>6.2865293918726707E-5</c:v>
                </c:pt>
                <c:pt idx="513">
                  <c:v>2.1757888054876938E-4</c:v>
                </c:pt>
                <c:pt idx="514">
                  <c:v>7.2316527550215997E-6</c:v>
                </c:pt>
                <c:pt idx="515">
                  <c:v>-1.5729073767337207E-4</c:v>
                </c:pt>
                <c:pt idx="516">
                  <c:v>7.7252385708115562E-4</c:v>
                </c:pt>
                <c:pt idx="517">
                  <c:v>3.2743008734043282E-4</c:v>
                </c:pt>
                <c:pt idx="518">
                  <c:v>-4.8065417320229605E-4</c:v>
                </c:pt>
                <c:pt idx="519">
                  <c:v>2.8288635319771108E-4</c:v>
                </c:pt>
                <c:pt idx="520">
                  <c:v>-3.1359130131800126E-4</c:v>
                </c:pt>
                <c:pt idx="521">
                  <c:v>-4.0625777397343887E-4</c:v>
                </c:pt>
                <c:pt idx="522">
                  <c:v>3.7707315978608661E-4</c:v>
                </c:pt>
                <c:pt idx="523">
                  <c:v>-4.2061748782152637E-4</c:v>
                </c:pt>
                <c:pt idx="524">
                  <c:v>2.3827199580447398E-4</c:v>
                </c:pt>
                <c:pt idx="525">
                  <c:v>-3.2085321977482915E-4</c:v>
                </c:pt>
                <c:pt idx="526">
                  <c:v>-5.2945542735417328E-4</c:v>
                </c:pt>
                <c:pt idx="527">
                  <c:v>6.8361896943941556E-4</c:v>
                </c:pt>
                <c:pt idx="528">
                  <c:v>-1.2821642269978681E-3</c:v>
                </c:pt>
                <c:pt idx="529">
                  <c:v>6.8321012896010839E-4</c:v>
                </c:pt>
                <c:pt idx="530">
                  <c:v>3.9147331514162074E-4</c:v>
                </c:pt>
                <c:pt idx="531">
                  <c:v>1.481830983986775E-4</c:v>
                </c:pt>
                <c:pt idx="532">
                  <c:v>-9.5071598642850765E-4</c:v>
                </c:pt>
                <c:pt idx="533">
                  <c:v>3.7875484970554792E-4</c:v>
                </c:pt>
                <c:pt idx="534">
                  <c:v>3.9190839641132917E-4</c:v>
                </c:pt>
                <c:pt idx="535">
                  <c:v>2.3488295338004148E-4</c:v>
                </c:pt>
                <c:pt idx="536">
                  <c:v>5.3316613067655927E-4</c:v>
                </c:pt>
                <c:pt idx="537">
                  <c:v>-2.0258675032125797E-4</c:v>
                </c:pt>
                <c:pt idx="538">
                  <c:v>6.6173872226588397E-4</c:v>
                </c:pt>
                <c:pt idx="539">
                  <c:v>-8.9679951384300525E-4</c:v>
                </c:pt>
                <c:pt idx="540">
                  <c:v>3.1620768042849793E-4</c:v>
                </c:pt>
                <c:pt idx="541">
                  <c:v>2.4869749844865429E-4</c:v>
                </c:pt>
                <c:pt idx="542">
                  <c:v>3.8785856165680091E-4</c:v>
                </c:pt>
                <c:pt idx="543">
                  <c:v>-1.1074376130145029E-4</c:v>
                </c:pt>
                <c:pt idx="544">
                  <c:v>1.5697018727664201E-5</c:v>
                </c:pt>
                <c:pt idx="545">
                  <c:v>-1.7735103631689696E-4</c:v>
                </c:pt>
                <c:pt idx="546">
                  <c:v>1.2365754457435946E-4</c:v>
                </c:pt>
                <c:pt idx="547">
                  <c:v>7.5105539492342267E-4</c:v>
                </c:pt>
                <c:pt idx="548">
                  <c:v>4.9989234702681044E-4</c:v>
                </c:pt>
                <c:pt idx="549">
                  <c:v>-4.5177749731013453E-4</c:v>
                </c:pt>
                <c:pt idx="550">
                  <c:v>-1.2840108731794836E-4</c:v>
                </c:pt>
                <c:pt idx="551">
                  <c:v>3.505622637953571E-4</c:v>
                </c:pt>
                <c:pt idx="552">
                  <c:v>2.9552011827361016E-4</c:v>
                </c:pt>
                <c:pt idx="553">
                  <c:v>-2.2675397486535099E-4</c:v>
                </c:pt>
                <c:pt idx="554">
                  <c:v>-1.2731551475238533E-4</c:v>
                </c:pt>
                <c:pt idx="555">
                  <c:v>4.7817835172995208E-4</c:v>
                </c:pt>
                <c:pt idx="556">
                  <c:v>2.9625426252896767E-4</c:v>
                </c:pt>
                <c:pt idx="557">
                  <c:v>3.2419275035723062E-4</c:v>
                </c:pt>
                <c:pt idx="558">
                  <c:v>-4.0973975948988071E-4</c:v>
                </c:pt>
                <c:pt idx="559">
                  <c:v>3.9994213739989162E-4</c:v>
                </c:pt>
                <c:pt idx="560">
                  <c:v>1.1717159415580904E-3</c:v>
                </c:pt>
                <c:pt idx="561">
                  <c:v>8.2391868501673668E-4</c:v>
                </c:pt>
                <c:pt idx="562">
                  <c:v>2.2674859541338889E-5</c:v>
                </c:pt>
                <c:pt idx="563">
                  <c:v>-1.657994842493791E-4</c:v>
                </c:pt>
                <c:pt idx="564">
                  <c:v>2.8888583306869065E-4</c:v>
                </c:pt>
                <c:pt idx="565">
                  <c:v>-4.4516156485694357E-4</c:v>
                </c:pt>
                <c:pt idx="566">
                  <c:v>-6.4109768122719258E-4</c:v>
                </c:pt>
                <c:pt idx="567">
                  <c:v>-5.3952254528329289E-5</c:v>
                </c:pt>
                <c:pt idx="568">
                  <c:v>4.2287929122026229E-4</c:v>
                </c:pt>
                <c:pt idx="569">
                  <c:v>-4.3839744579251725E-4</c:v>
                </c:pt>
                <c:pt idx="570">
                  <c:v>5.0626240744213065E-4</c:v>
                </c:pt>
                <c:pt idx="571">
                  <c:v>-7.2099698180728338E-6</c:v>
                </c:pt>
                <c:pt idx="572">
                  <c:v>7.8908974255468905E-4</c:v>
                </c:pt>
                <c:pt idx="573">
                  <c:v>9.5518619662052901E-4</c:v>
                </c:pt>
                <c:pt idx="574">
                  <c:v>3.5697139498287842E-4</c:v>
                </c:pt>
                <c:pt idx="575">
                  <c:v>-2.0883423252686544E-4</c:v>
                </c:pt>
                <c:pt idx="576">
                  <c:v>-1.5040478718207655E-4</c:v>
                </c:pt>
                <c:pt idx="577">
                  <c:v>9.889752571626794E-4</c:v>
                </c:pt>
                <c:pt idx="578">
                  <c:v>3.1986183395561892E-4</c:v>
                </c:pt>
                <c:pt idx="579">
                  <c:v>-9.1844189986276718E-4</c:v>
                </c:pt>
                <c:pt idx="580">
                  <c:v>6.3214681997174479E-4</c:v>
                </c:pt>
                <c:pt idx="581">
                  <c:v>-8.2309005925084952E-4</c:v>
                </c:pt>
                <c:pt idx="582">
                  <c:v>-2.368774419996173E-4</c:v>
                </c:pt>
                <c:pt idx="583">
                  <c:v>-8.971006223460631E-5</c:v>
                </c:pt>
                <c:pt idx="584">
                  <c:v>2.5510845318707769E-4</c:v>
                </c:pt>
                <c:pt idx="585">
                  <c:v>-1.015511906616122E-3</c:v>
                </c:pt>
                <c:pt idx="586">
                  <c:v>-3.7319429768091999E-4</c:v>
                </c:pt>
                <c:pt idx="587">
                  <c:v>4.880592751816895E-4</c:v>
                </c:pt>
                <c:pt idx="588">
                  <c:v>-2.8711079036721041E-4</c:v>
                </c:pt>
                <c:pt idx="589">
                  <c:v>-1.4409281883110217E-4</c:v>
                </c:pt>
                <c:pt idx="590">
                  <c:v>-3.9314040176204339E-4</c:v>
                </c:pt>
                <c:pt idx="591">
                  <c:v>-8.8747475867391359E-5</c:v>
                </c:pt>
                <c:pt idx="592">
                  <c:v>2.4918679624279852E-5</c:v>
                </c:pt>
                <c:pt idx="593">
                  <c:v>-5.9918974686120794E-4</c:v>
                </c:pt>
                <c:pt idx="594">
                  <c:v>-5.2100803392370314E-6</c:v>
                </c:pt>
                <c:pt idx="595">
                  <c:v>-6.0949328911786334E-4</c:v>
                </c:pt>
                <c:pt idx="596">
                  <c:v>-1.0561043988221622E-4</c:v>
                </c:pt>
                <c:pt idx="597">
                  <c:v>3.0518236209362969E-4</c:v>
                </c:pt>
                <c:pt idx="598">
                  <c:v>-2.3631501095979014E-4</c:v>
                </c:pt>
                <c:pt idx="599">
                  <c:v>-1.1440078647411744E-4</c:v>
                </c:pt>
                <c:pt idx="600">
                  <c:v>-2.3714178682093391E-4</c:v>
                </c:pt>
                <c:pt idx="601">
                  <c:v>-8.5529575731001712E-6</c:v>
                </c:pt>
                <c:pt idx="602">
                  <c:v>-3.0973122280339346E-4</c:v>
                </c:pt>
                <c:pt idx="603">
                  <c:v>3.7305201423942493E-4</c:v>
                </c:pt>
                <c:pt idx="604">
                  <c:v>6.1268946854522654E-5</c:v>
                </c:pt>
                <c:pt idx="605">
                  <c:v>-3.113803625372707E-4</c:v>
                </c:pt>
                <c:pt idx="606">
                  <c:v>-1.3343850004737638E-4</c:v>
                </c:pt>
                <c:pt idx="607">
                  <c:v>-5.8016390404637863E-4</c:v>
                </c:pt>
                <c:pt idx="608">
                  <c:v>-8.7549562888139239E-4</c:v>
                </c:pt>
                <c:pt idx="609">
                  <c:v>-7.2485473204692312E-4</c:v>
                </c:pt>
                <c:pt idx="610">
                  <c:v>-5.2016148442712356E-6</c:v>
                </c:pt>
                <c:pt idx="611">
                  <c:v>-1.1899527092142322E-4</c:v>
                </c:pt>
                <c:pt idx="612">
                  <c:v>3.3536307993984547E-4</c:v>
                </c:pt>
                <c:pt idx="613">
                  <c:v>5.4876417493905519E-4</c:v>
                </c:pt>
                <c:pt idx="614">
                  <c:v>-4.602069014288755E-4</c:v>
                </c:pt>
                <c:pt idx="615">
                  <c:v>-3.1886769206640339E-4</c:v>
                </c:pt>
                <c:pt idx="616">
                  <c:v>3.1135355687417638E-4</c:v>
                </c:pt>
                <c:pt idx="617">
                  <c:v>7.3130376589287423E-5</c:v>
                </c:pt>
                <c:pt idx="618">
                  <c:v>1.0132878028736849E-3</c:v>
                </c:pt>
                <c:pt idx="619">
                  <c:v>-6.8600901929912286E-4</c:v>
                </c:pt>
                <c:pt idx="620">
                  <c:v>-7.2136751399377896E-4</c:v>
                </c:pt>
                <c:pt idx="621">
                  <c:v>3.8545347693750746E-4</c:v>
                </c:pt>
                <c:pt idx="622">
                  <c:v>6.9205388672380103E-4</c:v>
                </c:pt>
                <c:pt idx="623">
                  <c:v>-3.8641252206217977E-4</c:v>
                </c:pt>
                <c:pt idx="624">
                  <c:v>-1.272110411109783E-4</c:v>
                </c:pt>
                <c:pt idx="625">
                  <c:v>3.863016642417596E-4</c:v>
                </c:pt>
                <c:pt idx="626">
                  <c:v>-8.579503023507072E-4</c:v>
                </c:pt>
                <c:pt idx="627">
                  <c:v>-8.2461068271743752E-4</c:v>
                </c:pt>
                <c:pt idx="628">
                  <c:v>-4.0307743248431621E-4</c:v>
                </c:pt>
                <c:pt idx="629">
                  <c:v>5.2060250158671053E-5</c:v>
                </c:pt>
                <c:pt idx="630">
                  <c:v>1.4089186039017003E-4</c:v>
                </c:pt>
                <c:pt idx="631">
                  <c:v>-5.7647413373390014E-4</c:v>
                </c:pt>
                <c:pt idx="632">
                  <c:v>-1.1035858160787016E-4</c:v>
                </c:pt>
                <c:pt idx="633">
                  <c:v>6.357651856753818E-4</c:v>
                </c:pt>
                <c:pt idx="634">
                  <c:v>1.0185383430076948E-3</c:v>
                </c:pt>
                <c:pt idx="635">
                  <c:v>-2.1391640652856225E-4</c:v>
                </c:pt>
                <c:pt idx="636">
                  <c:v>5.0277191397682559E-4</c:v>
                </c:pt>
                <c:pt idx="637">
                  <c:v>6.2061449534901397E-5</c:v>
                </c:pt>
                <c:pt idx="638">
                  <c:v>-2.3647469395924963E-4</c:v>
                </c:pt>
                <c:pt idx="639">
                  <c:v>-2.3514739258679036E-4</c:v>
                </c:pt>
                <c:pt idx="640">
                  <c:v>3.4608179202588464E-4</c:v>
                </c:pt>
                <c:pt idx="641">
                  <c:v>1.3940674394043533E-3</c:v>
                </c:pt>
                <c:pt idx="642">
                  <c:v>5.3283523403873084E-4</c:v>
                </c:pt>
                <c:pt idx="643">
                  <c:v>-6.1420441995893831E-4</c:v>
                </c:pt>
                <c:pt idx="644">
                  <c:v>-1.4685809307864479E-5</c:v>
                </c:pt>
                <c:pt idx="645">
                  <c:v>4.6708534708873043E-4</c:v>
                </c:pt>
                <c:pt idx="646">
                  <c:v>-2.302889162512411E-4</c:v>
                </c:pt>
                <c:pt idx="647">
                  <c:v>3.3022449277136733E-4</c:v>
                </c:pt>
                <c:pt idx="648">
                  <c:v>-4.0271039654642566E-4</c:v>
                </c:pt>
                <c:pt idx="649">
                  <c:v>-1.2048803892547549E-3</c:v>
                </c:pt>
                <c:pt idx="650">
                  <c:v>1.0929944111227458E-4</c:v>
                </c:pt>
                <c:pt idx="651">
                  <c:v>-9.1131096238892628E-4</c:v>
                </c:pt>
                <c:pt idx="652">
                  <c:v>3.8717631260659771E-4</c:v>
                </c:pt>
                <c:pt idx="653">
                  <c:v>-5.7551830168800098E-4</c:v>
                </c:pt>
                <c:pt idx="654">
                  <c:v>-2.2445179124096538E-4</c:v>
                </c:pt>
                <c:pt idx="655">
                  <c:v>1.7758428590844015E-4</c:v>
                </c:pt>
                <c:pt idx="656">
                  <c:v>-1.4252642056371111E-4</c:v>
                </c:pt>
                <c:pt idx="657">
                  <c:v>3.2940959908646161E-4</c:v>
                </c:pt>
                <c:pt idx="658">
                  <c:v>-2.0085803381540211E-4</c:v>
                </c:pt>
                <c:pt idx="659">
                  <c:v>-2.5787312825854028E-4</c:v>
                </c:pt>
                <c:pt idx="660">
                  <c:v>7.1966864213179535E-4</c:v>
                </c:pt>
                <c:pt idx="661">
                  <c:v>1.2754592196834082E-4</c:v>
                </c:pt>
                <c:pt idx="662">
                  <c:v>1.3094131895110268E-4</c:v>
                </c:pt>
                <c:pt idx="663">
                  <c:v>-9.0861802804975353E-5</c:v>
                </c:pt>
                <c:pt idx="664">
                  <c:v>-1.1880821782469489E-3</c:v>
                </c:pt>
                <c:pt idx="665">
                  <c:v>9.5233446842544534E-5</c:v>
                </c:pt>
                <c:pt idx="666">
                  <c:v>5.1500402271655184E-4</c:v>
                </c:pt>
                <c:pt idx="667">
                  <c:v>5.6432571328730093E-4</c:v>
                </c:pt>
                <c:pt idx="668">
                  <c:v>-2.149953402797318E-4</c:v>
                </c:pt>
                <c:pt idx="669">
                  <c:v>1.9466710882527495E-4</c:v>
                </c:pt>
                <c:pt idx="670">
                  <c:v>-8.0979952113579775E-4</c:v>
                </c:pt>
                <c:pt idx="671">
                  <c:v>-1.7150471307149517E-5</c:v>
                </c:pt>
                <c:pt idx="672">
                  <c:v>3.829741038762628E-4</c:v>
                </c:pt>
                <c:pt idx="673">
                  <c:v>4.9453834566677416E-4</c:v>
                </c:pt>
                <c:pt idx="674">
                  <c:v>4.8389966819358302E-4</c:v>
                </c:pt>
                <c:pt idx="675">
                  <c:v>8.462682938410027E-5</c:v>
                </c:pt>
                <c:pt idx="676">
                  <c:v>-3.8461665806491866E-5</c:v>
                </c:pt>
                <c:pt idx="677">
                  <c:v>-2.4266679176876307E-5</c:v>
                </c:pt>
                <c:pt idx="678">
                  <c:v>6.4609286334549993E-4</c:v>
                </c:pt>
                <c:pt idx="679">
                  <c:v>1.7596846317564484E-4</c:v>
                </c:pt>
                <c:pt idx="680">
                  <c:v>-3.9031466942226925E-4</c:v>
                </c:pt>
                <c:pt idx="681">
                  <c:v>3.8730910889528918E-4</c:v>
                </c:pt>
                <c:pt idx="682">
                  <c:v>6.6182840045585299E-4</c:v>
                </c:pt>
                <c:pt idx="683">
                  <c:v>-2.3394664334736807E-4</c:v>
                </c:pt>
                <c:pt idx="684">
                  <c:v>-1.9475326668529723E-4</c:v>
                </c:pt>
                <c:pt idx="685">
                  <c:v>7.1417009295669906E-4</c:v>
                </c:pt>
                <c:pt idx="686">
                  <c:v>-3.0963739594810712E-4</c:v>
                </c:pt>
                <c:pt idx="687">
                  <c:v>-7.6416169043155412E-4</c:v>
                </c:pt>
                <c:pt idx="688">
                  <c:v>-1.4327562933730802E-4</c:v>
                </c:pt>
                <c:pt idx="689">
                  <c:v>7.1901804827046085E-4</c:v>
                </c:pt>
                <c:pt idx="690">
                  <c:v>5.0207836459412658E-4</c:v>
                </c:pt>
                <c:pt idx="691">
                  <c:v>-6.9459993582148623E-4</c:v>
                </c:pt>
                <c:pt idx="692">
                  <c:v>1.9585648353519821E-4</c:v>
                </c:pt>
                <c:pt idx="693">
                  <c:v>4.1023038859936225E-4</c:v>
                </c:pt>
                <c:pt idx="694">
                  <c:v>-3.1099749801489666E-4</c:v>
                </c:pt>
                <c:pt idx="695">
                  <c:v>6.0095509432544488E-5</c:v>
                </c:pt>
                <c:pt idx="696">
                  <c:v>4.8311371544982191E-4</c:v>
                </c:pt>
                <c:pt idx="697">
                  <c:v>-6.8765801482889393E-4</c:v>
                </c:pt>
                <c:pt idx="698">
                  <c:v>-6.7826346976645362E-4</c:v>
                </c:pt>
                <c:pt idx="699">
                  <c:v>-7.2162231312553087E-5</c:v>
                </c:pt>
                <c:pt idx="700">
                  <c:v>-9.8037387668408111E-4</c:v>
                </c:pt>
                <c:pt idx="701">
                  <c:v>3.428165262235429E-4</c:v>
                </c:pt>
                <c:pt idx="702">
                  <c:v>7.2252647154620359E-4</c:v>
                </c:pt>
                <c:pt idx="703">
                  <c:v>6.4879694224108809E-4</c:v>
                </c:pt>
                <c:pt idx="704">
                  <c:v>-1.2455198192634157E-5</c:v>
                </c:pt>
                <c:pt idx="705">
                  <c:v>9.4259598318252797E-4</c:v>
                </c:pt>
                <c:pt idx="706">
                  <c:v>9.776739990408031E-5</c:v>
                </c:pt>
                <c:pt idx="707">
                  <c:v>5.2504981406266448E-4</c:v>
                </c:pt>
                <c:pt idx="708">
                  <c:v>-1.4275455238354612E-5</c:v>
                </c:pt>
                <c:pt idx="709">
                  <c:v>-5.7942335592878202E-4</c:v>
                </c:pt>
                <c:pt idx="710">
                  <c:v>-2.211599406788431E-4</c:v>
                </c:pt>
                <c:pt idx="711">
                  <c:v>5.8438214399515807E-4</c:v>
                </c:pt>
                <c:pt idx="712">
                  <c:v>-5.4644123562962144E-4</c:v>
                </c:pt>
                <c:pt idx="713">
                  <c:v>6.3421386520437473E-4</c:v>
                </c:pt>
                <c:pt idx="714">
                  <c:v>-4.3699657523213177E-4</c:v>
                </c:pt>
                <c:pt idx="715">
                  <c:v>-4.3580681813943126E-5</c:v>
                </c:pt>
                <c:pt idx="716">
                  <c:v>1.0169261587833762E-3</c:v>
                </c:pt>
                <c:pt idx="717">
                  <c:v>-3.7605215951048607E-4</c:v>
                </c:pt>
                <c:pt idx="718">
                  <c:v>2.0162693759643262E-4</c:v>
                </c:pt>
                <c:pt idx="719">
                  <c:v>-5.7544281608991541E-5</c:v>
                </c:pt>
                <c:pt idx="720">
                  <c:v>-2.7923579753388964E-4</c:v>
                </c:pt>
                <c:pt idx="721">
                  <c:v>-1.125187355161055E-3</c:v>
                </c:pt>
                <c:pt idx="722">
                  <c:v>-1.6339144912944924E-4</c:v>
                </c:pt>
                <c:pt idx="723">
                  <c:v>-6.8849642495822847E-4</c:v>
                </c:pt>
                <c:pt idx="724">
                  <c:v>8.2213476793131161E-5</c:v>
                </c:pt>
                <c:pt idx="725">
                  <c:v>-7.2091934198071305E-4</c:v>
                </c:pt>
                <c:pt idx="726">
                  <c:v>-4.4252558257252232E-4</c:v>
                </c:pt>
                <c:pt idx="727">
                  <c:v>-3.8191780930335026E-4</c:v>
                </c:pt>
                <c:pt idx="728">
                  <c:v>-4.0845791046264975E-4</c:v>
                </c:pt>
                <c:pt idx="729">
                  <c:v>6.0199856460121747E-5</c:v>
                </c:pt>
                <c:pt idx="730">
                  <c:v>3.2386453789657688E-4</c:v>
                </c:pt>
                <c:pt idx="731">
                  <c:v>5.6577164620338601E-4</c:v>
                </c:pt>
                <c:pt idx="732">
                  <c:v>4.2019677476998082E-4</c:v>
                </c:pt>
                <c:pt idx="733">
                  <c:v>-5.5137356353761506E-5</c:v>
                </c:pt>
                <c:pt idx="734">
                  <c:v>-9.8961358177105958E-4</c:v>
                </c:pt>
                <c:pt idx="735">
                  <c:v>-3.0738685073166083E-4</c:v>
                </c:pt>
                <c:pt idx="736">
                  <c:v>-4.6012025047846718E-4</c:v>
                </c:pt>
                <c:pt idx="737">
                  <c:v>3.7170214197759766E-4</c:v>
                </c:pt>
                <c:pt idx="738">
                  <c:v>-2.8805894652515404E-4</c:v>
                </c:pt>
                <c:pt idx="739">
                  <c:v>-4.4712611001053622E-6</c:v>
                </c:pt>
                <c:pt idx="740">
                  <c:v>-5.4897196088061692E-4</c:v>
                </c:pt>
                <c:pt idx="741">
                  <c:v>-4.1688356682804538E-4</c:v>
                </c:pt>
                <c:pt idx="742">
                  <c:v>-3.9171038129850349E-4</c:v>
                </c:pt>
                <c:pt idx="743">
                  <c:v>-6.3838951510541769E-4</c:v>
                </c:pt>
                <c:pt idx="744">
                  <c:v>-1.5920779068125511E-4</c:v>
                </c:pt>
                <c:pt idx="745">
                  <c:v>-2.8348979521039099E-5</c:v>
                </c:pt>
                <c:pt idx="746">
                  <c:v>3.5149015471521621E-4</c:v>
                </c:pt>
                <c:pt idx="747">
                  <c:v>-1.5969165172266742E-4</c:v>
                </c:pt>
                <c:pt idx="748">
                  <c:v>-2.8912093652040969E-4</c:v>
                </c:pt>
                <c:pt idx="749">
                  <c:v>-4.0804085571454617E-5</c:v>
                </c:pt>
                <c:pt idx="750">
                  <c:v>-5.9622395863646405E-4</c:v>
                </c:pt>
                <c:pt idx="751">
                  <c:v>6.1257895883389587E-4</c:v>
                </c:pt>
                <c:pt idx="752">
                  <c:v>-1.059148097639258E-3</c:v>
                </c:pt>
                <c:pt idx="753">
                  <c:v>-1.2985132247121335E-3</c:v>
                </c:pt>
                <c:pt idx="754">
                  <c:v>-1.4296269498531144E-3</c:v>
                </c:pt>
                <c:pt idx="755">
                  <c:v>-7.3647118238381925E-4</c:v>
                </c:pt>
                <c:pt idx="756">
                  <c:v>-4.1477032970371389E-4</c:v>
                </c:pt>
                <c:pt idx="757">
                  <c:v>-6.2052379475732364E-4</c:v>
                </c:pt>
                <c:pt idx="758">
                  <c:v>-4.8170865190936616E-5</c:v>
                </c:pt>
                <c:pt idx="759">
                  <c:v>-5.5439777305264983E-5</c:v>
                </c:pt>
                <c:pt idx="760">
                  <c:v>3.3677328887319599E-4</c:v>
                </c:pt>
                <c:pt idx="761">
                  <c:v>-3.328499738253741E-4</c:v>
                </c:pt>
                <c:pt idx="762">
                  <c:v>6.4829297119525623E-5</c:v>
                </c:pt>
                <c:pt idx="763">
                  <c:v>-1.6174273452327441E-4</c:v>
                </c:pt>
                <c:pt idx="764">
                  <c:v>-4.9273906228284084E-4</c:v>
                </c:pt>
                <c:pt idx="765">
                  <c:v>2.3990105377591538E-4</c:v>
                </c:pt>
                <c:pt idx="766">
                  <c:v>1.0012408951724837E-5</c:v>
                </c:pt>
                <c:pt idx="767">
                  <c:v>-4.5807447756366542E-4</c:v>
                </c:pt>
                <c:pt idx="768">
                  <c:v>-2.6895052414362217E-5</c:v>
                </c:pt>
                <c:pt idx="769">
                  <c:v>5.6325214518786572E-4</c:v>
                </c:pt>
                <c:pt idx="770">
                  <c:v>8.3117095183769178E-4</c:v>
                </c:pt>
                <c:pt idx="771">
                  <c:v>1.474161700908185E-4</c:v>
                </c:pt>
                <c:pt idx="772">
                  <c:v>-3.7523752413203882E-4</c:v>
                </c:pt>
                <c:pt idx="773">
                  <c:v>3.6016821929971837E-4</c:v>
                </c:pt>
                <c:pt idx="774">
                  <c:v>-9.2968412778475734E-4</c:v>
                </c:pt>
                <c:pt idx="775">
                  <c:v>7.7560393652210624E-5</c:v>
                </c:pt>
                <c:pt idx="776">
                  <c:v>-8.1740017076337927E-4</c:v>
                </c:pt>
                <c:pt idx="777">
                  <c:v>-1.8017587323265576E-4</c:v>
                </c:pt>
                <c:pt idx="778">
                  <c:v>-3.5084235070115494E-4</c:v>
                </c:pt>
                <c:pt idx="779">
                  <c:v>6.1385561866890957E-4</c:v>
                </c:pt>
                <c:pt idx="780">
                  <c:v>4.9441769661559247E-5</c:v>
                </c:pt>
                <c:pt idx="781">
                  <c:v>3.254733985474463E-4</c:v>
                </c:pt>
                <c:pt idx="782">
                  <c:v>4.2625702897798406E-4</c:v>
                </c:pt>
                <c:pt idx="783">
                  <c:v>1.9727543592849533E-4</c:v>
                </c:pt>
                <c:pt idx="784">
                  <c:v>4.2947064523881051E-4</c:v>
                </c:pt>
                <c:pt idx="785">
                  <c:v>3.3684124752713529E-5</c:v>
                </c:pt>
                <c:pt idx="786">
                  <c:v>9.4892978414546307E-5</c:v>
                </c:pt>
                <c:pt idx="787">
                  <c:v>-7.0529386731741023E-4</c:v>
                </c:pt>
                <c:pt idx="788">
                  <c:v>-2.2823596781985117E-4</c:v>
                </c:pt>
                <c:pt idx="789">
                  <c:v>5.7715646324762592E-4</c:v>
                </c:pt>
                <c:pt idx="790">
                  <c:v>2.385744258104523E-4</c:v>
                </c:pt>
                <c:pt idx="791">
                  <c:v>-6.5651005320420701E-4</c:v>
                </c:pt>
                <c:pt idx="792">
                  <c:v>3.0999844707523097E-4</c:v>
                </c:pt>
                <c:pt idx="793">
                  <c:v>-3.632780355073801E-4</c:v>
                </c:pt>
                <c:pt idx="794">
                  <c:v>-1.4590909600740588E-3</c:v>
                </c:pt>
                <c:pt idx="795">
                  <c:v>7.3455250946214334E-4</c:v>
                </c:pt>
                <c:pt idx="796">
                  <c:v>-8.7019811631512935E-5</c:v>
                </c:pt>
                <c:pt idx="797">
                  <c:v>4.3512462813769925E-4</c:v>
                </c:pt>
                <c:pt idx="798">
                  <c:v>5.5683216714024679E-4</c:v>
                </c:pt>
                <c:pt idx="799">
                  <c:v>2.1695897067842314E-4</c:v>
                </c:pt>
                <c:pt idx="800">
                  <c:v>6.5395840500120136E-4</c:v>
                </c:pt>
                <c:pt idx="801">
                  <c:v>5.5711505077608804E-4</c:v>
                </c:pt>
                <c:pt idx="802">
                  <c:v>1.2787421976591061E-3</c:v>
                </c:pt>
                <c:pt idx="803">
                  <c:v>4.3960345597567085E-4</c:v>
                </c:pt>
                <c:pt idx="804">
                  <c:v>-6.2196996931340785E-4</c:v>
                </c:pt>
                <c:pt idx="805">
                  <c:v>-1.9286207934863351E-4</c:v>
                </c:pt>
                <c:pt idx="806">
                  <c:v>6.105439931749473E-4</c:v>
                </c:pt>
                <c:pt idx="807">
                  <c:v>-2.2255648221013643E-4</c:v>
                </c:pt>
                <c:pt idx="808">
                  <c:v>-1.9695318688886865E-4</c:v>
                </c:pt>
                <c:pt idx="809">
                  <c:v>1.1611555644674169E-3</c:v>
                </c:pt>
                <c:pt idx="810">
                  <c:v>1.0334964908117739E-3</c:v>
                </c:pt>
                <c:pt idx="811">
                  <c:v>-5.2432090831569045E-4</c:v>
                </c:pt>
                <c:pt idx="812">
                  <c:v>-7.5250887889210117E-4</c:v>
                </c:pt>
                <c:pt idx="813">
                  <c:v>5.6503785797827871E-4</c:v>
                </c:pt>
                <c:pt idx="814">
                  <c:v>-2.3065669403693993E-4</c:v>
                </c:pt>
                <c:pt idx="815">
                  <c:v>-1.7660988915215828E-4</c:v>
                </c:pt>
                <c:pt idx="816">
                  <c:v>3.2369057041821338E-4</c:v>
                </c:pt>
                <c:pt idx="817">
                  <c:v>-4.5030002510864048E-4</c:v>
                </c:pt>
                <c:pt idx="818">
                  <c:v>7.730190913314821E-4</c:v>
                </c:pt>
                <c:pt idx="819">
                  <c:v>4.2144183085489779E-4</c:v>
                </c:pt>
                <c:pt idx="820">
                  <c:v>4.1382471760095514E-4</c:v>
                </c:pt>
                <c:pt idx="821">
                  <c:v>5.4054987245436589E-4</c:v>
                </c:pt>
                <c:pt idx="822">
                  <c:v>1.8146952405225644E-4</c:v>
                </c:pt>
                <c:pt idx="823">
                  <c:v>1.1289988709366823E-3</c:v>
                </c:pt>
                <c:pt idx="824">
                  <c:v>6.322810937768352E-4</c:v>
                </c:pt>
                <c:pt idx="825">
                  <c:v>-8.365053216558251E-4</c:v>
                </c:pt>
                <c:pt idx="826">
                  <c:v>3.5528707642050857E-4</c:v>
                </c:pt>
                <c:pt idx="827">
                  <c:v>-5.4738663629400771E-5</c:v>
                </c:pt>
                <c:pt idx="828">
                  <c:v>-1.2508567584065095E-4</c:v>
                </c:pt>
                <c:pt idx="829">
                  <c:v>2.27285865037868E-4</c:v>
                </c:pt>
                <c:pt idx="830">
                  <c:v>-1.1779242431064546E-3</c:v>
                </c:pt>
                <c:pt idx="831">
                  <c:v>4.9835875275683361E-4</c:v>
                </c:pt>
                <c:pt idx="832">
                  <c:v>-5.6335395013276343E-4</c:v>
                </c:pt>
                <c:pt idx="833">
                  <c:v>6.2929794044587657E-4</c:v>
                </c:pt>
                <c:pt idx="834">
                  <c:v>2.7399380522472586E-4</c:v>
                </c:pt>
                <c:pt idx="835">
                  <c:v>-7.4581829975267091E-4</c:v>
                </c:pt>
                <c:pt idx="836">
                  <c:v>-9.0288297145727424E-6</c:v>
                </c:pt>
                <c:pt idx="837">
                  <c:v>5.0302666162511099E-4</c:v>
                </c:pt>
                <c:pt idx="838">
                  <c:v>7.8849894638170694E-4</c:v>
                </c:pt>
                <c:pt idx="839">
                  <c:v>-2.0030691436609063E-4</c:v>
                </c:pt>
                <c:pt idx="840">
                  <c:v>8.7167073055959354E-5</c:v>
                </c:pt>
                <c:pt idx="841">
                  <c:v>-1.0069300273708864E-3</c:v>
                </c:pt>
                <c:pt idx="842">
                  <c:v>-5.798977103089539E-5</c:v>
                </c:pt>
                <c:pt idx="843">
                  <c:v>5.2371534364161973E-4</c:v>
                </c:pt>
                <c:pt idx="844">
                  <c:v>-5.8171941918038937E-4</c:v>
                </c:pt>
                <c:pt idx="845">
                  <c:v>5.8055373837245631E-4</c:v>
                </c:pt>
                <c:pt idx="846">
                  <c:v>1.0576094613778916E-3</c:v>
                </c:pt>
                <c:pt idx="847">
                  <c:v>4.2464113300960595E-4</c:v>
                </c:pt>
                <c:pt idx="848">
                  <c:v>2.4695875275611686E-4</c:v>
                </c:pt>
                <c:pt idx="849">
                  <c:v>-4.1053260308566438E-4</c:v>
                </c:pt>
                <c:pt idx="850">
                  <c:v>1.8552052554146999E-4</c:v>
                </c:pt>
                <c:pt idx="851">
                  <c:v>5.7481431579770818E-4</c:v>
                </c:pt>
                <c:pt idx="852">
                  <c:v>-5.0158781406942922E-4</c:v>
                </c:pt>
                <c:pt idx="853">
                  <c:v>1.132471446244394E-3</c:v>
                </c:pt>
                <c:pt idx="854">
                  <c:v>-1.0855664472892644E-4</c:v>
                </c:pt>
                <c:pt idx="855">
                  <c:v>-1.4750484385274589E-4</c:v>
                </c:pt>
                <c:pt idx="856">
                  <c:v>3.7947179710502726E-4</c:v>
                </c:pt>
                <c:pt idx="857">
                  <c:v>3.113392774067244E-5</c:v>
                </c:pt>
                <c:pt idx="858">
                  <c:v>1.5064993456421658E-4</c:v>
                </c:pt>
                <c:pt idx="859">
                  <c:v>-5.3190371730530491E-4</c:v>
                </c:pt>
                <c:pt idx="860">
                  <c:v>1.4556114393615881E-4</c:v>
                </c:pt>
                <c:pt idx="861">
                  <c:v>-3.4616785652705412E-4</c:v>
                </c:pt>
                <c:pt idx="862">
                  <c:v>3.7743401030214066E-4</c:v>
                </c:pt>
                <c:pt idx="863">
                  <c:v>5.5027184091202453E-5</c:v>
                </c:pt>
                <c:pt idx="864">
                  <c:v>-4.9916001781574249E-4</c:v>
                </c:pt>
                <c:pt idx="865">
                  <c:v>5.6512700823011734E-4</c:v>
                </c:pt>
                <c:pt idx="866">
                  <c:v>-6.5152825850485767E-4</c:v>
                </c:pt>
                <c:pt idx="867">
                  <c:v>5.8739853810978312E-4</c:v>
                </c:pt>
                <c:pt idx="868">
                  <c:v>5.7644465908976613E-5</c:v>
                </c:pt>
                <c:pt idx="869">
                  <c:v>-7.1395604275112211E-5</c:v>
                </c:pt>
                <c:pt idx="870">
                  <c:v>-8.4161845767043132E-4</c:v>
                </c:pt>
                <c:pt idx="871">
                  <c:v>-3.8166733086854483E-4</c:v>
                </c:pt>
                <c:pt idx="872">
                  <c:v>-7.0065488529123582E-4</c:v>
                </c:pt>
                <c:pt idx="873">
                  <c:v>2.6798437941944099E-4</c:v>
                </c:pt>
                <c:pt idx="874">
                  <c:v>-5.8567017228829588E-4</c:v>
                </c:pt>
                <c:pt idx="875">
                  <c:v>-4.7867968496836716E-4</c:v>
                </c:pt>
                <c:pt idx="876">
                  <c:v>9.0321226331526708E-4</c:v>
                </c:pt>
                <c:pt idx="877">
                  <c:v>-2.6464312447940628E-4</c:v>
                </c:pt>
                <c:pt idx="878">
                  <c:v>-5.3927535743574135E-4</c:v>
                </c:pt>
                <c:pt idx="879">
                  <c:v>-2.9625973153254927E-4</c:v>
                </c:pt>
                <c:pt idx="880">
                  <c:v>1.0111081659338728E-4</c:v>
                </c:pt>
                <c:pt idx="881">
                  <c:v>-2.708863352896421E-4</c:v>
                </c:pt>
                <c:pt idx="882">
                  <c:v>-8.992386622317629E-5</c:v>
                </c:pt>
                <c:pt idx="883">
                  <c:v>-4.6457374439744448E-5</c:v>
                </c:pt>
                <c:pt idx="884">
                  <c:v>-6.8336731423128188E-4</c:v>
                </c:pt>
                <c:pt idx="885">
                  <c:v>-8.4085128305868705E-4</c:v>
                </c:pt>
                <c:pt idx="886">
                  <c:v>7.6810238886690601E-4</c:v>
                </c:pt>
                <c:pt idx="887">
                  <c:v>-1.8591385022325235E-4</c:v>
                </c:pt>
                <c:pt idx="888">
                  <c:v>-1.2109380708556281E-4</c:v>
                </c:pt>
                <c:pt idx="889">
                  <c:v>2.2821574929158585E-4</c:v>
                </c:pt>
                <c:pt idx="890">
                  <c:v>-2.4083529666616248E-5</c:v>
                </c:pt>
                <c:pt idx="891">
                  <c:v>2.2058998305329083E-4</c:v>
                </c:pt>
                <c:pt idx="892">
                  <c:v>-7.0483966056786253E-5</c:v>
                </c:pt>
                <c:pt idx="893">
                  <c:v>5.120247844634003E-4</c:v>
                </c:pt>
                <c:pt idx="894">
                  <c:v>6.2545533943622318E-4</c:v>
                </c:pt>
                <c:pt idx="895">
                  <c:v>6.5352963893995327E-4</c:v>
                </c:pt>
                <c:pt idx="896">
                  <c:v>1.122270199126282E-3</c:v>
                </c:pt>
                <c:pt idx="897">
                  <c:v>3.25679325694585E-5</c:v>
                </c:pt>
                <c:pt idx="898">
                  <c:v>9.9051969583375357E-6</c:v>
                </c:pt>
                <c:pt idx="899">
                  <c:v>3.7961601113944575E-5</c:v>
                </c:pt>
                <c:pt idx="900">
                  <c:v>-3.3215339572115508E-4</c:v>
                </c:pt>
                <c:pt idx="901">
                  <c:v>-2.3773862830219297E-4</c:v>
                </c:pt>
                <c:pt idx="902">
                  <c:v>-4.1463328930522645E-4</c:v>
                </c:pt>
                <c:pt idx="903">
                  <c:v>5.2375807877212914E-5</c:v>
                </c:pt>
                <c:pt idx="904">
                  <c:v>-1.0990080920855459E-4</c:v>
                </c:pt>
                <c:pt idx="905">
                  <c:v>-3.2131483400159918E-4</c:v>
                </c:pt>
                <c:pt idx="906">
                  <c:v>-2.3012316357903749E-4</c:v>
                </c:pt>
                <c:pt idx="907">
                  <c:v>-3.0694792691049504E-4</c:v>
                </c:pt>
                <c:pt idx="908">
                  <c:v>-2.8058791848163488E-4</c:v>
                </c:pt>
                <c:pt idx="909">
                  <c:v>-2.1882268438122755E-4</c:v>
                </c:pt>
                <c:pt idx="910">
                  <c:v>-7.2563133690290262E-4</c:v>
                </c:pt>
                <c:pt idx="911">
                  <c:v>5.4191084958157918E-4</c:v>
                </c:pt>
                <c:pt idx="912">
                  <c:v>2.3608911429534983E-4</c:v>
                </c:pt>
                <c:pt idx="913">
                  <c:v>3.275601214706441E-4</c:v>
                </c:pt>
                <c:pt idx="914">
                  <c:v>-9.3348106956968617E-4</c:v>
                </c:pt>
                <c:pt idx="915">
                  <c:v>2.4244519875100856E-4</c:v>
                </c:pt>
                <c:pt idx="916">
                  <c:v>-1.7021723769615991E-4</c:v>
                </c:pt>
                <c:pt idx="917">
                  <c:v>2.3390110113506957E-4</c:v>
                </c:pt>
                <c:pt idx="918">
                  <c:v>2.3382838425694711E-4</c:v>
                </c:pt>
                <c:pt idx="919">
                  <c:v>2.3654529051487873E-4</c:v>
                </c:pt>
                <c:pt idx="920">
                  <c:v>4.6482120272436288E-4</c:v>
                </c:pt>
                <c:pt idx="921">
                  <c:v>-2.8401088311548429E-4</c:v>
                </c:pt>
                <c:pt idx="922">
                  <c:v>1.7174619534666264E-4</c:v>
                </c:pt>
                <c:pt idx="923">
                  <c:v>3.560290657059788E-4</c:v>
                </c:pt>
                <c:pt idx="924">
                  <c:v>-4.3722898242315504E-4</c:v>
                </c:pt>
                <c:pt idx="925">
                  <c:v>-5.9213910613241003E-4</c:v>
                </c:pt>
                <c:pt idx="926">
                  <c:v>-1.0620122282332007E-4</c:v>
                </c:pt>
                <c:pt idx="927">
                  <c:v>9.8075026353893402E-4</c:v>
                </c:pt>
                <c:pt idx="928">
                  <c:v>7.84333640478039E-4</c:v>
                </c:pt>
                <c:pt idx="929">
                  <c:v>4.0670531000840826E-4</c:v>
                </c:pt>
                <c:pt idx="930">
                  <c:v>-4.9006433554063701E-5</c:v>
                </c:pt>
                <c:pt idx="931">
                  <c:v>1.681736180651354E-5</c:v>
                </c:pt>
                <c:pt idx="932">
                  <c:v>-1.4162288472346489E-4</c:v>
                </c:pt>
                <c:pt idx="933">
                  <c:v>3.1978729165796176E-4</c:v>
                </c:pt>
                <c:pt idx="934">
                  <c:v>2.4893038702491924E-4</c:v>
                </c:pt>
                <c:pt idx="935">
                  <c:v>-5.5719342120093736E-5</c:v>
                </c:pt>
                <c:pt idx="936">
                  <c:v>8.2832768642510991E-4</c:v>
                </c:pt>
                <c:pt idx="937">
                  <c:v>4.1889975196832973E-5</c:v>
                </c:pt>
                <c:pt idx="938">
                  <c:v>1.471477791567992E-4</c:v>
                </c:pt>
                <c:pt idx="939">
                  <c:v>-4.6382002554664178E-4</c:v>
                </c:pt>
                <c:pt idx="940">
                  <c:v>-4.3923080798733034E-4</c:v>
                </c:pt>
                <c:pt idx="941">
                  <c:v>3.5343424449478593E-4</c:v>
                </c:pt>
                <c:pt idx="942">
                  <c:v>-3.1204198225145887E-4</c:v>
                </c:pt>
                <c:pt idx="943">
                  <c:v>4.456054758871408E-4</c:v>
                </c:pt>
                <c:pt idx="944">
                  <c:v>1.569299401534267E-4</c:v>
                </c:pt>
                <c:pt idx="945">
                  <c:v>-4.5208329569940999E-4</c:v>
                </c:pt>
                <c:pt idx="946">
                  <c:v>-4.1893479736690637E-4</c:v>
                </c:pt>
                <c:pt idx="947">
                  <c:v>5.8098308715807189E-5</c:v>
                </c:pt>
                <c:pt idx="948">
                  <c:v>3.6525963938647166E-4</c:v>
                </c:pt>
                <c:pt idx="949">
                  <c:v>-2.4054218258910028E-4</c:v>
                </c:pt>
                <c:pt idx="950">
                  <c:v>6.2981459831715192E-4</c:v>
                </c:pt>
                <c:pt idx="951">
                  <c:v>-5.6963572075693089E-4</c:v>
                </c:pt>
                <c:pt idx="952">
                  <c:v>5.8086246315725064E-4</c:v>
                </c:pt>
                <c:pt idx="953">
                  <c:v>5.4782446028315591E-4</c:v>
                </c:pt>
                <c:pt idx="954">
                  <c:v>-2.4735380536755592E-5</c:v>
                </c:pt>
                <c:pt idx="955">
                  <c:v>2.8990309707413702E-4</c:v>
                </c:pt>
                <c:pt idx="956">
                  <c:v>-1.0270774953036362E-3</c:v>
                </c:pt>
                <c:pt idx="957">
                  <c:v>-7.9283635420595894E-5</c:v>
                </c:pt>
                <c:pt idx="958">
                  <c:v>3.8126103335064406E-4</c:v>
                </c:pt>
                <c:pt idx="959">
                  <c:v>3.6027241000383077E-4</c:v>
                </c:pt>
                <c:pt idx="960">
                  <c:v>-1.9027671561781177E-4</c:v>
                </c:pt>
                <c:pt idx="961">
                  <c:v>2.0310523120742576E-4</c:v>
                </c:pt>
                <c:pt idx="962">
                  <c:v>9.5418526662203605E-4</c:v>
                </c:pt>
                <c:pt idx="963">
                  <c:v>7.7477889437992283E-5</c:v>
                </c:pt>
                <c:pt idx="964">
                  <c:v>5.8082488685760544E-4</c:v>
                </c:pt>
                <c:pt idx="965">
                  <c:v>-4.5696036758172105E-4</c:v>
                </c:pt>
                <c:pt idx="966">
                  <c:v>4.091619382677312E-4</c:v>
                </c:pt>
                <c:pt idx="967">
                  <c:v>-4.2898788998481537E-4</c:v>
                </c:pt>
                <c:pt idx="968">
                  <c:v>4.4538781302489003E-4</c:v>
                </c:pt>
                <c:pt idx="969">
                  <c:v>6.7346864530255768E-4</c:v>
                </c:pt>
                <c:pt idx="970">
                  <c:v>1.5635459539916174E-4</c:v>
                </c:pt>
                <c:pt idx="971">
                  <c:v>-1.7632683865344883E-4</c:v>
                </c:pt>
                <c:pt idx="972">
                  <c:v>8.4098111985621597E-4</c:v>
                </c:pt>
                <c:pt idx="973">
                  <c:v>-2.1129261178684159E-4</c:v>
                </c:pt>
                <c:pt idx="974">
                  <c:v>3.7162209316468517E-4</c:v>
                </c:pt>
                <c:pt idx="975">
                  <c:v>-1.3865759284244201E-4</c:v>
                </c:pt>
                <c:pt idx="976">
                  <c:v>1.0238671814054047E-3</c:v>
                </c:pt>
                <c:pt idx="977">
                  <c:v>1.6337313773853057E-4</c:v>
                </c:pt>
                <c:pt idx="978">
                  <c:v>1.2503554102260808E-3</c:v>
                </c:pt>
                <c:pt idx="979">
                  <c:v>5.1113301797629047E-4</c:v>
                </c:pt>
                <c:pt idx="980">
                  <c:v>6.3638986796412528E-4</c:v>
                </c:pt>
                <c:pt idx="981">
                  <c:v>-1.1167737279918979E-4</c:v>
                </c:pt>
                <c:pt idx="982">
                  <c:v>6.3803164471260617E-4</c:v>
                </c:pt>
                <c:pt idx="983">
                  <c:v>-1.8873165192414781E-5</c:v>
                </c:pt>
                <c:pt idx="984">
                  <c:v>-7.236976912654825E-4</c:v>
                </c:pt>
                <c:pt idx="985">
                  <c:v>7.9121129174557339E-5</c:v>
                </c:pt>
                <c:pt idx="986">
                  <c:v>1.6798283420693409E-4</c:v>
                </c:pt>
                <c:pt idx="987">
                  <c:v>-5.0402623516903721E-4</c:v>
                </c:pt>
                <c:pt idx="988">
                  <c:v>1.9217455709911381E-4</c:v>
                </c:pt>
                <c:pt idx="989">
                  <c:v>-5.8428228112135562E-5</c:v>
                </c:pt>
                <c:pt idx="990">
                  <c:v>5.6056802077189452E-4</c:v>
                </c:pt>
                <c:pt idx="991">
                  <c:v>1.345803800665726E-5</c:v>
                </c:pt>
                <c:pt idx="992">
                  <c:v>-3.2987775794881142E-4</c:v>
                </c:pt>
                <c:pt idx="993">
                  <c:v>-6.4084881811680831E-4</c:v>
                </c:pt>
                <c:pt idx="994">
                  <c:v>2.1027080418374776E-4</c:v>
                </c:pt>
                <c:pt idx="995">
                  <c:v>-2.8396955653070809E-4</c:v>
                </c:pt>
                <c:pt idx="996">
                  <c:v>2.776233428291068E-4</c:v>
                </c:pt>
                <c:pt idx="997">
                  <c:v>9.8347883897736591E-5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3E-4853-A16D-266C531B439D}"/>
            </c:ext>
          </c:extLst>
        </c:ser>
        <c:ser>
          <c:idx val="2"/>
          <c:order val="2"/>
          <c:tx>
            <c:strRef>
              <c:f>DATA!$AI$2</c:f>
              <c:strCache>
                <c:ptCount val="1"/>
                <c:pt idx="0">
                  <c:v>RETURN DATA 03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DATA!$AK$3:$AK$1000</c:f>
              <c:numCache>
                <c:formatCode>0.00%</c:formatCode>
                <c:ptCount val="998"/>
                <c:pt idx="0">
                  <c:v>-5.5293164088306569E-5</c:v>
                </c:pt>
                <c:pt idx="1">
                  <c:v>-1.3348752473357731E-4</c:v>
                </c:pt>
                <c:pt idx="2">
                  <c:v>-3.1538057352303128E-6</c:v>
                </c:pt>
                <c:pt idx="3">
                  <c:v>-1.2791877345564025E-4</c:v>
                </c:pt>
                <c:pt idx="4">
                  <c:v>-6.1724330542707237E-4</c:v>
                </c:pt>
                <c:pt idx="5">
                  <c:v>7.5469442305485144E-4</c:v>
                </c:pt>
                <c:pt idx="6">
                  <c:v>3.8798487354791371E-4</c:v>
                </c:pt>
                <c:pt idx="7">
                  <c:v>2.3077083643657824E-4</c:v>
                </c:pt>
                <c:pt idx="8">
                  <c:v>3.6803123832205306E-4</c:v>
                </c:pt>
                <c:pt idx="9">
                  <c:v>1.5279728424817481E-4</c:v>
                </c:pt>
                <c:pt idx="10">
                  <c:v>2.4978378200318655E-4</c:v>
                </c:pt>
                <c:pt idx="11">
                  <c:v>1.5856073644838705E-4</c:v>
                </c:pt>
                <c:pt idx="12">
                  <c:v>2.4755052556336415E-5</c:v>
                </c:pt>
                <c:pt idx="13">
                  <c:v>-3.5257847091617393E-4</c:v>
                </c:pt>
                <c:pt idx="14">
                  <c:v>4.4020607591803743E-4</c:v>
                </c:pt>
                <c:pt idx="15">
                  <c:v>6.7779266735097364E-5</c:v>
                </c:pt>
                <c:pt idx="16">
                  <c:v>4.0554955048706154E-4</c:v>
                </c:pt>
                <c:pt idx="17">
                  <c:v>8.4275684372555194E-4</c:v>
                </c:pt>
                <c:pt idx="18">
                  <c:v>-6.2188611926609547E-4</c:v>
                </c:pt>
                <c:pt idx="19">
                  <c:v>4.1305735606637044E-4</c:v>
                </c:pt>
                <c:pt idx="20">
                  <c:v>2.5336218315208527E-4</c:v>
                </c:pt>
                <c:pt idx="21">
                  <c:v>-9.0623243768334907E-5</c:v>
                </c:pt>
                <c:pt idx="22">
                  <c:v>4.892829127545312E-4</c:v>
                </c:pt>
                <c:pt idx="23">
                  <c:v>1.0297756572787089E-4</c:v>
                </c:pt>
                <c:pt idx="24">
                  <c:v>-3.5340584136053435E-4</c:v>
                </c:pt>
                <c:pt idx="25">
                  <c:v>-1.2819768716092241E-5</c:v>
                </c:pt>
                <c:pt idx="26">
                  <c:v>-2.7334249900591101E-4</c:v>
                </c:pt>
                <c:pt idx="27">
                  <c:v>5.3949899126404168E-4</c:v>
                </c:pt>
                <c:pt idx="28">
                  <c:v>-1.1300989625051947E-4</c:v>
                </c:pt>
                <c:pt idx="29">
                  <c:v>-9.4854437642210199E-4</c:v>
                </c:pt>
                <c:pt idx="30">
                  <c:v>1.5322987987447171E-4</c:v>
                </c:pt>
                <c:pt idx="31">
                  <c:v>-2.1145863208868522E-4</c:v>
                </c:pt>
                <c:pt idx="32">
                  <c:v>-5.7701401648432641E-5</c:v>
                </c:pt>
                <c:pt idx="33">
                  <c:v>1.9524273176823429E-4</c:v>
                </c:pt>
                <c:pt idx="34">
                  <c:v>-5.6976034450049712E-6</c:v>
                </c:pt>
                <c:pt idx="35">
                  <c:v>-5.2833666282826695E-5</c:v>
                </c:pt>
                <c:pt idx="36">
                  <c:v>-4.5847832879111159E-4</c:v>
                </c:pt>
                <c:pt idx="37">
                  <c:v>-6.0108262250869866E-5</c:v>
                </c:pt>
                <c:pt idx="38">
                  <c:v>-1.8483150636240821E-4</c:v>
                </c:pt>
                <c:pt idx="39">
                  <c:v>1.4805284360233436E-4</c:v>
                </c:pt>
                <c:pt idx="40">
                  <c:v>-1.4108598707059027E-4</c:v>
                </c:pt>
                <c:pt idx="41">
                  <c:v>-3.9905980821776198E-4</c:v>
                </c:pt>
                <c:pt idx="42">
                  <c:v>8.462163989145806E-5</c:v>
                </c:pt>
                <c:pt idx="43">
                  <c:v>-4.4705505299528234E-4</c:v>
                </c:pt>
                <c:pt idx="44">
                  <c:v>-1.7231312830002292E-4</c:v>
                </c:pt>
                <c:pt idx="45">
                  <c:v>5.5428554534065941E-4</c:v>
                </c:pt>
                <c:pt idx="46">
                  <c:v>2.9425621949789E-5</c:v>
                </c:pt>
                <c:pt idx="47">
                  <c:v>3.2303126790977199E-4</c:v>
                </c:pt>
                <c:pt idx="48">
                  <c:v>3.1907994522851303E-4</c:v>
                </c:pt>
                <c:pt idx="49">
                  <c:v>2.8708693246770614E-5</c:v>
                </c:pt>
                <c:pt idx="50">
                  <c:v>4.7263799485505621E-5</c:v>
                </c:pt>
                <c:pt idx="51">
                  <c:v>-7.0977227257568957E-4</c:v>
                </c:pt>
                <c:pt idx="52">
                  <c:v>-7.1031014849528738E-4</c:v>
                </c:pt>
                <c:pt idx="53">
                  <c:v>-4.0397481788453498E-4</c:v>
                </c:pt>
                <c:pt idx="54">
                  <c:v>-1.1790519670779583E-4</c:v>
                </c:pt>
                <c:pt idx="55">
                  <c:v>-5.1001391295179112E-4</c:v>
                </c:pt>
                <c:pt idx="56">
                  <c:v>-9.6051593734994037E-5</c:v>
                </c:pt>
                <c:pt idx="57">
                  <c:v>8.827335330681478E-4</c:v>
                </c:pt>
                <c:pt idx="58">
                  <c:v>0</c:v>
                </c:pt>
                <c:pt idx="59">
                  <c:v>-5.2715351349236087E-4</c:v>
                </c:pt>
                <c:pt idx="60">
                  <c:v>-6.876129338467536E-4</c:v>
                </c:pt>
                <c:pt idx="61">
                  <c:v>1.1545856091340256E-5</c:v>
                </c:pt>
                <c:pt idx="62">
                  <c:v>4.4691700514964901E-4</c:v>
                </c:pt>
                <c:pt idx="63">
                  <c:v>1.6397626527600632E-4</c:v>
                </c:pt>
                <c:pt idx="64">
                  <c:v>-8.047103994742945E-4</c:v>
                </c:pt>
                <c:pt idx="65">
                  <c:v>-6.1342763131555096E-5</c:v>
                </c:pt>
                <c:pt idx="66">
                  <c:v>4.7295317602232241E-5</c:v>
                </c:pt>
                <c:pt idx="67">
                  <c:v>-4.1091486107190671E-5</c:v>
                </c:pt>
                <c:pt idx="68">
                  <c:v>8.7471176484174229E-5</c:v>
                </c:pt>
                <c:pt idx="69">
                  <c:v>-2.3909340660997731E-4</c:v>
                </c:pt>
                <c:pt idx="70">
                  <c:v>-3.294422067597006E-5</c:v>
                </c:pt>
                <c:pt idx="71">
                  <c:v>-2.6118082120020897E-5</c:v>
                </c:pt>
                <c:pt idx="72">
                  <c:v>-8.936497491240545E-5</c:v>
                </c:pt>
                <c:pt idx="73">
                  <c:v>-2.1542509688173911E-4</c:v>
                </c:pt>
                <c:pt idx="74">
                  <c:v>-4.2235515077162692E-4</c:v>
                </c:pt>
                <c:pt idx="75">
                  <c:v>-3.2920438899035169E-4</c:v>
                </c:pt>
                <c:pt idx="76">
                  <c:v>-3.0659328040965743E-4</c:v>
                </c:pt>
                <c:pt idx="77">
                  <c:v>7.9079881954837274E-4</c:v>
                </c:pt>
                <c:pt idx="78">
                  <c:v>3.6811176882705195E-4</c:v>
                </c:pt>
                <c:pt idx="79">
                  <c:v>6.8877095906983322E-5</c:v>
                </c:pt>
                <c:pt idx="80">
                  <c:v>1.347554227667344E-4</c:v>
                </c:pt>
                <c:pt idx="81">
                  <c:v>-4.368919921289568E-4</c:v>
                </c:pt>
                <c:pt idx="82">
                  <c:v>1.7239177635508781E-4</c:v>
                </c:pt>
                <c:pt idx="83">
                  <c:v>-1.7043068601230545E-4</c:v>
                </c:pt>
                <c:pt idx="84">
                  <c:v>2.1806531075710755E-4</c:v>
                </c:pt>
                <c:pt idx="85">
                  <c:v>9.3762735266756837E-5</c:v>
                </c:pt>
                <c:pt idx="86">
                  <c:v>2.670783063449582E-5</c:v>
                </c:pt>
                <c:pt idx="87">
                  <c:v>1.7863372569155043E-4</c:v>
                </c:pt>
                <c:pt idx="88">
                  <c:v>4.9738631785389105E-4</c:v>
                </c:pt>
                <c:pt idx="89">
                  <c:v>1.074371691603707E-4</c:v>
                </c:pt>
                <c:pt idx="90">
                  <c:v>-1.0456761046479231E-4</c:v>
                </c:pt>
                <c:pt idx="91">
                  <c:v>1.014911227365459E-3</c:v>
                </c:pt>
                <c:pt idx="92">
                  <c:v>-5.3362567226482359E-4</c:v>
                </c:pt>
                <c:pt idx="93">
                  <c:v>-1.6633794520593125E-4</c:v>
                </c:pt>
                <c:pt idx="94">
                  <c:v>-3.7428107592991922E-4</c:v>
                </c:pt>
                <c:pt idx="95">
                  <c:v>4.4547059708367518E-6</c:v>
                </c:pt>
                <c:pt idx="96">
                  <c:v>3.5911773217118121E-4</c:v>
                </c:pt>
                <c:pt idx="97">
                  <c:v>-8.1044679824938124E-4</c:v>
                </c:pt>
                <c:pt idx="98">
                  <c:v>3.9178487766677041E-5</c:v>
                </c:pt>
                <c:pt idx="99">
                  <c:v>-1.5457807676161347E-4</c:v>
                </c:pt>
                <c:pt idx="100">
                  <c:v>-3.6359131342197411E-4</c:v>
                </c:pt>
                <c:pt idx="101">
                  <c:v>-1.1374678000501503E-6</c:v>
                </c:pt>
                <c:pt idx="102">
                  <c:v>1.6125830240339064E-4</c:v>
                </c:pt>
                <c:pt idx="103">
                  <c:v>-2.2445534432317751E-4</c:v>
                </c:pt>
                <c:pt idx="104">
                  <c:v>-2.2907174486640279E-4</c:v>
                </c:pt>
                <c:pt idx="105">
                  <c:v>-2.7366655109100019E-4</c:v>
                </c:pt>
                <c:pt idx="106">
                  <c:v>-2.8107609975203883E-4</c:v>
                </c:pt>
                <c:pt idx="107">
                  <c:v>-2.0163865692617697E-4</c:v>
                </c:pt>
                <c:pt idx="108">
                  <c:v>-3.5280320261109647E-4</c:v>
                </c:pt>
                <c:pt idx="109">
                  <c:v>4.6720137418645427E-4</c:v>
                </c:pt>
                <c:pt idx="110">
                  <c:v>-6.3659273774207561E-4</c:v>
                </c:pt>
                <c:pt idx="111">
                  <c:v>2.0157969100566465E-4</c:v>
                </c:pt>
                <c:pt idx="112">
                  <c:v>-1.5020102921230327E-4</c:v>
                </c:pt>
                <c:pt idx="113">
                  <c:v>-1.8835769867089195E-4</c:v>
                </c:pt>
                <c:pt idx="114">
                  <c:v>-2.2656330006564187E-4</c:v>
                </c:pt>
                <c:pt idx="115">
                  <c:v>-1.9098924256564289E-4</c:v>
                </c:pt>
                <c:pt idx="116">
                  <c:v>-2.5209489840524122E-4</c:v>
                </c:pt>
                <c:pt idx="117">
                  <c:v>-5.4087270251362916E-4</c:v>
                </c:pt>
                <c:pt idx="118">
                  <c:v>1.1015822110258418E-4</c:v>
                </c:pt>
                <c:pt idx="119">
                  <c:v>-6.3919965212871465E-4</c:v>
                </c:pt>
                <c:pt idx="120">
                  <c:v>3.2563426679136238E-4</c:v>
                </c:pt>
                <c:pt idx="121">
                  <c:v>-3.3322240029818597E-4</c:v>
                </c:pt>
                <c:pt idx="122">
                  <c:v>-2.0386338041616979E-4</c:v>
                </c:pt>
                <c:pt idx="123">
                  <c:v>-1.5290860639780661E-4</c:v>
                </c:pt>
                <c:pt idx="124">
                  <c:v>2.6580114060027581E-4</c:v>
                </c:pt>
                <c:pt idx="125">
                  <c:v>-3.6596560467772038E-4</c:v>
                </c:pt>
                <c:pt idx="126">
                  <c:v>3.6176083469147255E-4</c:v>
                </c:pt>
                <c:pt idx="127">
                  <c:v>2.6240363484007795E-5</c:v>
                </c:pt>
                <c:pt idx="128">
                  <c:v>-1.448436124096969E-4</c:v>
                </c:pt>
                <c:pt idx="129">
                  <c:v>-3.570488079906677E-4</c:v>
                </c:pt>
                <c:pt idx="130">
                  <c:v>4.1455389490163886E-4</c:v>
                </c:pt>
                <c:pt idx="131">
                  <c:v>1.3023495546368537E-4</c:v>
                </c:pt>
                <c:pt idx="132">
                  <c:v>-3.8945530329906873E-4</c:v>
                </c:pt>
                <c:pt idx="133">
                  <c:v>3.5117781130201335E-4</c:v>
                </c:pt>
                <c:pt idx="134">
                  <c:v>9.3199140883725579E-4</c:v>
                </c:pt>
                <c:pt idx="135">
                  <c:v>6.0229871501587531E-4</c:v>
                </c:pt>
                <c:pt idx="136">
                  <c:v>7.9555345088897444E-4</c:v>
                </c:pt>
                <c:pt idx="137">
                  <c:v>-3.1337262626650081E-4</c:v>
                </c:pt>
                <c:pt idx="138">
                  <c:v>2.937428026675545E-6</c:v>
                </c:pt>
                <c:pt idx="139">
                  <c:v>2.0484446101292299E-4</c:v>
                </c:pt>
                <c:pt idx="140">
                  <c:v>3.124066581275004E-4</c:v>
                </c:pt>
                <c:pt idx="141">
                  <c:v>-5.5856566239037363E-6</c:v>
                </c:pt>
                <c:pt idx="142">
                  <c:v>4.1637056571596664E-4</c:v>
                </c:pt>
                <c:pt idx="143">
                  <c:v>3.5005905696622547E-4</c:v>
                </c:pt>
                <c:pt idx="144">
                  <c:v>-4.7378479976312372E-4</c:v>
                </c:pt>
                <c:pt idx="145">
                  <c:v>-3.0170654158016104E-4</c:v>
                </c:pt>
                <c:pt idx="146">
                  <c:v>-5.8480822113109448E-4</c:v>
                </c:pt>
                <c:pt idx="147">
                  <c:v>-5.6744803644827042E-4</c:v>
                </c:pt>
                <c:pt idx="148">
                  <c:v>-4.7271679293465807E-4</c:v>
                </c:pt>
                <c:pt idx="149">
                  <c:v>9.69916840550407E-5</c:v>
                </c:pt>
                <c:pt idx="150">
                  <c:v>4.1075750126966823E-4</c:v>
                </c:pt>
                <c:pt idx="151">
                  <c:v>3.8470555926382253E-4</c:v>
                </c:pt>
                <c:pt idx="152">
                  <c:v>-3.9160898980213722E-4</c:v>
                </c:pt>
                <c:pt idx="153">
                  <c:v>-2.0285514485083415E-4</c:v>
                </c:pt>
                <c:pt idx="154">
                  <c:v>-7.3440354364236052E-4</c:v>
                </c:pt>
                <c:pt idx="155">
                  <c:v>-2.0622904344079926E-4</c:v>
                </c:pt>
                <c:pt idx="156">
                  <c:v>4.0800497160105114E-4</c:v>
                </c:pt>
                <c:pt idx="157">
                  <c:v>-2.9687784422638847E-4</c:v>
                </c:pt>
                <c:pt idx="158">
                  <c:v>-1.474845916632272E-4</c:v>
                </c:pt>
                <c:pt idx="159">
                  <c:v>-2.2323309852940299E-4</c:v>
                </c:pt>
                <c:pt idx="160">
                  <c:v>-5.7434190702566558E-5</c:v>
                </c:pt>
                <c:pt idx="161">
                  <c:v>-3.6123441569784324E-5</c:v>
                </c:pt>
                <c:pt idx="162">
                  <c:v>-3.8896076550378633E-4</c:v>
                </c:pt>
                <c:pt idx="163">
                  <c:v>-3.3779001957976698E-4</c:v>
                </c:pt>
                <c:pt idx="164">
                  <c:v>5.132585694410999E-4</c:v>
                </c:pt>
                <c:pt idx="165">
                  <c:v>5.6731492437166978E-4</c:v>
                </c:pt>
                <c:pt idx="166">
                  <c:v>-4.9621663595256823E-4</c:v>
                </c:pt>
                <c:pt idx="167">
                  <c:v>2.6629546588497849E-4</c:v>
                </c:pt>
                <c:pt idx="168">
                  <c:v>2.354391927682677E-4</c:v>
                </c:pt>
                <c:pt idx="169">
                  <c:v>1.0422438562896864E-4</c:v>
                </c:pt>
                <c:pt idx="170">
                  <c:v>3.2404414283069557E-6</c:v>
                </c:pt>
                <c:pt idx="171">
                  <c:v>1.4341972643306373E-4</c:v>
                </c:pt>
                <c:pt idx="172">
                  <c:v>-1.8649025577418131E-4</c:v>
                </c:pt>
                <c:pt idx="173">
                  <c:v>3.1195307205529474E-4</c:v>
                </c:pt>
                <c:pt idx="174">
                  <c:v>9.5487081864103457E-5</c:v>
                </c:pt>
                <c:pt idx="175">
                  <c:v>-5.0488834353347911E-4</c:v>
                </c:pt>
                <c:pt idx="176">
                  <c:v>-2.3780136583406752E-4</c:v>
                </c:pt>
                <c:pt idx="177">
                  <c:v>6.8084299927740068E-5</c:v>
                </c:pt>
                <c:pt idx="178">
                  <c:v>1.961996920374483E-4</c:v>
                </c:pt>
                <c:pt idx="179">
                  <c:v>6.5258491384173742E-6</c:v>
                </c:pt>
                <c:pt idx="180">
                  <c:v>3.6044542640502726E-4</c:v>
                </c:pt>
                <c:pt idx="181">
                  <c:v>-5.0106560163956182E-4</c:v>
                </c:pt>
                <c:pt idx="182">
                  <c:v>-1.0848459238213585E-5</c:v>
                </c:pt>
                <c:pt idx="183">
                  <c:v>-3.4883671811701718E-4</c:v>
                </c:pt>
                <c:pt idx="184">
                  <c:v>2.7523987053572558E-4</c:v>
                </c:pt>
                <c:pt idx="185">
                  <c:v>-3.3361734869907268E-4</c:v>
                </c:pt>
                <c:pt idx="186">
                  <c:v>2.3956148831854531E-5</c:v>
                </c:pt>
                <c:pt idx="187">
                  <c:v>-3.820918222790866E-4</c:v>
                </c:pt>
                <c:pt idx="188">
                  <c:v>-4.8492084448802266E-4</c:v>
                </c:pt>
                <c:pt idx="189">
                  <c:v>-2.931620175565765E-4</c:v>
                </c:pt>
                <c:pt idx="190">
                  <c:v>-2.3098246638114141E-4</c:v>
                </c:pt>
                <c:pt idx="191">
                  <c:v>-8.2976469431798156E-4</c:v>
                </c:pt>
                <c:pt idx="192">
                  <c:v>7.7907082146574231E-4</c:v>
                </c:pt>
                <c:pt idx="193">
                  <c:v>3.2655176637819513E-4</c:v>
                </c:pt>
                <c:pt idx="194">
                  <c:v>-3.2372541451330467E-4</c:v>
                </c:pt>
                <c:pt idx="195">
                  <c:v>-2.9325816460104543E-4</c:v>
                </c:pt>
                <c:pt idx="196">
                  <c:v>-1.8007206659947632E-4</c:v>
                </c:pt>
                <c:pt idx="197">
                  <c:v>2.6647912942717088E-4</c:v>
                </c:pt>
                <c:pt idx="198">
                  <c:v>-2.631479730015523E-4</c:v>
                </c:pt>
                <c:pt idx="199">
                  <c:v>-2.5481554909402809E-4</c:v>
                </c:pt>
                <c:pt idx="200">
                  <c:v>7.8381543398553532E-4</c:v>
                </c:pt>
                <c:pt idx="201">
                  <c:v>3.8837847687723067E-4</c:v>
                </c:pt>
                <c:pt idx="202">
                  <c:v>-6.4257485130907101E-4</c:v>
                </c:pt>
                <c:pt idx="203">
                  <c:v>-3.5911540254237944E-4</c:v>
                </c:pt>
                <c:pt idx="204">
                  <c:v>-1.1066203453397077E-4</c:v>
                </c:pt>
                <c:pt idx="205">
                  <c:v>2.4968691019729898E-4</c:v>
                </c:pt>
                <c:pt idx="206">
                  <c:v>3.04144649683607E-4</c:v>
                </c:pt>
                <c:pt idx="207">
                  <c:v>-6.1791189306447436E-5</c:v>
                </c:pt>
                <c:pt idx="208">
                  <c:v>7.7073290640938721E-4</c:v>
                </c:pt>
                <c:pt idx="209">
                  <c:v>-6.2046517048404415E-4</c:v>
                </c:pt>
                <c:pt idx="210">
                  <c:v>4.7967788571776917E-4</c:v>
                </c:pt>
                <c:pt idx="211">
                  <c:v>-1.0932386009021554E-4</c:v>
                </c:pt>
                <c:pt idx="212">
                  <c:v>3.5629267896174872E-4</c:v>
                </c:pt>
                <c:pt idx="213">
                  <c:v>2.1311315246310279E-4</c:v>
                </c:pt>
                <c:pt idx="214">
                  <c:v>-4.9152309328698589E-4</c:v>
                </c:pt>
                <c:pt idx="215">
                  <c:v>-5.8861973748451949E-4</c:v>
                </c:pt>
                <c:pt idx="216">
                  <c:v>-3.8226560069602538E-4</c:v>
                </c:pt>
                <c:pt idx="217">
                  <c:v>-1.4024721625989067E-4</c:v>
                </c:pt>
                <c:pt idx="218">
                  <c:v>-8.7611438846430453E-5</c:v>
                </c:pt>
                <c:pt idx="219">
                  <c:v>3.8243646639243346E-4</c:v>
                </c:pt>
                <c:pt idx="220">
                  <c:v>7.4529585384492834E-4</c:v>
                </c:pt>
                <c:pt idx="221">
                  <c:v>4.4752816357461063E-5</c:v>
                </c:pt>
                <c:pt idx="222">
                  <c:v>4.9611638060945818E-5</c:v>
                </c:pt>
                <c:pt idx="223">
                  <c:v>1.6070602787508087E-5</c:v>
                </c:pt>
                <c:pt idx="224">
                  <c:v>5.1753559202498466E-4</c:v>
                </c:pt>
                <c:pt idx="225">
                  <c:v>3.410102634400006E-4</c:v>
                </c:pt>
                <c:pt idx="226">
                  <c:v>-2.2583305788714128E-4</c:v>
                </c:pt>
                <c:pt idx="227">
                  <c:v>-6.9927765550607238E-4</c:v>
                </c:pt>
                <c:pt idx="228">
                  <c:v>1.6835598742060611E-4</c:v>
                </c:pt>
                <c:pt idx="229">
                  <c:v>1.176035178749149E-4</c:v>
                </c:pt>
                <c:pt idx="230">
                  <c:v>-9.4591583586596423E-5</c:v>
                </c:pt>
                <c:pt idx="231">
                  <c:v>1.169183243597298E-4</c:v>
                </c:pt>
                <c:pt idx="232">
                  <c:v>3.1364350119821282E-4</c:v>
                </c:pt>
                <c:pt idx="233">
                  <c:v>-5.6265359010385721E-5</c:v>
                </c:pt>
                <c:pt idx="234">
                  <c:v>-8.6186653384109707E-5</c:v>
                </c:pt>
                <c:pt idx="235">
                  <c:v>-4.3820973890233472E-4</c:v>
                </c:pt>
                <c:pt idx="236">
                  <c:v>-1.2854427215625087E-4</c:v>
                </c:pt>
                <c:pt idx="237">
                  <c:v>3.3899130092734437E-4</c:v>
                </c:pt>
                <c:pt idx="238">
                  <c:v>5.2546957637102337E-4</c:v>
                </c:pt>
                <c:pt idx="239">
                  <c:v>6.1110350197471312E-5</c:v>
                </c:pt>
                <c:pt idx="240">
                  <c:v>2.4919709288214473E-4</c:v>
                </c:pt>
                <c:pt idx="241">
                  <c:v>3.2306564268074021E-4</c:v>
                </c:pt>
                <c:pt idx="242">
                  <c:v>-1.850641110386402E-4</c:v>
                </c:pt>
                <c:pt idx="243">
                  <c:v>-3.3826636715185405E-4</c:v>
                </c:pt>
                <c:pt idx="244">
                  <c:v>4.860149505232551E-4</c:v>
                </c:pt>
                <c:pt idx="245">
                  <c:v>-1.3654457680599714E-4</c:v>
                </c:pt>
                <c:pt idx="246">
                  <c:v>-3.3583717556397757E-5</c:v>
                </c:pt>
                <c:pt idx="247">
                  <c:v>-1.1547371017789465E-4</c:v>
                </c:pt>
                <c:pt idx="248">
                  <c:v>6.8023043377895022E-5</c:v>
                </c:pt>
                <c:pt idx="249">
                  <c:v>1.2105626699916006E-4</c:v>
                </c:pt>
                <c:pt idx="250">
                  <c:v>2.144919002159778E-4</c:v>
                </c:pt>
                <c:pt idx="251">
                  <c:v>3.4244311023363829E-5</c:v>
                </c:pt>
                <c:pt idx="252">
                  <c:v>-6.7102117710113145E-4</c:v>
                </c:pt>
                <c:pt idx="253">
                  <c:v>-6.7234259201955527E-5</c:v>
                </c:pt>
                <c:pt idx="254">
                  <c:v>-2.3276325049431659E-4</c:v>
                </c:pt>
                <c:pt idx="255">
                  <c:v>-2.075729614959369E-4</c:v>
                </c:pt>
                <c:pt idx="256">
                  <c:v>-1.7980040601394377E-4</c:v>
                </c:pt>
                <c:pt idx="257">
                  <c:v>1.6235214818325074E-4</c:v>
                </c:pt>
                <c:pt idx="258">
                  <c:v>4.9987562724220511E-4</c:v>
                </c:pt>
                <c:pt idx="259">
                  <c:v>3.6754412181328735E-5</c:v>
                </c:pt>
                <c:pt idx="260">
                  <c:v>-5.0399870028480461E-4</c:v>
                </c:pt>
                <c:pt idx="261">
                  <c:v>-3.0937627965144473E-4</c:v>
                </c:pt>
                <c:pt idx="262">
                  <c:v>1.656433974101365E-4</c:v>
                </c:pt>
                <c:pt idx="263">
                  <c:v>-2.3715490919807783E-4</c:v>
                </c:pt>
                <c:pt idx="264">
                  <c:v>-4.4880832157569254E-4</c:v>
                </c:pt>
                <c:pt idx="265">
                  <c:v>2.7944791971786306E-4</c:v>
                </c:pt>
                <c:pt idx="266">
                  <c:v>9.5193195605995944E-4</c:v>
                </c:pt>
                <c:pt idx="267">
                  <c:v>-2.616072725311737E-4</c:v>
                </c:pt>
                <c:pt idx="268">
                  <c:v>-4.5357788406518666E-5</c:v>
                </c:pt>
                <c:pt idx="269">
                  <c:v>-2.651587472148177E-5</c:v>
                </c:pt>
                <c:pt idx="270">
                  <c:v>2.6260587248346602E-4</c:v>
                </c:pt>
                <c:pt idx="271">
                  <c:v>-7.6357380232144789E-5</c:v>
                </c:pt>
                <c:pt idx="272">
                  <c:v>-4.0333194007058029E-4</c:v>
                </c:pt>
                <c:pt idx="273">
                  <c:v>1.2169398220664337E-4</c:v>
                </c:pt>
                <c:pt idx="274">
                  <c:v>6.8623184226330192E-5</c:v>
                </c:pt>
                <c:pt idx="275">
                  <c:v>-1.4090361001549445E-4</c:v>
                </c:pt>
                <c:pt idx="276">
                  <c:v>3.0289314001875558E-4</c:v>
                </c:pt>
                <c:pt idx="277">
                  <c:v>8.753911575035073E-4</c:v>
                </c:pt>
                <c:pt idx="278">
                  <c:v>-5.1290120261220172E-4</c:v>
                </c:pt>
                <c:pt idx="279">
                  <c:v>-1.2961233682453306E-4</c:v>
                </c:pt>
                <c:pt idx="280">
                  <c:v>-8.4972295734555723E-4</c:v>
                </c:pt>
                <c:pt idx="281">
                  <c:v>2.8223755120335403E-4</c:v>
                </c:pt>
                <c:pt idx="282">
                  <c:v>-1.1471962101809129E-4</c:v>
                </c:pt>
                <c:pt idx="283">
                  <c:v>-1.6396897584580196E-4</c:v>
                </c:pt>
                <c:pt idx="284">
                  <c:v>-3.456011540585158E-4</c:v>
                </c:pt>
                <c:pt idx="285">
                  <c:v>3.9570239046287075E-4</c:v>
                </c:pt>
                <c:pt idx="286">
                  <c:v>-3.3530731178088988E-5</c:v>
                </c:pt>
                <c:pt idx="287">
                  <c:v>-2.146320932444709E-4</c:v>
                </c:pt>
                <c:pt idx="288">
                  <c:v>-4.470166252729209E-4</c:v>
                </c:pt>
                <c:pt idx="289">
                  <c:v>-2.6608287720277098E-4</c:v>
                </c:pt>
                <c:pt idx="290">
                  <c:v>-4.0957426054119431E-4</c:v>
                </c:pt>
                <c:pt idx="291">
                  <c:v>4.283138073428332E-4</c:v>
                </c:pt>
                <c:pt idx="292">
                  <c:v>4.6098954106268134E-4</c:v>
                </c:pt>
                <c:pt idx="293">
                  <c:v>2.0162683509039201E-5</c:v>
                </c:pt>
                <c:pt idx="294">
                  <c:v>4.5737406328441349E-4</c:v>
                </c:pt>
                <c:pt idx="295">
                  <c:v>-4.5197088985824763E-4</c:v>
                </c:pt>
                <c:pt idx="296">
                  <c:v>-3.3825754836387906E-4</c:v>
                </c:pt>
                <c:pt idx="297">
                  <c:v>-1.1919857339279362E-4</c:v>
                </c:pt>
                <c:pt idx="298">
                  <c:v>2.1255776927354136E-5</c:v>
                </c:pt>
                <c:pt idx="299">
                  <c:v>4.504121465577415E-4</c:v>
                </c:pt>
                <c:pt idx="300">
                  <c:v>2.8107650099567491E-4</c:v>
                </c:pt>
                <c:pt idx="301">
                  <c:v>3.2096635829948091E-4</c:v>
                </c:pt>
                <c:pt idx="302">
                  <c:v>1.2013705973021847E-4</c:v>
                </c:pt>
                <c:pt idx="303">
                  <c:v>3.7174561532672548E-4</c:v>
                </c:pt>
                <c:pt idx="304">
                  <c:v>2.9707366278177431E-4</c:v>
                </c:pt>
                <c:pt idx="305">
                  <c:v>-6.1380461343220935E-5</c:v>
                </c:pt>
                <c:pt idx="306">
                  <c:v>-4.0606829135164256E-4</c:v>
                </c:pt>
                <c:pt idx="307">
                  <c:v>4.9870899409724327E-4</c:v>
                </c:pt>
                <c:pt idx="308">
                  <c:v>-3.112208233561389E-5</c:v>
                </c:pt>
                <c:pt idx="309">
                  <c:v>-1.7890612586350396E-5</c:v>
                </c:pt>
                <c:pt idx="310">
                  <c:v>6.6799658786578805E-5</c:v>
                </c:pt>
                <c:pt idx="311">
                  <c:v>-4.3483068975217604E-4</c:v>
                </c:pt>
                <c:pt idx="312">
                  <c:v>6.7499348220312371E-4</c:v>
                </c:pt>
                <c:pt idx="313">
                  <c:v>-5.0996125176175453E-4</c:v>
                </c:pt>
                <c:pt idx="314">
                  <c:v>1.2145533049584165E-3</c:v>
                </c:pt>
                <c:pt idx="315">
                  <c:v>-1.5304474971080257E-4</c:v>
                </c:pt>
                <c:pt idx="316">
                  <c:v>0</c:v>
                </c:pt>
                <c:pt idx="317">
                  <c:v>6.5384443022341841E-4</c:v>
                </c:pt>
                <c:pt idx="318">
                  <c:v>4.1300282441905634E-4</c:v>
                </c:pt>
                <c:pt idx="319">
                  <c:v>1.5969236210971785E-4</c:v>
                </c:pt>
                <c:pt idx="320">
                  <c:v>-3.8484698720797881E-5</c:v>
                </c:pt>
                <c:pt idx="321">
                  <c:v>-1.12447312727526E-3</c:v>
                </c:pt>
                <c:pt idx="322">
                  <c:v>8.5869117222224154E-4</c:v>
                </c:pt>
                <c:pt idx="323">
                  <c:v>-1.4700759355665388E-4</c:v>
                </c:pt>
                <c:pt idx="324">
                  <c:v>-4.3382312296784745E-4</c:v>
                </c:pt>
                <c:pt idx="325">
                  <c:v>3.96622751108621E-4</c:v>
                </c:pt>
                <c:pt idx="326">
                  <c:v>-2.9518165364235562E-4</c:v>
                </c:pt>
                <c:pt idx="327">
                  <c:v>-2.3921722279050426E-4</c:v>
                </c:pt>
                <c:pt idx="328">
                  <c:v>-6.3608221881239783E-4</c:v>
                </c:pt>
                <c:pt idx="329">
                  <c:v>-4.1112792914613629E-5</c:v>
                </c:pt>
                <c:pt idx="330">
                  <c:v>-1.5145399885687925E-4</c:v>
                </c:pt>
                <c:pt idx="331">
                  <c:v>-3.5426823832099128E-4</c:v>
                </c:pt>
                <c:pt idx="332">
                  <c:v>-7.4894643691952138E-6</c:v>
                </c:pt>
                <c:pt idx="333">
                  <c:v>1.5274231977280782E-4</c:v>
                </c:pt>
                <c:pt idx="334">
                  <c:v>4.536874414013974E-4</c:v>
                </c:pt>
                <c:pt idx="335">
                  <c:v>-6.7705978753290156E-5</c:v>
                </c:pt>
                <c:pt idx="336">
                  <c:v>4.249234623475808E-4</c:v>
                </c:pt>
                <c:pt idx="337">
                  <c:v>-3.1841499307321843E-4</c:v>
                </c:pt>
                <c:pt idx="338">
                  <c:v>-8.3650831410982823E-4</c:v>
                </c:pt>
                <c:pt idx="339">
                  <c:v>6.4352184434135148E-4</c:v>
                </c:pt>
                <c:pt idx="340">
                  <c:v>5.3609439313103801E-4</c:v>
                </c:pt>
                <c:pt idx="341">
                  <c:v>4.5114511794198411E-4</c:v>
                </c:pt>
                <c:pt idx="342">
                  <c:v>1.9986123643258463E-4</c:v>
                </c:pt>
                <c:pt idx="343">
                  <c:v>1.5746620836331503E-4</c:v>
                </c:pt>
                <c:pt idx="344">
                  <c:v>4.1290824528926229E-4</c:v>
                </c:pt>
                <c:pt idx="345">
                  <c:v>-5.627726930427697E-6</c:v>
                </c:pt>
                <c:pt idx="346">
                  <c:v>1.3598609936074554E-4</c:v>
                </c:pt>
                <c:pt idx="347">
                  <c:v>1.5902973733480417E-4</c:v>
                </c:pt>
                <c:pt idx="348">
                  <c:v>5.3931607756111397E-4</c:v>
                </c:pt>
                <c:pt idx="349">
                  <c:v>-2.0529034554613262E-4</c:v>
                </c:pt>
                <c:pt idx="350">
                  <c:v>-3.7236833078156739E-5</c:v>
                </c:pt>
                <c:pt idx="351">
                  <c:v>7.3653948318604356E-5</c:v>
                </c:pt>
                <c:pt idx="352">
                  <c:v>2.3642024348432617E-4</c:v>
                </c:pt>
                <c:pt idx="353">
                  <c:v>-2.939699925389346E-4</c:v>
                </c:pt>
                <c:pt idx="354">
                  <c:v>-2.7530995680096566E-4</c:v>
                </c:pt>
                <c:pt idx="355">
                  <c:v>-1.4395684917763881E-4</c:v>
                </c:pt>
                <c:pt idx="356">
                  <c:v>1.4628979664163501E-4</c:v>
                </c:pt>
                <c:pt idx="357">
                  <c:v>5.293441328718594E-5</c:v>
                </c:pt>
                <c:pt idx="358">
                  <c:v>2.1073516857543967E-4</c:v>
                </c:pt>
                <c:pt idx="359">
                  <c:v>-1.4963101159636347E-5</c:v>
                </c:pt>
                <c:pt idx="360">
                  <c:v>-2.1414312851939589E-4</c:v>
                </c:pt>
                <c:pt idx="361">
                  <c:v>3.6657755508555151E-4</c:v>
                </c:pt>
                <c:pt idx="362">
                  <c:v>-5.3871408559576391E-4</c:v>
                </c:pt>
                <c:pt idx="363">
                  <c:v>3.1828700974977504E-4</c:v>
                </c:pt>
                <c:pt idx="364">
                  <c:v>-6.6800772175304435E-5</c:v>
                </c:pt>
                <c:pt idx="365">
                  <c:v>-1.6815435047882289E-4</c:v>
                </c:pt>
                <c:pt idx="366">
                  <c:v>8.6424656059371418E-5</c:v>
                </c:pt>
                <c:pt idx="367">
                  <c:v>6.4994164247364483E-4</c:v>
                </c:pt>
                <c:pt idx="368">
                  <c:v>-1.2709974167179157E-4</c:v>
                </c:pt>
                <c:pt idx="369">
                  <c:v>-1.743688497131492E-4</c:v>
                </c:pt>
                <c:pt idx="370">
                  <c:v>-3.1149452462174887E-4</c:v>
                </c:pt>
                <c:pt idx="371">
                  <c:v>2.9705084548310072E-6</c:v>
                </c:pt>
                <c:pt idx="372">
                  <c:v>1.371773475792543E-4</c:v>
                </c:pt>
                <c:pt idx="373">
                  <c:v>1.6401221013980882E-4</c:v>
                </c:pt>
                <c:pt idx="374">
                  <c:v>5.4611090460702084E-4</c:v>
                </c:pt>
                <c:pt idx="375">
                  <c:v>4.4279104200333581E-4</c:v>
                </c:pt>
                <c:pt idx="376">
                  <c:v>6.6711897854275124E-4</c:v>
                </c:pt>
                <c:pt idx="377">
                  <c:v>2.1819883339001177E-4</c:v>
                </c:pt>
                <c:pt idx="378">
                  <c:v>-4.3782140282021149E-5</c:v>
                </c:pt>
                <c:pt idx="379">
                  <c:v>1.2762780744531555E-4</c:v>
                </c:pt>
                <c:pt idx="380">
                  <c:v>-4.6223542198384811E-4</c:v>
                </c:pt>
                <c:pt idx="381">
                  <c:v>-2.404848220456676E-5</c:v>
                </c:pt>
                <c:pt idx="382">
                  <c:v>-2.4642008284043873E-4</c:v>
                </c:pt>
                <c:pt idx="383">
                  <c:v>-8.9955369883024279E-4</c:v>
                </c:pt>
                <c:pt idx="384">
                  <c:v>2.4724704247164401E-4</c:v>
                </c:pt>
                <c:pt idx="385">
                  <c:v>1.4210260459982367E-4</c:v>
                </c:pt>
                <c:pt idx="386">
                  <c:v>-2.1502189348248844E-4</c:v>
                </c:pt>
                <c:pt idx="387">
                  <c:v>2.7689237303243929E-4</c:v>
                </c:pt>
                <c:pt idx="388">
                  <c:v>-6.4969540243369492E-4</c:v>
                </c:pt>
                <c:pt idx="389">
                  <c:v>2.8536375706610838E-4</c:v>
                </c:pt>
                <c:pt idx="390">
                  <c:v>-3.3662812659689291E-4</c:v>
                </c:pt>
                <c:pt idx="391">
                  <c:v>5.8504071525449061E-4</c:v>
                </c:pt>
                <c:pt idx="392">
                  <c:v>4.0570471669996815E-4</c:v>
                </c:pt>
                <c:pt idx="393">
                  <c:v>-1.0724595693077623E-4</c:v>
                </c:pt>
                <c:pt idx="394">
                  <c:v>1.8333513227272613E-4</c:v>
                </c:pt>
                <c:pt idx="395">
                  <c:v>-3.3910432951218936E-4</c:v>
                </c:pt>
                <c:pt idx="396">
                  <c:v>-1.9040207629887162E-4</c:v>
                </c:pt>
                <c:pt idx="397">
                  <c:v>1.2327202078820187E-4</c:v>
                </c:pt>
                <c:pt idx="398">
                  <c:v>2.9879654438888417E-4</c:v>
                </c:pt>
                <c:pt idx="399">
                  <c:v>-2.0453863138200385E-4</c:v>
                </c:pt>
                <c:pt idx="400">
                  <c:v>3.7787997770255148E-4</c:v>
                </c:pt>
                <c:pt idx="401">
                  <c:v>-4.3083372488475788E-5</c:v>
                </c:pt>
                <c:pt idx="402">
                  <c:v>5.9455487933575901E-4</c:v>
                </c:pt>
                <c:pt idx="403">
                  <c:v>2.1265303991268087E-4</c:v>
                </c:pt>
                <c:pt idx="404">
                  <c:v>-6.4247911779415784E-4</c:v>
                </c:pt>
                <c:pt idx="405">
                  <c:v>-1.6676086394148295E-6</c:v>
                </c:pt>
                <c:pt idx="406">
                  <c:v>-3.8872268872208159E-5</c:v>
                </c:pt>
                <c:pt idx="407">
                  <c:v>9.7225797658221042E-5</c:v>
                </c:pt>
                <c:pt idx="408">
                  <c:v>1.4193914419095849E-4</c:v>
                </c:pt>
                <c:pt idx="409">
                  <c:v>8.1726613045873017E-4</c:v>
                </c:pt>
                <c:pt idx="410">
                  <c:v>-3.1770416119654529E-4</c:v>
                </c:pt>
                <c:pt idx="411">
                  <c:v>-5.1674062314569251E-4</c:v>
                </c:pt>
                <c:pt idx="412">
                  <c:v>2.2205169265738519E-5</c:v>
                </c:pt>
                <c:pt idx="413">
                  <c:v>3.3855378200800583E-4</c:v>
                </c:pt>
                <c:pt idx="414">
                  <c:v>3.4299091170141054E-4</c:v>
                </c:pt>
                <c:pt idx="415">
                  <c:v>-5.4451913464580528E-4</c:v>
                </c:pt>
                <c:pt idx="416">
                  <c:v>5.618719464205384E-5</c:v>
                </c:pt>
                <c:pt idx="417">
                  <c:v>5.799418270430631E-4</c:v>
                </c:pt>
                <c:pt idx="418">
                  <c:v>-2.5152594857705382E-4</c:v>
                </c:pt>
                <c:pt idx="419">
                  <c:v>3.173970387740819E-4</c:v>
                </c:pt>
                <c:pt idx="420">
                  <c:v>-3.7329751825210067E-5</c:v>
                </c:pt>
                <c:pt idx="421">
                  <c:v>5.4587504099246173E-4</c:v>
                </c:pt>
                <c:pt idx="422">
                  <c:v>1.0772135362742867E-4</c:v>
                </c:pt>
                <c:pt idx="423">
                  <c:v>-2.0459063434799218E-4</c:v>
                </c:pt>
                <c:pt idx="424">
                  <c:v>-2.8397007387099551E-4</c:v>
                </c:pt>
                <c:pt idx="425">
                  <c:v>5.7750343682783993E-6</c:v>
                </c:pt>
                <c:pt idx="426">
                  <c:v>4.5220061765347035E-4</c:v>
                </c:pt>
                <c:pt idx="427">
                  <c:v>-4.6260653945134661E-4</c:v>
                </c:pt>
                <c:pt idx="428">
                  <c:v>2.2656736755527753E-4</c:v>
                </c:pt>
                <c:pt idx="429">
                  <c:v>-1.4885744105229865E-4</c:v>
                </c:pt>
                <c:pt idx="430">
                  <c:v>1.6597400215129099E-4</c:v>
                </c:pt>
                <c:pt idx="431">
                  <c:v>-2.7354276662419489E-4</c:v>
                </c:pt>
                <c:pt idx="432">
                  <c:v>-2.0859219874962002E-4</c:v>
                </c:pt>
                <c:pt idx="433">
                  <c:v>1.7818796477511473E-4</c:v>
                </c:pt>
                <c:pt idx="434">
                  <c:v>1.9114428294265384E-4</c:v>
                </c:pt>
                <c:pt idx="435">
                  <c:v>-7.7100320398220938E-5</c:v>
                </c:pt>
                <c:pt idx="436">
                  <c:v>2.2084992223214426E-4</c:v>
                </c:pt>
                <c:pt idx="437">
                  <c:v>3.2336042409475413E-4</c:v>
                </c:pt>
                <c:pt idx="438">
                  <c:v>6.6506425303508121E-4</c:v>
                </c:pt>
                <c:pt idx="439">
                  <c:v>5.8817160193909109E-4</c:v>
                </c:pt>
                <c:pt idx="440">
                  <c:v>4.2384917103218051E-4</c:v>
                </c:pt>
                <c:pt idx="441">
                  <c:v>-1.6666375649216779E-4</c:v>
                </c:pt>
                <c:pt idx="442">
                  <c:v>2.5751499825716061E-4</c:v>
                </c:pt>
                <c:pt idx="443">
                  <c:v>-1.1809176670708814E-4</c:v>
                </c:pt>
                <c:pt idx="444">
                  <c:v>2.0119158290113953E-4</c:v>
                </c:pt>
                <c:pt idx="445">
                  <c:v>-7.107363355825637E-5</c:v>
                </c:pt>
                <c:pt idx="446">
                  <c:v>3.3162731541838664E-4</c:v>
                </c:pt>
                <c:pt idx="447">
                  <c:v>7.8347341162966733E-5</c:v>
                </c:pt>
                <c:pt idx="448">
                  <c:v>-4.7163669677206045E-5</c:v>
                </c:pt>
                <c:pt idx="449">
                  <c:v>-4.7444531706894894E-4</c:v>
                </c:pt>
                <c:pt idx="450">
                  <c:v>7.5573539049094817E-4</c:v>
                </c:pt>
                <c:pt idx="451">
                  <c:v>4.4740981056465236E-6</c:v>
                </c:pt>
                <c:pt idx="452">
                  <c:v>-2.5745112965379498E-4</c:v>
                </c:pt>
                <c:pt idx="453">
                  <c:v>4.0660920608527335E-4</c:v>
                </c:pt>
                <c:pt idx="454">
                  <c:v>-8.3415816562464821E-4</c:v>
                </c:pt>
                <c:pt idx="455">
                  <c:v>-3.3608620676268996E-4</c:v>
                </c:pt>
                <c:pt idx="456">
                  <c:v>-1.9434157468314171E-4</c:v>
                </c:pt>
                <c:pt idx="457">
                  <c:v>-1.4141356927782934E-4</c:v>
                </c:pt>
                <c:pt idx="458">
                  <c:v>2.5005573996146933E-4</c:v>
                </c:pt>
                <c:pt idx="459">
                  <c:v>5.8340237671404273E-5</c:v>
                </c:pt>
                <c:pt idx="460">
                  <c:v>2.353378730155194E-4</c:v>
                </c:pt>
                <c:pt idx="461">
                  <c:v>-3.2231974853934227E-4</c:v>
                </c:pt>
                <c:pt idx="462">
                  <c:v>6.1068092660292449E-5</c:v>
                </c:pt>
                <c:pt idx="463">
                  <c:v>1.4055401026426802E-4</c:v>
                </c:pt>
                <c:pt idx="464">
                  <c:v>-1.2090905063021485E-4</c:v>
                </c:pt>
                <c:pt idx="465">
                  <c:v>1.937439168766111E-5</c:v>
                </c:pt>
                <c:pt idx="466">
                  <c:v>-1.9788856356700403E-4</c:v>
                </c:pt>
                <c:pt idx="467">
                  <c:v>9.4643075569440213E-5</c:v>
                </c:pt>
                <c:pt idx="468">
                  <c:v>1.6248467643784705E-4</c:v>
                </c:pt>
                <c:pt idx="469">
                  <c:v>-2.3689500720591963E-4</c:v>
                </c:pt>
                <c:pt idx="470">
                  <c:v>-2.8606415065518898E-5</c:v>
                </c:pt>
                <c:pt idx="471">
                  <c:v>1.9721434362139287E-5</c:v>
                </c:pt>
                <c:pt idx="472">
                  <c:v>5.9280568187017953E-4</c:v>
                </c:pt>
                <c:pt idx="473">
                  <c:v>7.8372903965405417E-4</c:v>
                </c:pt>
                <c:pt idx="474">
                  <c:v>-3.6411129435647889E-4</c:v>
                </c:pt>
                <c:pt idx="475">
                  <c:v>5.6930485843236292E-4</c:v>
                </c:pt>
                <c:pt idx="476">
                  <c:v>-7.0069533726965652E-4</c:v>
                </c:pt>
                <c:pt idx="477">
                  <c:v>3.1818761353799297E-4</c:v>
                </c:pt>
                <c:pt idx="478">
                  <c:v>-5.8525907458311592E-4</c:v>
                </c:pt>
                <c:pt idx="479">
                  <c:v>-2.3623197701475387E-4</c:v>
                </c:pt>
                <c:pt idx="480">
                  <c:v>2.3160265164321808E-6</c:v>
                </c:pt>
                <c:pt idx="481">
                  <c:v>-3.1949170314861359E-4</c:v>
                </c:pt>
                <c:pt idx="482">
                  <c:v>-4.0954332056044717E-4</c:v>
                </c:pt>
                <c:pt idx="483">
                  <c:v>2.8528339104198839E-4</c:v>
                </c:pt>
                <c:pt idx="484">
                  <c:v>4.8367952684572838E-4</c:v>
                </c:pt>
                <c:pt idx="485">
                  <c:v>5.4575165640391565E-5</c:v>
                </c:pt>
                <c:pt idx="486">
                  <c:v>-1.3093046342032254E-4</c:v>
                </c:pt>
                <c:pt idx="487">
                  <c:v>7.5505942270662514E-5</c:v>
                </c:pt>
                <c:pt idx="488">
                  <c:v>5.9199990902251975E-4</c:v>
                </c:pt>
                <c:pt idx="489">
                  <c:v>6.6618519474958565E-5</c:v>
                </c:pt>
                <c:pt idx="490">
                  <c:v>3.1608994287637493E-4</c:v>
                </c:pt>
                <c:pt idx="491">
                  <c:v>-3.0038224192927286E-4</c:v>
                </c:pt>
                <c:pt idx="492">
                  <c:v>-1.937120882579466E-4</c:v>
                </c:pt>
                <c:pt idx="493">
                  <c:v>-5.6176088880725857E-5</c:v>
                </c:pt>
                <c:pt idx="494">
                  <c:v>4.5700391669495751E-4</c:v>
                </c:pt>
                <c:pt idx="495">
                  <c:v>-5.390498967035429E-4</c:v>
                </c:pt>
                <c:pt idx="496">
                  <c:v>4.2742416050381551E-4</c:v>
                </c:pt>
                <c:pt idx="497">
                  <c:v>-3.5756437225177134E-4</c:v>
                </c:pt>
                <c:pt idx="498">
                  <c:v>-1.8194953512315899E-4</c:v>
                </c:pt>
                <c:pt idx="499">
                  <c:v>-2.7667064137626055E-4</c:v>
                </c:pt>
                <c:pt idx="500">
                  <c:v>-7.9889293135777144E-6</c:v>
                </c:pt>
                <c:pt idx="501">
                  <c:v>-9.0148399551923615E-5</c:v>
                </c:pt>
                <c:pt idx="502">
                  <c:v>7.8023594238234263E-4</c:v>
                </c:pt>
                <c:pt idx="503">
                  <c:v>1.2717614005439845E-4</c:v>
                </c:pt>
                <c:pt idx="504">
                  <c:v>2.0594360536164391E-4</c:v>
                </c:pt>
                <c:pt idx="505">
                  <c:v>-2.337190029742769E-5</c:v>
                </c:pt>
                <c:pt idx="506">
                  <c:v>7.9741989583123661E-4</c:v>
                </c:pt>
                <c:pt idx="507">
                  <c:v>3.7473971024897147E-4</c:v>
                </c:pt>
                <c:pt idx="508">
                  <c:v>-8.0041929223415118E-4</c:v>
                </c:pt>
                <c:pt idx="509">
                  <c:v>-3.3011698788792509E-4</c:v>
                </c:pt>
                <c:pt idx="510">
                  <c:v>-4.096193874786734E-4</c:v>
                </c:pt>
                <c:pt idx="511">
                  <c:v>-7.3463030606384506E-4</c:v>
                </c:pt>
                <c:pt idx="512">
                  <c:v>-4.7873090898978852E-4</c:v>
                </c:pt>
                <c:pt idx="513">
                  <c:v>-2.3845320504571268E-4</c:v>
                </c:pt>
                <c:pt idx="514">
                  <c:v>-4.4602976852890574E-4</c:v>
                </c:pt>
                <c:pt idx="515">
                  <c:v>-1.4036175961070163E-4</c:v>
                </c:pt>
                <c:pt idx="516">
                  <c:v>-1.021525415797808E-4</c:v>
                </c:pt>
                <c:pt idx="517">
                  <c:v>-5.5427151747580155E-5</c:v>
                </c:pt>
                <c:pt idx="518">
                  <c:v>2.4530439049448105E-4</c:v>
                </c:pt>
                <c:pt idx="519">
                  <c:v>2.0335329017738527E-4</c:v>
                </c:pt>
                <c:pt idx="520">
                  <c:v>4.4099148840484679E-4</c:v>
                </c:pt>
                <c:pt idx="521">
                  <c:v>-3.9110865026941799E-4</c:v>
                </c:pt>
                <c:pt idx="522">
                  <c:v>-7.0882154629161773E-5</c:v>
                </c:pt>
                <c:pt idx="523">
                  <c:v>8.8815329450869806E-5</c:v>
                </c:pt>
                <c:pt idx="524">
                  <c:v>5.0774464865032851E-4</c:v>
                </c:pt>
                <c:pt idx="525">
                  <c:v>-1.5418855264705654E-4</c:v>
                </c:pt>
                <c:pt idx="526">
                  <c:v>-1.2499241527934521E-4</c:v>
                </c:pt>
                <c:pt idx="527">
                  <c:v>8.2408007089875099E-4</c:v>
                </c:pt>
                <c:pt idx="528">
                  <c:v>5.6833172051468854E-4</c:v>
                </c:pt>
                <c:pt idx="529">
                  <c:v>1.8328620694857596E-4</c:v>
                </c:pt>
                <c:pt idx="530">
                  <c:v>3.5761934507408497E-4</c:v>
                </c:pt>
                <c:pt idx="531">
                  <c:v>-1.5766658808304685E-4</c:v>
                </c:pt>
                <c:pt idx="532">
                  <c:v>2.0988562721968163E-6</c:v>
                </c:pt>
                <c:pt idx="533">
                  <c:v>-1.3050030228818605E-4</c:v>
                </c:pt>
                <c:pt idx="534">
                  <c:v>-6.4270938334789563E-4</c:v>
                </c:pt>
                <c:pt idx="535">
                  <c:v>-3.8919423968152998E-4</c:v>
                </c:pt>
                <c:pt idx="536">
                  <c:v>-2.3965385419422003E-6</c:v>
                </c:pt>
                <c:pt idx="537">
                  <c:v>-4.1354957487562218E-4</c:v>
                </c:pt>
                <c:pt idx="538">
                  <c:v>2.2228070072376964E-4</c:v>
                </c:pt>
                <c:pt idx="539">
                  <c:v>3.8274133655064431E-4</c:v>
                </c:pt>
                <c:pt idx="540">
                  <c:v>-6.3265344150370962E-4</c:v>
                </c:pt>
                <c:pt idx="541">
                  <c:v>3.6038077348394594E-4</c:v>
                </c:pt>
                <c:pt idx="542">
                  <c:v>-2.7608399511069924E-4</c:v>
                </c:pt>
                <c:pt idx="543">
                  <c:v>4.9878519222423768E-4</c:v>
                </c:pt>
                <c:pt idx="544">
                  <c:v>2.3411330708617765E-4</c:v>
                </c:pt>
                <c:pt idx="545">
                  <c:v>2.9320461151761815E-4</c:v>
                </c:pt>
                <c:pt idx="546">
                  <c:v>3.0628820065164725E-4</c:v>
                </c:pt>
                <c:pt idx="547">
                  <c:v>-3.6103565437353077E-5</c:v>
                </c:pt>
                <c:pt idx="548">
                  <c:v>-3.3088112297819663E-4</c:v>
                </c:pt>
                <c:pt idx="549">
                  <c:v>-3.141898899627871E-4</c:v>
                </c:pt>
                <c:pt idx="550">
                  <c:v>3.6054288604420214E-4</c:v>
                </c:pt>
                <c:pt idx="551">
                  <c:v>2.3413929229720436E-4</c:v>
                </c:pt>
                <c:pt idx="552">
                  <c:v>-3.449020277332686E-4</c:v>
                </c:pt>
                <c:pt idx="553">
                  <c:v>1.9840119921481514E-5</c:v>
                </c:pt>
                <c:pt idx="554">
                  <c:v>9.2099130610581012E-5</c:v>
                </c:pt>
                <c:pt idx="555">
                  <c:v>7.5878742534598604E-6</c:v>
                </c:pt>
                <c:pt idx="556">
                  <c:v>1.3431565350985E-4</c:v>
                </c:pt>
                <c:pt idx="557">
                  <c:v>-8.963449432594742E-4</c:v>
                </c:pt>
                <c:pt idx="558">
                  <c:v>-4.4456356784933611E-5</c:v>
                </c:pt>
                <c:pt idx="559">
                  <c:v>2.3357495861211038E-4</c:v>
                </c:pt>
                <c:pt idx="560">
                  <c:v>2.7023022654877967E-4</c:v>
                </c:pt>
                <c:pt idx="561">
                  <c:v>4.613873246016425E-4</c:v>
                </c:pt>
                <c:pt idx="562">
                  <c:v>1.1481633379243468E-4</c:v>
                </c:pt>
                <c:pt idx="563">
                  <c:v>-2.5306560432672453E-4</c:v>
                </c:pt>
                <c:pt idx="564">
                  <c:v>-6.4161424722211993E-4</c:v>
                </c:pt>
                <c:pt idx="565">
                  <c:v>-4.5328386985591328E-4</c:v>
                </c:pt>
                <c:pt idx="566">
                  <c:v>1.5892726923646069E-4</c:v>
                </c:pt>
                <c:pt idx="567">
                  <c:v>-2.108560217554562E-4</c:v>
                </c:pt>
                <c:pt idx="568">
                  <c:v>-1.1681576791252117E-4</c:v>
                </c:pt>
                <c:pt idx="569">
                  <c:v>-6.0889946319293213E-4</c:v>
                </c:pt>
                <c:pt idx="570">
                  <c:v>-1.0169065569850176E-4</c:v>
                </c:pt>
                <c:pt idx="571">
                  <c:v>3.5470293028050739E-4</c:v>
                </c:pt>
                <c:pt idx="572">
                  <c:v>-9.4526842746523336E-6</c:v>
                </c:pt>
                <c:pt idx="573">
                  <c:v>-3.3290661685009418E-6</c:v>
                </c:pt>
                <c:pt idx="574">
                  <c:v>-1.9812366486832904E-4</c:v>
                </c:pt>
                <c:pt idx="575">
                  <c:v>1.780926084437458E-4</c:v>
                </c:pt>
                <c:pt idx="576">
                  <c:v>2.6340147410764444E-4</c:v>
                </c:pt>
                <c:pt idx="577">
                  <c:v>-1.2372580158704621E-4</c:v>
                </c:pt>
                <c:pt idx="578">
                  <c:v>-1.9573114812603307E-4</c:v>
                </c:pt>
                <c:pt idx="579">
                  <c:v>1.4504457912174594E-4</c:v>
                </c:pt>
                <c:pt idx="580">
                  <c:v>-3.3529594974365584E-4</c:v>
                </c:pt>
                <c:pt idx="581">
                  <c:v>-4.4227637075540896E-5</c:v>
                </c:pt>
                <c:pt idx="582">
                  <c:v>-2.9327144998973867E-4</c:v>
                </c:pt>
                <c:pt idx="583">
                  <c:v>-5.6430230634823132E-4</c:v>
                </c:pt>
                <c:pt idx="584">
                  <c:v>3.9816959453322959E-4</c:v>
                </c:pt>
                <c:pt idx="585">
                  <c:v>2.840948920201944E-4</c:v>
                </c:pt>
                <c:pt idx="586">
                  <c:v>-3.945947372935261E-4</c:v>
                </c:pt>
                <c:pt idx="587">
                  <c:v>1.2366883530858885E-4</c:v>
                </c:pt>
                <c:pt idx="588">
                  <c:v>-5.7283722977412277E-4</c:v>
                </c:pt>
                <c:pt idx="589">
                  <c:v>2.2573532817763279E-4</c:v>
                </c:pt>
                <c:pt idx="590">
                  <c:v>-4.2039892715467063E-4</c:v>
                </c:pt>
                <c:pt idx="591">
                  <c:v>2.6492653987342517E-4</c:v>
                </c:pt>
                <c:pt idx="592">
                  <c:v>-8.4086520564157679E-4</c:v>
                </c:pt>
                <c:pt idx="593">
                  <c:v>-9.1798434399595574E-6</c:v>
                </c:pt>
                <c:pt idx="594">
                  <c:v>-1.7296688730378116E-4</c:v>
                </c:pt>
                <c:pt idx="595">
                  <c:v>2.6007447094703783E-4</c:v>
                </c:pt>
                <c:pt idx="596">
                  <c:v>-8.3872053003497979E-5</c:v>
                </c:pt>
                <c:pt idx="597">
                  <c:v>-2.120967410651429E-4</c:v>
                </c:pt>
                <c:pt idx="598">
                  <c:v>-2.220684636854455E-4</c:v>
                </c:pt>
                <c:pt idx="599">
                  <c:v>-7.5666678861638099E-4</c:v>
                </c:pt>
                <c:pt idx="600">
                  <c:v>2.0387928773552715E-4</c:v>
                </c:pt>
                <c:pt idx="601">
                  <c:v>-2.1421951708731673E-4</c:v>
                </c:pt>
                <c:pt idx="602">
                  <c:v>-2.5416772194551489E-4</c:v>
                </c:pt>
                <c:pt idx="603">
                  <c:v>-3.5525207552895269E-4</c:v>
                </c:pt>
                <c:pt idx="604">
                  <c:v>3.6170399456750507E-4</c:v>
                </c:pt>
                <c:pt idx="605">
                  <c:v>2.6274177073950866E-4</c:v>
                </c:pt>
                <c:pt idx="606">
                  <c:v>-5.8335807601264645E-4</c:v>
                </c:pt>
                <c:pt idx="607">
                  <c:v>2.6352434051607602E-5</c:v>
                </c:pt>
                <c:pt idx="608">
                  <c:v>6.2479776283929679E-4</c:v>
                </c:pt>
                <c:pt idx="609">
                  <c:v>3.3614046584304688E-4</c:v>
                </c:pt>
                <c:pt idx="610">
                  <c:v>-2.2744316074662691E-7</c:v>
                </c:pt>
                <c:pt idx="611">
                  <c:v>3.996955902137939E-4</c:v>
                </c:pt>
                <c:pt idx="612">
                  <c:v>1.1175558272475547E-4</c:v>
                </c:pt>
                <c:pt idx="613">
                  <c:v>-7.0647483835212764E-4</c:v>
                </c:pt>
                <c:pt idx="614">
                  <c:v>-4.6486317049336744E-5</c:v>
                </c:pt>
                <c:pt idx="615">
                  <c:v>2.1210158126581426E-4</c:v>
                </c:pt>
                <c:pt idx="616">
                  <c:v>2.9783161864396801E-4</c:v>
                </c:pt>
                <c:pt idx="617">
                  <c:v>7.4323133094308523E-5</c:v>
                </c:pt>
                <c:pt idx="618">
                  <c:v>6.6343316523731694E-4</c:v>
                </c:pt>
                <c:pt idx="619">
                  <c:v>7.4751108531194432E-4</c:v>
                </c:pt>
                <c:pt idx="620">
                  <c:v>-8.5595417689755568E-5</c:v>
                </c:pt>
                <c:pt idx="621">
                  <c:v>-4.6484351332525182E-4</c:v>
                </c:pt>
                <c:pt idx="622">
                  <c:v>-4.0652039769873793E-4</c:v>
                </c:pt>
                <c:pt idx="623">
                  <c:v>1.8752273986925882E-4</c:v>
                </c:pt>
                <c:pt idx="624">
                  <c:v>9.9044805688628467E-5</c:v>
                </c:pt>
                <c:pt idx="625">
                  <c:v>0</c:v>
                </c:pt>
                <c:pt idx="626">
                  <c:v>-2.1980720595203611E-4</c:v>
                </c:pt>
                <c:pt idx="627">
                  <c:v>6.9368214499027065E-5</c:v>
                </c:pt>
                <c:pt idx="628">
                  <c:v>5.1463073741133119E-4</c:v>
                </c:pt>
                <c:pt idx="629">
                  <c:v>7.8596005476068988E-6</c:v>
                </c:pt>
                <c:pt idx="630">
                  <c:v>1.6646686871001521E-4</c:v>
                </c:pt>
                <c:pt idx="631">
                  <c:v>-3.5837739246483304E-4</c:v>
                </c:pt>
                <c:pt idx="632">
                  <c:v>-4.1212431206557221E-4</c:v>
                </c:pt>
                <c:pt idx="633">
                  <c:v>-5.265526245202361E-4</c:v>
                </c:pt>
                <c:pt idx="634">
                  <c:v>-2.5304061007758985E-4</c:v>
                </c:pt>
                <c:pt idx="635">
                  <c:v>-1.637245798946432E-4</c:v>
                </c:pt>
                <c:pt idx="636">
                  <c:v>1.1566333878926089E-4</c:v>
                </c:pt>
                <c:pt idx="637">
                  <c:v>-6.1519399782083517E-4</c:v>
                </c:pt>
                <c:pt idx="638">
                  <c:v>-1.935361774915889E-4</c:v>
                </c:pt>
                <c:pt idx="639">
                  <c:v>2.8094723295475648E-4</c:v>
                </c:pt>
                <c:pt idx="640">
                  <c:v>-3.848325014876975E-4</c:v>
                </c:pt>
                <c:pt idx="641">
                  <c:v>-1.0308899373531004E-4</c:v>
                </c:pt>
                <c:pt idx="642">
                  <c:v>-1.0255360273708554E-4</c:v>
                </c:pt>
                <c:pt idx="643">
                  <c:v>1.4762885962578152E-4</c:v>
                </c:pt>
                <c:pt idx="644">
                  <c:v>-5.0098698991603535E-4</c:v>
                </c:pt>
                <c:pt idx="645">
                  <c:v>3.1252457827836037E-4</c:v>
                </c:pt>
                <c:pt idx="646">
                  <c:v>2.5022970393350798E-4</c:v>
                </c:pt>
                <c:pt idx="647">
                  <c:v>4.952844029012972E-4</c:v>
                </c:pt>
                <c:pt idx="648">
                  <c:v>-3.5936941585748669E-4</c:v>
                </c:pt>
                <c:pt idx="649">
                  <c:v>-1.1613977184782014E-4</c:v>
                </c:pt>
                <c:pt idx="650">
                  <c:v>-1.7017899618935865E-4</c:v>
                </c:pt>
                <c:pt idx="651">
                  <c:v>-2.2795926698374494E-4</c:v>
                </c:pt>
                <c:pt idx="652">
                  <c:v>5.0261388512167231E-4</c:v>
                </c:pt>
                <c:pt idx="653">
                  <c:v>9.5961357604145618E-4</c:v>
                </c:pt>
                <c:pt idx="654">
                  <c:v>1.317431212713161E-4</c:v>
                </c:pt>
                <c:pt idx="655">
                  <c:v>8.900024480537879E-5</c:v>
                </c:pt>
                <c:pt idx="656">
                  <c:v>6.0999737588564209E-4</c:v>
                </c:pt>
                <c:pt idx="657">
                  <c:v>3.4797536493023391E-4</c:v>
                </c:pt>
                <c:pt idx="658">
                  <c:v>8.5891941113056254E-5</c:v>
                </c:pt>
                <c:pt idx="659">
                  <c:v>6.2254810835796201E-5</c:v>
                </c:pt>
                <c:pt idx="660">
                  <c:v>-1.2605391979703253E-4</c:v>
                </c:pt>
                <c:pt idx="661">
                  <c:v>-2.3735015252966487E-4</c:v>
                </c:pt>
                <c:pt idx="662">
                  <c:v>2.9797590771520323E-5</c:v>
                </c:pt>
                <c:pt idx="663">
                  <c:v>1.8051632016522187E-4</c:v>
                </c:pt>
                <c:pt idx="664">
                  <c:v>-1.0945211618764472E-4</c:v>
                </c:pt>
                <c:pt idx="665">
                  <c:v>1.598653207245944E-4</c:v>
                </c:pt>
                <c:pt idx="666">
                  <c:v>-3.7649059292546388E-4</c:v>
                </c:pt>
                <c:pt idx="667">
                  <c:v>-3.7784358179417641E-4</c:v>
                </c:pt>
                <c:pt idx="668">
                  <c:v>-4.9820890475909875E-5</c:v>
                </c:pt>
                <c:pt idx="669">
                  <c:v>-2.8601073932507952E-4</c:v>
                </c:pt>
                <c:pt idx="670">
                  <c:v>-1.0710400963508392E-4</c:v>
                </c:pt>
                <c:pt idx="671">
                  <c:v>-1.2445236360464273E-4</c:v>
                </c:pt>
                <c:pt idx="672">
                  <c:v>-2.7741057916300442E-5</c:v>
                </c:pt>
                <c:pt idx="673">
                  <c:v>-2.7354391887699924E-4</c:v>
                </c:pt>
                <c:pt idx="674">
                  <c:v>3.6051738165222534E-5</c:v>
                </c:pt>
                <c:pt idx="675">
                  <c:v>-1.5534202801364801E-4</c:v>
                </c:pt>
                <c:pt idx="676">
                  <c:v>-2.3401264987889505E-4</c:v>
                </c:pt>
                <c:pt idx="677">
                  <c:v>2.6593738311705208E-4</c:v>
                </c:pt>
                <c:pt idx="678">
                  <c:v>2.0305653839802391E-4</c:v>
                </c:pt>
                <c:pt idx="679">
                  <c:v>7.3170912148735944E-5</c:v>
                </c:pt>
                <c:pt idx="680">
                  <c:v>8.2879978575589369E-4</c:v>
                </c:pt>
                <c:pt idx="681">
                  <c:v>-3.793752714903275E-4</c:v>
                </c:pt>
                <c:pt idx="682">
                  <c:v>-1.0479735309149951E-4</c:v>
                </c:pt>
                <c:pt idx="683">
                  <c:v>-2.116382572866508E-4</c:v>
                </c:pt>
                <c:pt idx="684">
                  <c:v>-5.3359999168212715E-5</c:v>
                </c:pt>
                <c:pt idx="685">
                  <c:v>-1.8904276166496981E-4</c:v>
                </c:pt>
                <c:pt idx="686">
                  <c:v>-1.5099711973710527E-5</c:v>
                </c:pt>
                <c:pt idx="687">
                  <c:v>1.9563018751631755E-4</c:v>
                </c:pt>
                <c:pt idx="688">
                  <c:v>-3.6476863797602722E-4</c:v>
                </c:pt>
                <c:pt idx="689">
                  <c:v>-4.7128542003264083E-4</c:v>
                </c:pt>
                <c:pt idx="690">
                  <c:v>-2.1978404211980658E-4</c:v>
                </c:pt>
                <c:pt idx="691">
                  <c:v>-1.4288895801634245E-4</c:v>
                </c:pt>
                <c:pt idx="692">
                  <c:v>-2.9009926568024299E-4</c:v>
                </c:pt>
                <c:pt idx="693">
                  <c:v>-2.6021133623472398E-4</c:v>
                </c:pt>
                <c:pt idx="694">
                  <c:v>-5.4478578076419967E-5</c:v>
                </c:pt>
                <c:pt idx="695">
                  <c:v>-8.9238415049690744E-4</c:v>
                </c:pt>
                <c:pt idx="696">
                  <c:v>6.2799636281080237E-4</c:v>
                </c:pt>
                <c:pt idx="697">
                  <c:v>-6.7790402002661449E-4</c:v>
                </c:pt>
                <c:pt idx="698">
                  <c:v>4.2997595592493049E-6</c:v>
                </c:pt>
                <c:pt idx="699">
                  <c:v>-1.4098586505125875E-4</c:v>
                </c:pt>
                <c:pt idx="700">
                  <c:v>-4.0500123035696245E-4</c:v>
                </c:pt>
                <c:pt idx="701">
                  <c:v>3.7431762151209414E-5</c:v>
                </c:pt>
                <c:pt idx="702">
                  <c:v>-2.047391180772385E-4</c:v>
                </c:pt>
                <c:pt idx="703">
                  <c:v>4.2504733692797728E-4</c:v>
                </c:pt>
                <c:pt idx="704">
                  <c:v>-6.7041159720581268E-5</c:v>
                </c:pt>
                <c:pt idx="705">
                  <c:v>-9.4269643832113154E-5</c:v>
                </c:pt>
                <c:pt idx="706">
                  <c:v>4.2426537222330101E-5</c:v>
                </c:pt>
                <c:pt idx="707">
                  <c:v>2.1133036488268385E-4</c:v>
                </c:pt>
                <c:pt idx="708">
                  <c:v>-5.0046890032079134E-4</c:v>
                </c:pt>
                <c:pt idx="709">
                  <c:v>-3.1805430305887283E-4</c:v>
                </c:pt>
                <c:pt idx="710">
                  <c:v>-9.2593514638817113E-4</c:v>
                </c:pt>
                <c:pt idx="711">
                  <c:v>4.1736852816225172E-4</c:v>
                </c:pt>
                <c:pt idx="712">
                  <c:v>-3.2249550670254712E-4</c:v>
                </c:pt>
                <c:pt idx="713">
                  <c:v>2.4978521208214431E-4</c:v>
                </c:pt>
                <c:pt idx="714">
                  <c:v>1.1927639012116236E-4</c:v>
                </c:pt>
                <c:pt idx="715">
                  <c:v>-3.1412299650705093E-4</c:v>
                </c:pt>
                <c:pt idx="716">
                  <c:v>4.8636278360751434E-5</c:v>
                </c:pt>
                <c:pt idx="717">
                  <c:v>-2.8112239575086781E-4</c:v>
                </c:pt>
                <c:pt idx="718">
                  <c:v>-3.262166862674235E-5</c:v>
                </c:pt>
                <c:pt idx="719">
                  <c:v>4.3818799334890241E-4</c:v>
                </c:pt>
                <c:pt idx="720">
                  <c:v>2.6677160383664861E-4</c:v>
                </c:pt>
                <c:pt idx="721">
                  <c:v>-3.0322230768746504E-4</c:v>
                </c:pt>
                <c:pt idx="722">
                  <c:v>9.2999691037944242E-5</c:v>
                </c:pt>
                <c:pt idx="723">
                  <c:v>-1.9753756716117573E-4</c:v>
                </c:pt>
                <c:pt idx="724">
                  <c:v>-2.8454309094989643E-4</c:v>
                </c:pt>
                <c:pt idx="725">
                  <c:v>-4.9243998491649743E-4</c:v>
                </c:pt>
                <c:pt idx="726">
                  <c:v>-2.6551740098035764E-4</c:v>
                </c:pt>
                <c:pt idx="727">
                  <c:v>5.9475482477938104E-4</c:v>
                </c:pt>
                <c:pt idx="728">
                  <c:v>1.1332857683611401E-4</c:v>
                </c:pt>
                <c:pt idx="729">
                  <c:v>-1.3963249117228535E-4</c:v>
                </c:pt>
                <c:pt idx="730">
                  <c:v>-2.253977242852017E-4</c:v>
                </c:pt>
                <c:pt idx="731">
                  <c:v>-9.1442980628772435E-5</c:v>
                </c:pt>
                <c:pt idx="732">
                  <c:v>-9.0460094652510843E-5</c:v>
                </c:pt>
                <c:pt idx="733">
                  <c:v>-4.1298366896437497E-5</c:v>
                </c:pt>
                <c:pt idx="734">
                  <c:v>-3.6772584557262408E-4</c:v>
                </c:pt>
                <c:pt idx="735">
                  <c:v>-3.8071221189769737E-4</c:v>
                </c:pt>
                <c:pt idx="736">
                  <c:v>4.3222241444885014E-4</c:v>
                </c:pt>
                <c:pt idx="737">
                  <c:v>-6.2497194035759679E-4</c:v>
                </c:pt>
                <c:pt idx="738">
                  <c:v>5.9151569437556337E-4</c:v>
                </c:pt>
                <c:pt idx="739">
                  <c:v>5.211598644455015E-4</c:v>
                </c:pt>
                <c:pt idx="740">
                  <c:v>-5.3443325440852127E-5</c:v>
                </c:pt>
                <c:pt idx="741">
                  <c:v>8.3307340316579191E-5</c:v>
                </c:pt>
                <c:pt idx="742">
                  <c:v>-5.0105771970518138E-5</c:v>
                </c:pt>
                <c:pt idx="743">
                  <c:v>4.9253724891331707E-4</c:v>
                </c:pt>
                <c:pt idx="744">
                  <c:v>4.1201733051512487E-6</c:v>
                </c:pt>
                <c:pt idx="745">
                  <c:v>-6.213155432061773E-4</c:v>
                </c:pt>
                <c:pt idx="746">
                  <c:v>-6.8974040131057385E-4</c:v>
                </c:pt>
                <c:pt idx="747">
                  <c:v>-7.0099931213436705E-5</c:v>
                </c:pt>
                <c:pt idx="748">
                  <c:v>-6.2869247879753312E-4</c:v>
                </c:pt>
                <c:pt idx="749">
                  <c:v>-6.1446210871457898E-4</c:v>
                </c:pt>
                <c:pt idx="750">
                  <c:v>-6.1244849413430403E-4</c:v>
                </c:pt>
                <c:pt idx="751">
                  <c:v>1.7460424487991516E-5</c:v>
                </c:pt>
                <c:pt idx="752">
                  <c:v>3.5147962110813511E-4</c:v>
                </c:pt>
                <c:pt idx="753">
                  <c:v>-5.8355997517349279E-5</c:v>
                </c:pt>
                <c:pt idx="754">
                  <c:v>6.4730017161776271E-4</c:v>
                </c:pt>
                <c:pt idx="755">
                  <c:v>2.2819543368809202E-4</c:v>
                </c:pt>
                <c:pt idx="756">
                  <c:v>2.0612523185905036E-4</c:v>
                </c:pt>
                <c:pt idx="757">
                  <c:v>4.2192754309773573E-4</c:v>
                </c:pt>
                <c:pt idx="758">
                  <c:v>4.9824124625101813E-4</c:v>
                </c:pt>
                <c:pt idx="759">
                  <c:v>-6.741316663543323E-4</c:v>
                </c:pt>
                <c:pt idx="760">
                  <c:v>-5.3595201770944851E-4</c:v>
                </c:pt>
                <c:pt idx="761">
                  <c:v>-2.9928826211775766E-4</c:v>
                </c:pt>
                <c:pt idx="762">
                  <c:v>5.5468881759854007E-5</c:v>
                </c:pt>
                <c:pt idx="763">
                  <c:v>1.5403720197247465E-4</c:v>
                </c:pt>
                <c:pt idx="764">
                  <c:v>2.0779389198660698E-4</c:v>
                </c:pt>
                <c:pt idx="765">
                  <c:v>1.4843342701070669E-4</c:v>
                </c:pt>
                <c:pt idx="766">
                  <c:v>3.6717401434274618E-4</c:v>
                </c:pt>
                <c:pt idx="767">
                  <c:v>-2.0955691014512245E-4</c:v>
                </c:pt>
                <c:pt idx="768">
                  <c:v>5.2272772244969215E-4</c:v>
                </c:pt>
                <c:pt idx="769">
                  <c:v>3.3243581097750229E-4</c:v>
                </c:pt>
                <c:pt idx="770">
                  <c:v>-3.216376582948945E-4</c:v>
                </c:pt>
                <c:pt idx="771">
                  <c:v>3.9072481793276314E-4</c:v>
                </c:pt>
                <c:pt idx="772">
                  <c:v>4.9589657797651399E-4</c:v>
                </c:pt>
                <c:pt idx="773">
                  <c:v>-4.272355963440806E-4</c:v>
                </c:pt>
                <c:pt idx="774">
                  <c:v>-7.0654704319218645E-4</c:v>
                </c:pt>
                <c:pt idx="775">
                  <c:v>-1.3663757162484192E-4</c:v>
                </c:pt>
                <c:pt idx="776">
                  <c:v>-3.4610023770822128E-4</c:v>
                </c:pt>
                <c:pt idx="777">
                  <c:v>-5.1177765116559642E-4</c:v>
                </c:pt>
                <c:pt idx="778">
                  <c:v>-7.7144935128999997E-5</c:v>
                </c:pt>
                <c:pt idx="779">
                  <c:v>4.7782408309322426E-4</c:v>
                </c:pt>
                <c:pt idx="780">
                  <c:v>9.7016700874861004E-5</c:v>
                </c:pt>
                <c:pt idx="781">
                  <c:v>-1.5141043172717532E-4</c:v>
                </c:pt>
                <c:pt idx="782">
                  <c:v>2.6071180237733857E-4</c:v>
                </c:pt>
                <c:pt idx="783">
                  <c:v>9.4038608916697988E-4</c:v>
                </c:pt>
                <c:pt idx="784">
                  <c:v>5.463833327103082E-4</c:v>
                </c:pt>
                <c:pt idx="785">
                  <c:v>1.6364973464571739E-4</c:v>
                </c:pt>
                <c:pt idx="786">
                  <c:v>5.7713796595099598E-4</c:v>
                </c:pt>
                <c:pt idx="787">
                  <c:v>-8.2038771079814214E-4</c:v>
                </c:pt>
                <c:pt idx="788">
                  <c:v>-2.669806637776651E-4</c:v>
                </c:pt>
                <c:pt idx="789">
                  <c:v>-3.328889291811316E-4</c:v>
                </c:pt>
                <c:pt idx="790">
                  <c:v>-2.1190955699453066E-4</c:v>
                </c:pt>
                <c:pt idx="791">
                  <c:v>-1.6784083505306003E-5</c:v>
                </c:pt>
                <c:pt idx="792">
                  <c:v>1.6919782595182156E-4</c:v>
                </c:pt>
                <c:pt idx="793">
                  <c:v>1.2039377656529584E-4</c:v>
                </c:pt>
                <c:pt idx="794">
                  <c:v>-6.3913575395634076E-5</c:v>
                </c:pt>
                <c:pt idx="795">
                  <c:v>1.8724714679326581E-4</c:v>
                </c:pt>
                <c:pt idx="796">
                  <c:v>-3.6789082401834857E-4</c:v>
                </c:pt>
                <c:pt idx="797">
                  <c:v>-1.3370407957366326E-4</c:v>
                </c:pt>
                <c:pt idx="798">
                  <c:v>3.0513896766113795E-4</c:v>
                </c:pt>
                <c:pt idx="799">
                  <c:v>1.6529557542653946E-4</c:v>
                </c:pt>
                <c:pt idx="800">
                  <c:v>-4.7455533242690467E-4</c:v>
                </c:pt>
                <c:pt idx="801">
                  <c:v>1.7798947247252032E-4</c:v>
                </c:pt>
                <c:pt idx="802">
                  <c:v>5.0172596280595168E-4</c:v>
                </c:pt>
                <c:pt idx="803">
                  <c:v>-3.3872700988972449E-4</c:v>
                </c:pt>
                <c:pt idx="804">
                  <c:v>5.1751993120417893E-5</c:v>
                </c:pt>
                <c:pt idx="805">
                  <c:v>2.8852763040923031E-4</c:v>
                </c:pt>
                <c:pt idx="806">
                  <c:v>5.292501444922311E-4</c:v>
                </c:pt>
                <c:pt idx="807">
                  <c:v>9.3835270260629602E-5</c:v>
                </c:pt>
                <c:pt idx="808">
                  <c:v>-3.1478277286693635E-4</c:v>
                </c:pt>
                <c:pt idx="809">
                  <c:v>4.3345134010701997E-4</c:v>
                </c:pt>
                <c:pt idx="810">
                  <c:v>1.9909934487716678E-4</c:v>
                </c:pt>
                <c:pt idx="811">
                  <c:v>3.7465158208693745E-4</c:v>
                </c:pt>
                <c:pt idx="812">
                  <c:v>4.3231334465694879E-4</c:v>
                </c:pt>
                <c:pt idx="813">
                  <c:v>-1.2472199860003762E-4</c:v>
                </c:pt>
                <c:pt idx="814">
                  <c:v>-1.8891919996537148E-4</c:v>
                </c:pt>
                <c:pt idx="815">
                  <c:v>-8.2471314274726587E-6</c:v>
                </c:pt>
                <c:pt idx="816">
                  <c:v>3.5385245967665876E-4</c:v>
                </c:pt>
                <c:pt idx="817">
                  <c:v>1.4254960227694829E-4</c:v>
                </c:pt>
                <c:pt idx="818">
                  <c:v>-1.6082378825850105E-4</c:v>
                </c:pt>
                <c:pt idx="819">
                  <c:v>-1.9863541991519854E-4</c:v>
                </c:pt>
                <c:pt idx="820">
                  <c:v>-2.7875592593306009E-4</c:v>
                </c:pt>
                <c:pt idx="821">
                  <c:v>5.0865548058357706E-4</c:v>
                </c:pt>
                <c:pt idx="822">
                  <c:v>-1.0832130639814959E-5</c:v>
                </c:pt>
                <c:pt idx="823">
                  <c:v>5.5696362203507595E-4</c:v>
                </c:pt>
                <c:pt idx="824">
                  <c:v>-2.2074713604084816E-4</c:v>
                </c:pt>
                <c:pt idx="825">
                  <c:v>1.0802676776869176E-5</c:v>
                </c:pt>
                <c:pt idx="826">
                  <c:v>5.4501409382303107E-4</c:v>
                </c:pt>
                <c:pt idx="827">
                  <c:v>3.2080884113286943E-6</c:v>
                </c:pt>
                <c:pt idx="828">
                  <c:v>3.253505098399692E-4</c:v>
                </c:pt>
                <c:pt idx="829">
                  <c:v>4.0037239534789257E-4</c:v>
                </c:pt>
                <c:pt idx="830">
                  <c:v>2.2922287586091541E-4</c:v>
                </c:pt>
                <c:pt idx="831">
                  <c:v>-3.7457372929719018E-5</c:v>
                </c:pt>
                <c:pt idx="832">
                  <c:v>6.9849038605651278E-4</c:v>
                </c:pt>
                <c:pt idx="833">
                  <c:v>-2.3804630419357062E-4</c:v>
                </c:pt>
                <c:pt idx="834">
                  <c:v>1.2388466736191469E-4</c:v>
                </c:pt>
                <c:pt idx="835">
                  <c:v>9.4899317855018416E-6</c:v>
                </c:pt>
                <c:pt idx="836">
                  <c:v>1.2079791860845829E-4</c:v>
                </c:pt>
                <c:pt idx="837">
                  <c:v>3.6290151330872468E-4</c:v>
                </c:pt>
                <c:pt idx="838">
                  <c:v>4.083690828870848E-5</c:v>
                </c:pt>
                <c:pt idx="839">
                  <c:v>-2.1342365218176976E-4</c:v>
                </c:pt>
                <c:pt idx="840">
                  <c:v>1.7596801521021111E-4</c:v>
                </c:pt>
                <c:pt idx="841">
                  <c:v>1.7166534445976097E-4</c:v>
                </c:pt>
                <c:pt idx="842">
                  <c:v>5.6275420599125037E-4</c:v>
                </c:pt>
                <c:pt idx="843">
                  <c:v>-3.0787177429348006E-4</c:v>
                </c:pt>
                <c:pt idx="844">
                  <c:v>3.3491753344833206E-4</c:v>
                </c:pt>
                <c:pt idx="845">
                  <c:v>-3.7163807135219063E-4</c:v>
                </c:pt>
                <c:pt idx="846">
                  <c:v>-8.540982502295762E-5</c:v>
                </c:pt>
                <c:pt idx="847">
                  <c:v>4.0080850637161424E-4</c:v>
                </c:pt>
                <c:pt idx="848">
                  <c:v>1.1687821555761223E-5</c:v>
                </c:pt>
                <c:pt idx="849">
                  <c:v>5.4043248243373779E-4</c:v>
                </c:pt>
                <c:pt idx="850">
                  <c:v>-8.741211380503592E-5</c:v>
                </c:pt>
                <c:pt idx="851">
                  <c:v>-4.0240460102854993E-5</c:v>
                </c:pt>
                <c:pt idx="852">
                  <c:v>5.6388572482160523E-5</c:v>
                </c:pt>
                <c:pt idx="853">
                  <c:v>-2.5324768064227714E-4</c:v>
                </c:pt>
                <c:pt idx="854">
                  <c:v>-1.086298772617325E-3</c:v>
                </c:pt>
                <c:pt idx="855">
                  <c:v>3.4011665425679222E-5</c:v>
                </c:pt>
                <c:pt idx="856">
                  <c:v>-2.1108533964174587E-4</c:v>
                </c:pt>
                <c:pt idx="857">
                  <c:v>7.7561475242401867E-5</c:v>
                </c:pt>
                <c:pt idx="858">
                  <c:v>-1.9438251598940322E-4</c:v>
                </c:pt>
                <c:pt idx="859">
                  <c:v>3.8326769357801383E-5</c:v>
                </c:pt>
                <c:pt idx="860">
                  <c:v>1.250071369064993E-4</c:v>
                </c:pt>
                <c:pt idx="861">
                  <c:v>-4.3242387331212187E-4</c:v>
                </c:pt>
                <c:pt idx="862">
                  <c:v>-1.8225860399435836E-4</c:v>
                </c:pt>
                <c:pt idx="863">
                  <c:v>-4.4210404617427954E-4</c:v>
                </c:pt>
                <c:pt idx="864">
                  <c:v>-7.6147152441233864E-4</c:v>
                </c:pt>
                <c:pt idx="865">
                  <c:v>6.427931337023296E-4</c:v>
                </c:pt>
                <c:pt idx="866">
                  <c:v>-4.0581309847536831E-4</c:v>
                </c:pt>
                <c:pt idx="867">
                  <c:v>2.671220530030438E-4</c:v>
                </c:pt>
                <c:pt idx="868">
                  <c:v>3.0494830439331631E-4</c:v>
                </c:pt>
                <c:pt idx="869">
                  <c:v>1.1394130420961457E-4</c:v>
                </c:pt>
                <c:pt idx="870">
                  <c:v>-1.8975767614991073E-4</c:v>
                </c:pt>
                <c:pt idx="871">
                  <c:v>4.2803789795460589E-4</c:v>
                </c:pt>
                <c:pt idx="872">
                  <c:v>9.1595393924855198E-5</c:v>
                </c:pt>
                <c:pt idx="873">
                  <c:v>-8.4057773946317622E-5</c:v>
                </c:pt>
                <c:pt idx="874">
                  <c:v>-1.2643307351829729E-4</c:v>
                </c:pt>
                <c:pt idx="875">
                  <c:v>-1.8990959958402995E-4</c:v>
                </c:pt>
                <c:pt idx="876">
                  <c:v>1.031648993420109E-4</c:v>
                </c:pt>
                <c:pt idx="877">
                  <c:v>-4.9871183027640925E-4</c:v>
                </c:pt>
                <c:pt idx="878">
                  <c:v>4.7187251710711545E-4</c:v>
                </c:pt>
                <c:pt idx="879">
                  <c:v>5.0253439164080443E-4</c:v>
                </c:pt>
                <c:pt idx="880">
                  <c:v>5.7775107332307942E-4</c:v>
                </c:pt>
                <c:pt idx="881">
                  <c:v>8.2223554089518773E-6</c:v>
                </c:pt>
                <c:pt idx="882">
                  <c:v>1.8971824475781031E-4</c:v>
                </c:pt>
                <c:pt idx="883">
                  <c:v>2.0950181540381555E-4</c:v>
                </c:pt>
                <c:pt idx="884">
                  <c:v>-8.7612508795704218E-5</c:v>
                </c:pt>
                <c:pt idx="885">
                  <c:v>7.4801833953638049E-4</c:v>
                </c:pt>
                <c:pt idx="886">
                  <c:v>6.6547958242395679E-4</c:v>
                </c:pt>
                <c:pt idx="887">
                  <c:v>2.9914379934089169E-4</c:v>
                </c:pt>
                <c:pt idx="888">
                  <c:v>2.6789255510664391E-4</c:v>
                </c:pt>
                <c:pt idx="889">
                  <c:v>-2.0952104468852757E-4</c:v>
                </c:pt>
                <c:pt idx="890">
                  <c:v>2.4057751848251351E-5</c:v>
                </c:pt>
                <c:pt idx="891">
                  <c:v>6.0851806935485579E-4</c:v>
                </c:pt>
                <c:pt idx="892">
                  <c:v>-1.8018201872995306E-4</c:v>
                </c:pt>
                <c:pt idx="893">
                  <c:v>-2.2365386617983126E-4</c:v>
                </c:pt>
                <c:pt idx="894">
                  <c:v>2.8196741033791474E-4</c:v>
                </c:pt>
                <c:pt idx="895">
                  <c:v>3.7083694962071332E-4</c:v>
                </c:pt>
                <c:pt idx="896">
                  <c:v>-2.7055526834174511E-4</c:v>
                </c:pt>
                <c:pt idx="897">
                  <c:v>-1.5306212421690961E-5</c:v>
                </c:pt>
                <c:pt idx="898">
                  <c:v>5.9479502830492824E-4</c:v>
                </c:pt>
                <c:pt idx="899">
                  <c:v>-2.0346836882597405E-4</c:v>
                </c:pt>
                <c:pt idx="900">
                  <c:v>3.5719012438230997E-4</c:v>
                </c:pt>
                <c:pt idx="901">
                  <c:v>1.9232202324910677E-4</c:v>
                </c:pt>
                <c:pt idx="902">
                  <c:v>-2.2297220777980778E-4</c:v>
                </c:pt>
                <c:pt idx="903">
                  <c:v>-2.4255690017388218E-4</c:v>
                </c:pt>
                <c:pt idx="904">
                  <c:v>-8.8232526129538108E-5</c:v>
                </c:pt>
                <c:pt idx="905">
                  <c:v>1.1070194621322887E-4</c:v>
                </c:pt>
                <c:pt idx="906">
                  <c:v>1.8649084236967083E-5</c:v>
                </c:pt>
                <c:pt idx="907">
                  <c:v>-3.3912086512198253E-5</c:v>
                </c:pt>
                <c:pt idx="908">
                  <c:v>4.2568357095914086E-4</c:v>
                </c:pt>
                <c:pt idx="909">
                  <c:v>4.3640495191937014E-4</c:v>
                </c:pt>
                <c:pt idx="910">
                  <c:v>1.1450317808176713E-4</c:v>
                </c:pt>
                <c:pt idx="911">
                  <c:v>2.2114723026186333E-4</c:v>
                </c:pt>
                <c:pt idx="912">
                  <c:v>-1.8385591564968695E-4</c:v>
                </c:pt>
                <c:pt idx="913">
                  <c:v>3.057855980529786E-4</c:v>
                </c:pt>
                <c:pt idx="914">
                  <c:v>6.1262085259514357E-5</c:v>
                </c:pt>
                <c:pt idx="915">
                  <c:v>-1.2181142077973269E-4</c:v>
                </c:pt>
                <c:pt idx="916">
                  <c:v>-1.7933209434537297E-4</c:v>
                </c:pt>
                <c:pt idx="917">
                  <c:v>-3.0922271507634985E-5</c:v>
                </c:pt>
                <c:pt idx="918">
                  <c:v>-9.5942881285343418E-5</c:v>
                </c:pt>
                <c:pt idx="919">
                  <c:v>8.2020551920429551E-4</c:v>
                </c:pt>
                <c:pt idx="920">
                  <c:v>-1.6084608661137733E-4</c:v>
                </c:pt>
                <c:pt idx="921">
                  <c:v>-2.0333022402586954E-4</c:v>
                </c:pt>
                <c:pt idx="922">
                  <c:v>-4.8051595885985831E-4</c:v>
                </c:pt>
                <c:pt idx="923">
                  <c:v>3.9105786805578279E-4</c:v>
                </c:pt>
                <c:pt idx="924">
                  <c:v>-4.1236344029123984E-4</c:v>
                </c:pt>
                <c:pt idx="925">
                  <c:v>2.0014772937872963E-4</c:v>
                </c:pt>
                <c:pt idx="926">
                  <c:v>1.3147709867627203E-4</c:v>
                </c:pt>
                <c:pt idx="927">
                  <c:v>-9.4240055516263047E-5</c:v>
                </c:pt>
                <c:pt idx="928">
                  <c:v>1.8229496204039071E-4</c:v>
                </c:pt>
                <c:pt idx="929">
                  <c:v>6.2572083562891217E-4</c:v>
                </c:pt>
                <c:pt idx="930">
                  <c:v>-3.6738504410375669E-4</c:v>
                </c:pt>
                <c:pt idx="931">
                  <c:v>1.7062273173790513E-4</c:v>
                </c:pt>
                <c:pt idx="932">
                  <c:v>1.7949747162978173E-4</c:v>
                </c:pt>
                <c:pt idx="933">
                  <c:v>1.4369318372531458E-4</c:v>
                </c:pt>
                <c:pt idx="934">
                  <c:v>3.8427170951907673E-4</c:v>
                </c:pt>
                <c:pt idx="935">
                  <c:v>-3.3062820061148816E-4</c:v>
                </c:pt>
                <c:pt idx="936">
                  <c:v>7.9491514050136064E-5</c:v>
                </c:pt>
                <c:pt idx="937">
                  <c:v>8.0488540570132879E-7</c:v>
                </c:pt>
                <c:pt idx="938">
                  <c:v>-2.4125621605085155E-4</c:v>
                </c:pt>
                <c:pt idx="939">
                  <c:v>-3.2069411549897914E-4</c:v>
                </c:pt>
                <c:pt idx="940">
                  <c:v>4.6158824521579377E-4</c:v>
                </c:pt>
                <c:pt idx="941">
                  <c:v>-3.9147260570115261E-4</c:v>
                </c:pt>
                <c:pt idx="942">
                  <c:v>-1.8814296299628238E-4</c:v>
                </c:pt>
                <c:pt idx="943">
                  <c:v>-5.19531298255316E-5</c:v>
                </c:pt>
                <c:pt idx="944">
                  <c:v>-1.7398119622561512E-5</c:v>
                </c:pt>
                <c:pt idx="945">
                  <c:v>3.1565106244412319E-4</c:v>
                </c:pt>
                <c:pt idx="946">
                  <c:v>-5.0054751945702726E-4</c:v>
                </c:pt>
                <c:pt idx="947">
                  <c:v>3.0646279911676058E-4</c:v>
                </c:pt>
                <c:pt idx="948">
                  <c:v>2.9589824261242083E-5</c:v>
                </c:pt>
                <c:pt idx="949">
                  <c:v>3.3961422460774041E-4</c:v>
                </c:pt>
                <c:pt idx="950">
                  <c:v>-3.2476049550018461E-4</c:v>
                </c:pt>
                <c:pt idx="951">
                  <c:v>3.1532166869927935E-4</c:v>
                </c:pt>
                <c:pt idx="952">
                  <c:v>-2.0496696531839857E-4</c:v>
                </c:pt>
                <c:pt idx="953">
                  <c:v>9.6066782020116345E-5</c:v>
                </c:pt>
                <c:pt idx="954">
                  <c:v>3.6760128312584396E-4</c:v>
                </c:pt>
                <c:pt idx="955">
                  <c:v>-2.3535038351793413E-4</c:v>
                </c:pt>
                <c:pt idx="956">
                  <c:v>-1.7270296519344646E-4</c:v>
                </c:pt>
                <c:pt idx="957">
                  <c:v>1.360416015535234E-4</c:v>
                </c:pt>
                <c:pt idx="958">
                  <c:v>-3.7318979338831751E-4</c:v>
                </c:pt>
                <c:pt idx="959">
                  <c:v>2.5383165516279591E-4</c:v>
                </c:pt>
                <c:pt idx="960">
                  <c:v>-1.8270995669148981E-4</c:v>
                </c:pt>
                <c:pt idx="961">
                  <c:v>2.3095909379224525E-4</c:v>
                </c:pt>
                <c:pt idx="962">
                  <c:v>-2.6037555409005018E-4</c:v>
                </c:pt>
                <c:pt idx="963">
                  <c:v>2.9112979126671534E-5</c:v>
                </c:pt>
                <c:pt idx="964">
                  <c:v>-3.2373051945066498E-4</c:v>
                </c:pt>
                <c:pt idx="965">
                  <c:v>4.6281692522126192E-4</c:v>
                </c:pt>
                <c:pt idx="966">
                  <c:v>-1.8431538129411629E-4</c:v>
                </c:pt>
                <c:pt idx="967">
                  <c:v>3.0112294510653879E-4</c:v>
                </c:pt>
                <c:pt idx="968">
                  <c:v>2.4803807522370564E-4</c:v>
                </c:pt>
                <c:pt idx="969">
                  <c:v>2.3629191749408086E-4</c:v>
                </c:pt>
                <c:pt idx="970">
                  <c:v>-2.4514558252402825E-4</c:v>
                </c:pt>
                <c:pt idx="971">
                  <c:v>-3.7181058768918549E-4</c:v>
                </c:pt>
                <c:pt idx="972">
                  <c:v>-3.3303348771869615E-4</c:v>
                </c:pt>
                <c:pt idx="973">
                  <c:v>-1.2999712398268335E-4</c:v>
                </c:pt>
                <c:pt idx="974">
                  <c:v>6.9367662620482785E-4</c:v>
                </c:pt>
                <c:pt idx="975">
                  <c:v>-1.0407313083568081E-4</c:v>
                </c:pt>
                <c:pt idx="976">
                  <c:v>7.0421726429727909E-4</c:v>
                </c:pt>
                <c:pt idx="977">
                  <c:v>5.9783556249416367E-4</c:v>
                </c:pt>
                <c:pt idx="978">
                  <c:v>3.019499436613101E-4</c:v>
                </c:pt>
                <c:pt idx="979">
                  <c:v>6.3607297286783751E-4</c:v>
                </c:pt>
                <c:pt idx="980">
                  <c:v>-5.4916881195703389E-5</c:v>
                </c:pt>
                <c:pt idx="981">
                  <c:v>-1.1231715755480837E-4</c:v>
                </c:pt>
                <c:pt idx="982">
                  <c:v>-1.0643062105562594E-4</c:v>
                </c:pt>
                <c:pt idx="983">
                  <c:v>4.3507959434435514E-4</c:v>
                </c:pt>
                <c:pt idx="984">
                  <c:v>-5.1976737748722006E-4</c:v>
                </c:pt>
                <c:pt idx="985">
                  <c:v>3.2472208073832114E-4</c:v>
                </c:pt>
                <c:pt idx="986">
                  <c:v>2.9256465965469831E-4</c:v>
                </c:pt>
                <c:pt idx="987">
                  <c:v>3.1139037651040097E-4</c:v>
                </c:pt>
                <c:pt idx="988">
                  <c:v>-1.957106218394528E-4</c:v>
                </c:pt>
                <c:pt idx="989">
                  <c:v>2.8671895587546828E-4</c:v>
                </c:pt>
                <c:pt idx="990">
                  <c:v>-6.8034072737074698E-5</c:v>
                </c:pt>
                <c:pt idx="991">
                  <c:v>7.123243479811327E-4</c:v>
                </c:pt>
                <c:pt idx="992">
                  <c:v>-1.4361712956315726E-4</c:v>
                </c:pt>
                <c:pt idx="993">
                  <c:v>6.0307265732856426E-4</c:v>
                </c:pt>
                <c:pt idx="994">
                  <c:v>-3.3211332941831254E-4</c:v>
                </c:pt>
                <c:pt idx="995">
                  <c:v>-2.3260871219279823E-4</c:v>
                </c:pt>
                <c:pt idx="996">
                  <c:v>8.9075842964093206E-5</c:v>
                </c:pt>
                <c:pt idx="997">
                  <c:v>1.8915458101232839E-4</c:v>
                </c:pt>
              </c:numCache>
            </c:numRef>
          </c:xVal>
          <c:yVal>
            <c:numRef>
              <c:f>DATA!$AI$3:$AI$1000</c:f>
              <c:numCache>
                <c:formatCode>0.00%</c:formatCode>
                <c:ptCount val="998"/>
                <c:pt idx="0">
                  <c:v>-3.5569637690202306E-4</c:v>
                </c:pt>
                <c:pt idx="1">
                  <c:v>-8.9773003390732358E-4</c:v>
                </c:pt>
                <c:pt idx="2">
                  <c:v>1.7225322431736932E-4</c:v>
                </c:pt>
                <c:pt idx="3">
                  <c:v>6.9581862494501746E-4</c:v>
                </c:pt>
                <c:pt idx="4">
                  <c:v>-8.2168571436244198E-4</c:v>
                </c:pt>
                <c:pt idx="5">
                  <c:v>8.0799388374614561E-4</c:v>
                </c:pt>
                <c:pt idx="6">
                  <c:v>8.687802611461762E-5</c:v>
                </c:pt>
                <c:pt idx="7">
                  <c:v>-1.1051006524391924E-3</c:v>
                </c:pt>
                <c:pt idx="8">
                  <c:v>-1.0877279555680298E-3</c:v>
                </c:pt>
                <c:pt idx="9">
                  <c:v>5.9547956346429703E-4</c:v>
                </c:pt>
                <c:pt idx="10">
                  <c:v>-5.6361229675611644E-4</c:v>
                </c:pt>
                <c:pt idx="11">
                  <c:v>-2.3259233527553707E-4</c:v>
                </c:pt>
                <c:pt idx="12">
                  <c:v>-4.545299193564883E-4</c:v>
                </c:pt>
                <c:pt idx="13">
                  <c:v>-1.5723640868404274E-4</c:v>
                </c:pt>
                <c:pt idx="14">
                  <c:v>-1.0429347795577963E-3</c:v>
                </c:pt>
                <c:pt idx="15">
                  <c:v>9.8936647630747007E-5</c:v>
                </c:pt>
                <c:pt idx="16">
                  <c:v>4.8333656191879075E-4</c:v>
                </c:pt>
                <c:pt idx="17">
                  <c:v>-9.9975720608001003E-4</c:v>
                </c:pt>
                <c:pt idx="18">
                  <c:v>2.3371120262073009E-5</c:v>
                </c:pt>
                <c:pt idx="19">
                  <c:v>3.6203277024883453E-4</c:v>
                </c:pt>
                <c:pt idx="20">
                  <c:v>1.6366132155144119E-4</c:v>
                </c:pt>
                <c:pt idx="21">
                  <c:v>5.2327106711344031E-4</c:v>
                </c:pt>
                <c:pt idx="22">
                  <c:v>6.848600708154456E-5</c:v>
                </c:pt>
                <c:pt idx="23">
                  <c:v>-6.1590483845097978E-5</c:v>
                </c:pt>
                <c:pt idx="24">
                  <c:v>-2.0410058229975827E-4</c:v>
                </c:pt>
                <c:pt idx="25">
                  <c:v>1.3427640223758492E-3</c:v>
                </c:pt>
                <c:pt idx="26">
                  <c:v>8.6051842449929715E-4</c:v>
                </c:pt>
                <c:pt idx="27">
                  <c:v>7.5453289694881809E-4</c:v>
                </c:pt>
                <c:pt idx="28">
                  <c:v>-1.2936218740549669E-3</c:v>
                </c:pt>
                <c:pt idx="29">
                  <c:v>-4.1445448945610924E-4</c:v>
                </c:pt>
                <c:pt idx="30">
                  <c:v>-2.4841877230554708E-4</c:v>
                </c:pt>
                <c:pt idx="31">
                  <c:v>-6.8979946192318281E-4</c:v>
                </c:pt>
                <c:pt idx="32">
                  <c:v>-4.2304438742731698E-4</c:v>
                </c:pt>
                <c:pt idx="33">
                  <c:v>6.0574778230807315E-4</c:v>
                </c:pt>
                <c:pt idx="34">
                  <c:v>2.5739317235128236E-4</c:v>
                </c:pt>
                <c:pt idx="35">
                  <c:v>-3.6174426455503982E-4</c:v>
                </c:pt>
                <c:pt idx="36">
                  <c:v>1.6029048432350838E-4</c:v>
                </c:pt>
                <c:pt idx="37">
                  <c:v>-5.1976251284369579E-4</c:v>
                </c:pt>
                <c:pt idx="38">
                  <c:v>-3.5789035976637384E-4</c:v>
                </c:pt>
                <c:pt idx="39">
                  <c:v>-1.0092061398487454E-4</c:v>
                </c:pt>
                <c:pt idx="40">
                  <c:v>-1.6452173605808614E-4</c:v>
                </c:pt>
                <c:pt idx="41">
                  <c:v>-5.0075808832540788E-4</c:v>
                </c:pt>
                <c:pt idx="42">
                  <c:v>1.1339762074831089E-3</c:v>
                </c:pt>
                <c:pt idx="43">
                  <c:v>-2.5894616908767656E-4</c:v>
                </c:pt>
                <c:pt idx="44">
                  <c:v>8.9048547196030959E-4</c:v>
                </c:pt>
                <c:pt idx="45">
                  <c:v>-5.8915524820808847E-4</c:v>
                </c:pt>
                <c:pt idx="46">
                  <c:v>1.0326118171757955E-4</c:v>
                </c:pt>
                <c:pt idx="47">
                  <c:v>3.9639808504290811E-4</c:v>
                </c:pt>
                <c:pt idx="48">
                  <c:v>-1.1039498304186051E-3</c:v>
                </c:pt>
                <c:pt idx="49">
                  <c:v>-1.9421280844621319E-4</c:v>
                </c:pt>
                <c:pt idx="50">
                  <c:v>6.3004797042400188E-5</c:v>
                </c:pt>
                <c:pt idx="51">
                  <c:v>7.7459469120026955E-5</c:v>
                </c:pt>
                <c:pt idx="52">
                  <c:v>-9.6535143830518008E-5</c:v>
                </c:pt>
                <c:pt idx="53">
                  <c:v>1.8844908318503057E-4</c:v>
                </c:pt>
                <c:pt idx="54">
                  <c:v>-6.0860835931041189E-4</c:v>
                </c:pt>
                <c:pt idx="55">
                  <c:v>-1.4486254163695418E-3</c:v>
                </c:pt>
                <c:pt idx="56">
                  <c:v>-2.7788857873393172E-4</c:v>
                </c:pt>
                <c:pt idx="57">
                  <c:v>-4.1905487515440183E-4</c:v>
                </c:pt>
                <c:pt idx="58">
                  <c:v>7.3282746517083095E-8</c:v>
                </c:pt>
                <c:pt idx="59">
                  <c:v>-8.33789067893916E-4</c:v>
                </c:pt>
                <c:pt idx="60">
                  <c:v>8.0862008137408804E-4</c:v>
                </c:pt>
                <c:pt idx="61">
                  <c:v>-1.0390769366985752E-4</c:v>
                </c:pt>
                <c:pt idx="62">
                  <c:v>-1.2362793640318238E-3</c:v>
                </c:pt>
                <c:pt idx="63">
                  <c:v>9.3024427983649024E-4</c:v>
                </c:pt>
                <c:pt idx="64">
                  <c:v>4.2850759281811772E-5</c:v>
                </c:pt>
                <c:pt idx="65">
                  <c:v>6.5303347722557448E-5</c:v>
                </c:pt>
                <c:pt idx="66">
                  <c:v>4.0491491993003219E-4</c:v>
                </c:pt>
                <c:pt idx="67">
                  <c:v>-3.7009429732758623E-4</c:v>
                </c:pt>
                <c:pt idx="68">
                  <c:v>4.4857848158997172E-4</c:v>
                </c:pt>
                <c:pt idx="69">
                  <c:v>8.8784849784072912E-5</c:v>
                </c:pt>
                <c:pt idx="70">
                  <c:v>6.1150817044386028E-4</c:v>
                </c:pt>
                <c:pt idx="71">
                  <c:v>-3.3772385183621258E-4</c:v>
                </c:pt>
                <c:pt idx="72">
                  <c:v>3.1740032101074807E-5</c:v>
                </c:pt>
                <c:pt idx="73">
                  <c:v>8.4853352515013134E-4</c:v>
                </c:pt>
                <c:pt idx="74">
                  <c:v>1.4173844070663379E-3</c:v>
                </c:pt>
                <c:pt idx="75">
                  <c:v>3.000115266205204E-4</c:v>
                </c:pt>
                <c:pt idx="76">
                  <c:v>-3.9461961562811362E-4</c:v>
                </c:pt>
                <c:pt idx="77">
                  <c:v>-1.1764784469825728E-3</c:v>
                </c:pt>
                <c:pt idx="78">
                  <c:v>-3.3397096237885001E-4</c:v>
                </c:pt>
                <c:pt idx="79">
                  <c:v>-1.0117224391679164E-4</c:v>
                </c:pt>
                <c:pt idx="80">
                  <c:v>-8.4798011590446248E-4</c:v>
                </c:pt>
                <c:pt idx="81">
                  <c:v>-8.6873277780060462E-4</c:v>
                </c:pt>
                <c:pt idx="82">
                  <c:v>2.5237996512181396E-4</c:v>
                </c:pt>
                <c:pt idx="83">
                  <c:v>-7.6191815992137605E-4</c:v>
                </c:pt>
                <c:pt idx="84">
                  <c:v>2.7375455285702732E-4</c:v>
                </c:pt>
                <c:pt idx="85">
                  <c:v>-1.6759885605349644E-3</c:v>
                </c:pt>
                <c:pt idx="86">
                  <c:v>7.9698438129085993E-4</c:v>
                </c:pt>
                <c:pt idx="87">
                  <c:v>-7.5494497272924016E-4</c:v>
                </c:pt>
                <c:pt idx="88">
                  <c:v>-7.4311450878066215E-4</c:v>
                </c:pt>
                <c:pt idx="89">
                  <c:v>3.2145945968318178E-4</c:v>
                </c:pt>
                <c:pt idx="90">
                  <c:v>-5.75525319474421E-4</c:v>
                </c:pt>
                <c:pt idx="91">
                  <c:v>-4.7444832453302229E-4</c:v>
                </c:pt>
                <c:pt idx="92">
                  <c:v>-2.011023770640922E-4</c:v>
                </c:pt>
                <c:pt idx="93">
                  <c:v>7.1177299251395834E-4</c:v>
                </c:pt>
                <c:pt idx="94">
                  <c:v>5.7438877652132934E-4</c:v>
                </c:pt>
                <c:pt idx="95">
                  <c:v>8.2602123949124197E-4</c:v>
                </c:pt>
                <c:pt idx="96">
                  <c:v>1.0897458705477422E-3</c:v>
                </c:pt>
                <c:pt idx="97">
                  <c:v>-6.7083145023373667E-4</c:v>
                </c:pt>
                <c:pt idx="98">
                  <c:v>-5.689490070415696E-4</c:v>
                </c:pt>
                <c:pt idx="99">
                  <c:v>4.5758269338749161E-6</c:v>
                </c:pt>
                <c:pt idx="100">
                  <c:v>1.1633223559716003E-3</c:v>
                </c:pt>
                <c:pt idx="101">
                  <c:v>-7.0354561990591791E-4</c:v>
                </c:pt>
                <c:pt idx="102">
                  <c:v>-2.0213467354982992E-5</c:v>
                </c:pt>
                <c:pt idx="103">
                  <c:v>1.0591533818324807E-3</c:v>
                </c:pt>
                <c:pt idx="104">
                  <c:v>9.4989348539403415E-5</c:v>
                </c:pt>
                <c:pt idx="105">
                  <c:v>3.1162103560547971E-4</c:v>
                </c:pt>
                <c:pt idx="106">
                  <c:v>-4.0984889160977162E-4</c:v>
                </c:pt>
                <c:pt idx="107">
                  <c:v>-7.2982687726694706E-4</c:v>
                </c:pt>
                <c:pt idx="108">
                  <c:v>-1.3418002604796188E-5</c:v>
                </c:pt>
                <c:pt idx="109">
                  <c:v>-3.790678038842456E-4</c:v>
                </c:pt>
                <c:pt idx="110">
                  <c:v>1.7156151448954028E-4</c:v>
                </c:pt>
                <c:pt idx="111">
                  <c:v>-9.9726678236929821E-5</c:v>
                </c:pt>
                <c:pt idx="112">
                  <c:v>-1.2640129445311225E-3</c:v>
                </c:pt>
                <c:pt idx="113">
                  <c:v>-1.5112933874177572E-5</c:v>
                </c:pt>
                <c:pt idx="114">
                  <c:v>2.0170905143928401E-4</c:v>
                </c:pt>
                <c:pt idx="115">
                  <c:v>1.7939438808810988E-3</c:v>
                </c:pt>
                <c:pt idx="116">
                  <c:v>-2.6458287278588731E-5</c:v>
                </c:pt>
                <c:pt idx="117">
                  <c:v>-6.4190975376359253E-4</c:v>
                </c:pt>
                <c:pt idx="118">
                  <c:v>-9.3208175308874655E-5</c:v>
                </c:pt>
                <c:pt idx="119">
                  <c:v>1.8335518731940842E-4</c:v>
                </c:pt>
                <c:pt idx="120">
                  <c:v>3.8858780269039421E-4</c:v>
                </c:pt>
                <c:pt idx="121">
                  <c:v>2.7688794946602871E-4</c:v>
                </c:pt>
                <c:pt idx="122">
                  <c:v>1.0027864285933733E-4</c:v>
                </c:pt>
                <c:pt idx="123">
                  <c:v>2.0890551304736534E-4</c:v>
                </c:pt>
                <c:pt idx="124">
                  <c:v>-2.0795979650098644E-4</c:v>
                </c:pt>
                <c:pt idx="125">
                  <c:v>6.3992777044939817E-4</c:v>
                </c:pt>
                <c:pt idx="126">
                  <c:v>-1.8143742423894758E-4</c:v>
                </c:pt>
                <c:pt idx="127">
                  <c:v>1.1265928651368807E-4</c:v>
                </c:pt>
                <c:pt idx="128">
                  <c:v>4.2823992606968905E-4</c:v>
                </c:pt>
                <c:pt idx="129">
                  <c:v>-7.0367119642348339E-4</c:v>
                </c:pt>
                <c:pt idx="130">
                  <c:v>1.4980419325098552E-4</c:v>
                </c:pt>
                <c:pt idx="131">
                  <c:v>3.9889910571864893E-4</c:v>
                </c:pt>
                <c:pt idx="132">
                  <c:v>2.2438992116676393E-4</c:v>
                </c:pt>
                <c:pt idx="133">
                  <c:v>3.1667859643352662E-4</c:v>
                </c:pt>
                <c:pt idx="134">
                  <c:v>4.2863361696860017E-4</c:v>
                </c:pt>
                <c:pt idx="135">
                  <c:v>-4.1304443056989023E-4</c:v>
                </c:pt>
                <c:pt idx="136">
                  <c:v>-1.4122727896329975E-3</c:v>
                </c:pt>
                <c:pt idx="137">
                  <c:v>-8.7289667083823757E-4</c:v>
                </c:pt>
                <c:pt idx="138">
                  <c:v>3.5913984606926528E-4</c:v>
                </c:pt>
                <c:pt idx="139">
                  <c:v>5.8741032848006022E-4</c:v>
                </c:pt>
                <c:pt idx="140">
                  <c:v>5.1596112855913881E-4</c:v>
                </c:pt>
                <c:pt idx="141">
                  <c:v>2.1754893870284083E-4</c:v>
                </c:pt>
                <c:pt idx="142">
                  <c:v>-8.2094428780218854E-4</c:v>
                </c:pt>
                <c:pt idx="143">
                  <c:v>4.464689533473126E-4</c:v>
                </c:pt>
                <c:pt idx="144">
                  <c:v>4.3199574591752156E-4</c:v>
                </c:pt>
                <c:pt idx="145">
                  <c:v>-5.6175376694986095E-4</c:v>
                </c:pt>
                <c:pt idx="146">
                  <c:v>-6.2951365983063962E-4</c:v>
                </c:pt>
                <c:pt idx="147">
                  <c:v>-4.1692866372988334E-4</c:v>
                </c:pt>
                <c:pt idx="148">
                  <c:v>-1.171848673776477E-5</c:v>
                </c:pt>
                <c:pt idx="149">
                  <c:v>-2.5144919222449934E-4</c:v>
                </c:pt>
                <c:pt idx="150">
                  <c:v>-5.0281419377547079E-4</c:v>
                </c:pt>
                <c:pt idx="151">
                  <c:v>-8.4466656613952637E-5</c:v>
                </c:pt>
                <c:pt idx="152">
                  <c:v>-1.7379741453939188E-4</c:v>
                </c:pt>
                <c:pt idx="153">
                  <c:v>9.191911663090468E-4</c:v>
                </c:pt>
                <c:pt idx="154">
                  <c:v>1.432480621423731E-4</c:v>
                </c:pt>
                <c:pt idx="155">
                  <c:v>2.0636582221363522E-4</c:v>
                </c:pt>
                <c:pt idx="156">
                  <c:v>4.2120833899091445E-4</c:v>
                </c:pt>
                <c:pt idx="157">
                  <c:v>-5.8031660461418369E-4</c:v>
                </c:pt>
                <c:pt idx="158">
                  <c:v>-1.3335959292813031E-4</c:v>
                </c:pt>
                <c:pt idx="159">
                  <c:v>-1.0566965508096969E-3</c:v>
                </c:pt>
                <c:pt idx="160">
                  <c:v>5.280709208117251E-4</c:v>
                </c:pt>
                <c:pt idx="161">
                  <c:v>-4.4294242339850852E-4</c:v>
                </c:pt>
                <c:pt idx="162">
                  <c:v>1.1104669167522564E-3</c:v>
                </c:pt>
                <c:pt idx="163">
                  <c:v>-4.0269270991301521E-4</c:v>
                </c:pt>
                <c:pt idx="164">
                  <c:v>3.3915187993819245E-4</c:v>
                </c:pt>
                <c:pt idx="165">
                  <c:v>-1.1991040019170296E-4</c:v>
                </c:pt>
                <c:pt idx="166">
                  <c:v>-3.7769868565373842E-4</c:v>
                </c:pt>
                <c:pt idx="167">
                  <c:v>-4.4826211462464219E-4</c:v>
                </c:pt>
                <c:pt idx="168">
                  <c:v>-6.4534385373798291E-4</c:v>
                </c:pt>
                <c:pt idx="169">
                  <c:v>-1.159946639454781E-3</c:v>
                </c:pt>
                <c:pt idx="170">
                  <c:v>-4.3695970264193547E-4</c:v>
                </c:pt>
                <c:pt idx="171">
                  <c:v>-9.237402814844365E-4</c:v>
                </c:pt>
                <c:pt idx="172">
                  <c:v>1.170780341310872E-5</c:v>
                </c:pt>
                <c:pt idx="173">
                  <c:v>-1.3349229555397266E-4</c:v>
                </c:pt>
                <c:pt idx="174">
                  <c:v>3.6482189868899641E-4</c:v>
                </c:pt>
                <c:pt idx="175">
                  <c:v>-8.6739255420879933E-4</c:v>
                </c:pt>
                <c:pt idx="176">
                  <c:v>-2.890867688293605E-4</c:v>
                </c:pt>
                <c:pt idx="177">
                  <c:v>-5.2875398840185708E-4</c:v>
                </c:pt>
                <c:pt idx="178">
                  <c:v>7.2610794750955457E-4</c:v>
                </c:pt>
                <c:pt idx="179">
                  <c:v>-4.5458071391820136E-4</c:v>
                </c:pt>
                <c:pt idx="180">
                  <c:v>-4.2693716093849827E-4</c:v>
                </c:pt>
                <c:pt idx="181">
                  <c:v>-4.5686884641149501E-4</c:v>
                </c:pt>
                <c:pt idx="182">
                  <c:v>7.7472182883027847E-5</c:v>
                </c:pt>
                <c:pt idx="183">
                  <c:v>1.4505947904896303E-3</c:v>
                </c:pt>
                <c:pt idx="184">
                  <c:v>4.2012964897200964E-4</c:v>
                </c:pt>
                <c:pt idx="185">
                  <c:v>-3.6642256614539042E-4</c:v>
                </c:pt>
                <c:pt idx="186">
                  <c:v>8.3937237373481427E-4</c:v>
                </c:pt>
                <c:pt idx="187">
                  <c:v>5.1786509390443463E-4</c:v>
                </c:pt>
                <c:pt idx="188">
                  <c:v>7.9714567891506617E-4</c:v>
                </c:pt>
                <c:pt idx="189">
                  <c:v>-3.6545621386459444E-4</c:v>
                </c:pt>
                <c:pt idx="190">
                  <c:v>-9.6761048910542601E-4</c:v>
                </c:pt>
                <c:pt idx="191">
                  <c:v>1.4525640587185673E-4</c:v>
                </c:pt>
                <c:pt idx="192">
                  <c:v>-8.1192137439864602E-5</c:v>
                </c:pt>
                <c:pt idx="193">
                  <c:v>1.5713696346684521E-3</c:v>
                </c:pt>
                <c:pt idx="194">
                  <c:v>4.1266977926667533E-4</c:v>
                </c:pt>
                <c:pt idx="195">
                  <c:v>2.53048513806828E-4</c:v>
                </c:pt>
                <c:pt idx="196">
                  <c:v>2.1431672056675951E-4</c:v>
                </c:pt>
                <c:pt idx="197">
                  <c:v>-1.5262553911699045E-4</c:v>
                </c:pt>
                <c:pt idx="198">
                  <c:v>-6.7467040796807665E-6</c:v>
                </c:pt>
                <c:pt idx="199">
                  <c:v>2.2052927658679894E-4</c:v>
                </c:pt>
                <c:pt idx="200">
                  <c:v>-1.7812598699092668E-4</c:v>
                </c:pt>
                <c:pt idx="201">
                  <c:v>-3.548387723984527E-6</c:v>
                </c:pt>
                <c:pt idx="202">
                  <c:v>-1.0478082098979981E-4</c:v>
                </c:pt>
                <c:pt idx="203">
                  <c:v>6.7428957842502154E-4</c:v>
                </c:pt>
                <c:pt idx="204">
                  <c:v>2.9053643661312558E-4</c:v>
                </c:pt>
                <c:pt idx="205">
                  <c:v>-7.1058203164790388E-4</c:v>
                </c:pt>
                <c:pt idx="206">
                  <c:v>7.3776268177005999E-4</c:v>
                </c:pt>
                <c:pt idx="207">
                  <c:v>9.9779750437645632E-4</c:v>
                </c:pt>
                <c:pt idx="208">
                  <c:v>-1.2358743610189126E-3</c:v>
                </c:pt>
                <c:pt idx="209">
                  <c:v>9.8113961951944162E-4</c:v>
                </c:pt>
                <c:pt idx="210">
                  <c:v>1.4122759893118323E-3</c:v>
                </c:pt>
                <c:pt idx="211">
                  <c:v>1.1164969145673088E-3</c:v>
                </c:pt>
                <c:pt idx="212">
                  <c:v>1.4266239768664373E-4</c:v>
                </c:pt>
                <c:pt idx="213">
                  <c:v>7.1403822003011323E-4</c:v>
                </c:pt>
                <c:pt idx="214">
                  <c:v>3.3075917177592814E-4</c:v>
                </c:pt>
                <c:pt idx="215">
                  <c:v>5.3417264180679496E-4</c:v>
                </c:pt>
                <c:pt idx="216">
                  <c:v>1.2171672786414421E-3</c:v>
                </c:pt>
                <c:pt idx="217">
                  <c:v>-3.1193758469025425E-4</c:v>
                </c:pt>
                <c:pt idx="218">
                  <c:v>1.2427675218645705E-3</c:v>
                </c:pt>
                <c:pt idx="219">
                  <c:v>-4.260082691484298E-4</c:v>
                </c:pt>
                <c:pt idx="220">
                  <c:v>-4.5597061857604313E-4</c:v>
                </c:pt>
                <c:pt idx="221">
                  <c:v>9.8500875687175979E-5</c:v>
                </c:pt>
                <c:pt idx="222">
                  <c:v>-3.0984607425658592E-4</c:v>
                </c:pt>
                <c:pt idx="223">
                  <c:v>-2.8198157625601187E-4</c:v>
                </c:pt>
                <c:pt idx="224">
                  <c:v>-3.0750957631571783E-4</c:v>
                </c:pt>
                <c:pt idx="225">
                  <c:v>-4.0870531505717982E-4</c:v>
                </c:pt>
                <c:pt idx="226">
                  <c:v>-1.276745136594728E-4</c:v>
                </c:pt>
                <c:pt idx="227">
                  <c:v>8.7966587297605729E-4</c:v>
                </c:pt>
                <c:pt idx="228">
                  <c:v>-6.1866997953043861E-4</c:v>
                </c:pt>
                <c:pt idx="229">
                  <c:v>-8.0606827402617638E-4</c:v>
                </c:pt>
                <c:pt idx="230">
                  <c:v>-9.6860015200318683E-5</c:v>
                </c:pt>
                <c:pt idx="231">
                  <c:v>6.2883098462633284E-5</c:v>
                </c:pt>
                <c:pt idx="232">
                  <c:v>-5.8874664666996456E-4</c:v>
                </c:pt>
                <c:pt idx="233">
                  <c:v>-1.2821061260419493E-3</c:v>
                </c:pt>
                <c:pt idx="234">
                  <c:v>4.1908268855414429E-4</c:v>
                </c:pt>
                <c:pt idx="235">
                  <c:v>-4.3938411524719988E-4</c:v>
                </c:pt>
                <c:pt idx="236">
                  <c:v>-2.0024176696269169E-4</c:v>
                </c:pt>
                <c:pt idx="237">
                  <c:v>3.7249650068444856E-5</c:v>
                </c:pt>
                <c:pt idx="238">
                  <c:v>-3.8546438945476116E-4</c:v>
                </c:pt>
                <c:pt idx="239">
                  <c:v>9.6022338481582012E-4</c:v>
                </c:pt>
                <c:pt idx="240">
                  <c:v>-6.5837064474958686E-4</c:v>
                </c:pt>
                <c:pt idx="241">
                  <c:v>-1.1992060208685772E-4</c:v>
                </c:pt>
                <c:pt idx="242">
                  <c:v>-2.5375046552029653E-4</c:v>
                </c:pt>
                <c:pt idx="243">
                  <c:v>-2.9339534661134412E-4</c:v>
                </c:pt>
                <c:pt idx="244">
                  <c:v>0</c:v>
                </c:pt>
                <c:pt idx="245">
                  <c:v>5.6879338520169926E-4</c:v>
                </c:pt>
                <c:pt idx="246">
                  <c:v>3.7495509535749876E-5</c:v>
                </c:pt>
                <c:pt idx="247">
                  <c:v>-1.0109049274950918E-3</c:v>
                </c:pt>
                <c:pt idx="248">
                  <c:v>1.5927949833066589E-4</c:v>
                </c:pt>
                <c:pt idx="249">
                  <c:v>7.7906287245868837E-4</c:v>
                </c:pt>
                <c:pt idx="250">
                  <c:v>5.7552928638232562E-5</c:v>
                </c:pt>
                <c:pt idx="251">
                  <c:v>-2.1434977432166423E-4</c:v>
                </c:pt>
                <c:pt idx="252">
                  <c:v>1.1685682224862196E-3</c:v>
                </c:pt>
                <c:pt idx="253">
                  <c:v>2.6031351567941293E-4</c:v>
                </c:pt>
                <c:pt idx="254">
                  <c:v>2.5957113603878809E-4</c:v>
                </c:pt>
                <c:pt idx="255">
                  <c:v>1.5292414622699948E-4</c:v>
                </c:pt>
                <c:pt idx="256">
                  <c:v>-5.3546525576308784E-4</c:v>
                </c:pt>
                <c:pt idx="257">
                  <c:v>-2.1665475523030127E-4</c:v>
                </c:pt>
                <c:pt idx="258">
                  <c:v>-4.885662174690063E-4</c:v>
                </c:pt>
                <c:pt idx="259">
                  <c:v>4.8307586914013656E-4</c:v>
                </c:pt>
                <c:pt idx="260">
                  <c:v>1.7502780160982116E-3</c:v>
                </c:pt>
                <c:pt idx="261">
                  <c:v>-2.9447424002748477E-5</c:v>
                </c:pt>
                <c:pt idx="262">
                  <c:v>-9.90430273815981E-4</c:v>
                </c:pt>
                <c:pt idx="263">
                  <c:v>-7.5961223580551845E-4</c:v>
                </c:pt>
                <c:pt idx="264">
                  <c:v>-8.0577057036421325E-4</c:v>
                </c:pt>
                <c:pt idx="265">
                  <c:v>-2.8854612008277688E-4</c:v>
                </c:pt>
                <c:pt idx="266">
                  <c:v>-3.4930821046353104E-4</c:v>
                </c:pt>
                <c:pt idx="267">
                  <c:v>-2.6975588866319202E-4</c:v>
                </c:pt>
                <c:pt idx="268">
                  <c:v>-3.1800870780728007E-4</c:v>
                </c:pt>
                <c:pt idx="269">
                  <c:v>-4.2882683740514007E-4</c:v>
                </c:pt>
                <c:pt idx="270">
                  <c:v>4.3776673325007011E-4</c:v>
                </c:pt>
                <c:pt idx="271">
                  <c:v>-4.8841750040579969E-4</c:v>
                </c:pt>
                <c:pt idx="272">
                  <c:v>-6.7035760586275645E-4</c:v>
                </c:pt>
                <c:pt idx="273">
                  <c:v>-1.5059517316124021E-4</c:v>
                </c:pt>
                <c:pt idx="274">
                  <c:v>1.4656434207958733E-4</c:v>
                </c:pt>
                <c:pt idx="275">
                  <c:v>-2.4930193230329642E-4</c:v>
                </c:pt>
                <c:pt idx="276">
                  <c:v>6.2963488154946478E-5</c:v>
                </c:pt>
                <c:pt idx="277">
                  <c:v>-6.9898961868202012E-4</c:v>
                </c:pt>
                <c:pt idx="278">
                  <c:v>-5.1037830788060114E-4</c:v>
                </c:pt>
                <c:pt idx="279">
                  <c:v>1.6604275591731883E-3</c:v>
                </c:pt>
                <c:pt idx="280">
                  <c:v>-6.6795230715922295E-4</c:v>
                </c:pt>
                <c:pt idx="281">
                  <c:v>2.9771931384962825E-4</c:v>
                </c:pt>
                <c:pt idx="282">
                  <c:v>-9.7870706459571885E-4</c:v>
                </c:pt>
                <c:pt idx="283">
                  <c:v>3.5621267550188556E-4</c:v>
                </c:pt>
                <c:pt idx="284">
                  <c:v>4.5847482106471573E-4</c:v>
                </c:pt>
                <c:pt idx="285">
                  <c:v>7.6394446137700888E-4</c:v>
                </c:pt>
                <c:pt idx="286">
                  <c:v>-1.0436296159236844E-4</c:v>
                </c:pt>
                <c:pt idx="287">
                  <c:v>-1.0347919742684198E-3</c:v>
                </c:pt>
                <c:pt idx="288">
                  <c:v>-1.1026624311157513E-4</c:v>
                </c:pt>
                <c:pt idx="289">
                  <c:v>7.8934810803156453E-4</c:v>
                </c:pt>
                <c:pt idx="290">
                  <c:v>-3.1410748014401991E-4</c:v>
                </c:pt>
                <c:pt idx="291">
                  <c:v>1.0505594083069468E-3</c:v>
                </c:pt>
                <c:pt idx="292">
                  <c:v>-1.3044683151892415E-3</c:v>
                </c:pt>
                <c:pt idx="293">
                  <c:v>-1.1773267863034662E-3</c:v>
                </c:pt>
                <c:pt idx="294">
                  <c:v>-1.4167450256946056E-3</c:v>
                </c:pt>
                <c:pt idx="295">
                  <c:v>-5.3682405510569332E-4</c:v>
                </c:pt>
                <c:pt idx="296">
                  <c:v>-3.6648694500089851E-4</c:v>
                </c:pt>
                <c:pt idx="297">
                  <c:v>-3.4796195910577981E-4</c:v>
                </c:pt>
                <c:pt idx="298">
                  <c:v>-2.7291104875172393E-4</c:v>
                </c:pt>
                <c:pt idx="299">
                  <c:v>-1.8905712585582692E-4</c:v>
                </c:pt>
                <c:pt idx="300">
                  <c:v>2.5247929439019409E-4</c:v>
                </c:pt>
                <c:pt idx="301">
                  <c:v>1.5406179209530861E-3</c:v>
                </c:pt>
                <c:pt idx="302">
                  <c:v>-1.2501854495541815E-4</c:v>
                </c:pt>
                <c:pt idx="303">
                  <c:v>0</c:v>
                </c:pt>
                <c:pt idx="304">
                  <c:v>9.7041330910657465E-6</c:v>
                </c:pt>
                <c:pt idx="305">
                  <c:v>-1.2140554779251386E-3</c:v>
                </c:pt>
                <c:pt idx="306">
                  <c:v>-6.6989632847042025E-4</c:v>
                </c:pt>
                <c:pt idx="307">
                  <c:v>-8.713479700018414E-4</c:v>
                </c:pt>
                <c:pt idx="308">
                  <c:v>-1.6421857406955575E-5</c:v>
                </c:pt>
                <c:pt idx="309">
                  <c:v>-3.285828539381331E-4</c:v>
                </c:pt>
                <c:pt idx="310">
                  <c:v>-2.5176258571989543E-4</c:v>
                </c:pt>
                <c:pt idx="311">
                  <c:v>3.9501710508767408E-5</c:v>
                </c:pt>
                <c:pt idx="312">
                  <c:v>2.0589193343823432E-4</c:v>
                </c:pt>
                <c:pt idx="313">
                  <c:v>2.4980012025122564E-4</c:v>
                </c:pt>
                <c:pt idx="314">
                  <c:v>1.0767514551598434E-4</c:v>
                </c:pt>
                <c:pt idx="315">
                  <c:v>-2.8355796365549571E-4</c:v>
                </c:pt>
                <c:pt idx="316">
                  <c:v>-3.8333498175671503E-4</c:v>
                </c:pt>
                <c:pt idx="317">
                  <c:v>4.2341098815371108E-4</c:v>
                </c:pt>
                <c:pt idx="318">
                  <c:v>4.0442329168367E-4</c:v>
                </c:pt>
                <c:pt idx="319">
                  <c:v>4.6667984202147805E-4</c:v>
                </c:pt>
                <c:pt idx="320">
                  <c:v>2.3870820138911536E-4</c:v>
                </c:pt>
                <c:pt idx="321">
                  <c:v>-3.5638861598485656E-4</c:v>
                </c:pt>
                <c:pt idx="322">
                  <c:v>-2.6309848061883999E-4</c:v>
                </c:pt>
                <c:pt idx="323">
                  <c:v>-8.0457355820610498E-4</c:v>
                </c:pt>
                <c:pt idx="324">
                  <c:v>-1.0233219853815592E-5</c:v>
                </c:pt>
                <c:pt idx="325">
                  <c:v>-5.2163339242125551E-4</c:v>
                </c:pt>
                <c:pt idx="326">
                  <c:v>7.0409505943019228E-4</c:v>
                </c:pt>
                <c:pt idx="327">
                  <c:v>-1.1537583075323449E-4</c:v>
                </c:pt>
                <c:pt idx="328">
                  <c:v>3.0810329234528839E-4</c:v>
                </c:pt>
                <c:pt idx="329">
                  <c:v>-2.5241738454894532E-4</c:v>
                </c:pt>
                <c:pt idx="330">
                  <c:v>-3.7168913598675492E-5</c:v>
                </c:pt>
                <c:pt idx="331">
                  <c:v>-2.5601083639072798E-4</c:v>
                </c:pt>
                <c:pt idx="332">
                  <c:v>5.5561180403041659E-4</c:v>
                </c:pt>
                <c:pt idx="333">
                  <c:v>4.3590360442555917E-5</c:v>
                </c:pt>
                <c:pt idx="334">
                  <c:v>-4.0143744308794752E-5</c:v>
                </c:pt>
                <c:pt idx="335">
                  <c:v>1.8377814804889574E-4</c:v>
                </c:pt>
                <c:pt idx="336">
                  <c:v>-5.5337432562910021E-4</c:v>
                </c:pt>
                <c:pt idx="337">
                  <c:v>-4.6085093072790372E-4</c:v>
                </c:pt>
                <c:pt idx="338">
                  <c:v>2.9198350048596623E-5</c:v>
                </c:pt>
                <c:pt idx="339">
                  <c:v>-1.060186913373894E-6</c:v>
                </c:pt>
                <c:pt idx="340">
                  <c:v>-8.0112673561205232E-5</c:v>
                </c:pt>
                <c:pt idx="341">
                  <c:v>1.1809056294174673E-3</c:v>
                </c:pt>
                <c:pt idx="342">
                  <c:v>1.2829224772641486E-4</c:v>
                </c:pt>
                <c:pt idx="343">
                  <c:v>-1.116177869130883E-3</c:v>
                </c:pt>
                <c:pt idx="344">
                  <c:v>1.8179090290434572E-4</c:v>
                </c:pt>
                <c:pt idx="345">
                  <c:v>5.7232456287255914E-4</c:v>
                </c:pt>
                <c:pt idx="346">
                  <c:v>2.592612736348948E-4</c:v>
                </c:pt>
                <c:pt idx="347">
                  <c:v>5.896223178921624E-4</c:v>
                </c:pt>
                <c:pt idx="348">
                  <c:v>-1.0607654309558263E-3</c:v>
                </c:pt>
                <c:pt idx="349">
                  <c:v>-4.6811526694243719E-4</c:v>
                </c:pt>
                <c:pt idx="350">
                  <c:v>5.2031537957977249E-4</c:v>
                </c:pt>
                <c:pt idx="351">
                  <c:v>1.0665509761515382E-3</c:v>
                </c:pt>
                <c:pt idx="352">
                  <c:v>1.1402578980308812E-3</c:v>
                </c:pt>
                <c:pt idx="353">
                  <c:v>-1.3973039235369747E-3</c:v>
                </c:pt>
                <c:pt idx="354">
                  <c:v>9.9456505414159376E-4</c:v>
                </c:pt>
                <c:pt idx="355">
                  <c:v>-1.5898817256814934E-3</c:v>
                </c:pt>
                <c:pt idx="356">
                  <c:v>5.4241588751998597E-4</c:v>
                </c:pt>
                <c:pt idx="357">
                  <c:v>6.5276072656705148E-4</c:v>
                </c:pt>
                <c:pt idx="358">
                  <c:v>-4.7799897448692078E-4</c:v>
                </c:pt>
                <c:pt idx="359">
                  <c:v>-9.0339570537167034E-4</c:v>
                </c:pt>
                <c:pt idx="360">
                  <c:v>7.3905856605678338E-4</c:v>
                </c:pt>
                <c:pt idx="361">
                  <c:v>-7.2193970286055513E-5</c:v>
                </c:pt>
                <c:pt idx="362">
                  <c:v>-4.9800788665872893E-4</c:v>
                </c:pt>
                <c:pt idx="363">
                  <c:v>-6.3685202072279645E-4</c:v>
                </c:pt>
                <c:pt idx="364">
                  <c:v>-1.0672658214163321E-3</c:v>
                </c:pt>
                <c:pt idx="365">
                  <c:v>-5.7430987611926671E-4</c:v>
                </c:pt>
                <c:pt idx="366">
                  <c:v>6.4088828789224199E-4</c:v>
                </c:pt>
                <c:pt idx="367">
                  <c:v>-1.1336586182124689E-3</c:v>
                </c:pt>
                <c:pt idx="368">
                  <c:v>-7.9026039210047642E-4</c:v>
                </c:pt>
                <c:pt idx="369">
                  <c:v>2.0003743187850509E-4</c:v>
                </c:pt>
                <c:pt idx="370">
                  <c:v>-9.8532540256900006E-4</c:v>
                </c:pt>
                <c:pt idx="371">
                  <c:v>-9.6050240564416789E-6</c:v>
                </c:pt>
                <c:pt idx="372">
                  <c:v>-7.7401653542785687E-4</c:v>
                </c:pt>
                <c:pt idx="373">
                  <c:v>6.6916034495455377E-4</c:v>
                </c:pt>
                <c:pt idx="374">
                  <c:v>1.2129945737878824E-4</c:v>
                </c:pt>
                <c:pt idx="375">
                  <c:v>-3.8659114516729646E-4</c:v>
                </c:pt>
                <c:pt idx="376">
                  <c:v>-1.2073042219460947E-3</c:v>
                </c:pt>
                <c:pt idx="377">
                  <c:v>1.0445071107210222E-4</c:v>
                </c:pt>
                <c:pt idx="378">
                  <c:v>4.5546558522802278E-4</c:v>
                </c:pt>
                <c:pt idx="379">
                  <c:v>6.2625328590808107E-4</c:v>
                </c:pt>
                <c:pt idx="380">
                  <c:v>-5.9542542944274483E-4</c:v>
                </c:pt>
                <c:pt idx="381">
                  <c:v>2.9297724850920137E-4</c:v>
                </c:pt>
                <c:pt idx="382">
                  <c:v>7.4411450976064086E-4</c:v>
                </c:pt>
                <c:pt idx="383">
                  <c:v>3.3189623239508318E-5</c:v>
                </c:pt>
                <c:pt idx="384">
                  <c:v>-1.0349108128239211E-4</c:v>
                </c:pt>
                <c:pt idx="385">
                  <c:v>-4.5884972867712E-4</c:v>
                </c:pt>
                <c:pt idx="386">
                  <c:v>-1.1353847184080159E-3</c:v>
                </c:pt>
                <c:pt idx="387">
                  <c:v>-1.9786085898838382E-4</c:v>
                </c:pt>
                <c:pt idx="388">
                  <c:v>-4.7050268797515647E-4</c:v>
                </c:pt>
                <c:pt idx="389">
                  <c:v>1.0347348164149251E-3</c:v>
                </c:pt>
                <c:pt idx="390">
                  <c:v>3.187121995318012E-4</c:v>
                </c:pt>
                <c:pt idx="391">
                  <c:v>1.6395385017898423E-4</c:v>
                </c:pt>
                <c:pt idx="392">
                  <c:v>5.7299797591952911E-4</c:v>
                </c:pt>
                <c:pt idx="393">
                  <c:v>-1.001320270048685E-3</c:v>
                </c:pt>
                <c:pt idx="394">
                  <c:v>-2.2332289774878522E-4</c:v>
                </c:pt>
                <c:pt idx="395">
                  <c:v>-6.3547933704857944E-5</c:v>
                </c:pt>
                <c:pt idx="396">
                  <c:v>4.5774661853086259E-5</c:v>
                </c:pt>
                <c:pt idx="397">
                  <c:v>-3.8570991369704525E-4</c:v>
                </c:pt>
                <c:pt idx="398">
                  <c:v>-1.3668051349543487E-3</c:v>
                </c:pt>
                <c:pt idx="399">
                  <c:v>1.9676274995539207E-4</c:v>
                </c:pt>
                <c:pt idx="400">
                  <c:v>5.9787400436859433E-4</c:v>
                </c:pt>
                <c:pt idx="401">
                  <c:v>4.7529763046327025E-4</c:v>
                </c:pt>
                <c:pt idx="402">
                  <c:v>1.2819344762725601E-5</c:v>
                </c:pt>
                <c:pt idx="403">
                  <c:v>-1.0292585697267089E-4</c:v>
                </c:pt>
                <c:pt idx="404">
                  <c:v>8.040024493747631E-5</c:v>
                </c:pt>
                <c:pt idx="405">
                  <c:v>-4.9383814896510254E-4</c:v>
                </c:pt>
                <c:pt idx="406">
                  <c:v>1.7808632131559443E-4</c:v>
                </c:pt>
                <c:pt idx="407">
                  <c:v>8.4032091309992323E-4</c:v>
                </c:pt>
                <c:pt idx="408">
                  <c:v>-7.1355348473020597E-4</c:v>
                </c:pt>
                <c:pt idx="409">
                  <c:v>3.5990531815726636E-4</c:v>
                </c:pt>
                <c:pt idx="410">
                  <c:v>3.5800591589920923E-4</c:v>
                </c:pt>
                <c:pt idx="411">
                  <c:v>-5.4065291027994363E-4</c:v>
                </c:pt>
                <c:pt idx="412">
                  <c:v>5.1246356175759617E-4</c:v>
                </c:pt>
                <c:pt idx="413">
                  <c:v>2.2695598975759314E-5</c:v>
                </c:pt>
                <c:pt idx="414">
                  <c:v>7.9955458153098966E-4</c:v>
                </c:pt>
                <c:pt idx="415">
                  <c:v>-1.6088308844265395E-4</c:v>
                </c:pt>
                <c:pt idx="416">
                  <c:v>1.7825790543848477E-4</c:v>
                </c:pt>
                <c:pt idx="417">
                  <c:v>5.1431556784173598E-4</c:v>
                </c:pt>
                <c:pt idx="418">
                  <c:v>2.917156629586686E-4</c:v>
                </c:pt>
                <c:pt idx="419">
                  <c:v>5.8350274120426275E-4</c:v>
                </c:pt>
                <c:pt idx="420">
                  <c:v>5.580094928461422E-4</c:v>
                </c:pt>
                <c:pt idx="421">
                  <c:v>-7.0862574275044328E-6</c:v>
                </c:pt>
                <c:pt idx="422">
                  <c:v>9.3068622629962608E-4</c:v>
                </c:pt>
                <c:pt idx="423">
                  <c:v>-5.8526428045885769E-4</c:v>
                </c:pt>
                <c:pt idx="424">
                  <c:v>1.4488958345725428E-3</c:v>
                </c:pt>
                <c:pt idx="425">
                  <c:v>-1.2346394244610714E-3</c:v>
                </c:pt>
                <c:pt idx="426">
                  <c:v>1.5684329320294404E-5</c:v>
                </c:pt>
                <c:pt idx="427">
                  <c:v>-1.3164756012766024E-5</c:v>
                </c:pt>
                <c:pt idx="428">
                  <c:v>1.3826224695861345E-3</c:v>
                </c:pt>
                <c:pt idx="429">
                  <c:v>8.9448505744831446E-5</c:v>
                </c:pt>
                <c:pt idx="430">
                  <c:v>9.7914546917426045E-5</c:v>
                </c:pt>
                <c:pt idx="431">
                  <c:v>6.681306162218103E-4</c:v>
                </c:pt>
                <c:pt idx="432">
                  <c:v>-3.6897179048007094E-4</c:v>
                </c:pt>
                <c:pt idx="433">
                  <c:v>3.1872592643286115E-4</c:v>
                </c:pt>
                <c:pt idx="434">
                  <c:v>-2.5910889329042446E-4</c:v>
                </c:pt>
                <c:pt idx="435">
                  <c:v>2.3725696388759223E-4</c:v>
                </c:pt>
                <c:pt idx="436">
                  <c:v>-8.0065756973614821E-4</c:v>
                </c:pt>
                <c:pt idx="437">
                  <c:v>-1.03865323743591E-3</c:v>
                </c:pt>
                <c:pt idx="438">
                  <c:v>7.113199379765497E-4</c:v>
                </c:pt>
                <c:pt idx="439">
                  <c:v>4.2270935981824037E-4</c:v>
                </c:pt>
                <c:pt idx="440">
                  <c:v>-4.2841770327367422E-4</c:v>
                </c:pt>
                <c:pt idx="441">
                  <c:v>6.3106617324088616E-4</c:v>
                </c:pt>
                <c:pt idx="442">
                  <c:v>-2.1952203898845501E-4</c:v>
                </c:pt>
                <c:pt idx="443">
                  <c:v>2.132851479854944E-4</c:v>
                </c:pt>
                <c:pt idx="444">
                  <c:v>1.0620988912659029E-4</c:v>
                </c:pt>
                <c:pt idx="445">
                  <c:v>8.6182555632598494E-4</c:v>
                </c:pt>
                <c:pt idx="446">
                  <c:v>1.118644979916846E-3</c:v>
                </c:pt>
                <c:pt idx="447">
                  <c:v>7.7924848770016288E-4</c:v>
                </c:pt>
                <c:pt idx="448">
                  <c:v>4.2610768122879316E-4</c:v>
                </c:pt>
                <c:pt idx="449">
                  <c:v>6.6535300343825482E-4</c:v>
                </c:pt>
                <c:pt idx="450">
                  <c:v>2.6910029731878394E-4</c:v>
                </c:pt>
                <c:pt idx="451">
                  <c:v>1.8060686749199781E-3</c:v>
                </c:pt>
                <c:pt idx="452">
                  <c:v>1.1294224276129792E-3</c:v>
                </c:pt>
                <c:pt idx="453">
                  <c:v>-9.6197046675429418E-5</c:v>
                </c:pt>
                <c:pt idx="454">
                  <c:v>3.4876979014403177E-4</c:v>
                </c:pt>
                <c:pt idx="455">
                  <c:v>5.7593783026697954E-5</c:v>
                </c:pt>
                <c:pt idx="456">
                  <c:v>-3.827247899322196E-4</c:v>
                </c:pt>
                <c:pt idx="457">
                  <c:v>4.727010562785542E-4</c:v>
                </c:pt>
                <c:pt idx="458">
                  <c:v>2.1610715895552337E-3</c:v>
                </c:pt>
                <c:pt idx="459">
                  <c:v>1.7281162410388211E-4</c:v>
                </c:pt>
                <c:pt idx="460">
                  <c:v>-4.2134319875649956E-4</c:v>
                </c:pt>
                <c:pt idx="461">
                  <c:v>7.7106363744075459E-4</c:v>
                </c:pt>
                <c:pt idx="462">
                  <c:v>6.7436208150159049E-4</c:v>
                </c:pt>
                <c:pt idx="463">
                  <c:v>-1.3426515012220457E-3</c:v>
                </c:pt>
                <c:pt idx="464">
                  <c:v>-1.2244657751825704E-3</c:v>
                </c:pt>
                <c:pt idx="465">
                  <c:v>5.8232711367188451E-4</c:v>
                </c:pt>
                <c:pt idx="466">
                  <c:v>2.8038657131434044E-4</c:v>
                </c:pt>
                <c:pt idx="467">
                  <c:v>7.1657408516897147E-4</c:v>
                </c:pt>
                <c:pt idx="468">
                  <c:v>-9.2487692645703754E-4</c:v>
                </c:pt>
                <c:pt idx="469">
                  <c:v>3.3676906552631381E-4</c:v>
                </c:pt>
                <c:pt idx="470">
                  <c:v>-1.4304943977945727E-3</c:v>
                </c:pt>
                <c:pt idx="471">
                  <c:v>3.801579938628933E-4</c:v>
                </c:pt>
                <c:pt idx="472">
                  <c:v>2.6275557435128126E-4</c:v>
                </c:pt>
                <c:pt idx="473">
                  <c:v>-1.6154589929942564E-4</c:v>
                </c:pt>
                <c:pt idx="474">
                  <c:v>-1.496769534836303E-5</c:v>
                </c:pt>
                <c:pt idx="475">
                  <c:v>-1.5175284430717347E-4</c:v>
                </c:pt>
                <c:pt idx="476">
                  <c:v>-7.5129781237740965E-4</c:v>
                </c:pt>
                <c:pt idx="477">
                  <c:v>5.216139342538276E-4</c:v>
                </c:pt>
                <c:pt idx="478">
                  <c:v>-4.9855824529100373E-4</c:v>
                </c:pt>
                <c:pt idx="479">
                  <c:v>9.7794055005111799E-4</c:v>
                </c:pt>
                <c:pt idx="480">
                  <c:v>-5.6459367294737117E-4</c:v>
                </c:pt>
                <c:pt idx="481">
                  <c:v>-2.957778025805812E-4</c:v>
                </c:pt>
                <c:pt idx="482">
                  <c:v>-6.3681523570277576E-4</c:v>
                </c:pt>
                <c:pt idx="483">
                  <c:v>1.4128177528568924E-4</c:v>
                </c:pt>
                <c:pt idx="484">
                  <c:v>-7.3408946104373156E-4</c:v>
                </c:pt>
                <c:pt idx="485">
                  <c:v>-9.6562659740251878E-5</c:v>
                </c:pt>
                <c:pt idx="486">
                  <c:v>4.2722009942355459E-4</c:v>
                </c:pt>
                <c:pt idx="487">
                  <c:v>3.4544993906945572E-4</c:v>
                </c:pt>
                <c:pt idx="488">
                  <c:v>-9.2803334662325195E-5</c:v>
                </c:pt>
                <c:pt idx="489">
                  <c:v>2.9519639914961317E-4</c:v>
                </c:pt>
                <c:pt idx="490">
                  <c:v>-2.0743725739886024E-4</c:v>
                </c:pt>
                <c:pt idx="491">
                  <c:v>-2.5763507587147852E-4</c:v>
                </c:pt>
                <c:pt idx="492">
                  <c:v>1.0780725426987583E-3</c:v>
                </c:pt>
                <c:pt idx="493">
                  <c:v>4.1344494700827969E-4</c:v>
                </c:pt>
                <c:pt idx="494">
                  <c:v>-4.8936339626702227E-4</c:v>
                </c:pt>
                <c:pt idx="495">
                  <c:v>1.1940276753166336E-3</c:v>
                </c:pt>
                <c:pt idx="496">
                  <c:v>4.2874746186303902E-4</c:v>
                </c:pt>
                <c:pt idx="497">
                  <c:v>7.9807201924537714E-4</c:v>
                </c:pt>
                <c:pt idx="498">
                  <c:v>7.0585440657022194E-4</c:v>
                </c:pt>
                <c:pt idx="499">
                  <c:v>-4.9260218758646846E-4</c:v>
                </c:pt>
                <c:pt idx="500">
                  <c:v>-8.3885854776401269E-4</c:v>
                </c:pt>
                <c:pt idx="501">
                  <c:v>9.6052156127770594E-4</c:v>
                </c:pt>
                <c:pt idx="502">
                  <c:v>-5.3389254308201361E-4</c:v>
                </c:pt>
                <c:pt idx="503">
                  <c:v>7.671633001748153E-4</c:v>
                </c:pt>
                <c:pt idx="504">
                  <c:v>-1.065751484969543E-3</c:v>
                </c:pt>
                <c:pt idx="505">
                  <c:v>-4.8887461045781031E-4</c:v>
                </c:pt>
                <c:pt idx="506">
                  <c:v>-8.1475345705730648E-4</c:v>
                </c:pt>
                <c:pt idx="507">
                  <c:v>2.1072049711920449E-3</c:v>
                </c:pt>
                <c:pt idx="508">
                  <c:v>-1.1717966154503513E-4</c:v>
                </c:pt>
                <c:pt idx="509">
                  <c:v>1.3514071801088387E-5</c:v>
                </c:pt>
                <c:pt idx="510">
                  <c:v>3.617243575142644E-4</c:v>
                </c:pt>
                <c:pt idx="511">
                  <c:v>5.1017174489122023E-4</c:v>
                </c:pt>
                <c:pt idx="512">
                  <c:v>-3.7752060558287758E-4</c:v>
                </c:pt>
                <c:pt idx="513">
                  <c:v>-4.3087095960654323E-4</c:v>
                </c:pt>
                <c:pt idx="514">
                  <c:v>-1.551292124775978E-4</c:v>
                </c:pt>
                <c:pt idx="515">
                  <c:v>8.1424896289949598E-4</c:v>
                </c:pt>
                <c:pt idx="516">
                  <c:v>5.9696077450936485E-4</c:v>
                </c:pt>
                <c:pt idx="517">
                  <c:v>1.021702752999088E-4</c:v>
                </c:pt>
                <c:pt idx="518">
                  <c:v>9.3140291856043129E-4</c:v>
                </c:pt>
                <c:pt idx="519">
                  <c:v>1.4570273821670068E-4</c:v>
                </c:pt>
                <c:pt idx="520">
                  <c:v>5.922408136134603E-4</c:v>
                </c:pt>
                <c:pt idx="521">
                  <c:v>3.7224221281889196E-4</c:v>
                </c:pt>
                <c:pt idx="522">
                  <c:v>4.0137814063336095E-4</c:v>
                </c:pt>
                <c:pt idx="523">
                  <c:v>-1.4922537087246693E-5</c:v>
                </c:pt>
                <c:pt idx="524">
                  <c:v>-7.5387331306491032E-4</c:v>
                </c:pt>
                <c:pt idx="525">
                  <c:v>6.8304050489944354E-4</c:v>
                </c:pt>
                <c:pt idx="526">
                  <c:v>9.3875739114984583E-4</c:v>
                </c:pt>
                <c:pt idx="527">
                  <c:v>1.1716144506122746E-3</c:v>
                </c:pt>
                <c:pt idx="528">
                  <c:v>9.1027052188822214E-5</c:v>
                </c:pt>
                <c:pt idx="529">
                  <c:v>-4.7118478127970893E-4</c:v>
                </c:pt>
                <c:pt idx="530">
                  <c:v>3.7606954638529723E-4</c:v>
                </c:pt>
                <c:pt idx="531">
                  <c:v>6.2393935343512839E-4</c:v>
                </c:pt>
                <c:pt idx="532">
                  <c:v>4.1074200365940217E-4</c:v>
                </c:pt>
                <c:pt idx="533">
                  <c:v>3.5013734562751986E-5</c:v>
                </c:pt>
                <c:pt idx="534">
                  <c:v>5.7991846326250682E-4</c:v>
                </c:pt>
                <c:pt idx="535">
                  <c:v>-1.5156608519940356E-5</c:v>
                </c:pt>
                <c:pt idx="536">
                  <c:v>-8.8570652078464153E-4</c:v>
                </c:pt>
                <c:pt idx="537">
                  <c:v>-3.5670904748678613E-4</c:v>
                </c:pt>
                <c:pt idx="538">
                  <c:v>9.6720338447653462E-4</c:v>
                </c:pt>
                <c:pt idx="539">
                  <c:v>5.6776939498754146E-4</c:v>
                </c:pt>
                <c:pt idx="540">
                  <c:v>-2.9006846933672914E-4</c:v>
                </c:pt>
                <c:pt idx="541">
                  <c:v>5.2625340376562127E-4</c:v>
                </c:pt>
                <c:pt idx="542">
                  <c:v>1.2756664600439708E-4</c:v>
                </c:pt>
                <c:pt idx="543">
                  <c:v>2.0069744630295115E-4</c:v>
                </c:pt>
                <c:pt idx="544">
                  <c:v>3.0675054797811151E-4</c:v>
                </c:pt>
                <c:pt idx="545">
                  <c:v>2.4568576244228399E-4</c:v>
                </c:pt>
                <c:pt idx="546">
                  <c:v>-7.611528476578562E-4</c:v>
                </c:pt>
                <c:pt idx="547">
                  <c:v>-9.5789807016705576E-4</c:v>
                </c:pt>
                <c:pt idx="548">
                  <c:v>1.5297420627307181E-3</c:v>
                </c:pt>
                <c:pt idx="549">
                  <c:v>-3.6099740095237156E-4</c:v>
                </c:pt>
                <c:pt idx="550">
                  <c:v>-5.2335981923178618E-4</c:v>
                </c:pt>
                <c:pt idx="551">
                  <c:v>1.2142605686005967E-3</c:v>
                </c:pt>
                <c:pt idx="552">
                  <c:v>7.281886108217937E-4</c:v>
                </c:pt>
                <c:pt idx="553">
                  <c:v>-1.5780141741523364E-3</c:v>
                </c:pt>
                <c:pt idx="554">
                  <c:v>8.5070247355188689E-4</c:v>
                </c:pt>
                <c:pt idx="555">
                  <c:v>3.5634455963048884E-4</c:v>
                </c:pt>
                <c:pt idx="556">
                  <c:v>2.5133155040655132E-4</c:v>
                </c:pt>
                <c:pt idx="557">
                  <c:v>1.0802062120339505E-3</c:v>
                </c:pt>
                <c:pt idx="558">
                  <c:v>-2.7726111624847238E-4</c:v>
                </c:pt>
                <c:pt idx="559">
                  <c:v>4.1303388747665498E-4</c:v>
                </c:pt>
                <c:pt idx="560">
                  <c:v>-1.1285118016269566E-4</c:v>
                </c:pt>
                <c:pt idx="561">
                  <c:v>1.489459125458938E-3</c:v>
                </c:pt>
                <c:pt idx="562">
                  <c:v>-4.8574708274649653E-4</c:v>
                </c:pt>
                <c:pt idx="563">
                  <c:v>-2.2020448572728047E-4</c:v>
                </c:pt>
                <c:pt idx="564">
                  <c:v>-6.85190915342059E-5</c:v>
                </c:pt>
                <c:pt idx="565">
                  <c:v>4.5858141669740516E-4</c:v>
                </c:pt>
                <c:pt idx="566">
                  <c:v>-1.1860053813731069E-3</c:v>
                </c:pt>
                <c:pt idx="567">
                  <c:v>4.4250115136054474E-4</c:v>
                </c:pt>
                <c:pt idx="568">
                  <c:v>-6.5470180031622805E-4</c:v>
                </c:pt>
                <c:pt idx="569">
                  <c:v>-1.2530206939332614E-3</c:v>
                </c:pt>
                <c:pt idx="570">
                  <c:v>-4.2284918347263822E-4</c:v>
                </c:pt>
                <c:pt idx="571">
                  <c:v>-1.3139240240997534E-3</c:v>
                </c:pt>
                <c:pt idx="572">
                  <c:v>-6.5038606478112467E-4</c:v>
                </c:pt>
                <c:pt idx="573">
                  <c:v>1.4810715113189252E-3</c:v>
                </c:pt>
                <c:pt idx="574">
                  <c:v>8.8394972438501137E-4</c:v>
                </c:pt>
                <c:pt idx="575">
                  <c:v>3.6269197426818875E-4</c:v>
                </c:pt>
                <c:pt idx="576">
                  <c:v>-1.1362447986273932E-3</c:v>
                </c:pt>
                <c:pt idx="577">
                  <c:v>-2.6856978080261584E-4</c:v>
                </c:pt>
                <c:pt idx="578">
                  <c:v>1.0245405865915028E-3</c:v>
                </c:pt>
                <c:pt idx="579">
                  <c:v>7.8911889305376647E-4</c:v>
                </c:pt>
                <c:pt idx="580">
                  <c:v>8.2579708741332958E-4</c:v>
                </c:pt>
                <c:pt idx="581">
                  <c:v>-5.2067099208224761E-4</c:v>
                </c:pt>
                <c:pt idx="582">
                  <c:v>-1.2763301374539395E-3</c:v>
                </c:pt>
                <c:pt idx="583">
                  <c:v>-8.7235121339417077E-4</c:v>
                </c:pt>
                <c:pt idx="584">
                  <c:v>6.8264184799964381E-4</c:v>
                </c:pt>
                <c:pt idx="585">
                  <c:v>-8.5905381242908703E-4</c:v>
                </c:pt>
                <c:pt idx="586">
                  <c:v>4.2296338651620548E-4</c:v>
                </c:pt>
                <c:pt idx="587">
                  <c:v>-2.5302980006088489E-4</c:v>
                </c:pt>
                <c:pt idx="588">
                  <c:v>2.6572931310627103E-4</c:v>
                </c:pt>
                <c:pt idx="589">
                  <c:v>2.5003744609448751E-4</c:v>
                </c:pt>
                <c:pt idx="590">
                  <c:v>2.6063228610955091E-5</c:v>
                </c:pt>
                <c:pt idx="591">
                  <c:v>5.0880280951063413E-4</c:v>
                </c:pt>
                <c:pt idx="592">
                  <c:v>-3.0209054142640829E-4</c:v>
                </c:pt>
                <c:pt idx="593">
                  <c:v>-7.8178235570169354E-4</c:v>
                </c:pt>
                <c:pt idx="594">
                  <c:v>-6.9167225788713108E-4</c:v>
                </c:pt>
                <c:pt idx="595">
                  <c:v>7.3535230082204803E-4</c:v>
                </c:pt>
                <c:pt idx="596">
                  <c:v>1.2229592153823016E-3</c:v>
                </c:pt>
                <c:pt idx="597">
                  <c:v>-4.3765777521209774E-4</c:v>
                </c:pt>
                <c:pt idx="598">
                  <c:v>4.8450677193911056E-4</c:v>
                </c:pt>
                <c:pt idx="599">
                  <c:v>1.5817086205866624E-4</c:v>
                </c:pt>
                <c:pt idx="600">
                  <c:v>3.9980627815719384E-4</c:v>
                </c:pt>
                <c:pt idx="601">
                  <c:v>-2.025118899207856E-3</c:v>
                </c:pt>
                <c:pt idx="602">
                  <c:v>9.3613481510103618E-4</c:v>
                </c:pt>
                <c:pt idx="603">
                  <c:v>-1.0037535190372728E-3</c:v>
                </c:pt>
                <c:pt idx="604">
                  <c:v>-3.5505651974302902E-4</c:v>
                </c:pt>
                <c:pt idx="605">
                  <c:v>-5.284631837114595E-5</c:v>
                </c:pt>
                <c:pt idx="606">
                  <c:v>6.7792104574822135E-4</c:v>
                </c:pt>
                <c:pt idx="607">
                  <c:v>-5.4187191758499158E-4</c:v>
                </c:pt>
                <c:pt idx="608">
                  <c:v>6.8527264981764154E-4</c:v>
                </c:pt>
                <c:pt idx="609">
                  <c:v>-9.7769657792792352E-4</c:v>
                </c:pt>
                <c:pt idx="610">
                  <c:v>5.3724885089346793E-4</c:v>
                </c:pt>
                <c:pt idx="611">
                  <c:v>-8.2013251732165893E-4</c:v>
                </c:pt>
                <c:pt idx="612">
                  <c:v>1.4256217130208604E-4</c:v>
                </c:pt>
                <c:pt idx="613">
                  <c:v>8.0325536359587238E-4</c:v>
                </c:pt>
                <c:pt idx="614">
                  <c:v>-9.6729425786101417E-4</c:v>
                </c:pt>
                <c:pt idx="615">
                  <c:v>2.2320770929103677E-4</c:v>
                </c:pt>
                <c:pt idx="616">
                  <c:v>-5.9154706731304608E-4</c:v>
                </c:pt>
                <c:pt idx="617">
                  <c:v>1.0874764628452417E-3</c:v>
                </c:pt>
                <c:pt idx="618">
                  <c:v>1.0988204189255658E-4</c:v>
                </c:pt>
                <c:pt idx="619">
                  <c:v>-1.300634540485417E-3</c:v>
                </c:pt>
                <c:pt idx="620">
                  <c:v>4.8628075433523578E-4</c:v>
                </c:pt>
                <c:pt idx="621">
                  <c:v>-4.9918471816846714E-4</c:v>
                </c:pt>
                <c:pt idx="622">
                  <c:v>-4.3953210107330892E-4</c:v>
                </c:pt>
                <c:pt idx="623">
                  <c:v>-2.7424115183063795E-4</c:v>
                </c:pt>
                <c:pt idx="624">
                  <c:v>-9.5009770234236635E-4</c:v>
                </c:pt>
                <c:pt idx="625">
                  <c:v>-1.7744116035548477E-4</c:v>
                </c:pt>
                <c:pt idx="626">
                  <c:v>4.5020981290394839E-4</c:v>
                </c:pt>
                <c:pt idx="627">
                  <c:v>8.7433008937148914E-4</c:v>
                </c:pt>
                <c:pt idx="628">
                  <c:v>3.1880810206161574E-5</c:v>
                </c:pt>
                <c:pt idx="629">
                  <c:v>-7.1402991053226306E-5</c:v>
                </c:pt>
                <c:pt idx="630">
                  <c:v>-1.8395120159946509E-3</c:v>
                </c:pt>
                <c:pt idx="631">
                  <c:v>1.6903553015912777E-3</c:v>
                </c:pt>
                <c:pt idx="632">
                  <c:v>1.0097802077191438E-3</c:v>
                </c:pt>
                <c:pt idx="633">
                  <c:v>-3.9558521790302592E-4</c:v>
                </c:pt>
                <c:pt idx="634">
                  <c:v>-5.4268062031411681E-5</c:v>
                </c:pt>
                <c:pt idx="635">
                  <c:v>-4.3823931038240526E-4</c:v>
                </c:pt>
                <c:pt idx="636">
                  <c:v>-6.4808330554557998E-4</c:v>
                </c:pt>
                <c:pt idx="637">
                  <c:v>-1.5177435952026369E-4</c:v>
                </c:pt>
                <c:pt idx="638">
                  <c:v>2.175579532963077E-4</c:v>
                </c:pt>
                <c:pt idx="639">
                  <c:v>-4.4752567947259483E-4</c:v>
                </c:pt>
                <c:pt idx="640">
                  <c:v>-3.7187893629940906E-4</c:v>
                </c:pt>
                <c:pt idx="641">
                  <c:v>-7.7627122592632976E-4</c:v>
                </c:pt>
                <c:pt idx="642">
                  <c:v>1.5814975493019263E-3</c:v>
                </c:pt>
                <c:pt idx="643">
                  <c:v>-6.18170393627902E-4</c:v>
                </c:pt>
                <c:pt idx="644">
                  <c:v>4.4705163372125886E-4</c:v>
                </c:pt>
                <c:pt idx="645">
                  <c:v>-1.4767155386249235E-3</c:v>
                </c:pt>
                <c:pt idx="646">
                  <c:v>-4.5821269593174734E-4</c:v>
                </c:pt>
                <c:pt idx="647">
                  <c:v>-6.1917269216574396E-4</c:v>
                </c:pt>
                <c:pt idx="648">
                  <c:v>-5.1711959392034164E-4</c:v>
                </c:pt>
                <c:pt idx="649">
                  <c:v>1.9157939315267097E-4</c:v>
                </c:pt>
                <c:pt idx="650">
                  <c:v>8.8735904646736327E-4</c:v>
                </c:pt>
                <c:pt idx="651">
                  <c:v>-3.649286330614566E-4</c:v>
                </c:pt>
                <c:pt idx="652">
                  <c:v>2.9016609214055128E-4</c:v>
                </c:pt>
                <c:pt idx="653">
                  <c:v>-2.6067124457157428E-4</c:v>
                </c:pt>
                <c:pt idx="654">
                  <c:v>7.0452993493675398E-5</c:v>
                </c:pt>
                <c:pt idx="655">
                  <c:v>-4.8961321609093526E-4</c:v>
                </c:pt>
                <c:pt idx="656">
                  <c:v>-2.7139094225873576E-4</c:v>
                </c:pt>
                <c:pt idx="657">
                  <c:v>1.3081554349417971E-3</c:v>
                </c:pt>
                <c:pt idx="658">
                  <c:v>2.6129621255873212E-5</c:v>
                </c:pt>
                <c:pt idx="659">
                  <c:v>-3.8685854132107202E-4</c:v>
                </c:pt>
                <c:pt idx="660">
                  <c:v>-4.6826948629689392E-4</c:v>
                </c:pt>
                <c:pt idx="661">
                  <c:v>-7.9310499870541274E-4</c:v>
                </c:pt>
                <c:pt idx="662">
                  <c:v>2.6329796183022225E-4</c:v>
                </c:pt>
                <c:pt idx="663">
                  <c:v>5.1350646833083413E-4</c:v>
                </c:pt>
                <c:pt idx="664">
                  <c:v>2.7355749655147616E-4</c:v>
                </c:pt>
                <c:pt idx="665">
                  <c:v>7.274258607776213E-5</c:v>
                </c:pt>
                <c:pt idx="666">
                  <c:v>4.3284221070827423E-5</c:v>
                </c:pt>
                <c:pt idx="667">
                  <c:v>0</c:v>
                </c:pt>
                <c:pt idx="668">
                  <c:v>-6.917686682724434E-4</c:v>
                </c:pt>
                <c:pt idx="669">
                  <c:v>-6.7341312802757355E-4</c:v>
                </c:pt>
                <c:pt idx="670">
                  <c:v>-2.4691788958481893E-4</c:v>
                </c:pt>
                <c:pt idx="671">
                  <c:v>6.1005812289525984E-7</c:v>
                </c:pt>
                <c:pt idx="672">
                  <c:v>1.2635877598910735E-3</c:v>
                </c:pt>
                <c:pt idx="673">
                  <c:v>-3.0866012425726392E-4</c:v>
                </c:pt>
                <c:pt idx="674">
                  <c:v>1.3684418019337715E-3</c:v>
                </c:pt>
                <c:pt idx="675">
                  <c:v>2.6211794127887215E-5</c:v>
                </c:pt>
                <c:pt idx="676">
                  <c:v>-8.5558488580121043E-4</c:v>
                </c:pt>
                <c:pt idx="677">
                  <c:v>3.1137515778705232E-4</c:v>
                </c:pt>
                <c:pt idx="678">
                  <c:v>-2.8829008304429807E-4</c:v>
                </c:pt>
                <c:pt idx="679">
                  <c:v>-1.9883450202983806E-4</c:v>
                </c:pt>
                <c:pt idx="680">
                  <c:v>-7.8693491905702199E-4</c:v>
                </c:pt>
                <c:pt idx="681">
                  <c:v>1.3822879748605067E-4</c:v>
                </c:pt>
                <c:pt idx="682">
                  <c:v>-9.1015580660127465E-4</c:v>
                </c:pt>
                <c:pt idx="683">
                  <c:v>3.8284783008085146E-4</c:v>
                </c:pt>
                <c:pt idx="684">
                  <c:v>-9.1098775094196653E-4</c:v>
                </c:pt>
                <c:pt idx="685">
                  <c:v>-3.4093114354349165E-4</c:v>
                </c:pt>
                <c:pt idx="686">
                  <c:v>1.2612886599020675E-4</c:v>
                </c:pt>
                <c:pt idx="687">
                  <c:v>2.3044005584328889E-4</c:v>
                </c:pt>
                <c:pt idx="688">
                  <c:v>6.7840979748868418E-4</c:v>
                </c:pt>
                <c:pt idx="689">
                  <c:v>-1.2826179521471838E-5</c:v>
                </c:pt>
                <c:pt idx="690">
                  <c:v>5.2103141990588313E-5</c:v>
                </c:pt>
                <c:pt idx="691">
                  <c:v>-1.0196599898832052E-3</c:v>
                </c:pt>
                <c:pt idx="692">
                  <c:v>5.2684551536133235E-4</c:v>
                </c:pt>
                <c:pt idx="693">
                  <c:v>-5.4047922252656896E-4</c:v>
                </c:pt>
                <c:pt idx="694">
                  <c:v>2.3382283531786822E-4</c:v>
                </c:pt>
                <c:pt idx="695">
                  <c:v>-1.043650733177534E-3</c:v>
                </c:pt>
                <c:pt idx="696">
                  <c:v>-9.4346420135722376E-5</c:v>
                </c:pt>
                <c:pt idx="697">
                  <c:v>1.2196115578699629E-4</c:v>
                </c:pt>
                <c:pt idx="698">
                  <c:v>5.7004958727068259E-4</c:v>
                </c:pt>
                <c:pt idx="699">
                  <c:v>-3.4538080943959494E-4</c:v>
                </c:pt>
                <c:pt idx="700">
                  <c:v>7.8198925506135558E-4</c:v>
                </c:pt>
                <c:pt idx="701">
                  <c:v>-3.185782282564106E-4</c:v>
                </c:pt>
                <c:pt idx="702">
                  <c:v>-3.4350871109421169E-4</c:v>
                </c:pt>
                <c:pt idx="703">
                  <c:v>7.3189799530037393E-4</c:v>
                </c:pt>
                <c:pt idx="704">
                  <c:v>1.3224782022239244E-3</c:v>
                </c:pt>
                <c:pt idx="705">
                  <c:v>-4.6447885093177343E-5</c:v>
                </c:pt>
                <c:pt idx="706">
                  <c:v>-8.4419461179260945E-4</c:v>
                </c:pt>
                <c:pt idx="707">
                  <c:v>2.8301062452355776E-5</c:v>
                </c:pt>
                <c:pt idx="708">
                  <c:v>-2.8410249602334349E-4</c:v>
                </c:pt>
                <c:pt idx="709">
                  <c:v>-7.6646499063453817E-4</c:v>
                </c:pt>
                <c:pt idx="710">
                  <c:v>1.0315299599499505E-3</c:v>
                </c:pt>
                <c:pt idx="711">
                  <c:v>-2.3847123365438667E-4</c:v>
                </c:pt>
                <c:pt idx="712">
                  <c:v>-1.9519386574248611E-4</c:v>
                </c:pt>
                <c:pt idx="713">
                  <c:v>-7.3620238866664318E-4</c:v>
                </c:pt>
                <c:pt idx="714">
                  <c:v>5.0011893324900674E-4</c:v>
                </c:pt>
                <c:pt idx="715">
                  <c:v>1.02740477121255E-4</c:v>
                </c:pt>
                <c:pt idx="716">
                  <c:v>6.7520370395270969E-6</c:v>
                </c:pt>
                <c:pt idx="717">
                  <c:v>2.8597211079448839E-4</c:v>
                </c:pt>
                <c:pt idx="718">
                  <c:v>1.2320840506006804E-3</c:v>
                </c:pt>
                <c:pt idx="719">
                  <c:v>8.2361243216914348E-5</c:v>
                </c:pt>
                <c:pt idx="720">
                  <c:v>9.6964453330000201E-4</c:v>
                </c:pt>
                <c:pt idx="721">
                  <c:v>5.2752535320504425E-4</c:v>
                </c:pt>
                <c:pt idx="722">
                  <c:v>2.3004786962204689E-4</c:v>
                </c:pt>
                <c:pt idx="723">
                  <c:v>-2.7727199070881115E-4</c:v>
                </c:pt>
                <c:pt idx="724">
                  <c:v>-5.275932901698412E-4</c:v>
                </c:pt>
                <c:pt idx="725">
                  <c:v>4.6621955471683462E-4</c:v>
                </c:pt>
                <c:pt idx="726">
                  <c:v>-3.0103699275457193E-4</c:v>
                </c:pt>
                <c:pt idx="727">
                  <c:v>-6.0000081684546806E-4</c:v>
                </c:pt>
                <c:pt idx="728">
                  <c:v>1.1489510848126413E-3</c:v>
                </c:pt>
                <c:pt idx="729">
                  <c:v>4.9001328325259984E-4</c:v>
                </c:pt>
                <c:pt idx="730">
                  <c:v>9.9985473353533024E-4</c:v>
                </c:pt>
                <c:pt idx="731">
                  <c:v>-4.1613942588813796E-4</c:v>
                </c:pt>
                <c:pt idx="732">
                  <c:v>1.2195607910338838E-3</c:v>
                </c:pt>
                <c:pt idx="733">
                  <c:v>-1.3346582881216198E-4</c:v>
                </c:pt>
                <c:pt idx="734">
                  <c:v>-9.6971137136591128E-4</c:v>
                </c:pt>
                <c:pt idx="735">
                  <c:v>-3.9482165171382885E-4</c:v>
                </c:pt>
                <c:pt idx="736">
                  <c:v>-2.100455163278222E-4</c:v>
                </c:pt>
                <c:pt idx="737">
                  <c:v>3.3499765721081579E-4</c:v>
                </c:pt>
                <c:pt idx="738">
                  <c:v>7.4463376023278414E-4</c:v>
                </c:pt>
                <c:pt idx="739">
                  <c:v>4.0726099698263707E-4</c:v>
                </c:pt>
                <c:pt idx="740">
                  <c:v>3.47558994087129E-4</c:v>
                </c:pt>
                <c:pt idx="741">
                  <c:v>-1.3209825248567599E-3</c:v>
                </c:pt>
                <c:pt idx="742">
                  <c:v>3.3955506656658754E-4</c:v>
                </c:pt>
                <c:pt idx="743">
                  <c:v>7.5213081733939825E-4</c:v>
                </c:pt>
                <c:pt idx="744">
                  <c:v>-7.2865135476086074E-4</c:v>
                </c:pt>
                <c:pt idx="745">
                  <c:v>1.2527289999410037E-3</c:v>
                </c:pt>
                <c:pt idx="746">
                  <c:v>-5.4695022277684974E-4</c:v>
                </c:pt>
                <c:pt idx="747">
                  <c:v>1.4198528325049033E-4</c:v>
                </c:pt>
                <c:pt idx="748">
                  <c:v>-1.3656897800559415E-3</c:v>
                </c:pt>
                <c:pt idx="749">
                  <c:v>7.2230974900840602E-5</c:v>
                </c:pt>
                <c:pt idx="750">
                  <c:v>-8.3837155773985709E-4</c:v>
                </c:pt>
                <c:pt idx="751">
                  <c:v>6.9438223939209621E-4</c:v>
                </c:pt>
                <c:pt idx="752">
                  <c:v>7.6275825989232759E-4</c:v>
                </c:pt>
                <c:pt idx="753">
                  <c:v>-6.6857770103077928E-4</c:v>
                </c:pt>
                <c:pt idx="754">
                  <c:v>1.1455944348576183E-4</c:v>
                </c:pt>
                <c:pt idx="755">
                  <c:v>-1.9139963992159512E-3</c:v>
                </c:pt>
                <c:pt idx="756">
                  <c:v>3.9663534859793161E-4</c:v>
                </c:pt>
                <c:pt idx="757">
                  <c:v>5.2172894887592776E-4</c:v>
                </c:pt>
                <c:pt idx="758">
                  <c:v>-5.7553624582580467E-4</c:v>
                </c:pt>
                <c:pt idx="759">
                  <c:v>-8.605146365420948E-4</c:v>
                </c:pt>
                <c:pt idx="760">
                  <c:v>1.4082980837428445E-4</c:v>
                </c:pt>
                <c:pt idx="761">
                  <c:v>-6.4453148260060374E-4</c:v>
                </c:pt>
                <c:pt idx="762">
                  <c:v>1.1499864617171901E-4</c:v>
                </c:pt>
                <c:pt idx="763">
                  <c:v>8.1580083486708312E-5</c:v>
                </c:pt>
                <c:pt idx="764">
                  <c:v>9.6174778231495838E-5</c:v>
                </c:pt>
                <c:pt idx="765">
                  <c:v>3.8913226087467546E-5</c:v>
                </c:pt>
                <c:pt idx="766">
                  <c:v>-1.4724724701126136E-3</c:v>
                </c:pt>
                <c:pt idx="767">
                  <c:v>-9.2320282684317035E-4</c:v>
                </c:pt>
                <c:pt idx="768">
                  <c:v>-4.2488309482569144E-4</c:v>
                </c:pt>
                <c:pt idx="769">
                  <c:v>7.5939621637575061E-4</c:v>
                </c:pt>
                <c:pt idx="770">
                  <c:v>-1.4148528657880618E-4</c:v>
                </c:pt>
                <c:pt idx="771">
                  <c:v>-4.3650618400815851E-4</c:v>
                </c:pt>
                <c:pt idx="772">
                  <c:v>7.097082581816027E-4</c:v>
                </c:pt>
                <c:pt idx="773">
                  <c:v>-3.0581746981088865E-4</c:v>
                </c:pt>
                <c:pt idx="774">
                  <c:v>-4.1320625580575576E-4</c:v>
                </c:pt>
                <c:pt idx="775">
                  <c:v>3.9402173516672273E-4</c:v>
                </c:pt>
                <c:pt idx="776">
                  <c:v>-7.2260186266632066E-4</c:v>
                </c:pt>
                <c:pt idx="777">
                  <c:v>-2.4762262240310716E-4</c:v>
                </c:pt>
                <c:pt idx="778">
                  <c:v>-4.9328353399421784E-4</c:v>
                </c:pt>
                <c:pt idx="779">
                  <c:v>-5.2962604418351194E-4</c:v>
                </c:pt>
                <c:pt idx="780">
                  <c:v>4.2157235933773296E-4</c:v>
                </c:pt>
                <c:pt idx="781">
                  <c:v>-2.51670361451882E-4</c:v>
                </c:pt>
                <c:pt idx="782">
                  <c:v>-2.8458005747723899E-4</c:v>
                </c:pt>
                <c:pt idx="783">
                  <c:v>-1.8572416905963979E-3</c:v>
                </c:pt>
                <c:pt idx="784">
                  <c:v>2.6565612614827023E-4</c:v>
                </c:pt>
                <c:pt idx="785">
                  <c:v>7.3223144224631028E-4</c:v>
                </c:pt>
                <c:pt idx="786">
                  <c:v>2.3954110933242011E-4</c:v>
                </c:pt>
                <c:pt idx="787">
                  <c:v>9.551214232062067E-4</c:v>
                </c:pt>
                <c:pt idx="788">
                  <c:v>1.0784858474182869E-3</c:v>
                </c:pt>
                <c:pt idx="789">
                  <c:v>-5.0266715681308784E-4</c:v>
                </c:pt>
                <c:pt idx="790">
                  <c:v>4.7514711804228556E-4</c:v>
                </c:pt>
                <c:pt idx="791">
                  <c:v>-2.6502541315316826E-4</c:v>
                </c:pt>
                <c:pt idx="792">
                  <c:v>3.5759492893357538E-4</c:v>
                </c:pt>
                <c:pt idx="793">
                  <c:v>4.9080748897079333E-4</c:v>
                </c:pt>
                <c:pt idx="794">
                  <c:v>3.2382780949383042E-4</c:v>
                </c:pt>
                <c:pt idx="795">
                  <c:v>-4.6853943519545805E-5</c:v>
                </c:pt>
                <c:pt idx="796">
                  <c:v>9.9854880924688606E-6</c:v>
                </c:pt>
                <c:pt idx="797">
                  <c:v>7.9984798065472736E-4</c:v>
                </c:pt>
                <c:pt idx="798">
                  <c:v>4.1508727519441437E-4</c:v>
                </c:pt>
                <c:pt idx="799">
                  <c:v>-4.1913414752629363E-4</c:v>
                </c:pt>
                <c:pt idx="800">
                  <c:v>1.4689388140902296E-3</c:v>
                </c:pt>
                <c:pt idx="801">
                  <c:v>3.5361388524954161E-8</c:v>
                </c:pt>
                <c:pt idx="802">
                  <c:v>-3.9284134348404736E-4</c:v>
                </c:pt>
                <c:pt idx="803">
                  <c:v>7.3849242143992646E-4</c:v>
                </c:pt>
                <c:pt idx="804">
                  <c:v>-1.8033642173116859E-5</c:v>
                </c:pt>
                <c:pt idx="805">
                  <c:v>4.305808745802921E-4</c:v>
                </c:pt>
                <c:pt idx="806">
                  <c:v>1.411306336132336E-4</c:v>
                </c:pt>
                <c:pt idx="807">
                  <c:v>-7.4530659953190724E-4</c:v>
                </c:pt>
                <c:pt idx="808">
                  <c:v>5.0631715230570282E-4</c:v>
                </c:pt>
                <c:pt idx="809">
                  <c:v>5.1088418355532E-4</c:v>
                </c:pt>
                <c:pt idx="810">
                  <c:v>-1.3968104907060672E-5</c:v>
                </c:pt>
                <c:pt idx="811">
                  <c:v>-6.8877686596132597E-4</c:v>
                </c:pt>
                <c:pt idx="812">
                  <c:v>-3.1592042893221209E-4</c:v>
                </c:pt>
                <c:pt idx="813">
                  <c:v>1.4279628180059723E-4</c:v>
                </c:pt>
                <c:pt idx="814">
                  <c:v>1.6271891183418151E-3</c:v>
                </c:pt>
                <c:pt idx="815">
                  <c:v>1.0452550954042142E-4</c:v>
                </c:pt>
                <c:pt idx="816">
                  <c:v>7.9616682823653595E-5</c:v>
                </c:pt>
                <c:pt idx="817">
                  <c:v>1.0684981636666878E-3</c:v>
                </c:pt>
                <c:pt idx="818">
                  <c:v>-7.6936657008453931E-5</c:v>
                </c:pt>
                <c:pt idx="819">
                  <c:v>4.2534279067186256E-4</c:v>
                </c:pt>
                <c:pt idx="820">
                  <c:v>1.0190875473473817E-3</c:v>
                </c:pt>
                <c:pt idx="821">
                  <c:v>2.2234726345245656E-4</c:v>
                </c:pt>
                <c:pt idx="822">
                  <c:v>-2.1291531338660469E-4</c:v>
                </c:pt>
                <c:pt idx="823">
                  <c:v>-1.2325872979588397E-3</c:v>
                </c:pt>
                <c:pt idx="824">
                  <c:v>5.341635840610976E-4</c:v>
                </c:pt>
                <c:pt idx="825">
                  <c:v>3.5923573804509928E-4</c:v>
                </c:pt>
                <c:pt idx="826">
                  <c:v>4.6720955448084487E-4</c:v>
                </c:pt>
                <c:pt idx="827">
                  <c:v>5.1111731248666085E-4</c:v>
                </c:pt>
                <c:pt idx="828">
                  <c:v>-2.5878509663566977E-4</c:v>
                </c:pt>
                <c:pt idx="829">
                  <c:v>5.9853482968830847E-4</c:v>
                </c:pt>
                <c:pt idx="830">
                  <c:v>4.9890712940396225E-5</c:v>
                </c:pt>
                <c:pt idx="831">
                  <c:v>-6.8482980907269369E-4</c:v>
                </c:pt>
                <c:pt idx="832">
                  <c:v>-2.4080484273969198E-4</c:v>
                </c:pt>
                <c:pt idx="833">
                  <c:v>-2.0110227123611534E-4</c:v>
                </c:pt>
                <c:pt idx="834">
                  <c:v>-1.3118343233036018E-3</c:v>
                </c:pt>
                <c:pt idx="835">
                  <c:v>1.9268156903745081E-4</c:v>
                </c:pt>
                <c:pt idx="836">
                  <c:v>-5.8297029334423555E-4</c:v>
                </c:pt>
                <c:pt idx="837">
                  <c:v>-8.914290869362786E-4</c:v>
                </c:pt>
                <c:pt idx="838">
                  <c:v>-4.1142901009463476E-4</c:v>
                </c:pt>
                <c:pt idx="839">
                  <c:v>5.0948060011904927E-4</c:v>
                </c:pt>
                <c:pt idx="840">
                  <c:v>3.1119760965865438E-4</c:v>
                </c:pt>
                <c:pt idx="841">
                  <c:v>3.5741902403526807E-4</c:v>
                </c:pt>
                <c:pt idx="842">
                  <c:v>6.7409464743696675E-4</c:v>
                </c:pt>
                <c:pt idx="843">
                  <c:v>-9.0069823833923237E-4</c:v>
                </c:pt>
                <c:pt idx="844">
                  <c:v>2.8163341106759012E-4</c:v>
                </c:pt>
                <c:pt idx="845">
                  <c:v>-5.1941937420685953E-4</c:v>
                </c:pt>
                <c:pt idx="846">
                  <c:v>1.9399930596023936E-3</c:v>
                </c:pt>
                <c:pt idx="847">
                  <c:v>9.9653569881847173E-5</c:v>
                </c:pt>
                <c:pt idx="848">
                  <c:v>-5.0663379531147763E-4</c:v>
                </c:pt>
                <c:pt idx="849">
                  <c:v>-2.8544538182819303E-4</c:v>
                </c:pt>
                <c:pt idx="850">
                  <c:v>-4.6795875388546483E-4</c:v>
                </c:pt>
                <c:pt idx="851">
                  <c:v>-1.5797774336881228E-3</c:v>
                </c:pt>
                <c:pt idx="852">
                  <c:v>-3.2662506383838915E-4</c:v>
                </c:pt>
                <c:pt idx="853">
                  <c:v>1.4700207794874731E-4</c:v>
                </c:pt>
                <c:pt idx="854">
                  <c:v>-1.0440390290266685E-3</c:v>
                </c:pt>
                <c:pt idx="855">
                  <c:v>-9.5317962728827223E-5</c:v>
                </c:pt>
                <c:pt idx="856">
                  <c:v>-7.6126206787814784E-4</c:v>
                </c:pt>
                <c:pt idx="857">
                  <c:v>-8.5036191573689321E-4</c:v>
                </c:pt>
                <c:pt idx="858">
                  <c:v>1.2944176284044798E-4</c:v>
                </c:pt>
                <c:pt idx="859">
                  <c:v>1.8271540210050262E-4</c:v>
                </c:pt>
                <c:pt idx="860">
                  <c:v>2.0569026667164556E-4</c:v>
                </c:pt>
                <c:pt idx="861">
                  <c:v>-5.5200431293922047E-4</c:v>
                </c:pt>
                <c:pt idx="862">
                  <c:v>1.5547276349915876E-3</c:v>
                </c:pt>
                <c:pt idx="863">
                  <c:v>2.0689518159269855E-4</c:v>
                </c:pt>
                <c:pt idx="864">
                  <c:v>-4.3664797268052984E-4</c:v>
                </c:pt>
                <c:pt idx="865">
                  <c:v>4.0322227781072512E-4</c:v>
                </c:pt>
                <c:pt idx="866">
                  <c:v>-1.3169797533446056E-4</c:v>
                </c:pt>
                <c:pt idx="867">
                  <c:v>-2.4774139220690584E-4</c:v>
                </c:pt>
                <c:pt idx="868">
                  <c:v>-2.6031804838950903E-4</c:v>
                </c:pt>
                <c:pt idx="869">
                  <c:v>1.123806997471295E-3</c:v>
                </c:pt>
                <c:pt idx="870">
                  <c:v>-5.0076646357299318E-4</c:v>
                </c:pt>
                <c:pt idx="871">
                  <c:v>-3.8788210881777586E-6</c:v>
                </c:pt>
                <c:pt idx="872">
                  <c:v>4.2672900027092319E-4</c:v>
                </c:pt>
                <c:pt idx="873">
                  <c:v>-1.0853209368319545E-3</c:v>
                </c:pt>
                <c:pt idx="874">
                  <c:v>-3.6591568623244285E-4</c:v>
                </c:pt>
                <c:pt idx="875">
                  <c:v>-7.8152644160983165E-4</c:v>
                </c:pt>
                <c:pt idx="876">
                  <c:v>-5.9688471608982795E-4</c:v>
                </c:pt>
                <c:pt idx="877">
                  <c:v>1.6652357736461688E-4</c:v>
                </c:pt>
                <c:pt idx="878">
                  <c:v>-4.6274612524702357E-4</c:v>
                </c:pt>
                <c:pt idx="879">
                  <c:v>-2.4214691331633458E-4</c:v>
                </c:pt>
                <c:pt idx="880">
                  <c:v>-2.5963009287377996E-4</c:v>
                </c:pt>
                <c:pt idx="881">
                  <c:v>-1.1477546844149756E-3</c:v>
                </c:pt>
                <c:pt idx="882">
                  <c:v>8.6002240310405979E-4</c:v>
                </c:pt>
                <c:pt idx="883">
                  <c:v>-3.1148123023933677E-4</c:v>
                </c:pt>
                <c:pt idx="884">
                  <c:v>7.3308078492087851E-4</c:v>
                </c:pt>
                <c:pt idx="885">
                  <c:v>-5.3451554564353453E-4</c:v>
                </c:pt>
                <c:pt idx="886">
                  <c:v>-2.2468750419904382E-4</c:v>
                </c:pt>
                <c:pt idx="887">
                  <c:v>1.9196561439468917E-4</c:v>
                </c:pt>
                <c:pt idx="888">
                  <c:v>-2.404770321054599E-4</c:v>
                </c:pt>
                <c:pt idx="889">
                  <c:v>8.6430666162354416E-4</c:v>
                </c:pt>
                <c:pt idx="890">
                  <c:v>6.8763220431026768E-4</c:v>
                </c:pt>
                <c:pt idx="891">
                  <c:v>-8.5413864686898454E-4</c:v>
                </c:pt>
                <c:pt idx="892">
                  <c:v>1.790826125829601E-3</c:v>
                </c:pt>
                <c:pt idx="893">
                  <c:v>2.9673355900733655E-4</c:v>
                </c:pt>
                <c:pt idx="894">
                  <c:v>1.0601101830505341E-4</c:v>
                </c:pt>
                <c:pt idx="895">
                  <c:v>-1.2093811632135211E-3</c:v>
                </c:pt>
                <c:pt idx="896">
                  <c:v>-8.4691689896620252E-5</c:v>
                </c:pt>
                <c:pt idx="897">
                  <c:v>3.3707709863069028E-4</c:v>
                </c:pt>
                <c:pt idx="898">
                  <c:v>-1.4201896063888422E-4</c:v>
                </c:pt>
                <c:pt idx="899">
                  <c:v>-5.9653019602524753E-4</c:v>
                </c:pt>
                <c:pt idx="900">
                  <c:v>1.2927270854747285E-5</c:v>
                </c:pt>
                <c:pt idx="901">
                  <c:v>7.3526490860100456E-4</c:v>
                </c:pt>
                <c:pt idx="902">
                  <c:v>4.0952498911175049E-4</c:v>
                </c:pt>
                <c:pt idx="903">
                  <c:v>2.618923277495423E-4</c:v>
                </c:pt>
                <c:pt idx="904">
                  <c:v>1.4573548296857643E-4</c:v>
                </c:pt>
                <c:pt idx="905">
                  <c:v>-1.6255083403172519E-4</c:v>
                </c:pt>
                <c:pt idx="906">
                  <c:v>3.0350756027748088E-4</c:v>
                </c:pt>
                <c:pt idx="907">
                  <c:v>2.0916892697849257E-5</c:v>
                </c:pt>
                <c:pt idx="908">
                  <c:v>-5.5290331393038148E-5</c:v>
                </c:pt>
                <c:pt idx="909">
                  <c:v>1.1208930927835174E-4</c:v>
                </c:pt>
                <c:pt idx="910">
                  <c:v>1.4003822988969587E-4</c:v>
                </c:pt>
                <c:pt idx="911">
                  <c:v>7.9234035290464701E-4</c:v>
                </c:pt>
                <c:pt idx="912">
                  <c:v>1.1350198382423756E-3</c:v>
                </c:pt>
                <c:pt idx="913">
                  <c:v>-7.4091928341100925E-5</c:v>
                </c:pt>
                <c:pt idx="914">
                  <c:v>1.7115512545137586E-3</c:v>
                </c:pt>
                <c:pt idx="915">
                  <c:v>1.0505499371810793E-3</c:v>
                </c:pt>
                <c:pt idx="916">
                  <c:v>4.6435312168206371E-4</c:v>
                </c:pt>
                <c:pt idx="917">
                  <c:v>7.3532762153682491E-5</c:v>
                </c:pt>
                <c:pt idx="918">
                  <c:v>4.3305539100665723E-4</c:v>
                </c:pt>
                <c:pt idx="919">
                  <c:v>-2.069363208495885E-4</c:v>
                </c:pt>
                <c:pt idx="920">
                  <c:v>-2.2277338679594922E-4</c:v>
                </c:pt>
                <c:pt idx="921">
                  <c:v>7.7550988671318331E-4</c:v>
                </c:pt>
                <c:pt idx="922">
                  <c:v>-5.2051915734151915E-4</c:v>
                </c:pt>
                <c:pt idx="923">
                  <c:v>1.1771552178511399E-3</c:v>
                </c:pt>
                <c:pt idx="924">
                  <c:v>3.4670608780865034E-4</c:v>
                </c:pt>
                <c:pt idx="925">
                  <c:v>1.211493137558283E-3</c:v>
                </c:pt>
                <c:pt idx="926">
                  <c:v>1.4832872998784839E-4</c:v>
                </c:pt>
                <c:pt idx="927">
                  <c:v>6.592754191577715E-4</c:v>
                </c:pt>
                <c:pt idx="928">
                  <c:v>-7.2263442855054791E-4</c:v>
                </c:pt>
                <c:pt idx="929">
                  <c:v>-1.5651655013237508E-4</c:v>
                </c:pt>
                <c:pt idx="930">
                  <c:v>1.8898895202735681E-4</c:v>
                </c:pt>
                <c:pt idx="931">
                  <c:v>9.8602120665353403E-4</c:v>
                </c:pt>
                <c:pt idx="932">
                  <c:v>1.26227574751858E-3</c:v>
                </c:pt>
                <c:pt idx="933">
                  <c:v>7.8191847367675997E-4</c:v>
                </c:pt>
                <c:pt idx="934">
                  <c:v>-3.0069437972940244E-4</c:v>
                </c:pt>
                <c:pt idx="935">
                  <c:v>-4.9968366945326627E-4</c:v>
                </c:pt>
                <c:pt idx="936">
                  <c:v>3.1021751000520295E-4</c:v>
                </c:pt>
                <c:pt idx="937">
                  <c:v>-7.9564005535539639E-4</c:v>
                </c:pt>
                <c:pt idx="938">
                  <c:v>-8.3999523346035571E-4</c:v>
                </c:pt>
                <c:pt idx="939">
                  <c:v>1.7466578475950871E-4</c:v>
                </c:pt>
                <c:pt idx="940">
                  <c:v>-6.6060553471280158E-4</c:v>
                </c:pt>
                <c:pt idx="941">
                  <c:v>-2.4264914949053747E-6</c:v>
                </c:pt>
                <c:pt idx="942">
                  <c:v>-1.8081563986043335E-4</c:v>
                </c:pt>
                <c:pt idx="943">
                  <c:v>-5.7815898270884942E-5</c:v>
                </c:pt>
                <c:pt idx="944">
                  <c:v>5.2826124192361106E-5</c:v>
                </c:pt>
                <c:pt idx="945">
                  <c:v>7.4448691515369202E-4</c:v>
                </c:pt>
                <c:pt idx="946">
                  <c:v>-2.1209566923680614E-4</c:v>
                </c:pt>
                <c:pt idx="947">
                  <c:v>-4.8181258979194372E-4</c:v>
                </c:pt>
                <c:pt idx="948">
                  <c:v>-1.0096767880717044E-4</c:v>
                </c:pt>
                <c:pt idx="949">
                  <c:v>6.1847348399057941E-4</c:v>
                </c:pt>
                <c:pt idx="950">
                  <c:v>8.4441335134154992E-5</c:v>
                </c:pt>
                <c:pt idx="951">
                  <c:v>1.0439251254350588E-3</c:v>
                </c:pt>
                <c:pt idx="952">
                  <c:v>2.1035213310146173E-4</c:v>
                </c:pt>
                <c:pt idx="953">
                  <c:v>-5.6157521986914668E-4</c:v>
                </c:pt>
                <c:pt idx="954">
                  <c:v>-6.1920454382268376E-4</c:v>
                </c:pt>
                <c:pt idx="955">
                  <c:v>6.2377239856769911E-4</c:v>
                </c:pt>
                <c:pt idx="956">
                  <c:v>5.1244299976479081E-4</c:v>
                </c:pt>
                <c:pt idx="957">
                  <c:v>-3.5572712830477475E-4</c:v>
                </c:pt>
                <c:pt idx="958">
                  <c:v>-2.0173773171617651E-4</c:v>
                </c:pt>
                <c:pt idx="959">
                  <c:v>7.380782314547219E-4</c:v>
                </c:pt>
                <c:pt idx="960">
                  <c:v>-1.1590748626955029E-3</c:v>
                </c:pt>
                <c:pt idx="961">
                  <c:v>-7.2854926749401987E-4</c:v>
                </c:pt>
                <c:pt idx="962">
                  <c:v>-5.2806517711354961E-4</c:v>
                </c:pt>
                <c:pt idx="963">
                  <c:v>-1.7190177816022397E-4</c:v>
                </c:pt>
                <c:pt idx="964">
                  <c:v>6.4965071251495479E-4</c:v>
                </c:pt>
                <c:pt idx="965">
                  <c:v>3.5382936778953809E-4</c:v>
                </c:pt>
                <c:pt idx="966">
                  <c:v>-6.3575533555614342E-4</c:v>
                </c:pt>
                <c:pt idx="967">
                  <c:v>5.8883363810077597E-4</c:v>
                </c:pt>
                <c:pt idx="968">
                  <c:v>1.6800834299075509E-3</c:v>
                </c:pt>
                <c:pt idx="969">
                  <c:v>1.2116033130310471E-4</c:v>
                </c:pt>
                <c:pt idx="970">
                  <c:v>-6.2695670116704068E-4</c:v>
                </c:pt>
                <c:pt idx="971">
                  <c:v>1.6486065462221477E-4</c:v>
                </c:pt>
                <c:pt idx="972">
                  <c:v>1.5830238604609315E-3</c:v>
                </c:pt>
                <c:pt idx="973">
                  <c:v>3.7542536672324544E-4</c:v>
                </c:pt>
                <c:pt idx="974">
                  <c:v>-3.9217571775949727E-4</c:v>
                </c:pt>
                <c:pt idx="975">
                  <c:v>-4.8090410590247623E-4</c:v>
                </c:pt>
                <c:pt idx="976">
                  <c:v>-5.659783837533819E-4</c:v>
                </c:pt>
                <c:pt idx="977">
                  <c:v>2.0490439202388712E-4</c:v>
                </c:pt>
                <c:pt idx="978">
                  <c:v>-2.597152667111222E-4</c:v>
                </c:pt>
                <c:pt idx="979">
                  <c:v>1.5679209778321867E-4</c:v>
                </c:pt>
                <c:pt idx="980">
                  <c:v>-1.3920624896302087E-3</c:v>
                </c:pt>
                <c:pt idx="981">
                  <c:v>-8.9071172945756594E-4</c:v>
                </c:pt>
                <c:pt idx="982">
                  <c:v>-1.3055239869402594E-3</c:v>
                </c:pt>
                <c:pt idx="983">
                  <c:v>-1.1877131490505316E-3</c:v>
                </c:pt>
                <c:pt idx="984">
                  <c:v>8.4003455596688074E-4</c:v>
                </c:pt>
                <c:pt idx="985">
                  <c:v>1.4736671336823956E-3</c:v>
                </c:pt>
                <c:pt idx="986">
                  <c:v>-2.2972095402641293E-4</c:v>
                </c:pt>
                <c:pt idx="987">
                  <c:v>-7.6842079499943111E-4</c:v>
                </c:pt>
                <c:pt idx="988">
                  <c:v>-1.4987643490114225E-3</c:v>
                </c:pt>
                <c:pt idx="989">
                  <c:v>-4.7975544496908518E-4</c:v>
                </c:pt>
                <c:pt idx="990">
                  <c:v>-7.6881820420265901E-4</c:v>
                </c:pt>
                <c:pt idx="991">
                  <c:v>1.8153838822503396E-4</c:v>
                </c:pt>
                <c:pt idx="992">
                  <c:v>3.5642353078295933E-4</c:v>
                </c:pt>
                <c:pt idx="993">
                  <c:v>5.7755532590429151E-4</c:v>
                </c:pt>
                <c:pt idx="994">
                  <c:v>-4.0847548442436082E-5</c:v>
                </c:pt>
                <c:pt idx="995">
                  <c:v>-8.5070811055221564E-4</c:v>
                </c:pt>
                <c:pt idx="996">
                  <c:v>2.1813371413239874E-3</c:v>
                </c:pt>
                <c:pt idx="997">
                  <c:v>-1.4453622888651905E-4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3E-4853-A16D-266C531B439D}"/>
            </c:ext>
          </c:extLst>
        </c:ser>
        <c:ser>
          <c:idx val="3"/>
          <c:order val="3"/>
          <c:tx>
            <c:strRef>
              <c:f>DATA!$AJ$2</c:f>
              <c:strCache>
                <c:ptCount val="1"/>
                <c:pt idx="0">
                  <c:v>RETURN DATA 04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DATA!$AK$3:$AK$1000</c:f>
              <c:numCache>
                <c:formatCode>0.00%</c:formatCode>
                <c:ptCount val="998"/>
                <c:pt idx="0">
                  <c:v>-5.5293164088306569E-5</c:v>
                </c:pt>
                <c:pt idx="1">
                  <c:v>-1.3348752473357731E-4</c:v>
                </c:pt>
                <c:pt idx="2">
                  <c:v>-3.1538057352303128E-6</c:v>
                </c:pt>
                <c:pt idx="3">
                  <c:v>-1.2791877345564025E-4</c:v>
                </c:pt>
                <c:pt idx="4">
                  <c:v>-6.1724330542707237E-4</c:v>
                </c:pt>
                <c:pt idx="5">
                  <c:v>7.5469442305485144E-4</c:v>
                </c:pt>
                <c:pt idx="6">
                  <c:v>3.8798487354791371E-4</c:v>
                </c:pt>
                <c:pt idx="7">
                  <c:v>2.3077083643657824E-4</c:v>
                </c:pt>
                <c:pt idx="8">
                  <c:v>3.6803123832205306E-4</c:v>
                </c:pt>
                <c:pt idx="9">
                  <c:v>1.5279728424817481E-4</c:v>
                </c:pt>
                <c:pt idx="10">
                  <c:v>2.4978378200318655E-4</c:v>
                </c:pt>
                <c:pt idx="11">
                  <c:v>1.5856073644838705E-4</c:v>
                </c:pt>
                <c:pt idx="12">
                  <c:v>2.4755052556336415E-5</c:v>
                </c:pt>
                <c:pt idx="13">
                  <c:v>-3.5257847091617393E-4</c:v>
                </c:pt>
                <c:pt idx="14">
                  <c:v>4.4020607591803743E-4</c:v>
                </c:pt>
                <c:pt idx="15">
                  <c:v>6.7779266735097364E-5</c:v>
                </c:pt>
                <c:pt idx="16">
                  <c:v>4.0554955048706154E-4</c:v>
                </c:pt>
                <c:pt idx="17">
                  <c:v>8.4275684372555194E-4</c:v>
                </c:pt>
                <c:pt idx="18">
                  <c:v>-6.2188611926609547E-4</c:v>
                </c:pt>
                <c:pt idx="19">
                  <c:v>4.1305735606637044E-4</c:v>
                </c:pt>
                <c:pt idx="20">
                  <c:v>2.5336218315208527E-4</c:v>
                </c:pt>
                <c:pt idx="21">
                  <c:v>-9.0623243768334907E-5</c:v>
                </c:pt>
                <c:pt idx="22">
                  <c:v>4.892829127545312E-4</c:v>
                </c:pt>
                <c:pt idx="23">
                  <c:v>1.0297756572787089E-4</c:v>
                </c:pt>
                <c:pt idx="24">
                  <c:v>-3.5340584136053435E-4</c:v>
                </c:pt>
                <c:pt idx="25">
                  <c:v>-1.2819768716092241E-5</c:v>
                </c:pt>
                <c:pt idx="26">
                  <c:v>-2.7334249900591101E-4</c:v>
                </c:pt>
                <c:pt idx="27">
                  <c:v>5.3949899126404168E-4</c:v>
                </c:pt>
                <c:pt idx="28">
                  <c:v>-1.1300989625051947E-4</c:v>
                </c:pt>
                <c:pt idx="29">
                  <c:v>-9.4854437642210199E-4</c:v>
                </c:pt>
                <c:pt idx="30">
                  <c:v>1.5322987987447171E-4</c:v>
                </c:pt>
                <c:pt idx="31">
                  <c:v>-2.1145863208868522E-4</c:v>
                </c:pt>
                <c:pt idx="32">
                  <c:v>-5.7701401648432641E-5</c:v>
                </c:pt>
                <c:pt idx="33">
                  <c:v>1.9524273176823429E-4</c:v>
                </c:pt>
                <c:pt idx="34">
                  <c:v>-5.6976034450049712E-6</c:v>
                </c:pt>
                <c:pt idx="35">
                  <c:v>-5.2833666282826695E-5</c:v>
                </c:pt>
                <c:pt idx="36">
                  <c:v>-4.5847832879111159E-4</c:v>
                </c:pt>
                <c:pt idx="37">
                  <c:v>-6.0108262250869866E-5</c:v>
                </c:pt>
                <c:pt idx="38">
                  <c:v>-1.8483150636240821E-4</c:v>
                </c:pt>
                <c:pt idx="39">
                  <c:v>1.4805284360233436E-4</c:v>
                </c:pt>
                <c:pt idx="40">
                  <c:v>-1.4108598707059027E-4</c:v>
                </c:pt>
                <c:pt idx="41">
                  <c:v>-3.9905980821776198E-4</c:v>
                </c:pt>
                <c:pt idx="42">
                  <c:v>8.462163989145806E-5</c:v>
                </c:pt>
                <c:pt idx="43">
                  <c:v>-4.4705505299528234E-4</c:v>
                </c:pt>
                <c:pt idx="44">
                  <c:v>-1.7231312830002292E-4</c:v>
                </c:pt>
                <c:pt idx="45">
                  <c:v>5.5428554534065941E-4</c:v>
                </c:pt>
                <c:pt idx="46">
                  <c:v>2.9425621949789E-5</c:v>
                </c:pt>
                <c:pt idx="47">
                  <c:v>3.2303126790977199E-4</c:v>
                </c:pt>
                <c:pt idx="48">
                  <c:v>3.1907994522851303E-4</c:v>
                </c:pt>
                <c:pt idx="49">
                  <c:v>2.8708693246770614E-5</c:v>
                </c:pt>
                <c:pt idx="50">
                  <c:v>4.7263799485505621E-5</c:v>
                </c:pt>
                <c:pt idx="51">
                  <c:v>-7.0977227257568957E-4</c:v>
                </c:pt>
                <c:pt idx="52">
                  <c:v>-7.1031014849528738E-4</c:v>
                </c:pt>
                <c:pt idx="53">
                  <c:v>-4.0397481788453498E-4</c:v>
                </c:pt>
                <c:pt idx="54">
                  <c:v>-1.1790519670779583E-4</c:v>
                </c:pt>
                <c:pt idx="55">
                  <c:v>-5.1001391295179112E-4</c:v>
                </c:pt>
                <c:pt idx="56">
                  <c:v>-9.6051593734994037E-5</c:v>
                </c:pt>
                <c:pt idx="57">
                  <c:v>8.827335330681478E-4</c:v>
                </c:pt>
                <c:pt idx="58">
                  <c:v>0</c:v>
                </c:pt>
                <c:pt idx="59">
                  <c:v>-5.2715351349236087E-4</c:v>
                </c:pt>
                <c:pt idx="60">
                  <c:v>-6.876129338467536E-4</c:v>
                </c:pt>
                <c:pt idx="61">
                  <c:v>1.1545856091340256E-5</c:v>
                </c:pt>
                <c:pt idx="62">
                  <c:v>4.4691700514964901E-4</c:v>
                </c:pt>
                <c:pt idx="63">
                  <c:v>1.6397626527600632E-4</c:v>
                </c:pt>
                <c:pt idx="64">
                  <c:v>-8.047103994742945E-4</c:v>
                </c:pt>
                <c:pt idx="65">
                  <c:v>-6.1342763131555096E-5</c:v>
                </c:pt>
                <c:pt idx="66">
                  <c:v>4.7295317602232241E-5</c:v>
                </c:pt>
                <c:pt idx="67">
                  <c:v>-4.1091486107190671E-5</c:v>
                </c:pt>
                <c:pt idx="68">
                  <c:v>8.7471176484174229E-5</c:v>
                </c:pt>
                <c:pt idx="69">
                  <c:v>-2.3909340660997731E-4</c:v>
                </c:pt>
                <c:pt idx="70">
                  <c:v>-3.294422067597006E-5</c:v>
                </c:pt>
                <c:pt idx="71">
                  <c:v>-2.6118082120020897E-5</c:v>
                </c:pt>
                <c:pt idx="72">
                  <c:v>-8.936497491240545E-5</c:v>
                </c:pt>
                <c:pt idx="73">
                  <c:v>-2.1542509688173911E-4</c:v>
                </c:pt>
                <c:pt idx="74">
                  <c:v>-4.2235515077162692E-4</c:v>
                </c:pt>
                <c:pt idx="75">
                  <c:v>-3.2920438899035169E-4</c:v>
                </c:pt>
                <c:pt idx="76">
                  <c:v>-3.0659328040965743E-4</c:v>
                </c:pt>
                <c:pt idx="77">
                  <c:v>7.9079881954837274E-4</c:v>
                </c:pt>
                <c:pt idx="78">
                  <c:v>3.6811176882705195E-4</c:v>
                </c:pt>
                <c:pt idx="79">
                  <c:v>6.8877095906983322E-5</c:v>
                </c:pt>
                <c:pt idx="80">
                  <c:v>1.347554227667344E-4</c:v>
                </c:pt>
                <c:pt idx="81">
                  <c:v>-4.368919921289568E-4</c:v>
                </c:pt>
                <c:pt idx="82">
                  <c:v>1.7239177635508781E-4</c:v>
                </c:pt>
                <c:pt idx="83">
                  <c:v>-1.7043068601230545E-4</c:v>
                </c:pt>
                <c:pt idx="84">
                  <c:v>2.1806531075710755E-4</c:v>
                </c:pt>
                <c:pt idx="85">
                  <c:v>9.3762735266756837E-5</c:v>
                </c:pt>
                <c:pt idx="86">
                  <c:v>2.670783063449582E-5</c:v>
                </c:pt>
                <c:pt idx="87">
                  <c:v>1.7863372569155043E-4</c:v>
                </c:pt>
                <c:pt idx="88">
                  <c:v>4.9738631785389105E-4</c:v>
                </c:pt>
                <c:pt idx="89">
                  <c:v>1.074371691603707E-4</c:v>
                </c:pt>
                <c:pt idx="90">
                  <c:v>-1.0456761046479231E-4</c:v>
                </c:pt>
                <c:pt idx="91">
                  <c:v>1.014911227365459E-3</c:v>
                </c:pt>
                <c:pt idx="92">
                  <c:v>-5.3362567226482359E-4</c:v>
                </c:pt>
                <c:pt idx="93">
                  <c:v>-1.6633794520593125E-4</c:v>
                </c:pt>
                <c:pt idx="94">
                  <c:v>-3.7428107592991922E-4</c:v>
                </c:pt>
                <c:pt idx="95">
                  <c:v>4.4547059708367518E-6</c:v>
                </c:pt>
                <c:pt idx="96">
                  <c:v>3.5911773217118121E-4</c:v>
                </c:pt>
                <c:pt idx="97">
                  <c:v>-8.1044679824938124E-4</c:v>
                </c:pt>
                <c:pt idx="98">
                  <c:v>3.9178487766677041E-5</c:v>
                </c:pt>
                <c:pt idx="99">
                  <c:v>-1.5457807676161347E-4</c:v>
                </c:pt>
                <c:pt idx="100">
                  <c:v>-3.6359131342197411E-4</c:v>
                </c:pt>
                <c:pt idx="101">
                  <c:v>-1.1374678000501503E-6</c:v>
                </c:pt>
                <c:pt idx="102">
                  <c:v>1.6125830240339064E-4</c:v>
                </c:pt>
                <c:pt idx="103">
                  <c:v>-2.2445534432317751E-4</c:v>
                </c:pt>
                <c:pt idx="104">
                  <c:v>-2.2907174486640279E-4</c:v>
                </c:pt>
                <c:pt idx="105">
                  <c:v>-2.7366655109100019E-4</c:v>
                </c:pt>
                <c:pt idx="106">
                  <c:v>-2.8107609975203883E-4</c:v>
                </c:pt>
                <c:pt idx="107">
                  <c:v>-2.0163865692617697E-4</c:v>
                </c:pt>
                <c:pt idx="108">
                  <c:v>-3.5280320261109647E-4</c:v>
                </c:pt>
                <c:pt idx="109">
                  <c:v>4.6720137418645427E-4</c:v>
                </c:pt>
                <c:pt idx="110">
                  <c:v>-6.3659273774207561E-4</c:v>
                </c:pt>
                <c:pt idx="111">
                  <c:v>2.0157969100566465E-4</c:v>
                </c:pt>
                <c:pt idx="112">
                  <c:v>-1.5020102921230327E-4</c:v>
                </c:pt>
                <c:pt idx="113">
                  <c:v>-1.8835769867089195E-4</c:v>
                </c:pt>
                <c:pt idx="114">
                  <c:v>-2.2656330006564187E-4</c:v>
                </c:pt>
                <c:pt idx="115">
                  <c:v>-1.9098924256564289E-4</c:v>
                </c:pt>
                <c:pt idx="116">
                  <c:v>-2.5209489840524122E-4</c:v>
                </c:pt>
                <c:pt idx="117">
                  <c:v>-5.4087270251362916E-4</c:v>
                </c:pt>
                <c:pt idx="118">
                  <c:v>1.1015822110258418E-4</c:v>
                </c:pt>
                <c:pt idx="119">
                  <c:v>-6.3919965212871465E-4</c:v>
                </c:pt>
                <c:pt idx="120">
                  <c:v>3.2563426679136238E-4</c:v>
                </c:pt>
                <c:pt idx="121">
                  <c:v>-3.3322240029818597E-4</c:v>
                </c:pt>
                <c:pt idx="122">
                  <c:v>-2.0386338041616979E-4</c:v>
                </c:pt>
                <c:pt idx="123">
                  <c:v>-1.5290860639780661E-4</c:v>
                </c:pt>
                <c:pt idx="124">
                  <c:v>2.6580114060027581E-4</c:v>
                </c:pt>
                <c:pt idx="125">
                  <c:v>-3.6596560467772038E-4</c:v>
                </c:pt>
                <c:pt idx="126">
                  <c:v>3.6176083469147255E-4</c:v>
                </c:pt>
                <c:pt idx="127">
                  <c:v>2.6240363484007795E-5</c:v>
                </c:pt>
                <c:pt idx="128">
                  <c:v>-1.448436124096969E-4</c:v>
                </c:pt>
                <c:pt idx="129">
                  <c:v>-3.570488079906677E-4</c:v>
                </c:pt>
                <c:pt idx="130">
                  <c:v>4.1455389490163886E-4</c:v>
                </c:pt>
                <c:pt idx="131">
                  <c:v>1.3023495546368537E-4</c:v>
                </c:pt>
                <c:pt idx="132">
                  <c:v>-3.8945530329906873E-4</c:v>
                </c:pt>
                <c:pt idx="133">
                  <c:v>3.5117781130201335E-4</c:v>
                </c:pt>
                <c:pt idx="134">
                  <c:v>9.3199140883725579E-4</c:v>
                </c:pt>
                <c:pt idx="135">
                  <c:v>6.0229871501587531E-4</c:v>
                </c:pt>
                <c:pt idx="136">
                  <c:v>7.9555345088897444E-4</c:v>
                </c:pt>
                <c:pt idx="137">
                  <c:v>-3.1337262626650081E-4</c:v>
                </c:pt>
                <c:pt idx="138">
                  <c:v>2.937428026675545E-6</c:v>
                </c:pt>
                <c:pt idx="139">
                  <c:v>2.0484446101292299E-4</c:v>
                </c:pt>
                <c:pt idx="140">
                  <c:v>3.124066581275004E-4</c:v>
                </c:pt>
                <c:pt idx="141">
                  <c:v>-5.5856566239037363E-6</c:v>
                </c:pt>
                <c:pt idx="142">
                  <c:v>4.1637056571596664E-4</c:v>
                </c:pt>
                <c:pt idx="143">
                  <c:v>3.5005905696622547E-4</c:v>
                </c:pt>
                <c:pt idx="144">
                  <c:v>-4.7378479976312372E-4</c:v>
                </c:pt>
                <c:pt idx="145">
                  <c:v>-3.0170654158016104E-4</c:v>
                </c:pt>
                <c:pt idx="146">
                  <c:v>-5.8480822113109448E-4</c:v>
                </c:pt>
                <c:pt idx="147">
                  <c:v>-5.6744803644827042E-4</c:v>
                </c:pt>
                <c:pt idx="148">
                  <c:v>-4.7271679293465807E-4</c:v>
                </c:pt>
                <c:pt idx="149">
                  <c:v>9.69916840550407E-5</c:v>
                </c:pt>
                <c:pt idx="150">
                  <c:v>4.1075750126966823E-4</c:v>
                </c:pt>
                <c:pt idx="151">
                  <c:v>3.8470555926382253E-4</c:v>
                </c:pt>
                <c:pt idx="152">
                  <c:v>-3.9160898980213722E-4</c:v>
                </c:pt>
                <c:pt idx="153">
                  <c:v>-2.0285514485083415E-4</c:v>
                </c:pt>
                <c:pt idx="154">
                  <c:v>-7.3440354364236052E-4</c:v>
                </c:pt>
                <c:pt idx="155">
                  <c:v>-2.0622904344079926E-4</c:v>
                </c:pt>
                <c:pt idx="156">
                  <c:v>4.0800497160105114E-4</c:v>
                </c:pt>
                <c:pt idx="157">
                  <c:v>-2.9687784422638847E-4</c:v>
                </c:pt>
                <c:pt idx="158">
                  <c:v>-1.474845916632272E-4</c:v>
                </c:pt>
                <c:pt idx="159">
                  <c:v>-2.2323309852940299E-4</c:v>
                </c:pt>
                <c:pt idx="160">
                  <c:v>-5.7434190702566558E-5</c:v>
                </c:pt>
                <c:pt idx="161">
                  <c:v>-3.6123441569784324E-5</c:v>
                </c:pt>
                <c:pt idx="162">
                  <c:v>-3.8896076550378633E-4</c:v>
                </c:pt>
                <c:pt idx="163">
                  <c:v>-3.3779001957976698E-4</c:v>
                </c:pt>
                <c:pt idx="164">
                  <c:v>5.132585694410999E-4</c:v>
                </c:pt>
                <c:pt idx="165">
                  <c:v>5.6731492437166978E-4</c:v>
                </c:pt>
                <c:pt idx="166">
                  <c:v>-4.9621663595256823E-4</c:v>
                </c:pt>
                <c:pt idx="167">
                  <c:v>2.6629546588497849E-4</c:v>
                </c:pt>
                <c:pt idx="168">
                  <c:v>2.354391927682677E-4</c:v>
                </c:pt>
                <c:pt idx="169">
                  <c:v>1.0422438562896864E-4</c:v>
                </c:pt>
                <c:pt idx="170">
                  <c:v>3.2404414283069557E-6</c:v>
                </c:pt>
                <c:pt idx="171">
                  <c:v>1.4341972643306373E-4</c:v>
                </c:pt>
                <c:pt idx="172">
                  <c:v>-1.8649025577418131E-4</c:v>
                </c:pt>
                <c:pt idx="173">
                  <c:v>3.1195307205529474E-4</c:v>
                </c:pt>
                <c:pt idx="174">
                  <c:v>9.5487081864103457E-5</c:v>
                </c:pt>
                <c:pt idx="175">
                  <c:v>-5.0488834353347911E-4</c:v>
                </c:pt>
                <c:pt idx="176">
                  <c:v>-2.3780136583406752E-4</c:v>
                </c:pt>
                <c:pt idx="177">
                  <c:v>6.8084299927740068E-5</c:v>
                </c:pt>
                <c:pt idx="178">
                  <c:v>1.961996920374483E-4</c:v>
                </c:pt>
                <c:pt idx="179">
                  <c:v>6.5258491384173742E-6</c:v>
                </c:pt>
                <c:pt idx="180">
                  <c:v>3.6044542640502726E-4</c:v>
                </c:pt>
                <c:pt idx="181">
                  <c:v>-5.0106560163956182E-4</c:v>
                </c:pt>
                <c:pt idx="182">
                  <c:v>-1.0848459238213585E-5</c:v>
                </c:pt>
                <c:pt idx="183">
                  <c:v>-3.4883671811701718E-4</c:v>
                </c:pt>
                <c:pt idx="184">
                  <c:v>2.7523987053572558E-4</c:v>
                </c:pt>
                <c:pt idx="185">
                  <c:v>-3.3361734869907268E-4</c:v>
                </c:pt>
                <c:pt idx="186">
                  <c:v>2.3956148831854531E-5</c:v>
                </c:pt>
                <c:pt idx="187">
                  <c:v>-3.820918222790866E-4</c:v>
                </c:pt>
                <c:pt idx="188">
                  <c:v>-4.8492084448802266E-4</c:v>
                </c:pt>
                <c:pt idx="189">
                  <c:v>-2.931620175565765E-4</c:v>
                </c:pt>
                <c:pt idx="190">
                  <c:v>-2.3098246638114141E-4</c:v>
                </c:pt>
                <c:pt idx="191">
                  <c:v>-8.2976469431798156E-4</c:v>
                </c:pt>
                <c:pt idx="192">
                  <c:v>7.7907082146574231E-4</c:v>
                </c:pt>
                <c:pt idx="193">
                  <c:v>3.2655176637819513E-4</c:v>
                </c:pt>
                <c:pt idx="194">
                  <c:v>-3.2372541451330467E-4</c:v>
                </c:pt>
                <c:pt idx="195">
                  <c:v>-2.9325816460104543E-4</c:v>
                </c:pt>
                <c:pt idx="196">
                  <c:v>-1.8007206659947632E-4</c:v>
                </c:pt>
                <c:pt idx="197">
                  <c:v>2.6647912942717088E-4</c:v>
                </c:pt>
                <c:pt idx="198">
                  <c:v>-2.631479730015523E-4</c:v>
                </c:pt>
                <c:pt idx="199">
                  <c:v>-2.5481554909402809E-4</c:v>
                </c:pt>
                <c:pt idx="200">
                  <c:v>7.8381543398553532E-4</c:v>
                </c:pt>
                <c:pt idx="201">
                  <c:v>3.8837847687723067E-4</c:v>
                </c:pt>
                <c:pt idx="202">
                  <c:v>-6.4257485130907101E-4</c:v>
                </c:pt>
                <c:pt idx="203">
                  <c:v>-3.5911540254237944E-4</c:v>
                </c:pt>
                <c:pt idx="204">
                  <c:v>-1.1066203453397077E-4</c:v>
                </c:pt>
                <c:pt idx="205">
                  <c:v>2.4968691019729898E-4</c:v>
                </c:pt>
                <c:pt idx="206">
                  <c:v>3.04144649683607E-4</c:v>
                </c:pt>
                <c:pt idx="207">
                  <c:v>-6.1791189306447436E-5</c:v>
                </c:pt>
                <c:pt idx="208">
                  <c:v>7.7073290640938721E-4</c:v>
                </c:pt>
                <c:pt idx="209">
                  <c:v>-6.2046517048404415E-4</c:v>
                </c:pt>
                <c:pt idx="210">
                  <c:v>4.7967788571776917E-4</c:v>
                </c:pt>
                <c:pt idx="211">
                  <c:v>-1.0932386009021554E-4</c:v>
                </c:pt>
                <c:pt idx="212">
                  <c:v>3.5629267896174872E-4</c:v>
                </c:pt>
                <c:pt idx="213">
                  <c:v>2.1311315246310279E-4</c:v>
                </c:pt>
                <c:pt idx="214">
                  <c:v>-4.9152309328698589E-4</c:v>
                </c:pt>
                <c:pt idx="215">
                  <c:v>-5.8861973748451949E-4</c:v>
                </c:pt>
                <c:pt idx="216">
                  <c:v>-3.8226560069602538E-4</c:v>
                </c:pt>
                <c:pt idx="217">
                  <c:v>-1.4024721625989067E-4</c:v>
                </c:pt>
                <c:pt idx="218">
                  <c:v>-8.7611438846430453E-5</c:v>
                </c:pt>
                <c:pt idx="219">
                  <c:v>3.8243646639243346E-4</c:v>
                </c:pt>
                <c:pt idx="220">
                  <c:v>7.4529585384492834E-4</c:v>
                </c:pt>
                <c:pt idx="221">
                  <c:v>4.4752816357461063E-5</c:v>
                </c:pt>
                <c:pt idx="222">
                  <c:v>4.9611638060945818E-5</c:v>
                </c:pt>
                <c:pt idx="223">
                  <c:v>1.6070602787508087E-5</c:v>
                </c:pt>
                <c:pt idx="224">
                  <c:v>5.1753559202498466E-4</c:v>
                </c:pt>
                <c:pt idx="225">
                  <c:v>3.410102634400006E-4</c:v>
                </c:pt>
                <c:pt idx="226">
                  <c:v>-2.2583305788714128E-4</c:v>
                </c:pt>
                <c:pt idx="227">
                  <c:v>-6.9927765550607238E-4</c:v>
                </c:pt>
                <c:pt idx="228">
                  <c:v>1.6835598742060611E-4</c:v>
                </c:pt>
                <c:pt idx="229">
                  <c:v>1.176035178749149E-4</c:v>
                </c:pt>
                <c:pt idx="230">
                  <c:v>-9.4591583586596423E-5</c:v>
                </c:pt>
                <c:pt idx="231">
                  <c:v>1.169183243597298E-4</c:v>
                </c:pt>
                <c:pt idx="232">
                  <c:v>3.1364350119821282E-4</c:v>
                </c:pt>
                <c:pt idx="233">
                  <c:v>-5.6265359010385721E-5</c:v>
                </c:pt>
                <c:pt idx="234">
                  <c:v>-8.6186653384109707E-5</c:v>
                </c:pt>
                <c:pt idx="235">
                  <c:v>-4.3820973890233472E-4</c:v>
                </c:pt>
                <c:pt idx="236">
                  <c:v>-1.2854427215625087E-4</c:v>
                </c:pt>
                <c:pt idx="237">
                  <c:v>3.3899130092734437E-4</c:v>
                </c:pt>
                <c:pt idx="238">
                  <c:v>5.2546957637102337E-4</c:v>
                </c:pt>
                <c:pt idx="239">
                  <c:v>6.1110350197471312E-5</c:v>
                </c:pt>
                <c:pt idx="240">
                  <c:v>2.4919709288214473E-4</c:v>
                </c:pt>
                <c:pt idx="241">
                  <c:v>3.2306564268074021E-4</c:v>
                </c:pt>
                <c:pt idx="242">
                  <c:v>-1.850641110386402E-4</c:v>
                </c:pt>
                <c:pt idx="243">
                  <c:v>-3.3826636715185405E-4</c:v>
                </c:pt>
                <c:pt idx="244">
                  <c:v>4.860149505232551E-4</c:v>
                </c:pt>
                <c:pt idx="245">
                  <c:v>-1.3654457680599714E-4</c:v>
                </c:pt>
                <c:pt idx="246">
                  <c:v>-3.3583717556397757E-5</c:v>
                </c:pt>
                <c:pt idx="247">
                  <c:v>-1.1547371017789465E-4</c:v>
                </c:pt>
                <c:pt idx="248">
                  <c:v>6.8023043377895022E-5</c:v>
                </c:pt>
                <c:pt idx="249">
                  <c:v>1.2105626699916006E-4</c:v>
                </c:pt>
                <c:pt idx="250">
                  <c:v>2.144919002159778E-4</c:v>
                </c:pt>
                <c:pt idx="251">
                  <c:v>3.4244311023363829E-5</c:v>
                </c:pt>
                <c:pt idx="252">
                  <c:v>-6.7102117710113145E-4</c:v>
                </c:pt>
                <c:pt idx="253">
                  <c:v>-6.7234259201955527E-5</c:v>
                </c:pt>
                <c:pt idx="254">
                  <c:v>-2.3276325049431659E-4</c:v>
                </c:pt>
                <c:pt idx="255">
                  <c:v>-2.075729614959369E-4</c:v>
                </c:pt>
                <c:pt idx="256">
                  <c:v>-1.7980040601394377E-4</c:v>
                </c:pt>
                <c:pt idx="257">
                  <c:v>1.6235214818325074E-4</c:v>
                </c:pt>
                <c:pt idx="258">
                  <c:v>4.9987562724220511E-4</c:v>
                </c:pt>
                <c:pt idx="259">
                  <c:v>3.6754412181328735E-5</c:v>
                </c:pt>
                <c:pt idx="260">
                  <c:v>-5.0399870028480461E-4</c:v>
                </c:pt>
                <c:pt idx="261">
                  <c:v>-3.0937627965144473E-4</c:v>
                </c:pt>
                <c:pt idx="262">
                  <c:v>1.656433974101365E-4</c:v>
                </c:pt>
                <c:pt idx="263">
                  <c:v>-2.3715490919807783E-4</c:v>
                </c:pt>
                <c:pt idx="264">
                  <c:v>-4.4880832157569254E-4</c:v>
                </c:pt>
                <c:pt idx="265">
                  <c:v>2.7944791971786306E-4</c:v>
                </c:pt>
                <c:pt idx="266">
                  <c:v>9.5193195605995944E-4</c:v>
                </c:pt>
                <c:pt idx="267">
                  <c:v>-2.616072725311737E-4</c:v>
                </c:pt>
                <c:pt idx="268">
                  <c:v>-4.5357788406518666E-5</c:v>
                </c:pt>
                <c:pt idx="269">
                  <c:v>-2.651587472148177E-5</c:v>
                </c:pt>
                <c:pt idx="270">
                  <c:v>2.6260587248346602E-4</c:v>
                </c:pt>
                <c:pt idx="271">
                  <c:v>-7.6357380232144789E-5</c:v>
                </c:pt>
                <c:pt idx="272">
                  <c:v>-4.0333194007058029E-4</c:v>
                </c:pt>
                <c:pt idx="273">
                  <c:v>1.2169398220664337E-4</c:v>
                </c:pt>
                <c:pt idx="274">
                  <c:v>6.8623184226330192E-5</c:v>
                </c:pt>
                <c:pt idx="275">
                  <c:v>-1.4090361001549445E-4</c:v>
                </c:pt>
                <c:pt idx="276">
                  <c:v>3.0289314001875558E-4</c:v>
                </c:pt>
                <c:pt idx="277">
                  <c:v>8.753911575035073E-4</c:v>
                </c:pt>
                <c:pt idx="278">
                  <c:v>-5.1290120261220172E-4</c:v>
                </c:pt>
                <c:pt idx="279">
                  <c:v>-1.2961233682453306E-4</c:v>
                </c:pt>
                <c:pt idx="280">
                  <c:v>-8.4972295734555723E-4</c:v>
                </c:pt>
                <c:pt idx="281">
                  <c:v>2.8223755120335403E-4</c:v>
                </c:pt>
                <c:pt idx="282">
                  <c:v>-1.1471962101809129E-4</c:v>
                </c:pt>
                <c:pt idx="283">
                  <c:v>-1.6396897584580196E-4</c:v>
                </c:pt>
                <c:pt idx="284">
                  <c:v>-3.456011540585158E-4</c:v>
                </c:pt>
                <c:pt idx="285">
                  <c:v>3.9570239046287075E-4</c:v>
                </c:pt>
                <c:pt idx="286">
                  <c:v>-3.3530731178088988E-5</c:v>
                </c:pt>
                <c:pt idx="287">
                  <c:v>-2.146320932444709E-4</c:v>
                </c:pt>
                <c:pt idx="288">
                  <c:v>-4.470166252729209E-4</c:v>
                </c:pt>
                <c:pt idx="289">
                  <c:v>-2.6608287720277098E-4</c:v>
                </c:pt>
                <c:pt idx="290">
                  <c:v>-4.0957426054119431E-4</c:v>
                </c:pt>
                <c:pt idx="291">
                  <c:v>4.283138073428332E-4</c:v>
                </c:pt>
                <c:pt idx="292">
                  <c:v>4.6098954106268134E-4</c:v>
                </c:pt>
                <c:pt idx="293">
                  <c:v>2.0162683509039201E-5</c:v>
                </c:pt>
                <c:pt idx="294">
                  <c:v>4.5737406328441349E-4</c:v>
                </c:pt>
                <c:pt idx="295">
                  <c:v>-4.5197088985824763E-4</c:v>
                </c:pt>
                <c:pt idx="296">
                  <c:v>-3.3825754836387906E-4</c:v>
                </c:pt>
                <c:pt idx="297">
                  <c:v>-1.1919857339279362E-4</c:v>
                </c:pt>
                <c:pt idx="298">
                  <c:v>2.1255776927354136E-5</c:v>
                </c:pt>
                <c:pt idx="299">
                  <c:v>4.504121465577415E-4</c:v>
                </c:pt>
                <c:pt idx="300">
                  <c:v>2.8107650099567491E-4</c:v>
                </c:pt>
                <c:pt idx="301">
                  <c:v>3.2096635829948091E-4</c:v>
                </c:pt>
                <c:pt idx="302">
                  <c:v>1.2013705973021847E-4</c:v>
                </c:pt>
                <c:pt idx="303">
                  <c:v>3.7174561532672548E-4</c:v>
                </c:pt>
                <c:pt idx="304">
                  <c:v>2.9707366278177431E-4</c:v>
                </c:pt>
                <c:pt idx="305">
                  <c:v>-6.1380461343220935E-5</c:v>
                </c:pt>
                <c:pt idx="306">
                  <c:v>-4.0606829135164256E-4</c:v>
                </c:pt>
                <c:pt idx="307">
                  <c:v>4.9870899409724327E-4</c:v>
                </c:pt>
                <c:pt idx="308">
                  <c:v>-3.112208233561389E-5</c:v>
                </c:pt>
                <c:pt idx="309">
                  <c:v>-1.7890612586350396E-5</c:v>
                </c:pt>
                <c:pt idx="310">
                  <c:v>6.6799658786578805E-5</c:v>
                </c:pt>
                <c:pt idx="311">
                  <c:v>-4.3483068975217604E-4</c:v>
                </c:pt>
                <c:pt idx="312">
                  <c:v>6.7499348220312371E-4</c:v>
                </c:pt>
                <c:pt idx="313">
                  <c:v>-5.0996125176175453E-4</c:v>
                </c:pt>
                <c:pt idx="314">
                  <c:v>1.2145533049584165E-3</c:v>
                </c:pt>
                <c:pt idx="315">
                  <c:v>-1.5304474971080257E-4</c:v>
                </c:pt>
                <c:pt idx="316">
                  <c:v>0</c:v>
                </c:pt>
                <c:pt idx="317">
                  <c:v>6.5384443022341841E-4</c:v>
                </c:pt>
                <c:pt idx="318">
                  <c:v>4.1300282441905634E-4</c:v>
                </c:pt>
                <c:pt idx="319">
                  <c:v>1.5969236210971785E-4</c:v>
                </c:pt>
                <c:pt idx="320">
                  <c:v>-3.8484698720797881E-5</c:v>
                </c:pt>
                <c:pt idx="321">
                  <c:v>-1.12447312727526E-3</c:v>
                </c:pt>
                <c:pt idx="322">
                  <c:v>8.5869117222224154E-4</c:v>
                </c:pt>
                <c:pt idx="323">
                  <c:v>-1.4700759355665388E-4</c:v>
                </c:pt>
                <c:pt idx="324">
                  <c:v>-4.3382312296784745E-4</c:v>
                </c:pt>
                <c:pt idx="325">
                  <c:v>3.96622751108621E-4</c:v>
                </c:pt>
                <c:pt idx="326">
                  <c:v>-2.9518165364235562E-4</c:v>
                </c:pt>
                <c:pt idx="327">
                  <c:v>-2.3921722279050426E-4</c:v>
                </c:pt>
                <c:pt idx="328">
                  <c:v>-6.3608221881239783E-4</c:v>
                </c:pt>
                <c:pt idx="329">
                  <c:v>-4.1112792914613629E-5</c:v>
                </c:pt>
                <c:pt idx="330">
                  <c:v>-1.5145399885687925E-4</c:v>
                </c:pt>
                <c:pt idx="331">
                  <c:v>-3.5426823832099128E-4</c:v>
                </c:pt>
                <c:pt idx="332">
                  <c:v>-7.4894643691952138E-6</c:v>
                </c:pt>
                <c:pt idx="333">
                  <c:v>1.5274231977280782E-4</c:v>
                </c:pt>
                <c:pt idx="334">
                  <c:v>4.536874414013974E-4</c:v>
                </c:pt>
                <c:pt idx="335">
                  <c:v>-6.7705978753290156E-5</c:v>
                </c:pt>
                <c:pt idx="336">
                  <c:v>4.249234623475808E-4</c:v>
                </c:pt>
                <c:pt idx="337">
                  <c:v>-3.1841499307321843E-4</c:v>
                </c:pt>
                <c:pt idx="338">
                  <c:v>-8.3650831410982823E-4</c:v>
                </c:pt>
                <c:pt idx="339">
                  <c:v>6.4352184434135148E-4</c:v>
                </c:pt>
                <c:pt idx="340">
                  <c:v>5.3609439313103801E-4</c:v>
                </c:pt>
                <c:pt idx="341">
                  <c:v>4.5114511794198411E-4</c:v>
                </c:pt>
                <c:pt idx="342">
                  <c:v>1.9986123643258463E-4</c:v>
                </c:pt>
                <c:pt idx="343">
                  <c:v>1.5746620836331503E-4</c:v>
                </c:pt>
                <c:pt idx="344">
                  <c:v>4.1290824528926229E-4</c:v>
                </c:pt>
                <c:pt idx="345">
                  <c:v>-5.627726930427697E-6</c:v>
                </c:pt>
                <c:pt idx="346">
                  <c:v>1.3598609936074554E-4</c:v>
                </c:pt>
                <c:pt idx="347">
                  <c:v>1.5902973733480417E-4</c:v>
                </c:pt>
                <c:pt idx="348">
                  <c:v>5.3931607756111397E-4</c:v>
                </c:pt>
                <c:pt idx="349">
                  <c:v>-2.0529034554613262E-4</c:v>
                </c:pt>
                <c:pt idx="350">
                  <c:v>-3.7236833078156739E-5</c:v>
                </c:pt>
                <c:pt idx="351">
                  <c:v>7.3653948318604356E-5</c:v>
                </c:pt>
                <c:pt idx="352">
                  <c:v>2.3642024348432617E-4</c:v>
                </c:pt>
                <c:pt idx="353">
                  <c:v>-2.939699925389346E-4</c:v>
                </c:pt>
                <c:pt idx="354">
                  <c:v>-2.7530995680096566E-4</c:v>
                </c:pt>
                <c:pt idx="355">
                  <c:v>-1.4395684917763881E-4</c:v>
                </c:pt>
                <c:pt idx="356">
                  <c:v>1.4628979664163501E-4</c:v>
                </c:pt>
                <c:pt idx="357">
                  <c:v>5.293441328718594E-5</c:v>
                </c:pt>
                <c:pt idx="358">
                  <c:v>2.1073516857543967E-4</c:v>
                </c:pt>
                <c:pt idx="359">
                  <c:v>-1.4963101159636347E-5</c:v>
                </c:pt>
                <c:pt idx="360">
                  <c:v>-2.1414312851939589E-4</c:v>
                </c:pt>
                <c:pt idx="361">
                  <c:v>3.6657755508555151E-4</c:v>
                </c:pt>
                <c:pt idx="362">
                  <c:v>-5.3871408559576391E-4</c:v>
                </c:pt>
                <c:pt idx="363">
                  <c:v>3.1828700974977504E-4</c:v>
                </c:pt>
                <c:pt idx="364">
                  <c:v>-6.6800772175304435E-5</c:v>
                </c:pt>
                <c:pt idx="365">
                  <c:v>-1.6815435047882289E-4</c:v>
                </c:pt>
                <c:pt idx="366">
                  <c:v>8.6424656059371418E-5</c:v>
                </c:pt>
                <c:pt idx="367">
                  <c:v>6.4994164247364483E-4</c:v>
                </c:pt>
                <c:pt idx="368">
                  <c:v>-1.2709974167179157E-4</c:v>
                </c:pt>
                <c:pt idx="369">
                  <c:v>-1.743688497131492E-4</c:v>
                </c:pt>
                <c:pt idx="370">
                  <c:v>-3.1149452462174887E-4</c:v>
                </c:pt>
                <c:pt idx="371">
                  <c:v>2.9705084548310072E-6</c:v>
                </c:pt>
                <c:pt idx="372">
                  <c:v>1.371773475792543E-4</c:v>
                </c:pt>
                <c:pt idx="373">
                  <c:v>1.6401221013980882E-4</c:v>
                </c:pt>
                <c:pt idx="374">
                  <c:v>5.4611090460702084E-4</c:v>
                </c:pt>
                <c:pt idx="375">
                  <c:v>4.4279104200333581E-4</c:v>
                </c:pt>
                <c:pt idx="376">
                  <c:v>6.6711897854275124E-4</c:v>
                </c:pt>
                <c:pt idx="377">
                  <c:v>2.1819883339001177E-4</c:v>
                </c:pt>
                <c:pt idx="378">
                  <c:v>-4.3782140282021149E-5</c:v>
                </c:pt>
                <c:pt idx="379">
                  <c:v>1.2762780744531555E-4</c:v>
                </c:pt>
                <c:pt idx="380">
                  <c:v>-4.6223542198384811E-4</c:v>
                </c:pt>
                <c:pt idx="381">
                  <c:v>-2.404848220456676E-5</c:v>
                </c:pt>
                <c:pt idx="382">
                  <c:v>-2.4642008284043873E-4</c:v>
                </c:pt>
                <c:pt idx="383">
                  <c:v>-8.9955369883024279E-4</c:v>
                </c:pt>
                <c:pt idx="384">
                  <c:v>2.4724704247164401E-4</c:v>
                </c:pt>
                <c:pt idx="385">
                  <c:v>1.4210260459982367E-4</c:v>
                </c:pt>
                <c:pt idx="386">
                  <c:v>-2.1502189348248844E-4</c:v>
                </c:pt>
                <c:pt idx="387">
                  <c:v>2.7689237303243929E-4</c:v>
                </c:pt>
                <c:pt idx="388">
                  <c:v>-6.4969540243369492E-4</c:v>
                </c:pt>
                <c:pt idx="389">
                  <c:v>2.8536375706610838E-4</c:v>
                </c:pt>
                <c:pt idx="390">
                  <c:v>-3.3662812659689291E-4</c:v>
                </c:pt>
                <c:pt idx="391">
                  <c:v>5.8504071525449061E-4</c:v>
                </c:pt>
                <c:pt idx="392">
                  <c:v>4.0570471669996815E-4</c:v>
                </c:pt>
                <c:pt idx="393">
                  <c:v>-1.0724595693077623E-4</c:v>
                </c:pt>
                <c:pt idx="394">
                  <c:v>1.8333513227272613E-4</c:v>
                </c:pt>
                <c:pt idx="395">
                  <c:v>-3.3910432951218936E-4</c:v>
                </c:pt>
                <c:pt idx="396">
                  <c:v>-1.9040207629887162E-4</c:v>
                </c:pt>
                <c:pt idx="397">
                  <c:v>1.2327202078820187E-4</c:v>
                </c:pt>
                <c:pt idx="398">
                  <c:v>2.9879654438888417E-4</c:v>
                </c:pt>
                <c:pt idx="399">
                  <c:v>-2.0453863138200385E-4</c:v>
                </c:pt>
                <c:pt idx="400">
                  <c:v>3.7787997770255148E-4</c:v>
                </c:pt>
                <c:pt idx="401">
                  <c:v>-4.3083372488475788E-5</c:v>
                </c:pt>
                <c:pt idx="402">
                  <c:v>5.9455487933575901E-4</c:v>
                </c:pt>
                <c:pt idx="403">
                  <c:v>2.1265303991268087E-4</c:v>
                </c:pt>
                <c:pt idx="404">
                  <c:v>-6.4247911779415784E-4</c:v>
                </c:pt>
                <c:pt idx="405">
                  <c:v>-1.6676086394148295E-6</c:v>
                </c:pt>
                <c:pt idx="406">
                  <c:v>-3.8872268872208159E-5</c:v>
                </c:pt>
                <c:pt idx="407">
                  <c:v>9.7225797658221042E-5</c:v>
                </c:pt>
                <c:pt idx="408">
                  <c:v>1.4193914419095849E-4</c:v>
                </c:pt>
                <c:pt idx="409">
                  <c:v>8.1726613045873017E-4</c:v>
                </c:pt>
                <c:pt idx="410">
                  <c:v>-3.1770416119654529E-4</c:v>
                </c:pt>
                <c:pt idx="411">
                  <c:v>-5.1674062314569251E-4</c:v>
                </c:pt>
                <c:pt idx="412">
                  <c:v>2.2205169265738519E-5</c:v>
                </c:pt>
                <c:pt idx="413">
                  <c:v>3.3855378200800583E-4</c:v>
                </c:pt>
                <c:pt idx="414">
                  <c:v>3.4299091170141054E-4</c:v>
                </c:pt>
                <c:pt idx="415">
                  <c:v>-5.4451913464580528E-4</c:v>
                </c:pt>
                <c:pt idx="416">
                  <c:v>5.618719464205384E-5</c:v>
                </c:pt>
                <c:pt idx="417">
                  <c:v>5.799418270430631E-4</c:v>
                </c:pt>
                <c:pt idx="418">
                  <c:v>-2.5152594857705382E-4</c:v>
                </c:pt>
                <c:pt idx="419">
                  <c:v>3.173970387740819E-4</c:v>
                </c:pt>
                <c:pt idx="420">
                  <c:v>-3.7329751825210067E-5</c:v>
                </c:pt>
                <c:pt idx="421">
                  <c:v>5.4587504099246173E-4</c:v>
                </c:pt>
                <c:pt idx="422">
                  <c:v>1.0772135362742867E-4</c:v>
                </c:pt>
                <c:pt idx="423">
                  <c:v>-2.0459063434799218E-4</c:v>
                </c:pt>
                <c:pt idx="424">
                  <c:v>-2.8397007387099551E-4</c:v>
                </c:pt>
                <c:pt idx="425">
                  <c:v>5.7750343682783993E-6</c:v>
                </c:pt>
                <c:pt idx="426">
                  <c:v>4.5220061765347035E-4</c:v>
                </c:pt>
                <c:pt idx="427">
                  <c:v>-4.6260653945134661E-4</c:v>
                </c:pt>
                <c:pt idx="428">
                  <c:v>2.2656736755527753E-4</c:v>
                </c:pt>
                <c:pt idx="429">
                  <c:v>-1.4885744105229865E-4</c:v>
                </c:pt>
                <c:pt idx="430">
                  <c:v>1.6597400215129099E-4</c:v>
                </c:pt>
                <c:pt idx="431">
                  <c:v>-2.7354276662419489E-4</c:v>
                </c:pt>
                <c:pt idx="432">
                  <c:v>-2.0859219874962002E-4</c:v>
                </c:pt>
                <c:pt idx="433">
                  <c:v>1.7818796477511473E-4</c:v>
                </c:pt>
                <c:pt idx="434">
                  <c:v>1.9114428294265384E-4</c:v>
                </c:pt>
                <c:pt idx="435">
                  <c:v>-7.7100320398220938E-5</c:v>
                </c:pt>
                <c:pt idx="436">
                  <c:v>2.2084992223214426E-4</c:v>
                </c:pt>
                <c:pt idx="437">
                  <c:v>3.2336042409475413E-4</c:v>
                </c:pt>
                <c:pt idx="438">
                  <c:v>6.6506425303508121E-4</c:v>
                </c:pt>
                <c:pt idx="439">
                  <c:v>5.8817160193909109E-4</c:v>
                </c:pt>
                <c:pt idx="440">
                  <c:v>4.2384917103218051E-4</c:v>
                </c:pt>
                <c:pt idx="441">
                  <c:v>-1.6666375649216779E-4</c:v>
                </c:pt>
                <c:pt idx="442">
                  <c:v>2.5751499825716061E-4</c:v>
                </c:pt>
                <c:pt idx="443">
                  <c:v>-1.1809176670708814E-4</c:v>
                </c:pt>
                <c:pt idx="444">
                  <c:v>2.0119158290113953E-4</c:v>
                </c:pt>
                <c:pt idx="445">
                  <c:v>-7.107363355825637E-5</c:v>
                </c:pt>
                <c:pt idx="446">
                  <c:v>3.3162731541838664E-4</c:v>
                </c:pt>
                <c:pt idx="447">
                  <c:v>7.8347341162966733E-5</c:v>
                </c:pt>
                <c:pt idx="448">
                  <c:v>-4.7163669677206045E-5</c:v>
                </c:pt>
                <c:pt idx="449">
                  <c:v>-4.7444531706894894E-4</c:v>
                </c:pt>
                <c:pt idx="450">
                  <c:v>7.5573539049094817E-4</c:v>
                </c:pt>
                <c:pt idx="451">
                  <c:v>4.4740981056465236E-6</c:v>
                </c:pt>
                <c:pt idx="452">
                  <c:v>-2.5745112965379498E-4</c:v>
                </c:pt>
                <c:pt idx="453">
                  <c:v>4.0660920608527335E-4</c:v>
                </c:pt>
                <c:pt idx="454">
                  <c:v>-8.3415816562464821E-4</c:v>
                </c:pt>
                <c:pt idx="455">
                  <c:v>-3.3608620676268996E-4</c:v>
                </c:pt>
                <c:pt idx="456">
                  <c:v>-1.9434157468314171E-4</c:v>
                </c:pt>
                <c:pt idx="457">
                  <c:v>-1.4141356927782934E-4</c:v>
                </c:pt>
                <c:pt idx="458">
                  <c:v>2.5005573996146933E-4</c:v>
                </c:pt>
                <c:pt idx="459">
                  <c:v>5.8340237671404273E-5</c:v>
                </c:pt>
                <c:pt idx="460">
                  <c:v>2.353378730155194E-4</c:v>
                </c:pt>
                <c:pt idx="461">
                  <c:v>-3.2231974853934227E-4</c:v>
                </c:pt>
                <c:pt idx="462">
                  <c:v>6.1068092660292449E-5</c:v>
                </c:pt>
                <c:pt idx="463">
                  <c:v>1.4055401026426802E-4</c:v>
                </c:pt>
                <c:pt idx="464">
                  <c:v>-1.2090905063021485E-4</c:v>
                </c:pt>
                <c:pt idx="465">
                  <c:v>1.937439168766111E-5</c:v>
                </c:pt>
                <c:pt idx="466">
                  <c:v>-1.9788856356700403E-4</c:v>
                </c:pt>
                <c:pt idx="467">
                  <c:v>9.4643075569440213E-5</c:v>
                </c:pt>
                <c:pt idx="468">
                  <c:v>1.6248467643784705E-4</c:v>
                </c:pt>
                <c:pt idx="469">
                  <c:v>-2.3689500720591963E-4</c:v>
                </c:pt>
                <c:pt idx="470">
                  <c:v>-2.8606415065518898E-5</c:v>
                </c:pt>
                <c:pt idx="471">
                  <c:v>1.9721434362139287E-5</c:v>
                </c:pt>
                <c:pt idx="472">
                  <c:v>5.9280568187017953E-4</c:v>
                </c:pt>
                <c:pt idx="473">
                  <c:v>7.8372903965405417E-4</c:v>
                </c:pt>
                <c:pt idx="474">
                  <c:v>-3.6411129435647889E-4</c:v>
                </c:pt>
                <c:pt idx="475">
                  <c:v>5.6930485843236292E-4</c:v>
                </c:pt>
                <c:pt idx="476">
                  <c:v>-7.0069533726965652E-4</c:v>
                </c:pt>
                <c:pt idx="477">
                  <c:v>3.1818761353799297E-4</c:v>
                </c:pt>
                <c:pt idx="478">
                  <c:v>-5.8525907458311592E-4</c:v>
                </c:pt>
                <c:pt idx="479">
                  <c:v>-2.3623197701475387E-4</c:v>
                </c:pt>
                <c:pt idx="480">
                  <c:v>2.3160265164321808E-6</c:v>
                </c:pt>
                <c:pt idx="481">
                  <c:v>-3.1949170314861359E-4</c:v>
                </c:pt>
                <c:pt idx="482">
                  <c:v>-4.0954332056044717E-4</c:v>
                </c:pt>
                <c:pt idx="483">
                  <c:v>2.8528339104198839E-4</c:v>
                </c:pt>
                <c:pt idx="484">
                  <c:v>4.8367952684572838E-4</c:v>
                </c:pt>
                <c:pt idx="485">
                  <c:v>5.4575165640391565E-5</c:v>
                </c:pt>
                <c:pt idx="486">
                  <c:v>-1.3093046342032254E-4</c:v>
                </c:pt>
                <c:pt idx="487">
                  <c:v>7.5505942270662514E-5</c:v>
                </c:pt>
                <c:pt idx="488">
                  <c:v>5.9199990902251975E-4</c:v>
                </c:pt>
                <c:pt idx="489">
                  <c:v>6.6618519474958565E-5</c:v>
                </c:pt>
                <c:pt idx="490">
                  <c:v>3.1608994287637493E-4</c:v>
                </c:pt>
                <c:pt idx="491">
                  <c:v>-3.0038224192927286E-4</c:v>
                </c:pt>
                <c:pt idx="492">
                  <c:v>-1.937120882579466E-4</c:v>
                </c:pt>
                <c:pt idx="493">
                  <c:v>-5.6176088880725857E-5</c:v>
                </c:pt>
                <c:pt idx="494">
                  <c:v>4.5700391669495751E-4</c:v>
                </c:pt>
                <c:pt idx="495">
                  <c:v>-5.390498967035429E-4</c:v>
                </c:pt>
                <c:pt idx="496">
                  <c:v>4.2742416050381551E-4</c:v>
                </c:pt>
                <c:pt idx="497">
                  <c:v>-3.5756437225177134E-4</c:v>
                </c:pt>
                <c:pt idx="498">
                  <c:v>-1.8194953512315899E-4</c:v>
                </c:pt>
                <c:pt idx="499">
                  <c:v>-2.7667064137626055E-4</c:v>
                </c:pt>
                <c:pt idx="500">
                  <c:v>-7.9889293135777144E-6</c:v>
                </c:pt>
                <c:pt idx="501">
                  <c:v>-9.0148399551923615E-5</c:v>
                </c:pt>
                <c:pt idx="502">
                  <c:v>7.8023594238234263E-4</c:v>
                </c:pt>
                <c:pt idx="503">
                  <c:v>1.2717614005439845E-4</c:v>
                </c:pt>
                <c:pt idx="504">
                  <c:v>2.0594360536164391E-4</c:v>
                </c:pt>
                <c:pt idx="505">
                  <c:v>-2.337190029742769E-5</c:v>
                </c:pt>
                <c:pt idx="506">
                  <c:v>7.9741989583123661E-4</c:v>
                </c:pt>
                <c:pt idx="507">
                  <c:v>3.7473971024897147E-4</c:v>
                </c:pt>
                <c:pt idx="508">
                  <c:v>-8.0041929223415118E-4</c:v>
                </c:pt>
                <c:pt idx="509">
                  <c:v>-3.3011698788792509E-4</c:v>
                </c:pt>
                <c:pt idx="510">
                  <c:v>-4.096193874786734E-4</c:v>
                </c:pt>
                <c:pt idx="511">
                  <c:v>-7.3463030606384506E-4</c:v>
                </c:pt>
                <c:pt idx="512">
                  <c:v>-4.7873090898978852E-4</c:v>
                </c:pt>
                <c:pt idx="513">
                  <c:v>-2.3845320504571268E-4</c:v>
                </c:pt>
                <c:pt idx="514">
                  <c:v>-4.4602976852890574E-4</c:v>
                </c:pt>
                <c:pt idx="515">
                  <c:v>-1.4036175961070163E-4</c:v>
                </c:pt>
                <c:pt idx="516">
                  <c:v>-1.021525415797808E-4</c:v>
                </c:pt>
                <c:pt idx="517">
                  <c:v>-5.5427151747580155E-5</c:v>
                </c:pt>
                <c:pt idx="518">
                  <c:v>2.4530439049448105E-4</c:v>
                </c:pt>
                <c:pt idx="519">
                  <c:v>2.0335329017738527E-4</c:v>
                </c:pt>
                <c:pt idx="520">
                  <c:v>4.4099148840484679E-4</c:v>
                </c:pt>
                <c:pt idx="521">
                  <c:v>-3.9110865026941799E-4</c:v>
                </c:pt>
                <c:pt idx="522">
                  <c:v>-7.0882154629161773E-5</c:v>
                </c:pt>
                <c:pt idx="523">
                  <c:v>8.8815329450869806E-5</c:v>
                </c:pt>
                <c:pt idx="524">
                  <c:v>5.0774464865032851E-4</c:v>
                </c:pt>
                <c:pt idx="525">
                  <c:v>-1.5418855264705654E-4</c:v>
                </c:pt>
                <c:pt idx="526">
                  <c:v>-1.2499241527934521E-4</c:v>
                </c:pt>
                <c:pt idx="527">
                  <c:v>8.2408007089875099E-4</c:v>
                </c:pt>
                <c:pt idx="528">
                  <c:v>5.6833172051468854E-4</c:v>
                </c:pt>
                <c:pt idx="529">
                  <c:v>1.8328620694857596E-4</c:v>
                </c:pt>
                <c:pt idx="530">
                  <c:v>3.5761934507408497E-4</c:v>
                </c:pt>
                <c:pt idx="531">
                  <c:v>-1.5766658808304685E-4</c:v>
                </c:pt>
                <c:pt idx="532">
                  <c:v>2.0988562721968163E-6</c:v>
                </c:pt>
                <c:pt idx="533">
                  <c:v>-1.3050030228818605E-4</c:v>
                </c:pt>
                <c:pt idx="534">
                  <c:v>-6.4270938334789563E-4</c:v>
                </c:pt>
                <c:pt idx="535">
                  <c:v>-3.8919423968152998E-4</c:v>
                </c:pt>
                <c:pt idx="536">
                  <c:v>-2.3965385419422003E-6</c:v>
                </c:pt>
                <c:pt idx="537">
                  <c:v>-4.1354957487562218E-4</c:v>
                </c:pt>
                <c:pt idx="538">
                  <c:v>2.2228070072376964E-4</c:v>
                </c:pt>
                <c:pt idx="539">
                  <c:v>3.8274133655064431E-4</c:v>
                </c:pt>
                <c:pt idx="540">
                  <c:v>-6.3265344150370962E-4</c:v>
                </c:pt>
                <c:pt idx="541">
                  <c:v>3.6038077348394594E-4</c:v>
                </c:pt>
                <c:pt idx="542">
                  <c:v>-2.7608399511069924E-4</c:v>
                </c:pt>
                <c:pt idx="543">
                  <c:v>4.9878519222423768E-4</c:v>
                </c:pt>
                <c:pt idx="544">
                  <c:v>2.3411330708617765E-4</c:v>
                </c:pt>
                <c:pt idx="545">
                  <c:v>2.9320461151761815E-4</c:v>
                </c:pt>
                <c:pt idx="546">
                  <c:v>3.0628820065164725E-4</c:v>
                </c:pt>
                <c:pt idx="547">
                  <c:v>-3.6103565437353077E-5</c:v>
                </c:pt>
                <c:pt idx="548">
                  <c:v>-3.3088112297819663E-4</c:v>
                </c:pt>
                <c:pt idx="549">
                  <c:v>-3.141898899627871E-4</c:v>
                </c:pt>
                <c:pt idx="550">
                  <c:v>3.6054288604420214E-4</c:v>
                </c:pt>
                <c:pt idx="551">
                  <c:v>2.3413929229720436E-4</c:v>
                </c:pt>
                <c:pt idx="552">
                  <c:v>-3.449020277332686E-4</c:v>
                </c:pt>
                <c:pt idx="553">
                  <c:v>1.9840119921481514E-5</c:v>
                </c:pt>
                <c:pt idx="554">
                  <c:v>9.2099130610581012E-5</c:v>
                </c:pt>
                <c:pt idx="555">
                  <c:v>7.5878742534598604E-6</c:v>
                </c:pt>
                <c:pt idx="556">
                  <c:v>1.3431565350985E-4</c:v>
                </c:pt>
                <c:pt idx="557">
                  <c:v>-8.963449432594742E-4</c:v>
                </c:pt>
                <c:pt idx="558">
                  <c:v>-4.4456356784933611E-5</c:v>
                </c:pt>
                <c:pt idx="559">
                  <c:v>2.3357495861211038E-4</c:v>
                </c:pt>
                <c:pt idx="560">
                  <c:v>2.7023022654877967E-4</c:v>
                </c:pt>
                <c:pt idx="561">
                  <c:v>4.613873246016425E-4</c:v>
                </c:pt>
                <c:pt idx="562">
                  <c:v>1.1481633379243468E-4</c:v>
                </c:pt>
                <c:pt idx="563">
                  <c:v>-2.5306560432672453E-4</c:v>
                </c:pt>
                <c:pt idx="564">
                  <c:v>-6.4161424722211993E-4</c:v>
                </c:pt>
                <c:pt idx="565">
                  <c:v>-4.5328386985591328E-4</c:v>
                </c:pt>
                <c:pt idx="566">
                  <c:v>1.5892726923646069E-4</c:v>
                </c:pt>
                <c:pt idx="567">
                  <c:v>-2.108560217554562E-4</c:v>
                </c:pt>
                <c:pt idx="568">
                  <c:v>-1.1681576791252117E-4</c:v>
                </c:pt>
                <c:pt idx="569">
                  <c:v>-6.0889946319293213E-4</c:v>
                </c:pt>
                <c:pt idx="570">
                  <c:v>-1.0169065569850176E-4</c:v>
                </c:pt>
                <c:pt idx="571">
                  <c:v>3.5470293028050739E-4</c:v>
                </c:pt>
                <c:pt idx="572">
                  <c:v>-9.4526842746523336E-6</c:v>
                </c:pt>
                <c:pt idx="573">
                  <c:v>-3.3290661685009418E-6</c:v>
                </c:pt>
                <c:pt idx="574">
                  <c:v>-1.9812366486832904E-4</c:v>
                </c:pt>
                <c:pt idx="575">
                  <c:v>1.780926084437458E-4</c:v>
                </c:pt>
                <c:pt idx="576">
                  <c:v>2.6340147410764444E-4</c:v>
                </c:pt>
                <c:pt idx="577">
                  <c:v>-1.2372580158704621E-4</c:v>
                </c:pt>
                <c:pt idx="578">
                  <c:v>-1.9573114812603307E-4</c:v>
                </c:pt>
                <c:pt idx="579">
                  <c:v>1.4504457912174594E-4</c:v>
                </c:pt>
                <c:pt idx="580">
                  <c:v>-3.3529594974365584E-4</c:v>
                </c:pt>
                <c:pt idx="581">
                  <c:v>-4.4227637075540896E-5</c:v>
                </c:pt>
                <c:pt idx="582">
                  <c:v>-2.9327144998973867E-4</c:v>
                </c:pt>
                <c:pt idx="583">
                  <c:v>-5.6430230634823132E-4</c:v>
                </c:pt>
                <c:pt idx="584">
                  <c:v>3.9816959453322959E-4</c:v>
                </c:pt>
                <c:pt idx="585">
                  <c:v>2.840948920201944E-4</c:v>
                </c:pt>
                <c:pt idx="586">
                  <c:v>-3.945947372935261E-4</c:v>
                </c:pt>
                <c:pt idx="587">
                  <c:v>1.2366883530858885E-4</c:v>
                </c:pt>
                <c:pt idx="588">
                  <c:v>-5.7283722977412277E-4</c:v>
                </c:pt>
                <c:pt idx="589">
                  <c:v>2.2573532817763279E-4</c:v>
                </c:pt>
                <c:pt idx="590">
                  <c:v>-4.2039892715467063E-4</c:v>
                </c:pt>
                <c:pt idx="591">
                  <c:v>2.6492653987342517E-4</c:v>
                </c:pt>
                <c:pt idx="592">
                  <c:v>-8.4086520564157679E-4</c:v>
                </c:pt>
                <c:pt idx="593">
                  <c:v>-9.1798434399595574E-6</c:v>
                </c:pt>
                <c:pt idx="594">
                  <c:v>-1.7296688730378116E-4</c:v>
                </c:pt>
                <c:pt idx="595">
                  <c:v>2.6007447094703783E-4</c:v>
                </c:pt>
                <c:pt idx="596">
                  <c:v>-8.3872053003497979E-5</c:v>
                </c:pt>
                <c:pt idx="597">
                  <c:v>-2.120967410651429E-4</c:v>
                </c:pt>
                <c:pt idx="598">
                  <c:v>-2.220684636854455E-4</c:v>
                </c:pt>
                <c:pt idx="599">
                  <c:v>-7.5666678861638099E-4</c:v>
                </c:pt>
                <c:pt idx="600">
                  <c:v>2.0387928773552715E-4</c:v>
                </c:pt>
                <c:pt idx="601">
                  <c:v>-2.1421951708731673E-4</c:v>
                </c:pt>
                <c:pt idx="602">
                  <c:v>-2.5416772194551489E-4</c:v>
                </c:pt>
                <c:pt idx="603">
                  <c:v>-3.5525207552895269E-4</c:v>
                </c:pt>
                <c:pt idx="604">
                  <c:v>3.6170399456750507E-4</c:v>
                </c:pt>
                <c:pt idx="605">
                  <c:v>2.6274177073950866E-4</c:v>
                </c:pt>
                <c:pt idx="606">
                  <c:v>-5.8335807601264645E-4</c:v>
                </c:pt>
                <c:pt idx="607">
                  <c:v>2.6352434051607602E-5</c:v>
                </c:pt>
                <c:pt idx="608">
                  <c:v>6.2479776283929679E-4</c:v>
                </c:pt>
                <c:pt idx="609">
                  <c:v>3.3614046584304688E-4</c:v>
                </c:pt>
                <c:pt idx="610">
                  <c:v>-2.2744316074662691E-7</c:v>
                </c:pt>
                <c:pt idx="611">
                  <c:v>3.996955902137939E-4</c:v>
                </c:pt>
                <c:pt idx="612">
                  <c:v>1.1175558272475547E-4</c:v>
                </c:pt>
                <c:pt idx="613">
                  <c:v>-7.0647483835212764E-4</c:v>
                </c:pt>
                <c:pt idx="614">
                  <c:v>-4.6486317049336744E-5</c:v>
                </c:pt>
                <c:pt idx="615">
                  <c:v>2.1210158126581426E-4</c:v>
                </c:pt>
                <c:pt idx="616">
                  <c:v>2.9783161864396801E-4</c:v>
                </c:pt>
                <c:pt idx="617">
                  <c:v>7.4323133094308523E-5</c:v>
                </c:pt>
                <c:pt idx="618">
                  <c:v>6.6343316523731694E-4</c:v>
                </c:pt>
                <c:pt idx="619">
                  <c:v>7.4751108531194432E-4</c:v>
                </c:pt>
                <c:pt idx="620">
                  <c:v>-8.5595417689755568E-5</c:v>
                </c:pt>
                <c:pt idx="621">
                  <c:v>-4.6484351332525182E-4</c:v>
                </c:pt>
                <c:pt idx="622">
                  <c:v>-4.0652039769873793E-4</c:v>
                </c:pt>
                <c:pt idx="623">
                  <c:v>1.8752273986925882E-4</c:v>
                </c:pt>
                <c:pt idx="624">
                  <c:v>9.9044805688628467E-5</c:v>
                </c:pt>
                <c:pt idx="625">
                  <c:v>0</c:v>
                </c:pt>
                <c:pt idx="626">
                  <c:v>-2.1980720595203611E-4</c:v>
                </c:pt>
                <c:pt idx="627">
                  <c:v>6.9368214499027065E-5</c:v>
                </c:pt>
                <c:pt idx="628">
                  <c:v>5.1463073741133119E-4</c:v>
                </c:pt>
                <c:pt idx="629">
                  <c:v>7.8596005476068988E-6</c:v>
                </c:pt>
                <c:pt idx="630">
                  <c:v>1.6646686871001521E-4</c:v>
                </c:pt>
                <c:pt idx="631">
                  <c:v>-3.5837739246483304E-4</c:v>
                </c:pt>
                <c:pt idx="632">
                  <c:v>-4.1212431206557221E-4</c:v>
                </c:pt>
                <c:pt idx="633">
                  <c:v>-5.265526245202361E-4</c:v>
                </c:pt>
                <c:pt idx="634">
                  <c:v>-2.5304061007758985E-4</c:v>
                </c:pt>
                <c:pt idx="635">
                  <c:v>-1.637245798946432E-4</c:v>
                </c:pt>
                <c:pt idx="636">
                  <c:v>1.1566333878926089E-4</c:v>
                </c:pt>
                <c:pt idx="637">
                  <c:v>-6.1519399782083517E-4</c:v>
                </c:pt>
                <c:pt idx="638">
                  <c:v>-1.935361774915889E-4</c:v>
                </c:pt>
                <c:pt idx="639">
                  <c:v>2.8094723295475648E-4</c:v>
                </c:pt>
                <c:pt idx="640">
                  <c:v>-3.848325014876975E-4</c:v>
                </c:pt>
                <c:pt idx="641">
                  <c:v>-1.0308899373531004E-4</c:v>
                </c:pt>
                <c:pt idx="642">
                  <c:v>-1.0255360273708554E-4</c:v>
                </c:pt>
                <c:pt idx="643">
                  <c:v>1.4762885962578152E-4</c:v>
                </c:pt>
                <c:pt idx="644">
                  <c:v>-5.0098698991603535E-4</c:v>
                </c:pt>
                <c:pt idx="645">
                  <c:v>3.1252457827836037E-4</c:v>
                </c:pt>
                <c:pt idx="646">
                  <c:v>2.5022970393350798E-4</c:v>
                </c:pt>
                <c:pt idx="647">
                  <c:v>4.952844029012972E-4</c:v>
                </c:pt>
                <c:pt idx="648">
                  <c:v>-3.5936941585748669E-4</c:v>
                </c:pt>
                <c:pt idx="649">
                  <c:v>-1.1613977184782014E-4</c:v>
                </c:pt>
                <c:pt idx="650">
                  <c:v>-1.7017899618935865E-4</c:v>
                </c:pt>
                <c:pt idx="651">
                  <c:v>-2.2795926698374494E-4</c:v>
                </c:pt>
                <c:pt idx="652">
                  <c:v>5.0261388512167231E-4</c:v>
                </c:pt>
                <c:pt idx="653">
                  <c:v>9.5961357604145618E-4</c:v>
                </c:pt>
                <c:pt idx="654">
                  <c:v>1.317431212713161E-4</c:v>
                </c:pt>
                <c:pt idx="655">
                  <c:v>8.900024480537879E-5</c:v>
                </c:pt>
                <c:pt idx="656">
                  <c:v>6.0999737588564209E-4</c:v>
                </c:pt>
                <c:pt idx="657">
                  <c:v>3.4797536493023391E-4</c:v>
                </c:pt>
                <c:pt idx="658">
                  <c:v>8.5891941113056254E-5</c:v>
                </c:pt>
                <c:pt idx="659">
                  <c:v>6.2254810835796201E-5</c:v>
                </c:pt>
                <c:pt idx="660">
                  <c:v>-1.2605391979703253E-4</c:v>
                </c:pt>
                <c:pt idx="661">
                  <c:v>-2.3735015252966487E-4</c:v>
                </c:pt>
                <c:pt idx="662">
                  <c:v>2.9797590771520323E-5</c:v>
                </c:pt>
                <c:pt idx="663">
                  <c:v>1.8051632016522187E-4</c:v>
                </c:pt>
                <c:pt idx="664">
                  <c:v>-1.0945211618764472E-4</c:v>
                </c:pt>
                <c:pt idx="665">
                  <c:v>1.598653207245944E-4</c:v>
                </c:pt>
                <c:pt idx="666">
                  <c:v>-3.7649059292546388E-4</c:v>
                </c:pt>
                <c:pt idx="667">
                  <c:v>-3.7784358179417641E-4</c:v>
                </c:pt>
                <c:pt idx="668">
                  <c:v>-4.9820890475909875E-5</c:v>
                </c:pt>
                <c:pt idx="669">
                  <c:v>-2.8601073932507952E-4</c:v>
                </c:pt>
                <c:pt idx="670">
                  <c:v>-1.0710400963508392E-4</c:v>
                </c:pt>
                <c:pt idx="671">
                  <c:v>-1.2445236360464273E-4</c:v>
                </c:pt>
                <c:pt idx="672">
                  <c:v>-2.7741057916300442E-5</c:v>
                </c:pt>
                <c:pt idx="673">
                  <c:v>-2.7354391887699924E-4</c:v>
                </c:pt>
                <c:pt idx="674">
                  <c:v>3.6051738165222534E-5</c:v>
                </c:pt>
                <c:pt idx="675">
                  <c:v>-1.5534202801364801E-4</c:v>
                </c:pt>
                <c:pt idx="676">
                  <c:v>-2.3401264987889505E-4</c:v>
                </c:pt>
                <c:pt idx="677">
                  <c:v>2.6593738311705208E-4</c:v>
                </c:pt>
                <c:pt idx="678">
                  <c:v>2.0305653839802391E-4</c:v>
                </c:pt>
                <c:pt idx="679">
                  <c:v>7.3170912148735944E-5</c:v>
                </c:pt>
                <c:pt idx="680">
                  <c:v>8.2879978575589369E-4</c:v>
                </c:pt>
                <c:pt idx="681">
                  <c:v>-3.793752714903275E-4</c:v>
                </c:pt>
                <c:pt idx="682">
                  <c:v>-1.0479735309149951E-4</c:v>
                </c:pt>
                <c:pt idx="683">
                  <c:v>-2.116382572866508E-4</c:v>
                </c:pt>
                <c:pt idx="684">
                  <c:v>-5.3359999168212715E-5</c:v>
                </c:pt>
                <c:pt idx="685">
                  <c:v>-1.8904276166496981E-4</c:v>
                </c:pt>
                <c:pt idx="686">
                  <c:v>-1.5099711973710527E-5</c:v>
                </c:pt>
                <c:pt idx="687">
                  <c:v>1.9563018751631755E-4</c:v>
                </c:pt>
                <c:pt idx="688">
                  <c:v>-3.6476863797602722E-4</c:v>
                </c:pt>
                <c:pt idx="689">
                  <c:v>-4.7128542003264083E-4</c:v>
                </c:pt>
                <c:pt idx="690">
                  <c:v>-2.1978404211980658E-4</c:v>
                </c:pt>
                <c:pt idx="691">
                  <c:v>-1.4288895801634245E-4</c:v>
                </c:pt>
                <c:pt idx="692">
                  <c:v>-2.9009926568024299E-4</c:v>
                </c:pt>
                <c:pt idx="693">
                  <c:v>-2.6021133623472398E-4</c:v>
                </c:pt>
                <c:pt idx="694">
                  <c:v>-5.4478578076419967E-5</c:v>
                </c:pt>
                <c:pt idx="695">
                  <c:v>-8.9238415049690744E-4</c:v>
                </c:pt>
                <c:pt idx="696">
                  <c:v>6.2799636281080237E-4</c:v>
                </c:pt>
                <c:pt idx="697">
                  <c:v>-6.7790402002661449E-4</c:v>
                </c:pt>
                <c:pt idx="698">
                  <c:v>4.2997595592493049E-6</c:v>
                </c:pt>
                <c:pt idx="699">
                  <c:v>-1.4098586505125875E-4</c:v>
                </c:pt>
                <c:pt idx="700">
                  <c:v>-4.0500123035696245E-4</c:v>
                </c:pt>
                <c:pt idx="701">
                  <c:v>3.7431762151209414E-5</c:v>
                </c:pt>
                <c:pt idx="702">
                  <c:v>-2.047391180772385E-4</c:v>
                </c:pt>
                <c:pt idx="703">
                  <c:v>4.2504733692797728E-4</c:v>
                </c:pt>
                <c:pt idx="704">
                  <c:v>-6.7041159720581268E-5</c:v>
                </c:pt>
                <c:pt idx="705">
                  <c:v>-9.4269643832113154E-5</c:v>
                </c:pt>
                <c:pt idx="706">
                  <c:v>4.2426537222330101E-5</c:v>
                </c:pt>
                <c:pt idx="707">
                  <c:v>2.1133036488268385E-4</c:v>
                </c:pt>
                <c:pt idx="708">
                  <c:v>-5.0046890032079134E-4</c:v>
                </c:pt>
                <c:pt idx="709">
                  <c:v>-3.1805430305887283E-4</c:v>
                </c:pt>
                <c:pt idx="710">
                  <c:v>-9.2593514638817113E-4</c:v>
                </c:pt>
                <c:pt idx="711">
                  <c:v>4.1736852816225172E-4</c:v>
                </c:pt>
                <c:pt idx="712">
                  <c:v>-3.2249550670254712E-4</c:v>
                </c:pt>
                <c:pt idx="713">
                  <c:v>2.4978521208214431E-4</c:v>
                </c:pt>
                <c:pt idx="714">
                  <c:v>1.1927639012116236E-4</c:v>
                </c:pt>
                <c:pt idx="715">
                  <c:v>-3.1412299650705093E-4</c:v>
                </c:pt>
                <c:pt idx="716">
                  <c:v>4.8636278360751434E-5</c:v>
                </c:pt>
                <c:pt idx="717">
                  <c:v>-2.8112239575086781E-4</c:v>
                </c:pt>
                <c:pt idx="718">
                  <c:v>-3.262166862674235E-5</c:v>
                </c:pt>
                <c:pt idx="719">
                  <c:v>4.3818799334890241E-4</c:v>
                </c:pt>
                <c:pt idx="720">
                  <c:v>2.6677160383664861E-4</c:v>
                </c:pt>
                <c:pt idx="721">
                  <c:v>-3.0322230768746504E-4</c:v>
                </c:pt>
                <c:pt idx="722">
                  <c:v>9.2999691037944242E-5</c:v>
                </c:pt>
                <c:pt idx="723">
                  <c:v>-1.9753756716117573E-4</c:v>
                </c:pt>
                <c:pt idx="724">
                  <c:v>-2.8454309094989643E-4</c:v>
                </c:pt>
                <c:pt idx="725">
                  <c:v>-4.9243998491649743E-4</c:v>
                </c:pt>
                <c:pt idx="726">
                  <c:v>-2.6551740098035764E-4</c:v>
                </c:pt>
                <c:pt idx="727">
                  <c:v>5.9475482477938104E-4</c:v>
                </c:pt>
                <c:pt idx="728">
                  <c:v>1.1332857683611401E-4</c:v>
                </c:pt>
                <c:pt idx="729">
                  <c:v>-1.3963249117228535E-4</c:v>
                </c:pt>
                <c:pt idx="730">
                  <c:v>-2.253977242852017E-4</c:v>
                </c:pt>
                <c:pt idx="731">
                  <c:v>-9.1442980628772435E-5</c:v>
                </c:pt>
                <c:pt idx="732">
                  <c:v>-9.0460094652510843E-5</c:v>
                </c:pt>
                <c:pt idx="733">
                  <c:v>-4.1298366896437497E-5</c:v>
                </c:pt>
                <c:pt idx="734">
                  <c:v>-3.6772584557262408E-4</c:v>
                </c:pt>
                <c:pt idx="735">
                  <c:v>-3.8071221189769737E-4</c:v>
                </c:pt>
                <c:pt idx="736">
                  <c:v>4.3222241444885014E-4</c:v>
                </c:pt>
                <c:pt idx="737">
                  <c:v>-6.2497194035759679E-4</c:v>
                </c:pt>
                <c:pt idx="738">
                  <c:v>5.9151569437556337E-4</c:v>
                </c:pt>
                <c:pt idx="739">
                  <c:v>5.211598644455015E-4</c:v>
                </c:pt>
                <c:pt idx="740">
                  <c:v>-5.3443325440852127E-5</c:v>
                </c:pt>
                <c:pt idx="741">
                  <c:v>8.3307340316579191E-5</c:v>
                </c:pt>
                <c:pt idx="742">
                  <c:v>-5.0105771970518138E-5</c:v>
                </c:pt>
                <c:pt idx="743">
                  <c:v>4.9253724891331707E-4</c:v>
                </c:pt>
                <c:pt idx="744">
                  <c:v>4.1201733051512487E-6</c:v>
                </c:pt>
                <c:pt idx="745">
                  <c:v>-6.213155432061773E-4</c:v>
                </c:pt>
                <c:pt idx="746">
                  <c:v>-6.8974040131057385E-4</c:v>
                </c:pt>
                <c:pt idx="747">
                  <c:v>-7.0099931213436705E-5</c:v>
                </c:pt>
                <c:pt idx="748">
                  <c:v>-6.2869247879753312E-4</c:v>
                </c:pt>
                <c:pt idx="749">
                  <c:v>-6.1446210871457898E-4</c:v>
                </c:pt>
                <c:pt idx="750">
                  <c:v>-6.1244849413430403E-4</c:v>
                </c:pt>
                <c:pt idx="751">
                  <c:v>1.7460424487991516E-5</c:v>
                </c:pt>
                <c:pt idx="752">
                  <c:v>3.5147962110813511E-4</c:v>
                </c:pt>
                <c:pt idx="753">
                  <c:v>-5.8355997517349279E-5</c:v>
                </c:pt>
                <c:pt idx="754">
                  <c:v>6.4730017161776271E-4</c:v>
                </c:pt>
                <c:pt idx="755">
                  <c:v>2.2819543368809202E-4</c:v>
                </c:pt>
                <c:pt idx="756">
                  <c:v>2.0612523185905036E-4</c:v>
                </c:pt>
                <c:pt idx="757">
                  <c:v>4.2192754309773573E-4</c:v>
                </c:pt>
                <c:pt idx="758">
                  <c:v>4.9824124625101813E-4</c:v>
                </c:pt>
                <c:pt idx="759">
                  <c:v>-6.741316663543323E-4</c:v>
                </c:pt>
                <c:pt idx="760">
                  <c:v>-5.3595201770944851E-4</c:v>
                </c:pt>
                <c:pt idx="761">
                  <c:v>-2.9928826211775766E-4</c:v>
                </c:pt>
                <c:pt idx="762">
                  <c:v>5.5468881759854007E-5</c:v>
                </c:pt>
                <c:pt idx="763">
                  <c:v>1.5403720197247465E-4</c:v>
                </c:pt>
                <c:pt idx="764">
                  <c:v>2.0779389198660698E-4</c:v>
                </c:pt>
                <c:pt idx="765">
                  <c:v>1.4843342701070669E-4</c:v>
                </c:pt>
                <c:pt idx="766">
                  <c:v>3.6717401434274618E-4</c:v>
                </c:pt>
                <c:pt idx="767">
                  <c:v>-2.0955691014512245E-4</c:v>
                </c:pt>
                <c:pt idx="768">
                  <c:v>5.2272772244969215E-4</c:v>
                </c:pt>
                <c:pt idx="769">
                  <c:v>3.3243581097750229E-4</c:v>
                </c:pt>
                <c:pt idx="770">
                  <c:v>-3.216376582948945E-4</c:v>
                </c:pt>
                <c:pt idx="771">
                  <c:v>3.9072481793276314E-4</c:v>
                </c:pt>
                <c:pt idx="772">
                  <c:v>4.9589657797651399E-4</c:v>
                </c:pt>
                <c:pt idx="773">
                  <c:v>-4.272355963440806E-4</c:v>
                </c:pt>
                <c:pt idx="774">
                  <c:v>-7.0654704319218645E-4</c:v>
                </c:pt>
                <c:pt idx="775">
                  <c:v>-1.3663757162484192E-4</c:v>
                </c:pt>
                <c:pt idx="776">
                  <c:v>-3.4610023770822128E-4</c:v>
                </c:pt>
                <c:pt idx="777">
                  <c:v>-5.1177765116559642E-4</c:v>
                </c:pt>
                <c:pt idx="778">
                  <c:v>-7.7144935128999997E-5</c:v>
                </c:pt>
                <c:pt idx="779">
                  <c:v>4.7782408309322426E-4</c:v>
                </c:pt>
                <c:pt idx="780">
                  <c:v>9.7016700874861004E-5</c:v>
                </c:pt>
                <c:pt idx="781">
                  <c:v>-1.5141043172717532E-4</c:v>
                </c:pt>
                <c:pt idx="782">
                  <c:v>2.6071180237733857E-4</c:v>
                </c:pt>
                <c:pt idx="783">
                  <c:v>9.4038608916697988E-4</c:v>
                </c:pt>
                <c:pt idx="784">
                  <c:v>5.463833327103082E-4</c:v>
                </c:pt>
                <c:pt idx="785">
                  <c:v>1.6364973464571739E-4</c:v>
                </c:pt>
                <c:pt idx="786">
                  <c:v>5.7713796595099598E-4</c:v>
                </c:pt>
                <c:pt idx="787">
                  <c:v>-8.2038771079814214E-4</c:v>
                </c:pt>
                <c:pt idx="788">
                  <c:v>-2.669806637776651E-4</c:v>
                </c:pt>
                <c:pt idx="789">
                  <c:v>-3.328889291811316E-4</c:v>
                </c:pt>
                <c:pt idx="790">
                  <c:v>-2.1190955699453066E-4</c:v>
                </c:pt>
                <c:pt idx="791">
                  <c:v>-1.6784083505306003E-5</c:v>
                </c:pt>
                <c:pt idx="792">
                  <c:v>1.6919782595182156E-4</c:v>
                </c:pt>
                <c:pt idx="793">
                  <c:v>1.2039377656529584E-4</c:v>
                </c:pt>
                <c:pt idx="794">
                  <c:v>-6.3913575395634076E-5</c:v>
                </c:pt>
                <c:pt idx="795">
                  <c:v>1.8724714679326581E-4</c:v>
                </c:pt>
                <c:pt idx="796">
                  <c:v>-3.6789082401834857E-4</c:v>
                </c:pt>
                <c:pt idx="797">
                  <c:v>-1.3370407957366326E-4</c:v>
                </c:pt>
                <c:pt idx="798">
                  <c:v>3.0513896766113795E-4</c:v>
                </c:pt>
                <c:pt idx="799">
                  <c:v>1.6529557542653946E-4</c:v>
                </c:pt>
                <c:pt idx="800">
                  <c:v>-4.7455533242690467E-4</c:v>
                </c:pt>
                <c:pt idx="801">
                  <c:v>1.7798947247252032E-4</c:v>
                </c:pt>
                <c:pt idx="802">
                  <c:v>5.0172596280595168E-4</c:v>
                </c:pt>
                <c:pt idx="803">
                  <c:v>-3.3872700988972449E-4</c:v>
                </c:pt>
                <c:pt idx="804">
                  <c:v>5.1751993120417893E-5</c:v>
                </c:pt>
                <c:pt idx="805">
                  <c:v>2.8852763040923031E-4</c:v>
                </c:pt>
                <c:pt idx="806">
                  <c:v>5.292501444922311E-4</c:v>
                </c:pt>
                <c:pt idx="807">
                  <c:v>9.3835270260629602E-5</c:v>
                </c:pt>
                <c:pt idx="808">
                  <c:v>-3.1478277286693635E-4</c:v>
                </c:pt>
                <c:pt idx="809">
                  <c:v>4.3345134010701997E-4</c:v>
                </c:pt>
                <c:pt idx="810">
                  <c:v>1.9909934487716678E-4</c:v>
                </c:pt>
                <c:pt idx="811">
                  <c:v>3.7465158208693745E-4</c:v>
                </c:pt>
                <c:pt idx="812">
                  <c:v>4.3231334465694879E-4</c:v>
                </c:pt>
                <c:pt idx="813">
                  <c:v>-1.2472199860003762E-4</c:v>
                </c:pt>
                <c:pt idx="814">
                  <c:v>-1.8891919996537148E-4</c:v>
                </c:pt>
                <c:pt idx="815">
                  <c:v>-8.2471314274726587E-6</c:v>
                </c:pt>
                <c:pt idx="816">
                  <c:v>3.5385245967665876E-4</c:v>
                </c:pt>
                <c:pt idx="817">
                  <c:v>1.4254960227694829E-4</c:v>
                </c:pt>
                <c:pt idx="818">
                  <c:v>-1.6082378825850105E-4</c:v>
                </c:pt>
                <c:pt idx="819">
                  <c:v>-1.9863541991519854E-4</c:v>
                </c:pt>
                <c:pt idx="820">
                  <c:v>-2.7875592593306009E-4</c:v>
                </c:pt>
                <c:pt idx="821">
                  <c:v>5.0865548058357706E-4</c:v>
                </c:pt>
                <c:pt idx="822">
                  <c:v>-1.0832130639814959E-5</c:v>
                </c:pt>
                <c:pt idx="823">
                  <c:v>5.5696362203507595E-4</c:v>
                </c:pt>
                <c:pt idx="824">
                  <c:v>-2.2074713604084816E-4</c:v>
                </c:pt>
                <c:pt idx="825">
                  <c:v>1.0802676776869176E-5</c:v>
                </c:pt>
                <c:pt idx="826">
                  <c:v>5.4501409382303107E-4</c:v>
                </c:pt>
                <c:pt idx="827">
                  <c:v>3.2080884113286943E-6</c:v>
                </c:pt>
                <c:pt idx="828">
                  <c:v>3.253505098399692E-4</c:v>
                </c:pt>
                <c:pt idx="829">
                  <c:v>4.0037239534789257E-4</c:v>
                </c:pt>
                <c:pt idx="830">
                  <c:v>2.2922287586091541E-4</c:v>
                </c:pt>
                <c:pt idx="831">
                  <c:v>-3.7457372929719018E-5</c:v>
                </c:pt>
                <c:pt idx="832">
                  <c:v>6.9849038605651278E-4</c:v>
                </c:pt>
                <c:pt idx="833">
                  <c:v>-2.3804630419357062E-4</c:v>
                </c:pt>
                <c:pt idx="834">
                  <c:v>1.2388466736191469E-4</c:v>
                </c:pt>
                <c:pt idx="835">
                  <c:v>9.4899317855018416E-6</c:v>
                </c:pt>
                <c:pt idx="836">
                  <c:v>1.2079791860845829E-4</c:v>
                </c:pt>
                <c:pt idx="837">
                  <c:v>3.6290151330872468E-4</c:v>
                </c:pt>
                <c:pt idx="838">
                  <c:v>4.083690828870848E-5</c:v>
                </c:pt>
                <c:pt idx="839">
                  <c:v>-2.1342365218176976E-4</c:v>
                </c:pt>
                <c:pt idx="840">
                  <c:v>1.7596801521021111E-4</c:v>
                </c:pt>
                <c:pt idx="841">
                  <c:v>1.7166534445976097E-4</c:v>
                </c:pt>
                <c:pt idx="842">
                  <c:v>5.6275420599125037E-4</c:v>
                </c:pt>
                <c:pt idx="843">
                  <c:v>-3.0787177429348006E-4</c:v>
                </c:pt>
                <c:pt idx="844">
                  <c:v>3.3491753344833206E-4</c:v>
                </c:pt>
                <c:pt idx="845">
                  <c:v>-3.7163807135219063E-4</c:v>
                </c:pt>
                <c:pt idx="846">
                  <c:v>-8.540982502295762E-5</c:v>
                </c:pt>
                <c:pt idx="847">
                  <c:v>4.0080850637161424E-4</c:v>
                </c:pt>
                <c:pt idx="848">
                  <c:v>1.1687821555761223E-5</c:v>
                </c:pt>
                <c:pt idx="849">
                  <c:v>5.4043248243373779E-4</c:v>
                </c:pt>
                <c:pt idx="850">
                  <c:v>-8.741211380503592E-5</c:v>
                </c:pt>
                <c:pt idx="851">
                  <c:v>-4.0240460102854993E-5</c:v>
                </c:pt>
                <c:pt idx="852">
                  <c:v>5.6388572482160523E-5</c:v>
                </c:pt>
                <c:pt idx="853">
                  <c:v>-2.5324768064227714E-4</c:v>
                </c:pt>
                <c:pt idx="854">
                  <c:v>-1.086298772617325E-3</c:v>
                </c:pt>
                <c:pt idx="855">
                  <c:v>3.4011665425679222E-5</c:v>
                </c:pt>
                <c:pt idx="856">
                  <c:v>-2.1108533964174587E-4</c:v>
                </c:pt>
                <c:pt idx="857">
                  <c:v>7.7561475242401867E-5</c:v>
                </c:pt>
                <c:pt idx="858">
                  <c:v>-1.9438251598940322E-4</c:v>
                </c:pt>
                <c:pt idx="859">
                  <c:v>3.8326769357801383E-5</c:v>
                </c:pt>
                <c:pt idx="860">
                  <c:v>1.250071369064993E-4</c:v>
                </c:pt>
                <c:pt idx="861">
                  <c:v>-4.3242387331212187E-4</c:v>
                </c:pt>
                <c:pt idx="862">
                  <c:v>-1.8225860399435836E-4</c:v>
                </c:pt>
                <c:pt idx="863">
                  <c:v>-4.4210404617427954E-4</c:v>
                </c:pt>
                <c:pt idx="864">
                  <c:v>-7.6147152441233864E-4</c:v>
                </c:pt>
                <c:pt idx="865">
                  <c:v>6.427931337023296E-4</c:v>
                </c:pt>
                <c:pt idx="866">
                  <c:v>-4.0581309847536831E-4</c:v>
                </c:pt>
                <c:pt idx="867">
                  <c:v>2.671220530030438E-4</c:v>
                </c:pt>
                <c:pt idx="868">
                  <c:v>3.0494830439331631E-4</c:v>
                </c:pt>
                <c:pt idx="869">
                  <c:v>1.1394130420961457E-4</c:v>
                </c:pt>
                <c:pt idx="870">
                  <c:v>-1.8975767614991073E-4</c:v>
                </c:pt>
                <c:pt idx="871">
                  <c:v>4.2803789795460589E-4</c:v>
                </c:pt>
                <c:pt idx="872">
                  <c:v>9.1595393924855198E-5</c:v>
                </c:pt>
                <c:pt idx="873">
                  <c:v>-8.4057773946317622E-5</c:v>
                </c:pt>
                <c:pt idx="874">
                  <c:v>-1.2643307351829729E-4</c:v>
                </c:pt>
                <c:pt idx="875">
                  <c:v>-1.8990959958402995E-4</c:v>
                </c:pt>
                <c:pt idx="876">
                  <c:v>1.031648993420109E-4</c:v>
                </c:pt>
                <c:pt idx="877">
                  <c:v>-4.9871183027640925E-4</c:v>
                </c:pt>
                <c:pt idx="878">
                  <c:v>4.7187251710711545E-4</c:v>
                </c:pt>
                <c:pt idx="879">
                  <c:v>5.0253439164080443E-4</c:v>
                </c:pt>
                <c:pt idx="880">
                  <c:v>5.7775107332307942E-4</c:v>
                </c:pt>
                <c:pt idx="881">
                  <c:v>8.2223554089518773E-6</c:v>
                </c:pt>
                <c:pt idx="882">
                  <c:v>1.8971824475781031E-4</c:v>
                </c:pt>
                <c:pt idx="883">
                  <c:v>2.0950181540381555E-4</c:v>
                </c:pt>
                <c:pt idx="884">
                  <c:v>-8.7612508795704218E-5</c:v>
                </c:pt>
                <c:pt idx="885">
                  <c:v>7.4801833953638049E-4</c:v>
                </c:pt>
                <c:pt idx="886">
                  <c:v>6.6547958242395679E-4</c:v>
                </c:pt>
                <c:pt idx="887">
                  <c:v>2.9914379934089169E-4</c:v>
                </c:pt>
                <c:pt idx="888">
                  <c:v>2.6789255510664391E-4</c:v>
                </c:pt>
                <c:pt idx="889">
                  <c:v>-2.0952104468852757E-4</c:v>
                </c:pt>
                <c:pt idx="890">
                  <c:v>2.4057751848251351E-5</c:v>
                </c:pt>
                <c:pt idx="891">
                  <c:v>6.0851806935485579E-4</c:v>
                </c:pt>
                <c:pt idx="892">
                  <c:v>-1.8018201872995306E-4</c:v>
                </c:pt>
                <c:pt idx="893">
                  <c:v>-2.2365386617983126E-4</c:v>
                </c:pt>
                <c:pt idx="894">
                  <c:v>2.8196741033791474E-4</c:v>
                </c:pt>
                <c:pt idx="895">
                  <c:v>3.7083694962071332E-4</c:v>
                </c:pt>
                <c:pt idx="896">
                  <c:v>-2.7055526834174511E-4</c:v>
                </c:pt>
                <c:pt idx="897">
                  <c:v>-1.5306212421690961E-5</c:v>
                </c:pt>
                <c:pt idx="898">
                  <c:v>5.9479502830492824E-4</c:v>
                </c:pt>
                <c:pt idx="899">
                  <c:v>-2.0346836882597405E-4</c:v>
                </c:pt>
                <c:pt idx="900">
                  <c:v>3.5719012438230997E-4</c:v>
                </c:pt>
                <c:pt idx="901">
                  <c:v>1.9232202324910677E-4</c:v>
                </c:pt>
                <c:pt idx="902">
                  <c:v>-2.2297220777980778E-4</c:v>
                </c:pt>
                <c:pt idx="903">
                  <c:v>-2.4255690017388218E-4</c:v>
                </c:pt>
                <c:pt idx="904">
                  <c:v>-8.8232526129538108E-5</c:v>
                </c:pt>
                <c:pt idx="905">
                  <c:v>1.1070194621322887E-4</c:v>
                </c:pt>
                <c:pt idx="906">
                  <c:v>1.8649084236967083E-5</c:v>
                </c:pt>
                <c:pt idx="907">
                  <c:v>-3.3912086512198253E-5</c:v>
                </c:pt>
                <c:pt idx="908">
                  <c:v>4.2568357095914086E-4</c:v>
                </c:pt>
                <c:pt idx="909">
                  <c:v>4.3640495191937014E-4</c:v>
                </c:pt>
                <c:pt idx="910">
                  <c:v>1.1450317808176713E-4</c:v>
                </c:pt>
                <c:pt idx="911">
                  <c:v>2.2114723026186333E-4</c:v>
                </c:pt>
                <c:pt idx="912">
                  <c:v>-1.8385591564968695E-4</c:v>
                </c:pt>
                <c:pt idx="913">
                  <c:v>3.057855980529786E-4</c:v>
                </c:pt>
                <c:pt idx="914">
                  <c:v>6.1262085259514357E-5</c:v>
                </c:pt>
                <c:pt idx="915">
                  <c:v>-1.2181142077973269E-4</c:v>
                </c:pt>
                <c:pt idx="916">
                  <c:v>-1.7933209434537297E-4</c:v>
                </c:pt>
                <c:pt idx="917">
                  <c:v>-3.0922271507634985E-5</c:v>
                </c:pt>
                <c:pt idx="918">
                  <c:v>-9.5942881285343418E-5</c:v>
                </c:pt>
                <c:pt idx="919">
                  <c:v>8.2020551920429551E-4</c:v>
                </c:pt>
                <c:pt idx="920">
                  <c:v>-1.6084608661137733E-4</c:v>
                </c:pt>
                <c:pt idx="921">
                  <c:v>-2.0333022402586954E-4</c:v>
                </c:pt>
                <c:pt idx="922">
                  <c:v>-4.8051595885985831E-4</c:v>
                </c:pt>
                <c:pt idx="923">
                  <c:v>3.9105786805578279E-4</c:v>
                </c:pt>
                <c:pt idx="924">
                  <c:v>-4.1236344029123984E-4</c:v>
                </c:pt>
                <c:pt idx="925">
                  <c:v>2.0014772937872963E-4</c:v>
                </c:pt>
                <c:pt idx="926">
                  <c:v>1.3147709867627203E-4</c:v>
                </c:pt>
                <c:pt idx="927">
                  <c:v>-9.4240055516263047E-5</c:v>
                </c:pt>
                <c:pt idx="928">
                  <c:v>1.8229496204039071E-4</c:v>
                </c:pt>
                <c:pt idx="929">
                  <c:v>6.2572083562891217E-4</c:v>
                </c:pt>
                <c:pt idx="930">
                  <c:v>-3.6738504410375669E-4</c:v>
                </c:pt>
                <c:pt idx="931">
                  <c:v>1.7062273173790513E-4</c:v>
                </c:pt>
                <c:pt idx="932">
                  <c:v>1.7949747162978173E-4</c:v>
                </c:pt>
                <c:pt idx="933">
                  <c:v>1.4369318372531458E-4</c:v>
                </c:pt>
                <c:pt idx="934">
                  <c:v>3.8427170951907673E-4</c:v>
                </c:pt>
                <c:pt idx="935">
                  <c:v>-3.3062820061148816E-4</c:v>
                </c:pt>
                <c:pt idx="936">
                  <c:v>7.9491514050136064E-5</c:v>
                </c:pt>
                <c:pt idx="937">
                  <c:v>8.0488540570132879E-7</c:v>
                </c:pt>
                <c:pt idx="938">
                  <c:v>-2.4125621605085155E-4</c:v>
                </c:pt>
                <c:pt idx="939">
                  <c:v>-3.2069411549897914E-4</c:v>
                </c:pt>
                <c:pt idx="940">
                  <c:v>4.6158824521579377E-4</c:v>
                </c:pt>
                <c:pt idx="941">
                  <c:v>-3.9147260570115261E-4</c:v>
                </c:pt>
                <c:pt idx="942">
                  <c:v>-1.8814296299628238E-4</c:v>
                </c:pt>
                <c:pt idx="943">
                  <c:v>-5.19531298255316E-5</c:v>
                </c:pt>
                <c:pt idx="944">
                  <c:v>-1.7398119622561512E-5</c:v>
                </c:pt>
                <c:pt idx="945">
                  <c:v>3.1565106244412319E-4</c:v>
                </c:pt>
                <c:pt idx="946">
                  <c:v>-5.0054751945702726E-4</c:v>
                </c:pt>
                <c:pt idx="947">
                  <c:v>3.0646279911676058E-4</c:v>
                </c:pt>
                <c:pt idx="948">
                  <c:v>2.9589824261242083E-5</c:v>
                </c:pt>
                <c:pt idx="949">
                  <c:v>3.3961422460774041E-4</c:v>
                </c:pt>
                <c:pt idx="950">
                  <c:v>-3.2476049550018461E-4</c:v>
                </c:pt>
                <c:pt idx="951">
                  <c:v>3.1532166869927935E-4</c:v>
                </c:pt>
                <c:pt idx="952">
                  <c:v>-2.0496696531839857E-4</c:v>
                </c:pt>
                <c:pt idx="953">
                  <c:v>9.6066782020116345E-5</c:v>
                </c:pt>
                <c:pt idx="954">
                  <c:v>3.6760128312584396E-4</c:v>
                </c:pt>
                <c:pt idx="955">
                  <c:v>-2.3535038351793413E-4</c:v>
                </c:pt>
                <c:pt idx="956">
                  <c:v>-1.7270296519344646E-4</c:v>
                </c:pt>
                <c:pt idx="957">
                  <c:v>1.360416015535234E-4</c:v>
                </c:pt>
                <c:pt idx="958">
                  <c:v>-3.7318979338831751E-4</c:v>
                </c:pt>
                <c:pt idx="959">
                  <c:v>2.5383165516279591E-4</c:v>
                </c:pt>
                <c:pt idx="960">
                  <c:v>-1.8270995669148981E-4</c:v>
                </c:pt>
                <c:pt idx="961">
                  <c:v>2.3095909379224525E-4</c:v>
                </c:pt>
                <c:pt idx="962">
                  <c:v>-2.6037555409005018E-4</c:v>
                </c:pt>
                <c:pt idx="963">
                  <c:v>2.9112979126671534E-5</c:v>
                </c:pt>
                <c:pt idx="964">
                  <c:v>-3.2373051945066498E-4</c:v>
                </c:pt>
                <c:pt idx="965">
                  <c:v>4.6281692522126192E-4</c:v>
                </c:pt>
                <c:pt idx="966">
                  <c:v>-1.8431538129411629E-4</c:v>
                </c:pt>
                <c:pt idx="967">
                  <c:v>3.0112294510653879E-4</c:v>
                </c:pt>
                <c:pt idx="968">
                  <c:v>2.4803807522370564E-4</c:v>
                </c:pt>
                <c:pt idx="969">
                  <c:v>2.3629191749408086E-4</c:v>
                </c:pt>
                <c:pt idx="970">
                  <c:v>-2.4514558252402825E-4</c:v>
                </c:pt>
                <c:pt idx="971">
                  <c:v>-3.7181058768918549E-4</c:v>
                </c:pt>
                <c:pt idx="972">
                  <c:v>-3.3303348771869615E-4</c:v>
                </c:pt>
                <c:pt idx="973">
                  <c:v>-1.2999712398268335E-4</c:v>
                </c:pt>
                <c:pt idx="974">
                  <c:v>6.9367662620482785E-4</c:v>
                </c:pt>
                <c:pt idx="975">
                  <c:v>-1.0407313083568081E-4</c:v>
                </c:pt>
                <c:pt idx="976">
                  <c:v>7.0421726429727909E-4</c:v>
                </c:pt>
                <c:pt idx="977">
                  <c:v>5.9783556249416367E-4</c:v>
                </c:pt>
                <c:pt idx="978">
                  <c:v>3.019499436613101E-4</c:v>
                </c:pt>
                <c:pt idx="979">
                  <c:v>6.3607297286783751E-4</c:v>
                </c:pt>
                <c:pt idx="980">
                  <c:v>-5.4916881195703389E-5</c:v>
                </c:pt>
                <c:pt idx="981">
                  <c:v>-1.1231715755480837E-4</c:v>
                </c:pt>
                <c:pt idx="982">
                  <c:v>-1.0643062105562594E-4</c:v>
                </c:pt>
                <c:pt idx="983">
                  <c:v>4.3507959434435514E-4</c:v>
                </c:pt>
                <c:pt idx="984">
                  <c:v>-5.1976737748722006E-4</c:v>
                </c:pt>
                <c:pt idx="985">
                  <c:v>3.2472208073832114E-4</c:v>
                </c:pt>
                <c:pt idx="986">
                  <c:v>2.9256465965469831E-4</c:v>
                </c:pt>
                <c:pt idx="987">
                  <c:v>3.1139037651040097E-4</c:v>
                </c:pt>
                <c:pt idx="988">
                  <c:v>-1.957106218394528E-4</c:v>
                </c:pt>
                <c:pt idx="989">
                  <c:v>2.8671895587546828E-4</c:v>
                </c:pt>
                <c:pt idx="990">
                  <c:v>-6.8034072737074698E-5</c:v>
                </c:pt>
                <c:pt idx="991">
                  <c:v>7.123243479811327E-4</c:v>
                </c:pt>
                <c:pt idx="992">
                  <c:v>-1.4361712956315726E-4</c:v>
                </c:pt>
                <c:pt idx="993">
                  <c:v>6.0307265732856426E-4</c:v>
                </c:pt>
                <c:pt idx="994">
                  <c:v>-3.3211332941831254E-4</c:v>
                </c:pt>
                <c:pt idx="995">
                  <c:v>-2.3260871219279823E-4</c:v>
                </c:pt>
                <c:pt idx="996">
                  <c:v>8.9075842964093206E-5</c:v>
                </c:pt>
                <c:pt idx="997">
                  <c:v>1.8915458101232839E-4</c:v>
                </c:pt>
              </c:numCache>
            </c:numRef>
          </c:xVal>
          <c:yVal>
            <c:numRef>
              <c:f>DATA!$AJ$3:$AJ$1000</c:f>
              <c:numCache>
                <c:formatCode>0.00%</c:formatCode>
                <c:ptCount val="998"/>
                <c:pt idx="0">
                  <c:v>1.4423634472033166E-3</c:v>
                </c:pt>
                <c:pt idx="1">
                  <c:v>4.8216211844263754E-4</c:v>
                </c:pt>
                <c:pt idx="2">
                  <c:v>-1.5844002218219023E-4</c:v>
                </c:pt>
                <c:pt idx="3">
                  <c:v>-2.9463707576367556E-5</c:v>
                </c:pt>
                <c:pt idx="4">
                  <c:v>5.7190057952194936E-5</c:v>
                </c:pt>
                <c:pt idx="5">
                  <c:v>-9.0630524764540802E-4</c:v>
                </c:pt>
                <c:pt idx="6">
                  <c:v>-3.8002651866136602E-4</c:v>
                </c:pt>
                <c:pt idx="7">
                  <c:v>-1.9717296984773767E-4</c:v>
                </c:pt>
                <c:pt idx="8">
                  <c:v>4.0723738557163475E-4</c:v>
                </c:pt>
                <c:pt idx="9">
                  <c:v>-1.3860033177112796E-3</c:v>
                </c:pt>
                <c:pt idx="10">
                  <c:v>-1.6815819886458193E-4</c:v>
                </c:pt>
                <c:pt idx="11">
                  <c:v>-3.0796693967646523E-4</c:v>
                </c:pt>
                <c:pt idx="12">
                  <c:v>-7.7043073663628285E-5</c:v>
                </c:pt>
                <c:pt idx="13">
                  <c:v>6.6503556098027961E-4</c:v>
                </c:pt>
                <c:pt idx="14">
                  <c:v>1.1306060420407079E-3</c:v>
                </c:pt>
                <c:pt idx="15">
                  <c:v>7.0468214580815969E-4</c:v>
                </c:pt>
                <c:pt idx="16">
                  <c:v>-3.0293238687571382E-4</c:v>
                </c:pt>
                <c:pt idx="17">
                  <c:v>3.1172714257495188E-4</c:v>
                </c:pt>
                <c:pt idx="18">
                  <c:v>2.8249440958536161E-4</c:v>
                </c:pt>
                <c:pt idx="19">
                  <c:v>8.6955691410173686E-4</c:v>
                </c:pt>
                <c:pt idx="20">
                  <c:v>3.1731199203494044E-4</c:v>
                </c:pt>
                <c:pt idx="21">
                  <c:v>-1.435350250533908E-3</c:v>
                </c:pt>
                <c:pt idx="22">
                  <c:v>2.0198422887000083E-4</c:v>
                </c:pt>
                <c:pt idx="23">
                  <c:v>-9.9607150478375978E-4</c:v>
                </c:pt>
                <c:pt idx="24">
                  <c:v>-4.8580568441195237E-4</c:v>
                </c:pt>
                <c:pt idx="25">
                  <c:v>-4.5026765675632084E-4</c:v>
                </c:pt>
                <c:pt idx="26">
                  <c:v>-2.7211152938804746E-4</c:v>
                </c:pt>
                <c:pt idx="27">
                  <c:v>9.7688244908913642E-4</c:v>
                </c:pt>
                <c:pt idx="28">
                  <c:v>4.1932315699333715E-4</c:v>
                </c:pt>
                <c:pt idx="29">
                  <c:v>-3.0408382656961979E-4</c:v>
                </c:pt>
                <c:pt idx="30">
                  <c:v>1.0449405540772767E-3</c:v>
                </c:pt>
                <c:pt idx="31">
                  <c:v>-2.8656779594685676E-4</c:v>
                </c:pt>
                <c:pt idx="32">
                  <c:v>-5.0427508381742359E-4</c:v>
                </c:pt>
                <c:pt idx="33">
                  <c:v>-2.7062886914400359E-4</c:v>
                </c:pt>
                <c:pt idx="34">
                  <c:v>7.98279979873598E-4</c:v>
                </c:pt>
                <c:pt idx="35">
                  <c:v>7.4299391130292619E-4</c:v>
                </c:pt>
                <c:pt idx="36">
                  <c:v>-8.1148706337427561E-4</c:v>
                </c:pt>
                <c:pt idx="37">
                  <c:v>-2.2167675614699465E-4</c:v>
                </c:pt>
                <c:pt idx="38">
                  <c:v>4.990881074310214E-4</c:v>
                </c:pt>
                <c:pt idx="39">
                  <c:v>5.7535541992349013E-4</c:v>
                </c:pt>
                <c:pt idx="40">
                  <c:v>1.2493724591897829E-3</c:v>
                </c:pt>
                <c:pt idx="41">
                  <c:v>5.3346949262074981E-4</c:v>
                </c:pt>
                <c:pt idx="42">
                  <c:v>5.7325427463776114E-4</c:v>
                </c:pt>
                <c:pt idx="43">
                  <c:v>-2.5282399705952311E-4</c:v>
                </c:pt>
                <c:pt idx="44">
                  <c:v>3.3223590200745929E-4</c:v>
                </c:pt>
                <c:pt idx="45">
                  <c:v>1.9860735441740694E-4</c:v>
                </c:pt>
                <c:pt idx="46">
                  <c:v>-2.6699844144528398E-4</c:v>
                </c:pt>
                <c:pt idx="47">
                  <c:v>-3.4475324768110718E-4</c:v>
                </c:pt>
                <c:pt idx="48">
                  <c:v>-9.0215896119666492E-4</c:v>
                </c:pt>
                <c:pt idx="49">
                  <c:v>4.1758476126610992E-4</c:v>
                </c:pt>
                <c:pt idx="50">
                  <c:v>5.4044163091046819E-4</c:v>
                </c:pt>
                <c:pt idx="51">
                  <c:v>4.4704448392252576E-4</c:v>
                </c:pt>
                <c:pt idx="52">
                  <c:v>-1.7520421583084558E-3</c:v>
                </c:pt>
                <c:pt idx="53">
                  <c:v>-4.2319300949229208E-4</c:v>
                </c:pt>
                <c:pt idx="54">
                  <c:v>-7.9164506534255992E-4</c:v>
                </c:pt>
                <c:pt idx="55">
                  <c:v>3.0305423262519193E-4</c:v>
                </c:pt>
                <c:pt idx="56">
                  <c:v>3.9608093726020208E-5</c:v>
                </c:pt>
                <c:pt idx="57">
                  <c:v>8.4165185250994698E-4</c:v>
                </c:pt>
                <c:pt idx="58">
                  <c:v>1.9605037785460026E-5</c:v>
                </c:pt>
                <c:pt idx="59">
                  <c:v>6.2346144125080354E-4</c:v>
                </c:pt>
                <c:pt idx="60">
                  <c:v>-2.3017996159454274E-4</c:v>
                </c:pt>
                <c:pt idx="61">
                  <c:v>1.2887379494063003E-4</c:v>
                </c:pt>
                <c:pt idx="62">
                  <c:v>-1.0348832647416378E-3</c:v>
                </c:pt>
                <c:pt idx="63">
                  <c:v>-4.9919437577047822E-4</c:v>
                </c:pt>
                <c:pt idx="64">
                  <c:v>4.86312764439375E-4</c:v>
                </c:pt>
                <c:pt idx="65">
                  <c:v>6.1653054499459503E-4</c:v>
                </c:pt>
                <c:pt idx="66">
                  <c:v>-7.0924821600137596E-4</c:v>
                </c:pt>
                <c:pt idx="67">
                  <c:v>-5.6070111689617247E-4</c:v>
                </c:pt>
                <c:pt idx="68">
                  <c:v>3.8594209948971368E-4</c:v>
                </c:pt>
                <c:pt idx="69">
                  <c:v>-1.0086240426988443E-3</c:v>
                </c:pt>
                <c:pt idx="70">
                  <c:v>-1.1522327055456482E-3</c:v>
                </c:pt>
                <c:pt idx="71">
                  <c:v>-5.3934003851939484E-4</c:v>
                </c:pt>
                <c:pt idx="72">
                  <c:v>-5.1291348728951207E-6</c:v>
                </c:pt>
                <c:pt idx="73">
                  <c:v>8.0408495830188462E-4</c:v>
                </c:pt>
                <c:pt idx="74">
                  <c:v>1.0101306642726882E-3</c:v>
                </c:pt>
                <c:pt idx="75">
                  <c:v>1.1378473816606563E-4</c:v>
                </c:pt>
                <c:pt idx="76">
                  <c:v>-1.8010558289996236E-4</c:v>
                </c:pt>
                <c:pt idx="77">
                  <c:v>-6.5213339418507309E-4</c:v>
                </c:pt>
                <c:pt idx="78">
                  <c:v>-5.760444020524848E-5</c:v>
                </c:pt>
                <c:pt idx="79">
                  <c:v>-4.8973882602413915E-4</c:v>
                </c:pt>
                <c:pt idx="80">
                  <c:v>-4.2320429670633224E-4</c:v>
                </c:pt>
                <c:pt idx="81">
                  <c:v>-1.6405566169238895E-4</c:v>
                </c:pt>
                <c:pt idx="82">
                  <c:v>1.9311837089531301E-4</c:v>
                </c:pt>
                <c:pt idx="83">
                  <c:v>-1.5940087635557548E-4</c:v>
                </c:pt>
                <c:pt idx="84">
                  <c:v>3.9282710143381154E-4</c:v>
                </c:pt>
                <c:pt idx="85">
                  <c:v>-8.2192216680150056E-4</c:v>
                </c:pt>
                <c:pt idx="86">
                  <c:v>-1.5526829677659434E-3</c:v>
                </c:pt>
                <c:pt idx="87">
                  <c:v>-3.7562995237447544E-4</c:v>
                </c:pt>
                <c:pt idx="88">
                  <c:v>7.3581918768406823E-4</c:v>
                </c:pt>
                <c:pt idx="89">
                  <c:v>3.1766720495233501E-6</c:v>
                </c:pt>
                <c:pt idx="90">
                  <c:v>6.2159242760774372E-4</c:v>
                </c:pt>
                <c:pt idx="91">
                  <c:v>2.4661764422310366E-4</c:v>
                </c:pt>
                <c:pt idx="92">
                  <c:v>2.3553262652225375E-4</c:v>
                </c:pt>
                <c:pt idx="93">
                  <c:v>-4.3645161536397573E-4</c:v>
                </c:pt>
                <c:pt idx="94">
                  <c:v>2.9774227993268709E-4</c:v>
                </c:pt>
                <c:pt idx="95">
                  <c:v>-2.6622868790918456E-4</c:v>
                </c:pt>
                <c:pt idx="96">
                  <c:v>-2.6217593893215887E-4</c:v>
                </c:pt>
                <c:pt idx="97">
                  <c:v>-1.7544004854619178E-3</c:v>
                </c:pt>
                <c:pt idx="98">
                  <c:v>1.5103218475599495E-4</c:v>
                </c:pt>
                <c:pt idx="99">
                  <c:v>-3.0744835200396931E-4</c:v>
                </c:pt>
                <c:pt idx="100">
                  <c:v>-1.130258112823003E-3</c:v>
                </c:pt>
                <c:pt idx="101">
                  <c:v>-6.1051816983289807E-4</c:v>
                </c:pt>
                <c:pt idx="102">
                  <c:v>3.5340533247517938E-4</c:v>
                </c:pt>
                <c:pt idx="103">
                  <c:v>-1.7684959066998672E-4</c:v>
                </c:pt>
                <c:pt idx="104">
                  <c:v>1.8311877277109401E-4</c:v>
                </c:pt>
                <c:pt idx="105">
                  <c:v>-6.6049754830891099E-4</c:v>
                </c:pt>
                <c:pt idx="106">
                  <c:v>5.2011299364764494E-4</c:v>
                </c:pt>
                <c:pt idx="107">
                  <c:v>7.2870694947811069E-4</c:v>
                </c:pt>
                <c:pt idx="108">
                  <c:v>5.1068653857100214E-4</c:v>
                </c:pt>
                <c:pt idx="109">
                  <c:v>9.3367948635312539E-4</c:v>
                </c:pt>
                <c:pt idx="110">
                  <c:v>-1.0927855126734347E-3</c:v>
                </c:pt>
                <c:pt idx="111">
                  <c:v>2.598581801767982E-4</c:v>
                </c:pt>
                <c:pt idx="112">
                  <c:v>-7.5302697344131113E-4</c:v>
                </c:pt>
                <c:pt idx="113">
                  <c:v>-3.1801444550819678E-4</c:v>
                </c:pt>
                <c:pt idx="114">
                  <c:v>-9.2361296234420495E-4</c:v>
                </c:pt>
                <c:pt idx="115">
                  <c:v>2.8081590974119217E-4</c:v>
                </c:pt>
                <c:pt idx="116">
                  <c:v>1.5677682425121672E-3</c:v>
                </c:pt>
                <c:pt idx="117">
                  <c:v>1.29663463934249E-4</c:v>
                </c:pt>
                <c:pt idx="118">
                  <c:v>-3.9805540582978831E-4</c:v>
                </c:pt>
                <c:pt idx="119">
                  <c:v>5.4069739811548234E-4</c:v>
                </c:pt>
                <c:pt idx="120">
                  <c:v>4.0779316070311232E-4</c:v>
                </c:pt>
                <c:pt idx="121">
                  <c:v>8.7674768111965838E-4</c:v>
                </c:pt>
                <c:pt idx="122">
                  <c:v>-6.3599982897777406E-4</c:v>
                </c:pt>
                <c:pt idx="123">
                  <c:v>6.0956351022283855E-5</c:v>
                </c:pt>
                <c:pt idx="124">
                  <c:v>-6.7501956154034635E-4</c:v>
                </c:pt>
                <c:pt idx="125">
                  <c:v>8.4808790822328691E-4</c:v>
                </c:pt>
                <c:pt idx="126">
                  <c:v>-7.3076816195585305E-4</c:v>
                </c:pt>
                <c:pt idx="127">
                  <c:v>7.2915148644860041E-4</c:v>
                </c:pt>
                <c:pt idx="128">
                  <c:v>7.6855293623006768E-4</c:v>
                </c:pt>
                <c:pt idx="129">
                  <c:v>1.0591106720827677E-4</c:v>
                </c:pt>
                <c:pt idx="130">
                  <c:v>-6.3142843509801606E-4</c:v>
                </c:pt>
                <c:pt idx="131">
                  <c:v>4.3163053823490983E-4</c:v>
                </c:pt>
                <c:pt idx="132">
                  <c:v>8.5670517469877924E-4</c:v>
                </c:pt>
                <c:pt idx="133">
                  <c:v>1.8086194101696063E-4</c:v>
                </c:pt>
                <c:pt idx="134">
                  <c:v>2.1979123917876958E-3</c:v>
                </c:pt>
                <c:pt idx="135">
                  <c:v>-2.9252958324013672E-4</c:v>
                </c:pt>
                <c:pt idx="136">
                  <c:v>-4.8844384835147476E-4</c:v>
                </c:pt>
                <c:pt idx="137">
                  <c:v>-5.427244479179116E-4</c:v>
                </c:pt>
                <c:pt idx="138">
                  <c:v>3.5107217823720322E-4</c:v>
                </c:pt>
                <c:pt idx="139">
                  <c:v>5.9073551074018983E-4</c:v>
                </c:pt>
                <c:pt idx="140">
                  <c:v>-8.721776719847737E-5</c:v>
                </c:pt>
                <c:pt idx="141">
                  <c:v>2.4732687363721495E-4</c:v>
                </c:pt>
                <c:pt idx="142">
                  <c:v>-1.4966825231515189E-3</c:v>
                </c:pt>
                <c:pt idx="143">
                  <c:v>2.1601636334333017E-4</c:v>
                </c:pt>
                <c:pt idx="144">
                  <c:v>7.7288450662104296E-5</c:v>
                </c:pt>
                <c:pt idx="145">
                  <c:v>7.5318974916500437E-4</c:v>
                </c:pt>
                <c:pt idx="146">
                  <c:v>-9.7721318090602974E-4</c:v>
                </c:pt>
                <c:pt idx="147">
                  <c:v>-1.2738865020822663E-3</c:v>
                </c:pt>
                <c:pt idx="148">
                  <c:v>4.9327386336361651E-4</c:v>
                </c:pt>
                <c:pt idx="149">
                  <c:v>-1.0129579470650189E-3</c:v>
                </c:pt>
                <c:pt idx="150">
                  <c:v>2.6219009817974903E-4</c:v>
                </c:pt>
                <c:pt idx="151">
                  <c:v>-4.1590355063512031E-4</c:v>
                </c:pt>
                <c:pt idx="152">
                  <c:v>1.2355953581729309E-3</c:v>
                </c:pt>
                <c:pt idx="153">
                  <c:v>4.0873526386599733E-4</c:v>
                </c:pt>
                <c:pt idx="154">
                  <c:v>9.1906321337777348E-4</c:v>
                </c:pt>
                <c:pt idx="155">
                  <c:v>-4.1579687389121304E-4</c:v>
                </c:pt>
                <c:pt idx="156">
                  <c:v>-3.2519412999023863E-4</c:v>
                </c:pt>
                <c:pt idx="157">
                  <c:v>3.2251540733164573E-4</c:v>
                </c:pt>
                <c:pt idx="158">
                  <c:v>7.8583124500844384E-4</c:v>
                </c:pt>
                <c:pt idx="159">
                  <c:v>6.5009130252677974E-5</c:v>
                </c:pt>
                <c:pt idx="160">
                  <c:v>6.230344597445487E-4</c:v>
                </c:pt>
                <c:pt idx="161">
                  <c:v>-3.7984897790903089E-4</c:v>
                </c:pt>
                <c:pt idx="162">
                  <c:v>-1.2743565103737193E-3</c:v>
                </c:pt>
                <c:pt idx="163">
                  <c:v>-2.4178816184966388E-4</c:v>
                </c:pt>
                <c:pt idx="164">
                  <c:v>3.4204594083351425E-4</c:v>
                </c:pt>
                <c:pt idx="165">
                  <c:v>9.5181040316912944E-5</c:v>
                </c:pt>
                <c:pt idx="166">
                  <c:v>5.9378200483400966E-4</c:v>
                </c:pt>
                <c:pt idx="167">
                  <c:v>-1.8526531749040499E-3</c:v>
                </c:pt>
                <c:pt idx="168">
                  <c:v>-7.9470665428862009E-4</c:v>
                </c:pt>
                <c:pt idx="169">
                  <c:v>8.7942591198235338E-5</c:v>
                </c:pt>
                <c:pt idx="170">
                  <c:v>1.4078438933331266E-4</c:v>
                </c:pt>
                <c:pt idx="171">
                  <c:v>-5.0293204994593572E-4</c:v>
                </c:pt>
                <c:pt idx="172">
                  <c:v>1.5159265252162114E-3</c:v>
                </c:pt>
                <c:pt idx="173">
                  <c:v>6.2057484928362025E-4</c:v>
                </c:pt>
                <c:pt idx="174">
                  <c:v>-7.9124580913016228E-5</c:v>
                </c:pt>
                <c:pt idx="175">
                  <c:v>-3.4346551065442791E-4</c:v>
                </c:pt>
                <c:pt idx="176">
                  <c:v>4.9071679833918511E-4</c:v>
                </c:pt>
                <c:pt idx="177">
                  <c:v>1.4824660128555088E-4</c:v>
                </c:pt>
                <c:pt idx="178">
                  <c:v>2.0590901935352E-4</c:v>
                </c:pt>
                <c:pt idx="179">
                  <c:v>-2.1192210755818319E-4</c:v>
                </c:pt>
                <c:pt idx="180">
                  <c:v>-1.3195321489797027E-4</c:v>
                </c:pt>
                <c:pt idx="181">
                  <c:v>7.1719156131266925E-4</c:v>
                </c:pt>
                <c:pt idx="182">
                  <c:v>-4.2497207607263297E-4</c:v>
                </c:pt>
                <c:pt idx="183">
                  <c:v>1.0638115774842421E-3</c:v>
                </c:pt>
                <c:pt idx="184">
                  <c:v>-1.5593870082531874E-3</c:v>
                </c:pt>
                <c:pt idx="185">
                  <c:v>7.3921828305290757E-5</c:v>
                </c:pt>
                <c:pt idx="186">
                  <c:v>-2.5153060574867992E-4</c:v>
                </c:pt>
                <c:pt idx="187">
                  <c:v>-2.0422480507140169E-4</c:v>
                </c:pt>
                <c:pt idx="188">
                  <c:v>-5.8757307813256528E-4</c:v>
                </c:pt>
                <c:pt idx="189">
                  <c:v>1.0656310569222367E-3</c:v>
                </c:pt>
                <c:pt idx="190">
                  <c:v>8.3776659327903364E-4</c:v>
                </c:pt>
                <c:pt idx="191">
                  <c:v>-1.1386944450474347E-3</c:v>
                </c:pt>
                <c:pt idx="192">
                  <c:v>-1.0642135588136885E-3</c:v>
                </c:pt>
                <c:pt idx="193">
                  <c:v>1.5099105965403213E-4</c:v>
                </c:pt>
                <c:pt idx="194">
                  <c:v>1.3908456637258044E-4</c:v>
                </c:pt>
                <c:pt idx="195">
                  <c:v>8.6645610567201415E-4</c:v>
                </c:pt>
                <c:pt idx="196">
                  <c:v>1.1320791505640196E-3</c:v>
                </c:pt>
                <c:pt idx="197">
                  <c:v>-5.760437207144349E-4</c:v>
                </c:pt>
                <c:pt idx="198">
                  <c:v>-1.0051885037666197E-3</c:v>
                </c:pt>
                <c:pt idx="199">
                  <c:v>-1.0940373083259158E-3</c:v>
                </c:pt>
                <c:pt idx="200">
                  <c:v>-6.9875548683855353E-4</c:v>
                </c:pt>
                <c:pt idx="201">
                  <c:v>-6.2459140944476626E-4</c:v>
                </c:pt>
                <c:pt idx="202">
                  <c:v>-2.4803412763049277E-4</c:v>
                </c:pt>
                <c:pt idx="203">
                  <c:v>-1.0735039391072843E-3</c:v>
                </c:pt>
                <c:pt idx="204">
                  <c:v>-1.299951540704031E-4</c:v>
                </c:pt>
                <c:pt idx="205">
                  <c:v>-2.6686482836069586E-4</c:v>
                </c:pt>
                <c:pt idx="206">
                  <c:v>2.7738465454033607E-5</c:v>
                </c:pt>
                <c:pt idx="207">
                  <c:v>5.2885020161132691E-5</c:v>
                </c:pt>
                <c:pt idx="208">
                  <c:v>1.7058895770235861E-5</c:v>
                </c:pt>
                <c:pt idx="209">
                  <c:v>8.6938219094567152E-4</c:v>
                </c:pt>
                <c:pt idx="210">
                  <c:v>-1.1404646537426645E-3</c:v>
                </c:pt>
                <c:pt idx="211">
                  <c:v>4.9272668365194655E-4</c:v>
                </c:pt>
                <c:pt idx="212">
                  <c:v>-5.2188416763575057E-4</c:v>
                </c:pt>
                <c:pt idx="213">
                  <c:v>-3.9805112054153299E-4</c:v>
                </c:pt>
                <c:pt idx="214">
                  <c:v>-2.9108371647910139E-5</c:v>
                </c:pt>
                <c:pt idx="215">
                  <c:v>-7.6304134366368516E-5</c:v>
                </c:pt>
                <c:pt idx="216">
                  <c:v>-2.5898991197092792E-4</c:v>
                </c:pt>
                <c:pt idx="217">
                  <c:v>3.673759438794372E-4</c:v>
                </c:pt>
                <c:pt idx="218">
                  <c:v>2.5576719219833728E-4</c:v>
                </c:pt>
                <c:pt idx="219">
                  <c:v>-5.260051184571451E-4</c:v>
                </c:pt>
                <c:pt idx="220">
                  <c:v>-6.0512907982019682E-4</c:v>
                </c:pt>
                <c:pt idx="221">
                  <c:v>-1.6858157096109684E-5</c:v>
                </c:pt>
                <c:pt idx="222">
                  <c:v>1.5117005252698106E-4</c:v>
                </c:pt>
                <c:pt idx="223">
                  <c:v>-3.6860698001842316E-5</c:v>
                </c:pt>
                <c:pt idx="224">
                  <c:v>-5.1016310601537085E-4</c:v>
                </c:pt>
                <c:pt idx="225">
                  <c:v>5.8440319398889477E-4</c:v>
                </c:pt>
                <c:pt idx="226">
                  <c:v>3.4803287620654093E-4</c:v>
                </c:pt>
                <c:pt idx="227">
                  <c:v>-8.3361921747453097E-4</c:v>
                </c:pt>
                <c:pt idx="228">
                  <c:v>4.4075090705785776E-4</c:v>
                </c:pt>
                <c:pt idx="229">
                  <c:v>-1.2030753080189063E-4</c:v>
                </c:pt>
                <c:pt idx="230">
                  <c:v>-1.079815730256257E-4</c:v>
                </c:pt>
                <c:pt idx="231">
                  <c:v>4.3456982430655123E-4</c:v>
                </c:pt>
                <c:pt idx="232">
                  <c:v>-1.3084892135081547E-4</c:v>
                </c:pt>
                <c:pt idx="233">
                  <c:v>5.1825708437729632E-4</c:v>
                </c:pt>
                <c:pt idx="234">
                  <c:v>-5.3160292851193438E-4</c:v>
                </c:pt>
                <c:pt idx="235">
                  <c:v>2.1100460381811184E-4</c:v>
                </c:pt>
                <c:pt idx="236">
                  <c:v>-1.0409145467340792E-4</c:v>
                </c:pt>
                <c:pt idx="237">
                  <c:v>-1.1858179304550251E-3</c:v>
                </c:pt>
                <c:pt idx="238">
                  <c:v>4.6654108102369866E-4</c:v>
                </c:pt>
                <c:pt idx="239">
                  <c:v>3.8633964956688691E-4</c:v>
                </c:pt>
                <c:pt idx="240">
                  <c:v>4.5223370781722727E-4</c:v>
                </c:pt>
                <c:pt idx="241">
                  <c:v>7.2048800010064392E-5</c:v>
                </c:pt>
                <c:pt idx="242">
                  <c:v>-2.4407825275610428E-5</c:v>
                </c:pt>
                <c:pt idx="243">
                  <c:v>2.072405337815935E-4</c:v>
                </c:pt>
                <c:pt idx="244">
                  <c:v>7.5331619421910995E-4</c:v>
                </c:pt>
                <c:pt idx="245">
                  <c:v>-8.6224491610985678E-4</c:v>
                </c:pt>
                <c:pt idx="246">
                  <c:v>-3.454110872693473E-4</c:v>
                </c:pt>
                <c:pt idx="247">
                  <c:v>3.0596639489924429E-4</c:v>
                </c:pt>
                <c:pt idx="248">
                  <c:v>5.8522750843713204E-4</c:v>
                </c:pt>
                <c:pt idx="249">
                  <c:v>5.1521366259909412E-4</c:v>
                </c:pt>
                <c:pt idx="250">
                  <c:v>3.0326979846280764E-4</c:v>
                </c:pt>
                <c:pt idx="251">
                  <c:v>4.1225984046104136E-4</c:v>
                </c:pt>
                <c:pt idx="252">
                  <c:v>-3.2556087903151313E-4</c:v>
                </c:pt>
                <c:pt idx="253">
                  <c:v>3.2315905691588065E-4</c:v>
                </c:pt>
                <c:pt idx="254">
                  <c:v>2.8296529196150568E-4</c:v>
                </c:pt>
                <c:pt idx="255">
                  <c:v>5.9305518600625011E-4</c:v>
                </c:pt>
                <c:pt idx="256">
                  <c:v>6.7104542306709253E-4</c:v>
                </c:pt>
                <c:pt idx="257">
                  <c:v>1.1362187708680725E-3</c:v>
                </c:pt>
                <c:pt idx="258">
                  <c:v>6.2634516381179447E-4</c:v>
                </c:pt>
                <c:pt idx="259">
                  <c:v>2.2973467969733831E-4</c:v>
                </c:pt>
                <c:pt idx="260">
                  <c:v>2.0797754075255751E-4</c:v>
                </c:pt>
                <c:pt idx="261">
                  <c:v>3.0660170636631926E-4</c:v>
                </c:pt>
                <c:pt idx="262">
                  <c:v>6.2323991195476543E-4</c:v>
                </c:pt>
                <c:pt idx="263">
                  <c:v>1.6541212533483269E-4</c:v>
                </c:pt>
                <c:pt idx="264">
                  <c:v>5.5059902337933854E-4</c:v>
                </c:pt>
                <c:pt idx="265">
                  <c:v>-1.2041188824574395E-4</c:v>
                </c:pt>
                <c:pt idx="266">
                  <c:v>-1.5792514409629377E-3</c:v>
                </c:pt>
                <c:pt idx="267">
                  <c:v>-6.0432653297696255E-5</c:v>
                </c:pt>
                <c:pt idx="268">
                  <c:v>5.1124340417854739E-4</c:v>
                </c:pt>
                <c:pt idx="269">
                  <c:v>3.0406239446333463E-4</c:v>
                </c:pt>
                <c:pt idx="270">
                  <c:v>-6.4662341250833709E-4</c:v>
                </c:pt>
                <c:pt idx="271">
                  <c:v>2.385177646133138E-6</c:v>
                </c:pt>
                <c:pt idx="272">
                  <c:v>4.8520228610792582E-4</c:v>
                </c:pt>
                <c:pt idx="273">
                  <c:v>-2.6657105918098228E-4</c:v>
                </c:pt>
                <c:pt idx="274">
                  <c:v>3.8743431226318767E-4</c:v>
                </c:pt>
                <c:pt idx="275">
                  <c:v>6.6259908123624683E-4</c:v>
                </c:pt>
                <c:pt idx="276">
                  <c:v>2.9881513406781291E-4</c:v>
                </c:pt>
                <c:pt idx="277">
                  <c:v>5.3522862464340146E-4</c:v>
                </c:pt>
                <c:pt idx="278">
                  <c:v>-2.4711346968851305E-4</c:v>
                </c:pt>
                <c:pt idx="279">
                  <c:v>1.237830726386646E-3</c:v>
                </c:pt>
                <c:pt idx="280">
                  <c:v>-1.1781931225099136E-4</c:v>
                </c:pt>
                <c:pt idx="281">
                  <c:v>-6.2782928268458082E-4</c:v>
                </c:pt>
                <c:pt idx="282">
                  <c:v>1.2717336046452797E-4</c:v>
                </c:pt>
                <c:pt idx="283">
                  <c:v>8.3427113843275249E-4</c:v>
                </c:pt>
                <c:pt idx="284">
                  <c:v>8.4249754670046365E-4</c:v>
                </c:pt>
                <c:pt idx="285">
                  <c:v>2.8618046465467522E-4</c:v>
                </c:pt>
                <c:pt idx="286">
                  <c:v>3.0715336262999039E-4</c:v>
                </c:pt>
                <c:pt idx="287">
                  <c:v>-7.4418599748377241E-4</c:v>
                </c:pt>
                <c:pt idx="288">
                  <c:v>-4.1016055324079521E-4</c:v>
                </c:pt>
                <c:pt idx="289">
                  <c:v>1.8780760893344025E-5</c:v>
                </c:pt>
                <c:pt idx="290">
                  <c:v>5.0361768720042172E-4</c:v>
                </c:pt>
                <c:pt idx="291">
                  <c:v>2.9359533386718835E-4</c:v>
                </c:pt>
                <c:pt idx="292">
                  <c:v>-5.0552843844470241E-4</c:v>
                </c:pt>
                <c:pt idx="293">
                  <c:v>8.152022340746414E-4</c:v>
                </c:pt>
                <c:pt idx="294">
                  <c:v>-3.0866029084657007E-4</c:v>
                </c:pt>
                <c:pt idx="295">
                  <c:v>-7.4972855852027394E-4</c:v>
                </c:pt>
                <c:pt idx="296">
                  <c:v>9.8180221106549531E-4</c:v>
                </c:pt>
                <c:pt idx="297">
                  <c:v>3.1921193177814207E-4</c:v>
                </c:pt>
                <c:pt idx="298">
                  <c:v>8.0020078139757408E-4</c:v>
                </c:pt>
                <c:pt idx="299">
                  <c:v>-3.0772065723531098E-4</c:v>
                </c:pt>
                <c:pt idx="300">
                  <c:v>-8.0583118988081779E-4</c:v>
                </c:pt>
                <c:pt idx="301">
                  <c:v>8.4646328631497324E-4</c:v>
                </c:pt>
                <c:pt idx="302">
                  <c:v>1.3854719801195184E-3</c:v>
                </c:pt>
                <c:pt idx="303">
                  <c:v>-7.7021664612210851E-4</c:v>
                </c:pt>
                <c:pt idx="304">
                  <c:v>-5.3220706126240827E-4</c:v>
                </c:pt>
                <c:pt idx="305">
                  <c:v>-4.4672555745282647E-5</c:v>
                </c:pt>
                <c:pt idx="306">
                  <c:v>7.1901264403696687E-4</c:v>
                </c:pt>
                <c:pt idx="307">
                  <c:v>2.0031255970418864E-4</c:v>
                </c:pt>
                <c:pt idx="308">
                  <c:v>-1.2303875288170467E-3</c:v>
                </c:pt>
                <c:pt idx="309">
                  <c:v>1.4013812605879901E-3</c:v>
                </c:pt>
                <c:pt idx="310">
                  <c:v>-3.9981737429422778E-4</c:v>
                </c:pt>
                <c:pt idx="311">
                  <c:v>-6.2113023869828728E-4</c:v>
                </c:pt>
                <c:pt idx="312">
                  <c:v>-6.9559042622471378E-4</c:v>
                </c:pt>
                <c:pt idx="313">
                  <c:v>1.2532604452342735E-3</c:v>
                </c:pt>
                <c:pt idx="314">
                  <c:v>1.7828266033831073E-3</c:v>
                </c:pt>
                <c:pt idx="315">
                  <c:v>6.4699242140967201E-4</c:v>
                </c:pt>
                <c:pt idx="316">
                  <c:v>-3.8595449091711266E-4</c:v>
                </c:pt>
                <c:pt idx="317">
                  <c:v>-1.1041792301722069E-3</c:v>
                </c:pt>
                <c:pt idx="318">
                  <c:v>-6.0022902991974428E-4</c:v>
                </c:pt>
                <c:pt idx="319">
                  <c:v>1.2681688155477345E-3</c:v>
                </c:pt>
                <c:pt idx="320">
                  <c:v>2.2098713499596551E-4</c:v>
                </c:pt>
                <c:pt idx="321">
                  <c:v>1.2233918254376396E-3</c:v>
                </c:pt>
                <c:pt idx="322">
                  <c:v>-4.2821458919912992E-4</c:v>
                </c:pt>
                <c:pt idx="323">
                  <c:v>1.7883716579712638E-4</c:v>
                </c:pt>
                <c:pt idx="324">
                  <c:v>1.0733061602261325E-3</c:v>
                </c:pt>
                <c:pt idx="325">
                  <c:v>-1.2102328861702434E-3</c:v>
                </c:pt>
                <c:pt idx="326">
                  <c:v>7.5441345594976059E-4</c:v>
                </c:pt>
                <c:pt idx="327">
                  <c:v>-6.2750601781910503E-4</c:v>
                </c:pt>
                <c:pt idx="328">
                  <c:v>-5.0449724052391244E-4</c:v>
                </c:pt>
                <c:pt idx="329">
                  <c:v>3.9304299435802341E-4</c:v>
                </c:pt>
                <c:pt idx="330">
                  <c:v>-2.0156244173492028E-4</c:v>
                </c:pt>
                <c:pt idx="331">
                  <c:v>-2.115741854494059E-4</c:v>
                </c:pt>
                <c:pt idx="332">
                  <c:v>4.7107440590974337E-5</c:v>
                </c:pt>
                <c:pt idx="333">
                  <c:v>1.0196550683446309E-4</c:v>
                </c:pt>
                <c:pt idx="334">
                  <c:v>1.5859470068900943E-3</c:v>
                </c:pt>
                <c:pt idx="335">
                  <c:v>-3.7124638754300131E-4</c:v>
                </c:pt>
                <c:pt idx="336">
                  <c:v>-3.046803975599199E-5</c:v>
                </c:pt>
                <c:pt idx="337">
                  <c:v>-1.8373518942979274E-4</c:v>
                </c:pt>
                <c:pt idx="338">
                  <c:v>1.7046568158206345E-4</c:v>
                </c:pt>
                <c:pt idx="339">
                  <c:v>2.7288533234041284E-4</c:v>
                </c:pt>
                <c:pt idx="340">
                  <c:v>2.4697243433183758E-5</c:v>
                </c:pt>
                <c:pt idx="341">
                  <c:v>-4.098246095201533E-4</c:v>
                </c:pt>
                <c:pt idx="342">
                  <c:v>-5.5739887897731876E-5</c:v>
                </c:pt>
                <c:pt idx="343">
                  <c:v>3.8028776627104554E-5</c:v>
                </c:pt>
                <c:pt idx="344">
                  <c:v>-4.4449871984405544E-4</c:v>
                </c:pt>
                <c:pt idx="345">
                  <c:v>-6.5616989398315363E-4</c:v>
                </c:pt>
                <c:pt idx="346">
                  <c:v>-1.1420602755078189E-3</c:v>
                </c:pt>
                <c:pt idx="347">
                  <c:v>-6.8735295924275057E-4</c:v>
                </c:pt>
                <c:pt idx="348">
                  <c:v>-1.2965321734170639E-3</c:v>
                </c:pt>
                <c:pt idx="349">
                  <c:v>6.8282680009018991E-5</c:v>
                </c:pt>
                <c:pt idx="350">
                  <c:v>-9.9861068778725188E-4</c:v>
                </c:pt>
                <c:pt idx="351">
                  <c:v>5.2718453219381927E-4</c:v>
                </c:pt>
                <c:pt idx="352">
                  <c:v>5.1921473068257341E-4</c:v>
                </c:pt>
                <c:pt idx="353">
                  <c:v>-1.495063942585477E-4</c:v>
                </c:pt>
                <c:pt idx="354">
                  <c:v>-2.3614985933697948E-4</c:v>
                </c:pt>
                <c:pt idx="355">
                  <c:v>-3.394581292683849E-4</c:v>
                </c:pt>
                <c:pt idx="356">
                  <c:v>6.7607379253471777E-4</c:v>
                </c:pt>
                <c:pt idx="357">
                  <c:v>-2.8230918017726841E-4</c:v>
                </c:pt>
                <c:pt idx="358">
                  <c:v>-1.56615027528069E-3</c:v>
                </c:pt>
                <c:pt idx="359">
                  <c:v>8.8160314457966366E-6</c:v>
                </c:pt>
                <c:pt idx="360">
                  <c:v>9.2950484154036284E-4</c:v>
                </c:pt>
                <c:pt idx="361">
                  <c:v>9.3605553326719904E-4</c:v>
                </c:pt>
                <c:pt idx="362">
                  <c:v>-3.648988856706391E-4</c:v>
                </c:pt>
                <c:pt idx="363">
                  <c:v>1.8268443148402604E-4</c:v>
                </c:pt>
                <c:pt idx="364">
                  <c:v>7.1385809312703803E-4</c:v>
                </c:pt>
                <c:pt idx="365">
                  <c:v>3.6693761295702174E-4</c:v>
                </c:pt>
                <c:pt idx="366">
                  <c:v>7.4658564590014643E-4</c:v>
                </c:pt>
                <c:pt idx="367">
                  <c:v>1.9256595905061359E-4</c:v>
                </c:pt>
                <c:pt idx="368">
                  <c:v>-1.0234420772548597E-3</c:v>
                </c:pt>
                <c:pt idx="369">
                  <c:v>-1.7155722757585795E-4</c:v>
                </c:pt>
                <c:pt idx="370">
                  <c:v>7.4999438032190659E-4</c:v>
                </c:pt>
                <c:pt idx="371">
                  <c:v>3.2757433829845914E-4</c:v>
                </c:pt>
                <c:pt idx="372">
                  <c:v>-8.0423629269413214E-5</c:v>
                </c:pt>
                <c:pt idx="373">
                  <c:v>7.224332516938387E-4</c:v>
                </c:pt>
                <c:pt idx="374">
                  <c:v>-1.3412763207466991E-3</c:v>
                </c:pt>
                <c:pt idx="375">
                  <c:v>-9.2074378201648956E-4</c:v>
                </c:pt>
                <c:pt idx="376">
                  <c:v>-9.6536975009078871E-5</c:v>
                </c:pt>
                <c:pt idx="377">
                  <c:v>6.7380231826206735E-4</c:v>
                </c:pt>
                <c:pt idx="378">
                  <c:v>1.3539993123287778E-4</c:v>
                </c:pt>
                <c:pt idx="379">
                  <c:v>3.4006299286402865E-4</c:v>
                </c:pt>
                <c:pt idx="380">
                  <c:v>2.3725679603594241E-4</c:v>
                </c:pt>
                <c:pt idx="381">
                  <c:v>-9.5402719868143359E-4</c:v>
                </c:pt>
                <c:pt idx="382">
                  <c:v>5.5296721774368161E-4</c:v>
                </c:pt>
                <c:pt idx="383">
                  <c:v>1.5249194833720455E-3</c:v>
                </c:pt>
                <c:pt idx="384">
                  <c:v>6.5351648608164557E-4</c:v>
                </c:pt>
                <c:pt idx="385">
                  <c:v>1.4135357090853449E-4</c:v>
                </c:pt>
                <c:pt idx="386">
                  <c:v>4.2456367312999957E-7</c:v>
                </c:pt>
                <c:pt idx="387">
                  <c:v>-9.6112544729390763E-5</c:v>
                </c:pt>
                <c:pt idx="388">
                  <c:v>-1.0655200932518801E-3</c:v>
                </c:pt>
                <c:pt idx="389">
                  <c:v>-4.3731625971958464E-4</c:v>
                </c:pt>
                <c:pt idx="390">
                  <c:v>-1.1555939524474591E-3</c:v>
                </c:pt>
                <c:pt idx="391">
                  <c:v>-1.1759163989289098E-3</c:v>
                </c:pt>
                <c:pt idx="392">
                  <c:v>4.966698666768512E-4</c:v>
                </c:pt>
                <c:pt idx="393">
                  <c:v>-1.4660532868089415E-3</c:v>
                </c:pt>
                <c:pt idx="394">
                  <c:v>-8.2191542285085697E-4</c:v>
                </c:pt>
                <c:pt idx="395">
                  <c:v>5.6242827851804404E-4</c:v>
                </c:pt>
                <c:pt idx="396">
                  <c:v>7.75453524041913E-4</c:v>
                </c:pt>
                <c:pt idx="397">
                  <c:v>-1.3792161304446114E-3</c:v>
                </c:pt>
                <c:pt idx="398">
                  <c:v>1.9312126814329244E-4</c:v>
                </c:pt>
                <c:pt idx="399">
                  <c:v>-7.4432992774641686E-4</c:v>
                </c:pt>
                <c:pt idx="400">
                  <c:v>-3.7309898007141404E-4</c:v>
                </c:pt>
                <c:pt idx="401">
                  <c:v>-1.4577384463254307E-3</c:v>
                </c:pt>
                <c:pt idx="402">
                  <c:v>-7.7217162234899568E-4</c:v>
                </c:pt>
                <c:pt idx="403">
                  <c:v>0</c:v>
                </c:pt>
                <c:pt idx="404">
                  <c:v>3.41956954459156E-4</c:v>
                </c:pt>
                <c:pt idx="405">
                  <c:v>-1.2297074470958267E-3</c:v>
                </c:pt>
                <c:pt idx="406">
                  <c:v>3.7646269139207124E-4</c:v>
                </c:pt>
                <c:pt idx="407">
                  <c:v>-2.848891989723569E-4</c:v>
                </c:pt>
                <c:pt idx="408">
                  <c:v>-3.6674686626985271E-5</c:v>
                </c:pt>
                <c:pt idx="409">
                  <c:v>3.0572579986585354E-5</c:v>
                </c:pt>
                <c:pt idx="410">
                  <c:v>6.1406872926913776E-4</c:v>
                </c:pt>
                <c:pt idx="411">
                  <c:v>-1.3191124324067288E-3</c:v>
                </c:pt>
                <c:pt idx="412">
                  <c:v>-4.3657477507017564E-4</c:v>
                </c:pt>
                <c:pt idx="413">
                  <c:v>-3.5108749358189842E-6</c:v>
                </c:pt>
                <c:pt idx="414">
                  <c:v>-1.2306279786767195E-3</c:v>
                </c:pt>
                <c:pt idx="415">
                  <c:v>-1.6655976313223035E-3</c:v>
                </c:pt>
                <c:pt idx="416">
                  <c:v>-7.9812624059662262E-4</c:v>
                </c:pt>
                <c:pt idx="417">
                  <c:v>-2.022229172680376E-3</c:v>
                </c:pt>
                <c:pt idx="418">
                  <c:v>-5.4162533701776919E-5</c:v>
                </c:pt>
                <c:pt idx="419">
                  <c:v>1.2036282322050238E-4</c:v>
                </c:pt>
                <c:pt idx="420">
                  <c:v>-7.8828465125348104E-4</c:v>
                </c:pt>
                <c:pt idx="421">
                  <c:v>5.3358764792446806E-4</c:v>
                </c:pt>
                <c:pt idx="422">
                  <c:v>4.3481238160224456E-4</c:v>
                </c:pt>
                <c:pt idx="423">
                  <c:v>-5.5195966865264831E-4</c:v>
                </c:pt>
                <c:pt idx="424">
                  <c:v>-9.2037201830250239E-5</c:v>
                </c:pt>
                <c:pt idx="425">
                  <c:v>-1.0566081700379034E-3</c:v>
                </c:pt>
                <c:pt idx="426">
                  <c:v>1.0605503206264858E-3</c:v>
                </c:pt>
                <c:pt idx="427">
                  <c:v>1.1884958885652089E-4</c:v>
                </c:pt>
                <c:pt idx="428">
                  <c:v>9.239397976961545E-5</c:v>
                </c:pt>
                <c:pt idx="429">
                  <c:v>-1.6691426534733131E-4</c:v>
                </c:pt>
                <c:pt idx="430">
                  <c:v>1.9339403811375317E-4</c:v>
                </c:pt>
                <c:pt idx="431">
                  <c:v>2.9308076402870671E-4</c:v>
                </c:pt>
                <c:pt idx="432">
                  <c:v>-6.0012629065113964E-4</c:v>
                </c:pt>
                <c:pt idx="433">
                  <c:v>5.6442804665269548E-5</c:v>
                </c:pt>
                <c:pt idx="434">
                  <c:v>-4.5509022800706392E-4</c:v>
                </c:pt>
                <c:pt idx="435">
                  <c:v>-7.2315704741193071E-5</c:v>
                </c:pt>
                <c:pt idx="436">
                  <c:v>-3.5548304651572592E-4</c:v>
                </c:pt>
                <c:pt idx="437">
                  <c:v>9.2841417857773191E-5</c:v>
                </c:pt>
                <c:pt idx="438">
                  <c:v>1.4867038609942417E-5</c:v>
                </c:pt>
                <c:pt idx="439">
                  <c:v>1.3470521735629141E-3</c:v>
                </c:pt>
                <c:pt idx="440">
                  <c:v>-5.6595468277486531E-4</c:v>
                </c:pt>
                <c:pt idx="441">
                  <c:v>-1.4889154314542802E-3</c:v>
                </c:pt>
                <c:pt idx="442">
                  <c:v>-1.2044934644188658E-3</c:v>
                </c:pt>
                <c:pt idx="443">
                  <c:v>-6.4688807984571064E-4</c:v>
                </c:pt>
                <c:pt idx="444">
                  <c:v>5.9478474243808129E-4</c:v>
                </c:pt>
                <c:pt idx="445">
                  <c:v>7.9826616620635993E-4</c:v>
                </c:pt>
                <c:pt idx="446">
                  <c:v>-6.647983150405057E-4</c:v>
                </c:pt>
                <c:pt idx="447">
                  <c:v>-9.9478785485987561E-4</c:v>
                </c:pt>
                <c:pt idx="448">
                  <c:v>2.9077831254914059E-4</c:v>
                </c:pt>
                <c:pt idx="449">
                  <c:v>-6.5095780571276058E-4</c:v>
                </c:pt>
                <c:pt idx="450">
                  <c:v>-1.3829761206744627E-4</c:v>
                </c:pt>
                <c:pt idx="451">
                  <c:v>-1.6967882461300186E-3</c:v>
                </c:pt>
                <c:pt idx="452">
                  <c:v>-5.9514754761173252E-4</c:v>
                </c:pt>
                <c:pt idx="453">
                  <c:v>1.8531366574220769E-4</c:v>
                </c:pt>
                <c:pt idx="454">
                  <c:v>4.0398660603209929E-4</c:v>
                </c:pt>
                <c:pt idx="455">
                  <c:v>-1.2188901865712027E-3</c:v>
                </c:pt>
                <c:pt idx="456">
                  <c:v>2.6034374754399498E-4</c:v>
                </c:pt>
                <c:pt idx="457">
                  <c:v>7.4370342883350556E-4</c:v>
                </c:pt>
                <c:pt idx="458">
                  <c:v>-3.4629023649038003E-4</c:v>
                </c:pt>
                <c:pt idx="459">
                  <c:v>-1.1860772744149998E-4</c:v>
                </c:pt>
                <c:pt idx="460">
                  <c:v>7.0357623578857316E-4</c:v>
                </c:pt>
                <c:pt idx="461">
                  <c:v>8.8709150891751372E-5</c:v>
                </c:pt>
                <c:pt idx="462">
                  <c:v>6.5672531537082736E-4</c:v>
                </c:pt>
                <c:pt idx="463">
                  <c:v>-8.9498906772890019E-4</c:v>
                </c:pt>
                <c:pt idx="464">
                  <c:v>1.4126119758904861E-4</c:v>
                </c:pt>
                <c:pt idx="465">
                  <c:v>-7.8522506287438871E-4</c:v>
                </c:pt>
                <c:pt idx="466">
                  <c:v>1.2283163479250671E-3</c:v>
                </c:pt>
                <c:pt idx="467">
                  <c:v>-9.0957138049140257E-4</c:v>
                </c:pt>
                <c:pt idx="468">
                  <c:v>-1.0482544935982183E-4</c:v>
                </c:pt>
                <c:pt idx="469">
                  <c:v>-2.7834113435484949E-4</c:v>
                </c:pt>
                <c:pt idx="470">
                  <c:v>-4.1978412556067306E-4</c:v>
                </c:pt>
                <c:pt idx="471">
                  <c:v>-1.137377124556201E-3</c:v>
                </c:pt>
                <c:pt idx="472">
                  <c:v>1.4986786785148122E-4</c:v>
                </c:pt>
                <c:pt idx="473">
                  <c:v>9.2555144040892736E-5</c:v>
                </c:pt>
                <c:pt idx="474">
                  <c:v>3.0120759420444444E-4</c:v>
                </c:pt>
                <c:pt idx="475">
                  <c:v>5.6332680866949937E-4</c:v>
                </c:pt>
                <c:pt idx="476">
                  <c:v>-5.0168483977756809E-4</c:v>
                </c:pt>
                <c:pt idx="477">
                  <c:v>-9.7584282713099779E-4</c:v>
                </c:pt>
                <c:pt idx="478">
                  <c:v>-3.4489019292280557E-5</c:v>
                </c:pt>
                <c:pt idx="479">
                  <c:v>-1.5237292867826351E-5</c:v>
                </c:pt>
                <c:pt idx="480">
                  <c:v>3.0288176277202611E-4</c:v>
                </c:pt>
                <c:pt idx="481">
                  <c:v>1.2514870188411165E-3</c:v>
                </c:pt>
                <c:pt idx="482">
                  <c:v>2.9483179961364224E-4</c:v>
                </c:pt>
                <c:pt idx="483">
                  <c:v>-2.7984526260227681E-4</c:v>
                </c:pt>
                <c:pt idx="484">
                  <c:v>-2.2526980048593736E-5</c:v>
                </c:pt>
                <c:pt idx="485">
                  <c:v>9.7053261659041075E-4</c:v>
                </c:pt>
                <c:pt idx="486">
                  <c:v>3.7988126357926691E-4</c:v>
                </c:pt>
                <c:pt idx="487">
                  <c:v>8.0448241923319571E-4</c:v>
                </c:pt>
                <c:pt idx="488">
                  <c:v>3.3178382623481542E-4</c:v>
                </c:pt>
                <c:pt idx="489">
                  <c:v>-4.3387878289447983E-4</c:v>
                </c:pt>
                <c:pt idx="490">
                  <c:v>-2.5319586211084187E-4</c:v>
                </c:pt>
                <c:pt idx="491">
                  <c:v>1.4832988725676659E-4</c:v>
                </c:pt>
                <c:pt idx="492">
                  <c:v>1.4583153932225371E-5</c:v>
                </c:pt>
                <c:pt idx="493">
                  <c:v>1.1105845897052359E-4</c:v>
                </c:pt>
                <c:pt idx="494">
                  <c:v>7.8875152068697137E-4</c:v>
                </c:pt>
                <c:pt idx="495">
                  <c:v>4.966282296026464E-4</c:v>
                </c:pt>
                <c:pt idx="496">
                  <c:v>2.2921310030577701E-4</c:v>
                </c:pt>
                <c:pt idx="497">
                  <c:v>-4.5023790200157893E-4</c:v>
                </c:pt>
                <c:pt idx="498">
                  <c:v>2.5970017982558842E-4</c:v>
                </c:pt>
                <c:pt idx="499">
                  <c:v>-3.4317255179539392E-4</c:v>
                </c:pt>
                <c:pt idx="500">
                  <c:v>-5.2766031789556729E-4</c:v>
                </c:pt>
                <c:pt idx="501">
                  <c:v>1.8396410554760369E-3</c:v>
                </c:pt>
                <c:pt idx="502">
                  <c:v>-6.5759761580051897E-4</c:v>
                </c:pt>
                <c:pt idx="503">
                  <c:v>-1.3457435454829696E-4</c:v>
                </c:pt>
                <c:pt idx="504">
                  <c:v>5.4430975681974705E-4</c:v>
                </c:pt>
                <c:pt idx="505">
                  <c:v>2.4387049049403518E-4</c:v>
                </c:pt>
                <c:pt idx="506">
                  <c:v>-5.2993086416986519E-4</c:v>
                </c:pt>
                <c:pt idx="507">
                  <c:v>-3.0450791666355152E-4</c:v>
                </c:pt>
                <c:pt idx="508">
                  <c:v>-4.552645333763492E-4</c:v>
                </c:pt>
                <c:pt idx="509">
                  <c:v>-2.5134319169471848E-4</c:v>
                </c:pt>
                <c:pt idx="510">
                  <c:v>-5.7447546132182467E-4</c:v>
                </c:pt>
                <c:pt idx="511">
                  <c:v>6.8358329604051868E-4</c:v>
                </c:pt>
                <c:pt idx="512">
                  <c:v>1.8355522839936183E-4</c:v>
                </c:pt>
                <c:pt idx="513">
                  <c:v>1.1904647611040897E-3</c:v>
                </c:pt>
                <c:pt idx="514">
                  <c:v>6.054484104806193E-4</c:v>
                </c:pt>
                <c:pt idx="515">
                  <c:v>-1.388202424720801E-4</c:v>
                </c:pt>
                <c:pt idx="516">
                  <c:v>6.3543643121183422E-5</c:v>
                </c:pt>
                <c:pt idx="517">
                  <c:v>-9.6044854232496806E-4</c:v>
                </c:pt>
                <c:pt idx="518">
                  <c:v>-1.0461509757082683E-4</c:v>
                </c:pt>
                <c:pt idx="519">
                  <c:v>-1.2118158281916645E-4</c:v>
                </c:pt>
                <c:pt idx="520">
                  <c:v>4.983779648488385E-5</c:v>
                </c:pt>
                <c:pt idx="521">
                  <c:v>5.9770039102163807E-5</c:v>
                </c:pt>
                <c:pt idx="522">
                  <c:v>-3.6558271294432281E-4</c:v>
                </c:pt>
                <c:pt idx="523">
                  <c:v>-9.4677349118311966E-5</c:v>
                </c:pt>
                <c:pt idx="524">
                  <c:v>4.2984825627221139E-4</c:v>
                </c:pt>
                <c:pt idx="525">
                  <c:v>-1.0242732435538394E-3</c:v>
                </c:pt>
                <c:pt idx="526">
                  <c:v>-7.1727257811349547E-4</c:v>
                </c:pt>
                <c:pt idx="527">
                  <c:v>5.1599647836805514E-4</c:v>
                </c:pt>
                <c:pt idx="528">
                  <c:v>-1.86615602627637E-5</c:v>
                </c:pt>
                <c:pt idx="529">
                  <c:v>3.4718363051130326E-4</c:v>
                </c:pt>
                <c:pt idx="530">
                  <c:v>-9.9822952741384694E-5</c:v>
                </c:pt>
                <c:pt idx="531">
                  <c:v>-4.1321496775947679E-4</c:v>
                </c:pt>
                <c:pt idx="532">
                  <c:v>-2.7538543075716844E-4</c:v>
                </c:pt>
                <c:pt idx="533">
                  <c:v>3.1762885328720747E-4</c:v>
                </c:pt>
                <c:pt idx="534">
                  <c:v>1.0200870075099116E-3</c:v>
                </c:pt>
                <c:pt idx="535">
                  <c:v>-2.5915348166773166E-4</c:v>
                </c:pt>
                <c:pt idx="536">
                  <c:v>1.2051425384965558E-4</c:v>
                </c:pt>
                <c:pt idx="537">
                  <c:v>9.4676282440030895E-4</c:v>
                </c:pt>
                <c:pt idx="538">
                  <c:v>1.3295021906477127E-3</c:v>
                </c:pt>
                <c:pt idx="539">
                  <c:v>2.0736285202543431E-4</c:v>
                </c:pt>
                <c:pt idx="540">
                  <c:v>-3.2327414527712461E-4</c:v>
                </c:pt>
                <c:pt idx="541">
                  <c:v>4.5803085121478985E-4</c:v>
                </c:pt>
                <c:pt idx="542">
                  <c:v>1.0260713179883936E-3</c:v>
                </c:pt>
                <c:pt idx="543">
                  <c:v>-1.3644980741466507E-4</c:v>
                </c:pt>
                <c:pt idx="544">
                  <c:v>-6.0267162713922991E-4</c:v>
                </c:pt>
                <c:pt idx="545">
                  <c:v>2.8474383376480222E-4</c:v>
                </c:pt>
                <c:pt idx="546">
                  <c:v>-8.138460733613011E-4</c:v>
                </c:pt>
                <c:pt idx="547">
                  <c:v>5.2245867712728215E-4</c:v>
                </c:pt>
                <c:pt idx="548">
                  <c:v>2.0204654353645279E-4</c:v>
                </c:pt>
                <c:pt idx="549">
                  <c:v>-4.1457699957617671E-4</c:v>
                </c:pt>
                <c:pt idx="550">
                  <c:v>1.5886856456958574E-4</c:v>
                </c:pt>
                <c:pt idx="551">
                  <c:v>4.0185421074874814E-4</c:v>
                </c:pt>
                <c:pt idx="552">
                  <c:v>1.5778695008130141E-3</c:v>
                </c:pt>
                <c:pt idx="553">
                  <c:v>-1.3303352964920327E-3</c:v>
                </c:pt>
                <c:pt idx="554">
                  <c:v>4.8567614358444479E-5</c:v>
                </c:pt>
                <c:pt idx="555">
                  <c:v>4.5040548050134148E-4</c:v>
                </c:pt>
                <c:pt idx="556">
                  <c:v>8.3964758033850721E-5</c:v>
                </c:pt>
                <c:pt idx="557">
                  <c:v>1.5242522837965007E-3</c:v>
                </c:pt>
                <c:pt idx="558">
                  <c:v>-8.4180485840594456E-4</c:v>
                </c:pt>
                <c:pt idx="559">
                  <c:v>-6.7949954042969998E-4</c:v>
                </c:pt>
                <c:pt idx="560">
                  <c:v>2.4181529274121464E-4</c:v>
                </c:pt>
                <c:pt idx="561">
                  <c:v>-1.0147932104246121E-3</c:v>
                </c:pt>
                <c:pt idx="562">
                  <c:v>-1.752501572201358E-3</c:v>
                </c:pt>
                <c:pt idx="563">
                  <c:v>-1.0682190435477054E-3</c:v>
                </c:pt>
                <c:pt idx="564">
                  <c:v>-5.6160657187238807E-4</c:v>
                </c:pt>
                <c:pt idx="565">
                  <c:v>-1.5062224113943053E-3</c:v>
                </c:pt>
                <c:pt idx="566">
                  <c:v>-5.1956627119535085E-4</c:v>
                </c:pt>
                <c:pt idx="567">
                  <c:v>-2.1386339727024487E-4</c:v>
                </c:pt>
                <c:pt idx="568">
                  <c:v>3.9778854119688792E-4</c:v>
                </c:pt>
                <c:pt idx="569">
                  <c:v>5.2155870751227791E-4</c:v>
                </c:pt>
                <c:pt idx="570">
                  <c:v>-1.1544518442056784E-3</c:v>
                </c:pt>
                <c:pt idx="571">
                  <c:v>-7.3370382354080721E-4</c:v>
                </c:pt>
                <c:pt idx="572">
                  <c:v>-7.189544142697298E-4</c:v>
                </c:pt>
                <c:pt idx="573">
                  <c:v>4.5468599816934549E-4</c:v>
                </c:pt>
                <c:pt idx="574">
                  <c:v>-4.1793741374076502E-4</c:v>
                </c:pt>
                <c:pt idx="575">
                  <c:v>-6.6788275382282454E-4</c:v>
                </c:pt>
                <c:pt idx="576">
                  <c:v>1.6322679039364172E-3</c:v>
                </c:pt>
                <c:pt idx="577">
                  <c:v>5.3530891822664291E-4</c:v>
                </c:pt>
                <c:pt idx="578">
                  <c:v>4.6590340682666441E-4</c:v>
                </c:pt>
                <c:pt idx="579">
                  <c:v>-4.4314227332751784E-4</c:v>
                </c:pt>
                <c:pt idx="580">
                  <c:v>1.0116701886175438E-3</c:v>
                </c:pt>
                <c:pt idx="581">
                  <c:v>6.9605991640281232E-4</c:v>
                </c:pt>
                <c:pt idx="582">
                  <c:v>6.8322271617110607E-4</c:v>
                </c:pt>
                <c:pt idx="583">
                  <c:v>1.0078392699414986E-3</c:v>
                </c:pt>
                <c:pt idx="584">
                  <c:v>1.3457601220125672E-3</c:v>
                </c:pt>
                <c:pt idx="585">
                  <c:v>1.3367714281526171E-3</c:v>
                </c:pt>
                <c:pt idx="586">
                  <c:v>2.0750019740774653E-3</c:v>
                </c:pt>
                <c:pt idx="587">
                  <c:v>-4.1864032972477723E-4</c:v>
                </c:pt>
                <c:pt idx="588">
                  <c:v>6.9143185690085607E-5</c:v>
                </c:pt>
                <c:pt idx="589">
                  <c:v>-7.0957339967651393E-5</c:v>
                </c:pt>
                <c:pt idx="590">
                  <c:v>1.5878201773069403E-4</c:v>
                </c:pt>
                <c:pt idx="591">
                  <c:v>-5.4448531012337949E-4</c:v>
                </c:pt>
                <c:pt idx="592">
                  <c:v>-1.3805156252950836E-4</c:v>
                </c:pt>
                <c:pt idx="593">
                  <c:v>2.1823532982903561E-3</c:v>
                </c:pt>
                <c:pt idx="594">
                  <c:v>1.891596907037176E-5</c:v>
                </c:pt>
                <c:pt idx="595">
                  <c:v>2.1629186947819109E-5</c:v>
                </c:pt>
                <c:pt idx="596">
                  <c:v>-2.3505206234968192E-4</c:v>
                </c:pt>
                <c:pt idx="597">
                  <c:v>-3.236242229181348E-4</c:v>
                </c:pt>
                <c:pt idx="598">
                  <c:v>-1.9387728464709028E-4</c:v>
                </c:pt>
                <c:pt idx="599">
                  <c:v>-4.9849194485867925E-4</c:v>
                </c:pt>
                <c:pt idx="600">
                  <c:v>-1.7894323588304591E-4</c:v>
                </c:pt>
                <c:pt idx="601">
                  <c:v>-2.323767486948069E-4</c:v>
                </c:pt>
                <c:pt idx="602">
                  <c:v>-3.5630786688753977E-4</c:v>
                </c:pt>
                <c:pt idx="603">
                  <c:v>-1.1094775867960124E-3</c:v>
                </c:pt>
                <c:pt idx="604">
                  <c:v>1.0096174450196535E-3</c:v>
                </c:pt>
                <c:pt idx="605">
                  <c:v>1.8135664573385194E-4</c:v>
                </c:pt>
                <c:pt idx="606">
                  <c:v>-5.0949912824786074E-4</c:v>
                </c:pt>
                <c:pt idx="607">
                  <c:v>-1.2852141216437474E-4</c:v>
                </c:pt>
                <c:pt idx="608">
                  <c:v>-1.4457514490877135E-4</c:v>
                </c:pt>
                <c:pt idx="609">
                  <c:v>4.5938974066145777E-4</c:v>
                </c:pt>
                <c:pt idx="610">
                  <c:v>3.9499669859614968E-4</c:v>
                </c:pt>
                <c:pt idx="611">
                  <c:v>2.6380238667454052E-4</c:v>
                </c:pt>
                <c:pt idx="612">
                  <c:v>-1.7559621005915978E-3</c:v>
                </c:pt>
                <c:pt idx="613">
                  <c:v>5.2426518078388504E-4</c:v>
                </c:pt>
                <c:pt idx="614">
                  <c:v>9.3138047333585032E-4</c:v>
                </c:pt>
                <c:pt idx="615">
                  <c:v>3.5317332374144476E-4</c:v>
                </c:pt>
                <c:pt idx="616">
                  <c:v>-5.475057160597293E-4</c:v>
                </c:pt>
                <c:pt idx="617">
                  <c:v>-9.0215497930008206E-4</c:v>
                </c:pt>
                <c:pt idx="618">
                  <c:v>-4.5588304731021778E-4</c:v>
                </c:pt>
                <c:pt idx="619">
                  <c:v>-3.3049411153099372E-4</c:v>
                </c:pt>
                <c:pt idx="620">
                  <c:v>-1.1709535027097362E-3</c:v>
                </c:pt>
                <c:pt idx="621">
                  <c:v>-1.5992286289025901E-4</c:v>
                </c:pt>
                <c:pt idx="622">
                  <c:v>-4.8690313850949273E-4</c:v>
                </c:pt>
                <c:pt idx="623">
                  <c:v>6.7091133463912918E-4</c:v>
                </c:pt>
                <c:pt idx="624">
                  <c:v>2.6894176470288074E-4</c:v>
                </c:pt>
                <c:pt idx="625">
                  <c:v>1.3503879645084392E-3</c:v>
                </c:pt>
                <c:pt idx="626">
                  <c:v>-6.050120229175903E-5</c:v>
                </c:pt>
                <c:pt idx="627">
                  <c:v>-5.6894428262805165E-4</c:v>
                </c:pt>
                <c:pt idx="628">
                  <c:v>1.0032010779396318E-3</c:v>
                </c:pt>
                <c:pt idx="629">
                  <c:v>-6.9746489906816515E-4</c:v>
                </c:pt>
                <c:pt idx="630">
                  <c:v>-2.9178673448475718E-4</c:v>
                </c:pt>
                <c:pt idx="631">
                  <c:v>5.1055911770781642E-4</c:v>
                </c:pt>
                <c:pt idx="632">
                  <c:v>3.5023305793203062E-4</c:v>
                </c:pt>
                <c:pt idx="633">
                  <c:v>-7.3429160890232416E-4</c:v>
                </c:pt>
                <c:pt idx="634">
                  <c:v>-3.7608814091270865E-4</c:v>
                </c:pt>
                <c:pt idx="635">
                  <c:v>-8.8387618867791804E-5</c:v>
                </c:pt>
                <c:pt idx="636">
                  <c:v>-1.4482536343269676E-4</c:v>
                </c:pt>
                <c:pt idx="637">
                  <c:v>5.7058615366379576E-4</c:v>
                </c:pt>
                <c:pt idx="638">
                  <c:v>2.9494215226160358E-4</c:v>
                </c:pt>
                <c:pt idx="639">
                  <c:v>1.0059790256121449E-3</c:v>
                </c:pt>
                <c:pt idx="640">
                  <c:v>1.2560846482132532E-3</c:v>
                </c:pt>
                <c:pt idx="641">
                  <c:v>0</c:v>
                </c:pt>
                <c:pt idx="642">
                  <c:v>1.6929287705451113E-4</c:v>
                </c:pt>
                <c:pt idx="643">
                  <c:v>-4.4610590452404212E-4</c:v>
                </c:pt>
                <c:pt idx="644">
                  <c:v>-8.7796590538515777E-4</c:v>
                </c:pt>
                <c:pt idx="645">
                  <c:v>-1.4648052917635461E-3</c:v>
                </c:pt>
                <c:pt idx="646">
                  <c:v>-9.3232769163871624E-5</c:v>
                </c:pt>
                <c:pt idx="647">
                  <c:v>-4.796877047406813E-4</c:v>
                </c:pt>
                <c:pt idx="648">
                  <c:v>6.431671668662098E-4</c:v>
                </c:pt>
                <c:pt idx="649">
                  <c:v>-1.144501256996445E-3</c:v>
                </c:pt>
                <c:pt idx="650">
                  <c:v>-7.8423802590434338E-4</c:v>
                </c:pt>
                <c:pt idx="651">
                  <c:v>-3.449849319496359E-4</c:v>
                </c:pt>
                <c:pt idx="652">
                  <c:v>1.1017243699183497E-4</c:v>
                </c:pt>
                <c:pt idx="653">
                  <c:v>-1.1185658360788103E-3</c:v>
                </c:pt>
                <c:pt idx="654">
                  <c:v>1.0132111011500562E-3</c:v>
                </c:pt>
                <c:pt idx="655">
                  <c:v>8.833247365627255E-5</c:v>
                </c:pt>
                <c:pt idx="656">
                  <c:v>1.9490331915411396E-4</c:v>
                </c:pt>
                <c:pt idx="657">
                  <c:v>-6.7741515090256313E-4</c:v>
                </c:pt>
                <c:pt idx="658">
                  <c:v>7.5276650406249453E-4</c:v>
                </c:pt>
                <c:pt idx="659">
                  <c:v>3.3512897808494102E-4</c:v>
                </c:pt>
                <c:pt idx="660">
                  <c:v>-8.0406454901564984E-4</c:v>
                </c:pt>
                <c:pt idx="661">
                  <c:v>6.3698830245251606E-4</c:v>
                </c:pt>
                <c:pt idx="662">
                  <c:v>-1.1483420083398836E-3</c:v>
                </c:pt>
                <c:pt idx="663">
                  <c:v>1.7399864926660426E-4</c:v>
                </c:pt>
                <c:pt idx="664">
                  <c:v>-3.9077747022424775E-4</c:v>
                </c:pt>
                <c:pt idx="665">
                  <c:v>8.6250275243241424E-4</c:v>
                </c:pt>
                <c:pt idx="666">
                  <c:v>5.9766631476972966E-4</c:v>
                </c:pt>
                <c:pt idx="667">
                  <c:v>-1.705390908560018E-4</c:v>
                </c:pt>
                <c:pt idx="668">
                  <c:v>3.6247117827782144E-4</c:v>
                </c:pt>
                <c:pt idx="669">
                  <c:v>-8.3137580674145985E-4</c:v>
                </c:pt>
                <c:pt idx="670">
                  <c:v>-9.5718255695231521E-4</c:v>
                </c:pt>
                <c:pt idx="671">
                  <c:v>-7.2844832374868197E-4</c:v>
                </c:pt>
                <c:pt idx="672">
                  <c:v>2.8289344998581287E-4</c:v>
                </c:pt>
                <c:pt idx="673">
                  <c:v>-8.1853267721930338E-4</c:v>
                </c:pt>
                <c:pt idx="674">
                  <c:v>9.1995434729919912E-5</c:v>
                </c:pt>
                <c:pt idx="675">
                  <c:v>9.7016313032442401E-4</c:v>
                </c:pt>
                <c:pt idx="676">
                  <c:v>-3.5748547481897889E-4</c:v>
                </c:pt>
                <c:pt idx="677">
                  <c:v>-7.8679027154342923E-4</c:v>
                </c:pt>
                <c:pt idx="678">
                  <c:v>9.7540995040736641E-4</c:v>
                </c:pt>
                <c:pt idx="679">
                  <c:v>-6.6833902140305587E-4</c:v>
                </c:pt>
                <c:pt idx="680">
                  <c:v>-4.5850237667314299E-4</c:v>
                </c:pt>
                <c:pt idx="681">
                  <c:v>6.2706247979979176E-4</c:v>
                </c:pt>
                <c:pt idx="682">
                  <c:v>1.8784719071957972E-4</c:v>
                </c:pt>
                <c:pt idx="683">
                  <c:v>5.9332569864347414E-4</c:v>
                </c:pt>
                <c:pt idx="684">
                  <c:v>-2.2222041683430595E-4</c:v>
                </c:pt>
                <c:pt idx="685">
                  <c:v>-3.5706240833927939E-4</c:v>
                </c:pt>
                <c:pt idx="686">
                  <c:v>-1.7653279947000595E-4</c:v>
                </c:pt>
                <c:pt idx="687">
                  <c:v>1.545267681912073E-4</c:v>
                </c:pt>
                <c:pt idx="688">
                  <c:v>-6.967671014512383E-4</c:v>
                </c:pt>
                <c:pt idx="689">
                  <c:v>1.6272407892903393E-4</c:v>
                </c:pt>
                <c:pt idx="690">
                  <c:v>4.6873999692983629E-4</c:v>
                </c:pt>
                <c:pt idx="691">
                  <c:v>6.3493740745021866E-4</c:v>
                </c:pt>
                <c:pt idx="692">
                  <c:v>4.8879298096603783E-4</c:v>
                </c:pt>
                <c:pt idx="693">
                  <c:v>-7.9013525311230208E-5</c:v>
                </c:pt>
                <c:pt idx="694">
                  <c:v>6.5819408371313123E-4</c:v>
                </c:pt>
                <c:pt idx="695">
                  <c:v>-5.9772763111268527E-4</c:v>
                </c:pt>
                <c:pt idx="696">
                  <c:v>-4.9288755201056151E-4</c:v>
                </c:pt>
                <c:pt idx="697">
                  <c:v>5.5828980074442509E-4</c:v>
                </c:pt>
                <c:pt idx="698">
                  <c:v>2.1145492581469498E-4</c:v>
                </c:pt>
                <c:pt idx="699">
                  <c:v>1.0733532455141832E-3</c:v>
                </c:pt>
                <c:pt idx="700">
                  <c:v>-3.5987131185039674E-4</c:v>
                </c:pt>
                <c:pt idx="701">
                  <c:v>-3.1612747596199207E-4</c:v>
                </c:pt>
                <c:pt idx="702">
                  <c:v>6.230009217526014E-4</c:v>
                </c:pt>
                <c:pt idx="703">
                  <c:v>8.5752706740833105E-4</c:v>
                </c:pt>
                <c:pt idx="704">
                  <c:v>-6.2495644206012882E-4</c:v>
                </c:pt>
                <c:pt idx="705">
                  <c:v>7.1904377936724635E-4</c:v>
                </c:pt>
                <c:pt idx="706">
                  <c:v>-7.1343555880784679E-5</c:v>
                </c:pt>
                <c:pt idx="707">
                  <c:v>3.3705795258370401E-4</c:v>
                </c:pt>
                <c:pt idx="708">
                  <c:v>5.5544813549958426E-4</c:v>
                </c:pt>
                <c:pt idx="709">
                  <c:v>9.1698398697361906E-4</c:v>
                </c:pt>
                <c:pt idx="710">
                  <c:v>1.3910300341133004E-3</c:v>
                </c:pt>
                <c:pt idx="711">
                  <c:v>6.1265873426947289E-4</c:v>
                </c:pt>
                <c:pt idx="712">
                  <c:v>7.5116701085491903E-4</c:v>
                </c:pt>
                <c:pt idx="713">
                  <c:v>7.5329016314085715E-4</c:v>
                </c:pt>
                <c:pt idx="714">
                  <c:v>4.9324286770711283E-4</c:v>
                </c:pt>
                <c:pt idx="715">
                  <c:v>-5.1198721311269556E-4</c:v>
                </c:pt>
                <c:pt idx="716">
                  <c:v>-6.3364731450326586E-4</c:v>
                </c:pt>
                <c:pt idx="717">
                  <c:v>3.6577896810703614E-4</c:v>
                </c:pt>
                <c:pt idx="718">
                  <c:v>8.2590517248973543E-4</c:v>
                </c:pt>
                <c:pt idx="719">
                  <c:v>-1.1286449071211617E-3</c:v>
                </c:pt>
                <c:pt idx="720">
                  <c:v>-7.7679237364136839E-4</c:v>
                </c:pt>
                <c:pt idx="721">
                  <c:v>7.3900144705174185E-4</c:v>
                </c:pt>
                <c:pt idx="722">
                  <c:v>1.5422763839251863E-3</c:v>
                </c:pt>
                <c:pt idx="723">
                  <c:v>-8.0215173164187011E-4</c:v>
                </c:pt>
                <c:pt idx="724">
                  <c:v>8.1432747878776339E-5</c:v>
                </c:pt>
                <c:pt idx="725">
                  <c:v>-2.9417617759135405E-4</c:v>
                </c:pt>
                <c:pt idx="726">
                  <c:v>4.9539347130095205E-4</c:v>
                </c:pt>
                <c:pt idx="727">
                  <c:v>-1.1337891785008298E-3</c:v>
                </c:pt>
                <c:pt idx="728">
                  <c:v>5.2833358881269605E-4</c:v>
                </c:pt>
                <c:pt idx="729">
                  <c:v>-6.1497997748546527E-4</c:v>
                </c:pt>
                <c:pt idx="730">
                  <c:v>1.594096681110809E-4</c:v>
                </c:pt>
                <c:pt idx="731">
                  <c:v>2.655458009135898E-4</c:v>
                </c:pt>
                <c:pt idx="732">
                  <c:v>1.4324770809856128E-4</c:v>
                </c:pt>
                <c:pt idx="733">
                  <c:v>-8.5648775361940729E-4</c:v>
                </c:pt>
                <c:pt idx="734">
                  <c:v>1.963217321911207E-4</c:v>
                </c:pt>
                <c:pt idx="735">
                  <c:v>-6.5569917871910628E-4</c:v>
                </c:pt>
                <c:pt idx="736">
                  <c:v>-1.8383790913650995E-4</c:v>
                </c:pt>
                <c:pt idx="737">
                  <c:v>-8.2081934033987743E-5</c:v>
                </c:pt>
                <c:pt idx="738">
                  <c:v>-1.1071881888614593E-3</c:v>
                </c:pt>
                <c:pt idx="739">
                  <c:v>4.0730695813304856E-4</c:v>
                </c:pt>
                <c:pt idx="740">
                  <c:v>-6.6521921592776058E-4</c:v>
                </c:pt>
                <c:pt idx="741">
                  <c:v>5.9545204968720878E-4</c:v>
                </c:pt>
                <c:pt idx="742">
                  <c:v>1.0865893910520777E-4</c:v>
                </c:pt>
                <c:pt idx="743">
                  <c:v>-7.3273159323688196E-4</c:v>
                </c:pt>
                <c:pt idx="744">
                  <c:v>-1.9170558559133594E-4</c:v>
                </c:pt>
                <c:pt idx="745">
                  <c:v>6.0103135472200928E-4</c:v>
                </c:pt>
                <c:pt idx="746">
                  <c:v>-4.9621442023276843E-4</c:v>
                </c:pt>
                <c:pt idx="747">
                  <c:v>2.5169904758330524E-5</c:v>
                </c:pt>
                <c:pt idx="748">
                  <c:v>8.0325867889966191E-4</c:v>
                </c:pt>
                <c:pt idx="749">
                  <c:v>7.1328576043666527E-4</c:v>
                </c:pt>
                <c:pt idx="750">
                  <c:v>-7.0526353098582944E-4</c:v>
                </c:pt>
                <c:pt idx="751">
                  <c:v>8.3410177104285203E-4</c:v>
                </c:pt>
                <c:pt idx="752">
                  <c:v>7.0890258071338132E-4</c:v>
                </c:pt>
                <c:pt idx="753">
                  <c:v>-3.2119157987226996E-4</c:v>
                </c:pt>
                <c:pt idx="754">
                  <c:v>-9.8200699908287514E-4</c:v>
                </c:pt>
                <c:pt idx="755">
                  <c:v>-9.9077387064249687E-6</c:v>
                </c:pt>
                <c:pt idx="756">
                  <c:v>7.2208401746513861E-4</c:v>
                </c:pt>
                <c:pt idx="757">
                  <c:v>9.4209800193925707E-4</c:v>
                </c:pt>
                <c:pt idx="758">
                  <c:v>8.6003523006353754E-4</c:v>
                </c:pt>
                <c:pt idx="759">
                  <c:v>-6.6739917477886103E-4</c:v>
                </c:pt>
                <c:pt idx="760">
                  <c:v>9.6311364387612378E-4</c:v>
                </c:pt>
                <c:pt idx="761">
                  <c:v>9.0483869866495167E-4</c:v>
                </c:pt>
                <c:pt idx="762">
                  <c:v>-2.125347592812958E-4</c:v>
                </c:pt>
                <c:pt idx="763">
                  <c:v>1.4607991841508676E-4</c:v>
                </c:pt>
                <c:pt idx="764">
                  <c:v>6.6206489166072065E-5</c:v>
                </c:pt>
                <c:pt idx="765">
                  <c:v>5.5247509153427246E-5</c:v>
                </c:pt>
                <c:pt idx="766">
                  <c:v>2.9588482462482275E-4</c:v>
                </c:pt>
                <c:pt idx="767">
                  <c:v>-9.1858026192659381E-4</c:v>
                </c:pt>
                <c:pt idx="768">
                  <c:v>1.0956228352956138E-4</c:v>
                </c:pt>
                <c:pt idx="769">
                  <c:v>1.0412551764316265E-3</c:v>
                </c:pt>
                <c:pt idx="770">
                  <c:v>-1.2109822955184769E-3</c:v>
                </c:pt>
                <c:pt idx="771">
                  <c:v>9.0603409713198811E-4</c:v>
                </c:pt>
                <c:pt idx="772">
                  <c:v>-5.6918742322633806E-4</c:v>
                </c:pt>
                <c:pt idx="773">
                  <c:v>-5.4456017193214683E-4</c:v>
                </c:pt>
                <c:pt idx="774">
                  <c:v>-8.0209922349845406E-6</c:v>
                </c:pt>
                <c:pt idx="775">
                  <c:v>-5.3755381648798049E-4</c:v>
                </c:pt>
                <c:pt idx="776">
                  <c:v>-2.6212962656001001E-5</c:v>
                </c:pt>
                <c:pt idx="777">
                  <c:v>8.8945994008936757E-4</c:v>
                </c:pt>
                <c:pt idx="778">
                  <c:v>4.9778538986067558E-4</c:v>
                </c:pt>
                <c:pt idx="779">
                  <c:v>4.4258133819926281E-4</c:v>
                </c:pt>
                <c:pt idx="780">
                  <c:v>-1.1516221864030962E-3</c:v>
                </c:pt>
                <c:pt idx="781">
                  <c:v>1.5983760799541234E-4</c:v>
                </c:pt>
                <c:pt idx="782">
                  <c:v>6.8481132830840272E-4</c:v>
                </c:pt>
                <c:pt idx="783">
                  <c:v>1.0529539642774328E-4</c:v>
                </c:pt>
                <c:pt idx="784">
                  <c:v>-1.3677355339034053E-3</c:v>
                </c:pt>
                <c:pt idx="785">
                  <c:v>-3.8046946567416598E-4</c:v>
                </c:pt>
                <c:pt idx="786">
                  <c:v>-4.6494375836920802E-5</c:v>
                </c:pt>
                <c:pt idx="787">
                  <c:v>-3.9567844951207826E-5</c:v>
                </c:pt>
                <c:pt idx="788">
                  <c:v>-7.1673786854571805E-4</c:v>
                </c:pt>
                <c:pt idx="789">
                  <c:v>-2.7853215959181861E-4</c:v>
                </c:pt>
                <c:pt idx="790">
                  <c:v>1.2939339930841437E-3</c:v>
                </c:pt>
                <c:pt idx="791">
                  <c:v>-3.4681497607829971E-4</c:v>
                </c:pt>
                <c:pt idx="792">
                  <c:v>4.5199573483385063E-4</c:v>
                </c:pt>
                <c:pt idx="793">
                  <c:v>-1.4003079254162754E-4</c:v>
                </c:pt>
                <c:pt idx="794">
                  <c:v>-9.8002361080187024E-4</c:v>
                </c:pt>
                <c:pt idx="795">
                  <c:v>2.0463794617660844E-4</c:v>
                </c:pt>
                <c:pt idx="796">
                  <c:v>1.0007617201693551E-3</c:v>
                </c:pt>
                <c:pt idx="797">
                  <c:v>1.009612465153666E-3</c:v>
                </c:pt>
                <c:pt idx="798">
                  <c:v>-9.6916212904811277E-4</c:v>
                </c:pt>
                <c:pt idx="799">
                  <c:v>-1.6860250865034725E-4</c:v>
                </c:pt>
                <c:pt idx="800">
                  <c:v>-1.8956653408210499E-4</c:v>
                </c:pt>
                <c:pt idx="801">
                  <c:v>1.5591221161777901E-3</c:v>
                </c:pt>
                <c:pt idx="802">
                  <c:v>2.1120390602805232E-3</c:v>
                </c:pt>
                <c:pt idx="803">
                  <c:v>-1.5344040511723427E-4</c:v>
                </c:pt>
                <c:pt idx="804">
                  <c:v>-2.9268341258328114E-4</c:v>
                </c:pt>
                <c:pt idx="805">
                  <c:v>3.3961098946379341E-4</c:v>
                </c:pt>
                <c:pt idx="806">
                  <c:v>-5.5380569851156119E-4</c:v>
                </c:pt>
                <c:pt idx="807">
                  <c:v>1.0105061737061291E-3</c:v>
                </c:pt>
                <c:pt idx="808">
                  <c:v>3.4572392919451808E-4</c:v>
                </c:pt>
                <c:pt idx="809">
                  <c:v>-4.7173050242339359E-4</c:v>
                </c:pt>
                <c:pt idx="810">
                  <c:v>-6.2327485837454229E-4</c:v>
                </c:pt>
                <c:pt idx="811">
                  <c:v>-1.0990227687638114E-3</c:v>
                </c:pt>
                <c:pt idx="812">
                  <c:v>2.0361131964340284E-4</c:v>
                </c:pt>
                <c:pt idx="813">
                  <c:v>-7.4291957606156518E-4</c:v>
                </c:pt>
                <c:pt idx="814">
                  <c:v>1.1880122467038306E-3</c:v>
                </c:pt>
                <c:pt idx="815">
                  <c:v>-1.6130764020724843E-4</c:v>
                </c:pt>
                <c:pt idx="816">
                  <c:v>-3.0018846575976941E-4</c:v>
                </c:pt>
                <c:pt idx="817">
                  <c:v>-1.62558162411301E-4</c:v>
                </c:pt>
                <c:pt idx="818">
                  <c:v>5.2893743385848174E-4</c:v>
                </c:pt>
                <c:pt idx="819">
                  <c:v>1.4910393938576602E-5</c:v>
                </c:pt>
                <c:pt idx="820">
                  <c:v>-2.0010751336440227E-3</c:v>
                </c:pt>
                <c:pt idx="821">
                  <c:v>-6.6999160342244742E-4</c:v>
                </c:pt>
                <c:pt idx="822">
                  <c:v>-1.3744860586308212E-5</c:v>
                </c:pt>
                <c:pt idx="823">
                  <c:v>2.5001581433473427E-4</c:v>
                </c:pt>
                <c:pt idx="824">
                  <c:v>-4.269279202466149E-5</c:v>
                </c:pt>
                <c:pt idx="825">
                  <c:v>-2.0908288877532789E-4</c:v>
                </c:pt>
                <c:pt idx="826">
                  <c:v>4.7689118719831746E-5</c:v>
                </c:pt>
                <c:pt idx="827">
                  <c:v>-2.1670346915340284E-5</c:v>
                </c:pt>
                <c:pt idx="828">
                  <c:v>6.2978508943101132E-4</c:v>
                </c:pt>
                <c:pt idx="829">
                  <c:v>1.0296998530405441E-6</c:v>
                </c:pt>
                <c:pt idx="830">
                  <c:v>-4.5388624572590124E-4</c:v>
                </c:pt>
                <c:pt idx="831">
                  <c:v>-2.8838139995770236E-5</c:v>
                </c:pt>
                <c:pt idx="832">
                  <c:v>7.5414861703159471E-4</c:v>
                </c:pt>
                <c:pt idx="833">
                  <c:v>-1.6954690492982161E-3</c:v>
                </c:pt>
                <c:pt idx="834">
                  <c:v>6.8989899401940974E-4</c:v>
                </c:pt>
                <c:pt idx="835">
                  <c:v>-3.8412211072797083E-4</c:v>
                </c:pt>
                <c:pt idx="836">
                  <c:v>-8.8174156411850336E-5</c:v>
                </c:pt>
                <c:pt idx="837">
                  <c:v>-1.6660085903979578E-5</c:v>
                </c:pt>
                <c:pt idx="838">
                  <c:v>3.4811817239813341E-5</c:v>
                </c:pt>
                <c:pt idx="839">
                  <c:v>4.000370809123228E-4</c:v>
                </c:pt>
                <c:pt idx="840">
                  <c:v>-3.7637974865583441E-4</c:v>
                </c:pt>
                <c:pt idx="841">
                  <c:v>-2.9855071895247526E-4</c:v>
                </c:pt>
                <c:pt idx="842">
                  <c:v>3.3250858137680642E-4</c:v>
                </c:pt>
                <c:pt idx="843">
                  <c:v>8.5677730832251072E-4</c:v>
                </c:pt>
                <c:pt idx="844">
                  <c:v>3.6097818963637737E-4</c:v>
                </c:pt>
                <c:pt idx="845">
                  <c:v>-9.5960926206924591E-4</c:v>
                </c:pt>
                <c:pt idx="846">
                  <c:v>6.8621249370265185E-4</c:v>
                </c:pt>
                <c:pt idx="847">
                  <c:v>-1.1384363815940518E-4</c:v>
                </c:pt>
                <c:pt idx="848">
                  <c:v>-3.2901682336423239E-5</c:v>
                </c:pt>
                <c:pt idx="849">
                  <c:v>-8.3790563022034399E-5</c:v>
                </c:pt>
                <c:pt idx="850">
                  <c:v>7.8994717199363173E-4</c:v>
                </c:pt>
                <c:pt idx="851">
                  <c:v>-4.7409039188772549E-4</c:v>
                </c:pt>
                <c:pt idx="852">
                  <c:v>-1.3840822788537774E-4</c:v>
                </c:pt>
                <c:pt idx="853">
                  <c:v>-1.6656522527771104E-4</c:v>
                </c:pt>
                <c:pt idx="854">
                  <c:v>2.5471155172292925E-4</c:v>
                </c:pt>
                <c:pt idx="855">
                  <c:v>-9.5613858194022649E-5</c:v>
                </c:pt>
                <c:pt idx="856">
                  <c:v>1.3290090393711993E-4</c:v>
                </c:pt>
                <c:pt idx="857">
                  <c:v>5.551286889443162E-4</c:v>
                </c:pt>
                <c:pt idx="858">
                  <c:v>-1.7393101265281788E-3</c:v>
                </c:pt>
                <c:pt idx="859">
                  <c:v>6.5460817700137243E-4</c:v>
                </c:pt>
                <c:pt idx="860">
                  <c:v>-4.0755633574848088E-4</c:v>
                </c:pt>
                <c:pt idx="861">
                  <c:v>-2.9242459065440451E-4</c:v>
                </c:pt>
                <c:pt idx="862">
                  <c:v>1.7453992751276565E-3</c:v>
                </c:pt>
                <c:pt idx="863">
                  <c:v>-2.1191200619232148E-5</c:v>
                </c:pt>
                <c:pt idx="864">
                  <c:v>-2.5491728642557468E-5</c:v>
                </c:pt>
                <c:pt idx="865">
                  <c:v>1.4579941849337535E-4</c:v>
                </c:pt>
                <c:pt idx="866">
                  <c:v>-1.6068579087650091E-4</c:v>
                </c:pt>
                <c:pt idx="867">
                  <c:v>-6.7756443098121216E-4</c:v>
                </c:pt>
                <c:pt idx="868">
                  <c:v>-7.2396912328447733E-4</c:v>
                </c:pt>
                <c:pt idx="869">
                  <c:v>-3.1463891266806515E-4</c:v>
                </c:pt>
                <c:pt idx="870">
                  <c:v>-1.1352555067767991E-3</c:v>
                </c:pt>
                <c:pt idx="871">
                  <c:v>-2.2628807677651594E-4</c:v>
                </c:pt>
                <c:pt idx="872">
                  <c:v>8.84550771909078E-4</c:v>
                </c:pt>
                <c:pt idx="873">
                  <c:v>-5.8836807227576255E-4</c:v>
                </c:pt>
                <c:pt idx="874">
                  <c:v>-3.1748391674293843E-5</c:v>
                </c:pt>
                <c:pt idx="875">
                  <c:v>6.5490758123133393E-4</c:v>
                </c:pt>
                <c:pt idx="876">
                  <c:v>2.1664373664279763E-4</c:v>
                </c:pt>
                <c:pt idx="877">
                  <c:v>-2.5418849819076959E-4</c:v>
                </c:pt>
                <c:pt idx="878">
                  <c:v>-1.0179078863733712E-4</c:v>
                </c:pt>
                <c:pt idx="879">
                  <c:v>-9.3853157655753906E-4</c:v>
                </c:pt>
                <c:pt idx="880">
                  <c:v>7.3427076761258263E-4</c:v>
                </c:pt>
                <c:pt idx="881">
                  <c:v>4.5626921675973801E-4</c:v>
                </c:pt>
                <c:pt idx="882">
                  <c:v>1.1429354883582597E-4</c:v>
                </c:pt>
                <c:pt idx="883">
                  <c:v>-2.8282208749619731E-4</c:v>
                </c:pt>
                <c:pt idx="884">
                  <c:v>-1.1703357420455604E-4</c:v>
                </c:pt>
                <c:pt idx="885">
                  <c:v>3.2089619781771087E-4</c:v>
                </c:pt>
                <c:pt idx="886">
                  <c:v>6.8332299947743732E-4</c:v>
                </c:pt>
                <c:pt idx="887">
                  <c:v>-5.2369266900797952E-4</c:v>
                </c:pt>
                <c:pt idx="888">
                  <c:v>1.8556564445043689E-4</c:v>
                </c:pt>
                <c:pt idx="889">
                  <c:v>3.2684051743851744E-4</c:v>
                </c:pt>
                <c:pt idx="890">
                  <c:v>1.4981974742802462E-4</c:v>
                </c:pt>
                <c:pt idx="891">
                  <c:v>-2.1528749227194645E-4</c:v>
                </c:pt>
                <c:pt idx="892">
                  <c:v>1.4874781249988342E-4</c:v>
                </c:pt>
                <c:pt idx="893">
                  <c:v>-3.9712034105344454E-4</c:v>
                </c:pt>
                <c:pt idx="894">
                  <c:v>3.5805387407004008E-4</c:v>
                </c:pt>
                <c:pt idx="895">
                  <c:v>8.6064858462402214E-4</c:v>
                </c:pt>
                <c:pt idx="896">
                  <c:v>-4.5511501631445209E-5</c:v>
                </c:pt>
                <c:pt idx="897">
                  <c:v>-7.7090863910772524E-4</c:v>
                </c:pt>
                <c:pt idx="898">
                  <c:v>8.5602939887055953E-4</c:v>
                </c:pt>
                <c:pt idx="899">
                  <c:v>6.0911256975677754E-4</c:v>
                </c:pt>
                <c:pt idx="900">
                  <c:v>2.1253789621331989E-4</c:v>
                </c:pt>
                <c:pt idx="901">
                  <c:v>6.8447438742695252E-4</c:v>
                </c:pt>
                <c:pt idx="902">
                  <c:v>4.3659151951094425E-4</c:v>
                </c:pt>
                <c:pt idx="903">
                  <c:v>-4.1204659093127901E-4</c:v>
                </c:pt>
                <c:pt idx="904">
                  <c:v>7.4117408738322006E-4</c:v>
                </c:pt>
                <c:pt idx="905">
                  <c:v>-1.8647097339117787E-5</c:v>
                </c:pt>
                <c:pt idx="906">
                  <c:v>-1.4304239799158532E-4</c:v>
                </c:pt>
                <c:pt idx="907">
                  <c:v>-7.6746419622609303E-4</c:v>
                </c:pt>
                <c:pt idx="908">
                  <c:v>6.6861975636862091E-4</c:v>
                </c:pt>
                <c:pt idx="909">
                  <c:v>-5.4995794245808741E-5</c:v>
                </c:pt>
                <c:pt idx="910">
                  <c:v>1.0701003126514048E-3</c:v>
                </c:pt>
                <c:pt idx="911">
                  <c:v>3.6332359951612417E-4</c:v>
                </c:pt>
                <c:pt idx="912">
                  <c:v>2.9244116756745286E-4</c:v>
                </c:pt>
                <c:pt idx="913">
                  <c:v>-7.7532105327748988E-4</c:v>
                </c:pt>
                <c:pt idx="914">
                  <c:v>-6.485877612268854E-4</c:v>
                </c:pt>
                <c:pt idx="915">
                  <c:v>-6.865234580485292E-4</c:v>
                </c:pt>
                <c:pt idx="916">
                  <c:v>-2.4284519481170577E-4</c:v>
                </c:pt>
                <c:pt idx="917">
                  <c:v>1.6437220822979048E-5</c:v>
                </c:pt>
                <c:pt idx="918">
                  <c:v>1.0780413758684913E-3</c:v>
                </c:pt>
                <c:pt idx="919">
                  <c:v>-8.8985009199271333E-4</c:v>
                </c:pt>
                <c:pt idx="920">
                  <c:v>-1.0287994498455323E-3</c:v>
                </c:pt>
                <c:pt idx="921">
                  <c:v>4.2976301149418332E-4</c:v>
                </c:pt>
                <c:pt idx="922">
                  <c:v>1.0528287355384052E-3</c:v>
                </c:pt>
                <c:pt idx="923">
                  <c:v>-9.6559843755805806E-4</c:v>
                </c:pt>
                <c:pt idx="924">
                  <c:v>2.8571673030809767E-4</c:v>
                </c:pt>
                <c:pt idx="925">
                  <c:v>-2.8758751636258399E-4</c:v>
                </c:pt>
                <c:pt idx="926">
                  <c:v>5.7773249974393522E-4</c:v>
                </c:pt>
                <c:pt idx="927">
                  <c:v>1.4601287028656256E-5</c:v>
                </c:pt>
                <c:pt idx="928">
                  <c:v>7.8888431904289684E-5</c:v>
                </c:pt>
                <c:pt idx="929">
                  <c:v>3.8326486858292615E-4</c:v>
                </c:pt>
                <c:pt idx="930">
                  <c:v>1.3001580022270445E-3</c:v>
                </c:pt>
                <c:pt idx="931">
                  <c:v>-1.4076726772475949E-4</c:v>
                </c:pt>
                <c:pt idx="932">
                  <c:v>7.1915534130397041E-4</c:v>
                </c:pt>
                <c:pt idx="933">
                  <c:v>6.1379691998212987E-4</c:v>
                </c:pt>
                <c:pt idx="934">
                  <c:v>-9.5044474674892471E-5</c:v>
                </c:pt>
                <c:pt idx="935">
                  <c:v>-7.6921627355099162E-4</c:v>
                </c:pt>
                <c:pt idx="936">
                  <c:v>2.7080562816886978E-4</c:v>
                </c:pt>
                <c:pt idx="937">
                  <c:v>7.2052338840753317E-4</c:v>
                </c:pt>
                <c:pt idx="938">
                  <c:v>-6.5954063794652321E-4</c:v>
                </c:pt>
                <c:pt idx="939">
                  <c:v>-1.1296887193657046E-3</c:v>
                </c:pt>
                <c:pt idx="940">
                  <c:v>2.8225424383398383E-5</c:v>
                </c:pt>
                <c:pt idx="941">
                  <c:v>-1.4356063714972289E-3</c:v>
                </c:pt>
                <c:pt idx="942">
                  <c:v>1.5485706067572299E-4</c:v>
                </c:pt>
                <c:pt idx="943">
                  <c:v>-4.7850023920926473E-4</c:v>
                </c:pt>
                <c:pt idx="944">
                  <c:v>1.414594034057575E-4</c:v>
                </c:pt>
                <c:pt idx="945">
                  <c:v>4.9285828005657688E-4</c:v>
                </c:pt>
                <c:pt idx="946">
                  <c:v>1.0224991081316758E-4</c:v>
                </c:pt>
                <c:pt idx="947">
                  <c:v>6.3173606786443275E-4</c:v>
                </c:pt>
                <c:pt idx="948">
                  <c:v>3.6695371061301065E-4</c:v>
                </c:pt>
                <c:pt idx="949">
                  <c:v>1.2325361401825213E-4</c:v>
                </c:pt>
                <c:pt idx="950">
                  <c:v>-6.8509791736127816E-4</c:v>
                </c:pt>
                <c:pt idx="951">
                  <c:v>-6.8915817209623976E-4</c:v>
                </c:pt>
                <c:pt idx="952">
                  <c:v>-1.2287900656278216E-4</c:v>
                </c:pt>
                <c:pt idx="953">
                  <c:v>-5.2876650983790263E-5</c:v>
                </c:pt>
                <c:pt idx="954">
                  <c:v>-2.2630953554848217E-4</c:v>
                </c:pt>
                <c:pt idx="955">
                  <c:v>4.5378995290880619E-4</c:v>
                </c:pt>
                <c:pt idx="956">
                  <c:v>1.0679000904370286E-3</c:v>
                </c:pt>
                <c:pt idx="957">
                  <c:v>-1.0348743966498307E-3</c:v>
                </c:pt>
                <c:pt idx="958">
                  <c:v>8.3053406223156749E-5</c:v>
                </c:pt>
                <c:pt idx="959">
                  <c:v>-9.5262454263510266E-4</c:v>
                </c:pt>
                <c:pt idx="960">
                  <c:v>7.510446520072651E-4</c:v>
                </c:pt>
                <c:pt idx="961">
                  <c:v>1.7607341750164402E-4</c:v>
                </c:pt>
                <c:pt idx="962">
                  <c:v>-2.2889639266171092E-4</c:v>
                </c:pt>
                <c:pt idx="963">
                  <c:v>-1.5275657277094944E-4</c:v>
                </c:pt>
                <c:pt idx="964">
                  <c:v>-5.0270603667085636E-4</c:v>
                </c:pt>
                <c:pt idx="965">
                  <c:v>4.4418875912313086E-5</c:v>
                </c:pt>
                <c:pt idx="966">
                  <c:v>4.4187604853155807E-4</c:v>
                </c:pt>
                <c:pt idx="967">
                  <c:v>7.203162278874224E-4</c:v>
                </c:pt>
                <c:pt idx="968">
                  <c:v>9.9008311804980379E-5</c:v>
                </c:pt>
                <c:pt idx="969">
                  <c:v>-1.1965982130634231E-4</c:v>
                </c:pt>
                <c:pt idx="970">
                  <c:v>6.9298053281776186E-4</c:v>
                </c:pt>
                <c:pt idx="971">
                  <c:v>-4.1889170213048202E-4</c:v>
                </c:pt>
                <c:pt idx="972">
                  <c:v>-6.4405575791730806E-4</c:v>
                </c:pt>
                <c:pt idx="973">
                  <c:v>-1.2754622839639168E-3</c:v>
                </c:pt>
                <c:pt idx="974">
                  <c:v>-6.2354788650677631E-4</c:v>
                </c:pt>
                <c:pt idx="975">
                  <c:v>-3.5421662963518505E-4</c:v>
                </c:pt>
                <c:pt idx="976">
                  <c:v>-9.514041768476486E-4</c:v>
                </c:pt>
                <c:pt idx="977">
                  <c:v>-9.0626138695645223E-4</c:v>
                </c:pt>
                <c:pt idx="978">
                  <c:v>-4.1881218151913844E-4</c:v>
                </c:pt>
                <c:pt idx="979">
                  <c:v>-4.0554840486857816E-4</c:v>
                </c:pt>
                <c:pt idx="980">
                  <c:v>-1.4982100868255884E-4</c:v>
                </c:pt>
                <c:pt idx="981">
                  <c:v>-5.1218076785999249E-4</c:v>
                </c:pt>
                <c:pt idx="982">
                  <c:v>2.2814960772557797E-5</c:v>
                </c:pt>
                <c:pt idx="983">
                  <c:v>-5.4261575469798031E-4</c:v>
                </c:pt>
                <c:pt idx="984">
                  <c:v>-4.2040269075514433E-4</c:v>
                </c:pt>
                <c:pt idx="985">
                  <c:v>-3.0313673269585827E-4</c:v>
                </c:pt>
                <c:pt idx="986">
                  <c:v>-2.7197895835685831E-4</c:v>
                </c:pt>
                <c:pt idx="987">
                  <c:v>9.1200743854484372E-4</c:v>
                </c:pt>
                <c:pt idx="988">
                  <c:v>-5.0487396703675772E-4</c:v>
                </c:pt>
                <c:pt idx="989">
                  <c:v>-1.7503477545091563E-4</c:v>
                </c:pt>
                <c:pt idx="990">
                  <c:v>1.7310302670602718E-5</c:v>
                </c:pt>
                <c:pt idx="991">
                  <c:v>1.0036413885036697E-4</c:v>
                </c:pt>
                <c:pt idx="992">
                  <c:v>5.9057962406536019E-4</c:v>
                </c:pt>
                <c:pt idx="993">
                  <c:v>4.5227961590079563E-4</c:v>
                </c:pt>
                <c:pt idx="994">
                  <c:v>-1.9299651982235968E-4</c:v>
                </c:pt>
                <c:pt idx="995">
                  <c:v>-8.4860785604427868E-4</c:v>
                </c:pt>
                <c:pt idx="996">
                  <c:v>3.4343349939236527E-4</c:v>
                </c:pt>
                <c:pt idx="997">
                  <c:v>-5.3706500593650257E-4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3E-4853-A16D-266C531B4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270128"/>
        <c:axId val="1192864912"/>
      </c:scatterChart>
      <c:valAx>
        <c:axId val="1190270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864912"/>
        <c:crosses val="autoZero"/>
        <c:crossBetween val="midCat"/>
      </c:valAx>
      <c:valAx>
        <c:axId val="119286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270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ANALYSIS!$O$28</c:f>
              <c:strCache>
                <c:ptCount val="1"/>
                <c:pt idx="0">
                  <c:v>Efficient porfolio frontier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ANALYSIS!$O$30:$O$1035</c:f>
              <c:numCache>
                <c:formatCode>0.00%</c:formatCode>
                <c:ptCount val="1006"/>
                <c:pt idx="0">
                  <c:v>3.407814701685058E-3</c:v>
                </c:pt>
                <c:pt idx="1">
                  <c:v>3.3932958600341799E-3</c:v>
                </c:pt>
                <c:pt idx="2">
                  <c:v>3.3787772087484256E-3</c:v>
                </c:pt>
                <c:pt idx="3">
                  <c:v>3.3642587502923905E-3</c:v>
                </c:pt>
                <c:pt idx="4">
                  <c:v>3.3497404871733636E-3</c:v>
                </c:pt>
                <c:pt idx="5">
                  <c:v>3.3352224219422586E-3</c:v>
                </c:pt>
                <c:pt idx="6">
                  <c:v>3.3207045571945629E-3</c:v>
                </c:pt>
                <c:pt idx="7">
                  <c:v>3.3061868955713176E-3</c:v>
                </c:pt>
                <c:pt idx="8">
                  <c:v>3.2916694397601186E-3</c:v>
                </c:pt>
                <c:pt idx="9">
                  <c:v>3.2771521924961446E-3</c:v>
                </c:pt>
                <c:pt idx="10">
                  <c:v>3.2626351565632188E-3</c:v>
                </c:pt>
                <c:pt idx="11">
                  <c:v>3.2481183347948892E-3</c:v>
                </c:pt>
                <c:pt idx="12">
                  <c:v>3.233601730075546E-3</c:v>
                </c:pt>
                <c:pt idx="13">
                  <c:v>3.2190853453415644E-3</c:v>
                </c:pt>
                <c:pt idx="14">
                  <c:v>3.2045691835824804E-3</c:v>
                </c:pt>
                <c:pt idx="15">
                  <c:v>3.1900532478421999E-3</c:v>
                </c:pt>
                <c:pt idx="16">
                  <c:v>3.1755375412202366E-3</c:v>
                </c:pt>
                <c:pt idx="17">
                  <c:v>3.1610220668729879E-3</c:v>
                </c:pt>
                <c:pt idx="18">
                  <c:v>3.1465068280150449E-3</c:v>
                </c:pt>
                <c:pt idx="19">
                  <c:v>3.1319918279205388E-3</c:v>
                </c:pt>
                <c:pt idx="20">
                  <c:v>3.1174770699245236E-3</c:v>
                </c:pt>
                <c:pt idx="21">
                  <c:v>3.1029625574243978E-3</c:v>
                </c:pt>
                <c:pt idx="22">
                  <c:v>3.088448293881369E-3</c:v>
                </c:pt>
                <c:pt idx="23">
                  <c:v>3.0739342828219563E-3</c:v>
                </c:pt>
                <c:pt idx="24">
                  <c:v>3.0594205278395357E-3</c:v>
                </c:pt>
                <c:pt idx="25">
                  <c:v>3.0449070325959328E-3</c:v>
                </c:pt>
                <c:pt idx="26">
                  <c:v>3.0303938008230556E-3</c:v>
                </c:pt>
                <c:pt idx="27">
                  <c:v>3.0158808363245815E-3</c:v>
                </c:pt>
                <c:pt idx="28">
                  <c:v>3.001368142977686E-3</c:v>
                </c:pt>
                <c:pt idx="29">
                  <c:v>2.9868557247348265E-3</c:v>
                </c:pt>
                <c:pt idx="30">
                  <c:v>2.9723435856255746E-3</c:v>
                </c:pt>
                <c:pt idx="31">
                  <c:v>2.9578317297585077E-3</c:v>
                </c:pt>
                <c:pt idx="32">
                  <c:v>2.9433201613231494E-3</c:v>
                </c:pt>
                <c:pt idx="33">
                  <c:v>2.928808884591971E-3</c:v>
                </c:pt>
                <c:pt idx="34">
                  <c:v>2.9142979039224553E-3</c:v>
                </c:pt>
                <c:pt idx="35">
                  <c:v>2.899787223759216E-3</c:v>
                </c:pt>
                <c:pt idx="36">
                  <c:v>2.885276848636186E-3</c:v>
                </c:pt>
                <c:pt idx="37">
                  <c:v>2.8707667831788693E-3</c:v>
                </c:pt>
                <c:pt idx="38">
                  <c:v>2.8562570321066624E-3</c:v>
                </c:pt>
                <c:pt idx="39">
                  <c:v>2.8417476002352464E-3</c:v>
                </c:pt>
                <c:pt idx="40">
                  <c:v>2.8272384924790512E-3</c:v>
                </c:pt>
                <c:pt idx="41">
                  <c:v>2.812729713853798E-3</c:v>
                </c:pt>
                <c:pt idx="42">
                  <c:v>2.7982212694791187E-3</c:v>
                </c:pt>
                <c:pt idx="43">
                  <c:v>2.7837131645812594E-3</c:v>
                </c:pt>
                <c:pt idx="44">
                  <c:v>2.7692054044958642E-3</c:v>
                </c:pt>
                <c:pt idx="45">
                  <c:v>2.7546979946708513E-3</c:v>
                </c:pt>
                <c:pt idx="46">
                  <c:v>2.7401909406693779E-3</c:v>
                </c:pt>
                <c:pt idx="47">
                  <c:v>2.7256842481728997E-3</c:v>
                </c:pt>
                <c:pt idx="48">
                  <c:v>2.7111779229843278E-3</c:v>
                </c:pt>
                <c:pt idx="49">
                  <c:v>2.6966719710312887E-3</c:v>
                </c:pt>
                <c:pt idx="50">
                  <c:v>2.6821663983694886E-3</c:v>
                </c:pt>
                <c:pt idx="51">
                  <c:v>2.6676612111861853E-3</c:v>
                </c:pt>
                <c:pt idx="52">
                  <c:v>2.653156415803778E-3</c:v>
                </c:pt>
                <c:pt idx="53">
                  <c:v>2.6386520186835113E-3</c:v>
                </c:pt>
                <c:pt idx="54">
                  <c:v>2.6241480264293025E-3</c:v>
                </c:pt>
                <c:pt idx="55">
                  <c:v>2.6096444457916965E-3</c:v>
                </c:pt>
                <c:pt idx="56">
                  <c:v>2.5951412836719531E-3</c:v>
                </c:pt>
                <c:pt idx="57">
                  <c:v>2.5806385471262706E-3</c:v>
                </c:pt>
                <c:pt idx="58">
                  <c:v>2.5661362433701527E-3</c:v>
                </c:pt>
                <c:pt idx="59">
                  <c:v>2.5516343797829235E-3</c:v>
                </c:pt>
                <c:pt idx="60">
                  <c:v>2.5371329639123966E-3</c:v>
                </c:pt>
                <c:pt idx="61">
                  <c:v>2.522632003479706E-3</c:v>
                </c:pt>
                <c:pt idx="62">
                  <c:v>2.5081315063843011E-3</c:v>
                </c:pt>
                <c:pt idx="63">
                  <c:v>2.4936314807091171E-3</c:v>
                </c:pt>
                <c:pt idx="64">
                  <c:v>2.4791319347259272E-3</c:v>
                </c:pt>
                <c:pt idx="65">
                  <c:v>2.4646328769008801E-3</c:v>
                </c:pt>
                <c:pt idx="66">
                  <c:v>2.4501343159002349E-3</c:v>
                </c:pt>
                <c:pt idx="67">
                  <c:v>2.4356362605963003E-3</c:v>
                </c:pt>
                <c:pt idx="68">
                  <c:v>2.4211387200735856E-3</c:v>
                </c:pt>
                <c:pt idx="69">
                  <c:v>2.4066417036351729E-3</c:v>
                </c:pt>
                <c:pt idx="70">
                  <c:v>2.3921452208093192E-3</c:v>
                </c:pt>
                <c:pt idx="71">
                  <c:v>2.3776492813563023E-3</c:v>
                </c:pt>
                <c:pt idx="72">
                  <c:v>2.3631538952755124E-3</c:v>
                </c:pt>
                <c:pt idx="73">
                  <c:v>2.3486590728128104E-3</c:v>
                </c:pt>
                <c:pt idx="74">
                  <c:v>2.334164824468154E-3</c:v>
                </c:pt>
                <c:pt idx="75">
                  <c:v>2.3196711610035115E-3</c:v>
                </c:pt>
                <c:pt idx="76">
                  <c:v>2.305178093451073E-3</c:v>
                </c:pt>
                <c:pt idx="77">
                  <c:v>2.2906856331217696E-3</c:v>
                </c:pt>
                <c:pt idx="78">
                  <c:v>2.2761937916141181E-3</c:v>
                </c:pt>
                <c:pt idx="79">
                  <c:v>2.2617025808234028E-3</c:v>
                </c:pt>
                <c:pt idx="80">
                  <c:v>2.2472120129512132E-3</c:v>
                </c:pt>
                <c:pt idx="81">
                  <c:v>2.232722100515346E-3</c:v>
                </c:pt>
                <c:pt idx="82">
                  <c:v>2.2182328563601001E-3</c:v>
                </c:pt>
                <c:pt idx="83">
                  <c:v>2.2037442936669702E-3</c:v>
                </c:pt>
                <c:pt idx="84">
                  <c:v>2.1892564259657641E-3</c:v>
                </c:pt>
                <c:pt idx="85">
                  <c:v>2.1747692671461641E-3</c:v>
                </c:pt>
                <c:pt idx="86">
                  <c:v>2.1602828314697476E-3</c:v>
                </c:pt>
                <c:pt idx="87">
                  <c:v>2.1457971335824945E-3</c:v>
                </c:pt>
                <c:pt idx="88">
                  <c:v>2.1313121885278008E-3</c:v>
                </c:pt>
                <c:pt idx="89">
                  <c:v>2.1168280117600229E-3</c:v>
                </c:pt>
                <c:pt idx="90">
                  <c:v>2.1023446191585802E-3</c:v>
                </c:pt>
                <c:pt idx="91">
                  <c:v>2.0878620270426379E-3</c:v>
                </c:pt>
                <c:pt idx="92">
                  <c:v>2.073380252186406E-3</c:v>
                </c:pt>
                <c:pt idx="93">
                  <c:v>2.0588993118350759E-3</c:v>
                </c:pt>
                <c:pt idx="94">
                  <c:v>2.0444192237214333E-3</c:v>
                </c:pt>
                <c:pt idx="95">
                  <c:v>2.0299400060831752E-3</c:v>
                </c:pt>
                <c:pt idx="96">
                  <c:v>2.01546167768097E-3</c:v>
                </c:pt>
                <c:pt idx="97">
                  <c:v>2.0009842578172948E-3</c:v>
                </c:pt>
                <c:pt idx="98">
                  <c:v>1.986507766356096E-3</c:v>
                </c:pt>
                <c:pt idx="99">
                  <c:v>1.9720322237433033E-3</c:v>
                </c:pt>
                <c:pt idx="100">
                  <c:v>1.9575576510282504E-3</c:v>
                </c:pt>
                <c:pt idx="101">
                  <c:v>1.9430840698860508E-3</c:v>
                </c:pt>
                <c:pt idx="102">
                  <c:v>1.9286115026409679E-3</c:v>
                </c:pt>
                <c:pt idx="103">
                  <c:v>1.9141399722908403E-3</c:v>
                </c:pt>
                <c:pt idx="104">
                  <c:v>1.8996695025326172E-3</c:v>
                </c:pt>
                <c:pt idx="105">
                  <c:v>1.8852001177890572E-3</c:v>
                </c:pt>
                <c:pt idx="106">
                  <c:v>1.8707318432366633E-3</c:v>
                </c:pt>
                <c:pt idx="107">
                  <c:v>1.8562647048349077E-3</c:v>
                </c:pt>
                <c:pt idx="108">
                  <c:v>1.8417987293568277E-3</c:v>
                </c:pt>
                <c:pt idx="109">
                  <c:v>1.8273339444210617E-3</c:v>
                </c:pt>
                <c:pt idx="110">
                  <c:v>1.8128703785254096E-3</c:v>
                </c:pt>
                <c:pt idx="111">
                  <c:v>1.7984080610819952E-3</c:v>
                </c:pt>
                <c:pt idx="112">
                  <c:v>1.7839470224541298E-3</c:v>
                </c:pt>
                <c:pt idx="113">
                  <c:v>1.7694872939949652E-3</c:v>
                </c:pt>
                <c:pt idx="114">
                  <c:v>1.7550289080880425E-3</c:v>
                </c:pt>
                <c:pt idx="115">
                  <c:v>1.7405718981898461E-3</c:v>
                </c:pt>
                <c:pt idx="116">
                  <c:v>1.726116298874474E-3</c:v>
                </c:pt>
                <c:pt idx="117">
                  <c:v>1.7116621458805579E-3</c:v>
                </c:pt>
                <c:pt idx="118">
                  <c:v>1.6972094761605523E-3</c:v>
                </c:pt>
                <c:pt idx="119">
                  <c:v>1.682758327932543E-3</c:v>
                </c:pt>
                <c:pt idx="120">
                  <c:v>1.6683087407347286E-3</c:v>
                </c:pt>
                <c:pt idx="121">
                  <c:v>1.6538607554827211E-3</c:v>
                </c:pt>
                <c:pt idx="122">
                  <c:v>1.6394144145298571E-3</c:v>
                </c:pt>
                <c:pt idx="123">
                  <c:v>1.6249697617306863E-3</c:v>
                </c:pt>
                <c:pt idx="124">
                  <c:v>1.6105268425078503E-3</c:v>
                </c:pt>
                <c:pt idx="125">
                  <c:v>1.596085703922551E-3</c:v>
                </c:pt>
                <c:pt idx="126">
                  <c:v>1.5816463947488381E-3</c:v>
                </c:pt>
                <c:pt idx="127">
                  <c:v>1.5672089655519655E-3</c:v>
                </c:pt>
                <c:pt idx="128">
                  <c:v>1.5527734687710709E-3</c:v>
                </c:pt>
                <c:pt idx="129">
                  <c:v>1.5383399588064525E-3</c:v>
                </c:pt>
                <c:pt idx="130">
                  <c:v>1.5239084921117626E-3</c:v>
                </c:pt>
                <c:pt idx="131">
                  <c:v>1.5094791272914209E-3</c:v>
                </c:pt>
                <c:pt idx="132">
                  <c:v>1.4950519252036043E-3</c:v>
                </c:pt>
                <c:pt idx="133">
                  <c:v>1.4806269490691957E-3</c:v>
                </c:pt>
                <c:pt idx="134">
                  <c:v>1.4662042645870732E-3</c:v>
                </c:pt>
                <c:pt idx="135">
                  <c:v>1.4517839400561988E-3</c:v>
                </c:pt>
                <c:pt idx="136">
                  <c:v>1.4373660465049583E-3</c:v>
                </c:pt>
                <c:pt idx="137">
                  <c:v>1.4229506578282681E-3</c:v>
                </c:pt>
                <c:pt idx="138">
                  <c:v>1.4085378509329889E-3</c:v>
                </c:pt>
                <c:pt idx="139">
                  <c:v>1.3941277058922396E-3</c:v>
                </c:pt>
                <c:pt idx="140">
                  <c:v>1.3797203061092526E-3</c:v>
                </c:pt>
                <c:pt idx="141">
                  <c:v>1.3653157384914574E-3</c:v>
                </c:pt>
                <c:pt idx="142">
                  <c:v>1.3509140936355469E-3</c:v>
                </c:pt>
                <c:pt idx="143">
                  <c:v>1.3365154660243343E-3</c:v>
                </c:pt>
                <c:pt idx="144">
                  <c:v>1.3221199542362821E-3</c:v>
                </c:pt>
                <c:pt idx="145">
                  <c:v>1.307727661168667E-3</c:v>
                </c:pt>
                <c:pt idx="146">
                  <c:v>1.2933386942754032E-3</c:v>
                </c:pt>
                <c:pt idx="147">
                  <c:v>1.2789531658206862E-3</c:v>
                </c:pt>
                <c:pt idx="148">
                  <c:v>1.2645711931496451E-3</c:v>
                </c:pt>
                <c:pt idx="149">
                  <c:v>1.2501928989773919E-3</c:v>
                </c:pt>
                <c:pt idx="150">
                  <c:v>1.2358184116978868E-3</c:v>
                </c:pt>
                <c:pt idx="151">
                  <c:v>1.2214478657142475E-3</c:v>
                </c:pt>
                <c:pt idx="152">
                  <c:v>1.2070814017922362E-3</c:v>
                </c:pt>
                <c:pt idx="153">
                  <c:v>1.1927191674388168E-3</c:v>
                </c:pt>
                <c:pt idx="154">
                  <c:v>1.1783613173078926E-3</c:v>
                </c:pt>
                <c:pt idx="155">
                  <c:v>1.1640080136354962E-3</c:v>
                </c:pt>
                <c:pt idx="156">
                  <c:v>1.1496594267069412E-3</c:v>
                </c:pt>
                <c:pt idx="157">
                  <c:v>1.1353157353586807E-3</c:v>
                </c:pt>
                <c:pt idx="158">
                  <c:v>1.1209771275179192E-3</c:v>
                </c:pt>
                <c:pt idx="159">
                  <c:v>1.1066438007832718E-3</c:v>
                </c:pt>
                <c:pt idx="160">
                  <c:v>1.09231596305015E-3</c:v>
                </c:pt>
                <c:pt idx="161">
                  <c:v>1.0779938331849238E-3</c:v>
                </c:pt>
                <c:pt idx="162">
                  <c:v>1.0636776417522773E-3</c:v>
                </c:pt>
                <c:pt idx="163">
                  <c:v>1.0493676318007257E-3</c:v>
                </c:pt>
                <c:pt idx="164">
                  <c:v>1.0350640597116924E-3</c:v>
                </c:pt>
                <c:pt idx="165">
                  <c:v>1.0207671961182205E-3</c:v>
                </c:pt>
                <c:pt idx="166">
                  <c:v>1.0064773268999513E-3</c:v>
                </c:pt>
                <c:pt idx="167">
                  <c:v>9.9219475426183491E-4</c:v>
                </c:pt>
                <c:pt idx="168">
                  <c:v>9.7791979790479242E-4</c:v>
                </c:pt>
                <c:pt idx="169">
                  <c:v>9.6365279629750857E-4</c:v>
                </c:pt>
                <c:pt idx="170">
                  <c:v>9.4939410805960033E-4</c:v>
                </c:pt>
                <c:pt idx="171">
                  <c:v>9.3514411346752927E-4</c:v>
                </c:pt>
                <c:pt idx="172">
                  <c:v>9.209032160960648E-4</c:v>
                </c:pt>
                <c:pt idx="173">
                  <c:v>9.0667184460949829E-4</c:v>
                </c:pt>
                <c:pt idx="174">
                  <c:v>8.924504547186484E-4</c:v>
                </c:pt>
                <c:pt idx="175">
                  <c:v>8.7823953132153436E-4</c:v>
                </c:pt>
                <c:pt idx="176">
                  <c:v>8.6403959084791057E-4</c:v>
                </c:pt>
                <c:pt idx="177">
                  <c:v>8.4985118383032118E-4</c:v>
                </c:pt>
                <c:pt idx="178">
                  <c:v>8.3567489772721191E-4</c:v>
                </c:pt>
                <c:pt idx="179">
                  <c:v>8.2151136002698655E-4</c:v>
                </c:pt>
                <c:pt idx="180">
                  <c:v>8.073612416655897E-4</c:v>
                </c:pt>
                <c:pt idx="181">
                  <c:v>7.9322526079458368E-4</c:v>
                </c:pt>
                <c:pt idx="182">
                  <c:v>7.7910418694156582E-4</c:v>
                </c:pt>
                <c:pt idx="183">
                  <c:v>7.6499884561059112E-4</c:v>
                </c:pt>
                <c:pt idx="184">
                  <c:v>7.5091012337669919E-4</c:v>
                </c:pt>
                <c:pt idx="185">
                  <c:v>7.3683897353634471E-4</c:v>
                </c:pt>
                <c:pt idx="186">
                  <c:v>7.2278642238423122E-4</c:v>
                </c:pt>
                <c:pt idx="187">
                  <c:v>7.0875357619719175E-4</c:v>
                </c:pt>
                <c:pt idx="188">
                  <c:v>6.9474162901760701E-4</c:v>
                </c:pt>
                <c:pt idx="189">
                  <c:v>6.8075187134240052E-4</c:v>
                </c:pt>
                <c:pt idx="190">
                  <c:v>6.6678569983971562E-4</c:v>
                </c:pt>
                <c:pt idx="191">
                  <c:v>6.5284462823378506E-4</c:v>
                </c:pt>
                <c:pt idx="192">
                  <c:v>6.389302995202966E-4</c:v>
                </c:pt>
                <c:pt idx="193">
                  <c:v>6.2504449969973596E-4</c:v>
                </c:pt>
                <c:pt idx="194">
                  <c:v>6.1118917324598141E-4</c:v>
                </c:pt>
                <c:pt idx="195">
                  <c:v>5.9736644056201927E-4</c:v>
                </c:pt>
                <c:pt idx="196">
                  <c:v>5.835786177155358E-4</c:v>
                </c:pt>
                <c:pt idx="197">
                  <c:v>5.6982823879502074E-4</c:v>
                </c:pt>
                <c:pt idx="198">
                  <c:v>5.5611808128319619E-4</c:v>
                </c:pt>
                <c:pt idx="199">
                  <c:v>5.4245119491101626E-4</c:v>
                </c:pt>
                <c:pt idx="200">
                  <c:v>5.2883093453303884E-4</c:v>
                </c:pt>
                <c:pt idx="201">
                  <c:v>5.1526099765672234E-4</c:v>
                </c:pt>
                <c:pt idx="202">
                  <c:v>5.0174546736540273E-4</c:v>
                </c:pt>
                <c:pt idx="203">
                  <c:v>4.8828886150071649E-4</c:v>
                </c:pt>
                <c:pt idx="204">
                  <c:v>4.7489618911718246E-4</c:v>
                </c:pt>
                <c:pt idx="205">
                  <c:v>4.6157301539278699E-4</c:v>
                </c:pt>
                <c:pt idx="206">
                  <c:v>4.483255363772805E-4</c:v>
                </c:pt>
                <c:pt idx="207">
                  <c:v>4.351606651865182E-4</c:v>
                </c:pt>
                <c:pt idx="208">
                  <c:v>4.2208613150823292E-4</c:v>
                </c:pt>
                <c:pt idx="209">
                  <c:v>4.091105965701814E-4</c:v>
                </c:pt>
                <c:pt idx="210">
                  <c:v>3.9624378603184623E-4</c:v>
                </c:pt>
                <c:pt idx="211">
                  <c:v>3.834966435838829E-4</c:v>
                </c:pt>
                <c:pt idx="212">
                  <c:v>3.7088150835512112E-4</c:v>
                </c:pt>
                <c:pt idx="213">
                  <c:v>3.5841231949788627E-4</c:v>
                </c:pt>
                <c:pt idx="214">
                  <c:v>3.4610485148918446E-4</c:v>
                </c:pt>
                <c:pt idx="215">
                  <c:v>3.3397698365196261E-4</c:v>
                </c:pt>
                <c:pt idx="216">
                  <c:v>3.220490070200288E-4</c:v>
                </c:pt>
                <c:pt idx="217">
                  <c:v>3.1034397072333373E-4</c:v>
                </c:pt>
                <c:pt idx="218">
                  <c:v>2.9888806823705455E-4</c:v>
                </c:pt>
                <c:pt idx="219">
                  <c:v>2.8771106067206818E-4</c:v>
                </c:pt>
                <c:pt idx="220">
                  <c:v>2.7684672918426725E-4</c:v>
                </c:pt>
                <c:pt idx="221">
                  <c:v>2.6633334078823026E-4</c:v>
                </c:pt>
                <c:pt idx="222">
                  <c:v>2.5621410050821367E-4</c:v>
                </c:pt>
                <c:pt idx="223">
                  <c:v>2.4653754706221754E-4</c:v>
                </c:pt>
                <c:pt idx="224">
                  <c:v>2.3735782871456867E-4</c:v>
                </c:pt>
                <c:pt idx="225">
                  <c:v>2.2873477112399438E-4</c:v>
                </c:pt>
                <c:pt idx="226">
                  <c:v>2.2073362253769417E-4</c:v>
                </c:pt>
                <c:pt idx="227">
                  <c:v>2.1342433939101825E-4</c:v>
                </c:pt>
                <c:pt idx="228">
                  <c:v>2.0688026754330012E-4</c:v>
                </c:pt>
                <c:pt idx="229">
                  <c:v>2.0117609570099147E-4</c:v>
                </c:pt>
                <c:pt idx="230">
                  <c:v>1.9638502435934512E-4</c:v>
                </c:pt>
                <c:pt idx="231">
                  <c:v>1.9257521655746709E-4</c:v>
                </c:pt>
                <c:pt idx="232">
                  <c:v>1.898057696702184E-4</c:v>
                </c:pt>
                <c:pt idx="233">
                  <c:v>1.8812263632128832E-4</c:v>
                </c:pt>
                <c:pt idx="234">
                  <c:v>1.8755506477098884E-4</c:v>
                </c:pt>
                <c:pt idx="235">
                  <c:v>1.8811315284808042E-4</c:v>
                </c:pt>
                <c:pt idx="236">
                  <c:v>1.8978697045912062E-4</c:v>
                </c:pt>
                <c:pt idx="237">
                  <c:v>1.9254742264199757E-4</c:v>
                </c:pt>
                <c:pt idx="238">
                  <c:v>1.9634868398975746E-4</c:v>
                </c:pt>
                <c:pt idx="239">
                  <c:v>2.0113175127602873E-4</c:v>
                </c:pt>
                <c:pt idx="240">
                  <c:v>2.068285206798705E-4</c:v>
                </c:pt>
                <c:pt idx="241">
                  <c:v>2.1336581846749091E-4</c:v>
                </c:pt>
                <c:pt idx="242">
                  <c:v>2.2066895554743269E-4</c:v>
                </c:pt>
                <c:pt idx="243">
                  <c:v>2.2866456507929082E-4</c:v>
                </c:pt>
                <c:pt idx="244">
                  <c:v>2.3728265556467298E-4</c:v>
                </c:pt>
                <c:pt idx="245">
                  <c:v>2.4645793529354531E-4</c:v>
                </c:pt>
                <c:pt idx="246">
                  <c:v>2.5613053124316732E-4</c:v>
                </c:pt>
                <c:pt idx="247">
                  <c:v>2.6624624716429477E-4</c:v>
                </c:pt>
                <c:pt idx="248">
                  <c:v>2.767564979393406E-4</c:v>
                </c:pt>
                <c:pt idx="249">
                  <c:v>2.8761803507888647E-4</c:v>
                </c:pt>
                <c:pt idx="250">
                  <c:v>2.9879255175128288E-4</c:v>
                </c:pt>
                <c:pt idx="251">
                  <c:v>3.1024623090356089E-4</c:v>
                </c:pt>
                <c:pt idx="252">
                  <c:v>3.2194927943093551E-4</c:v>
                </c:pt>
                <c:pt idx="253">
                  <c:v>3.3387547557546873E-4</c:v>
                </c:pt>
                <c:pt idx="254">
                  <c:v>3.4600174534792137E-4</c:v>
                </c:pt>
                <c:pt idx="255">
                  <c:v>3.5830777594867016E-4</c:v>
                </c:pt>
                <c:pt idx="256">
                  <c:v>3.7077566904420258E-4</c:v>
                </c:pt>
                <c:pt idx="257">
                  <c:v>3.8338963357592245E-4</c:v>
                </c:pt>
                <c:pt idx="258">
                  <c:v>3.9613571593609143E-4</c:v>
                </c:pt>
                <c:pt idx="259">
                  <c:v>4.0900156439227682E-4</c:v>
                </c:pt>
                <c:pt idx="260">
                  <c:v>4.2197622425781161E-4</c:v>
                </c:pt>
                <c:pt idx="261">
                  <c:v>4.3504996026989834E-4</c:v>
                </c:pt>
                <c:pt idx="262">
                  <c:v>4.4821410280268623E-4</c:v>
                </c:pt>
                <c:pt idx="263">
                  <c:v>4.6146091481294953E-4</c:v>
                </c:pt>
                <c:pt idx="264">
                  <c:v>4.7478347673145216E-4</c:v>
                </c:pt>
                <c:pt idx="265">
                  <c:v>4.8817558683615631E-4</c:v>
                </c:pt>
                <c:pt idx="266">
                  <c:v>5.0163167495370165E-4</c:v>
                </c:pt>
                <c:pt idx="267">
                  <c:v>5.1514672762166102E-4</c:v>
                </c:pt>
                <c:pt idx="268">
                  <c:v>5.287162231009774E-4</c:v>
                </c:pt>
                <c:pt idx="269">
                  <c:v>5.4233607485528574E-4</c:v>
                </c:pt>
                <c:pt idx="270">
                  <c:v>5.5600258231156409E-4</c:v>
                </c:pt>
                <c:pt idx="271">
                  <c:v>5.6971238788816158E-4</c:v>
                </c:pt>
                <c:pt idx="272">
                  <c:v>5.8346243942326457E-4</c:v>
                </c:pt>
                <c:pt idx="273">
                  <c:v>5.9724995726301734E-4</c:v>
                </c:pt>
                <c:pt idx="274">
                  <c:v>6.1107240537601004E-4</c:v>
                </c:pt>
                <c:pt idx="275">
                  <c:v>6.2492746595247349E-4</c:v>
                </c:pt>
                <c:pt idx="276">
                  <c:v>6.3881301702450801E-4</c:v>
                </c:pt>
                <c:pt idx="277">
                  <c:v>6.5272711270985162E-4</c:v>
                </c:pt>
                <c:pt idx="278">
                  <c:v>6.6666796573822639E-4</c:v>
                </c:pt>
                <c:pt idx="279">
                  <c:v>6.8063393196707257E-4</c:v>
                </c:pt>
                <c:pt idx="280">
                  <c:v>6.9462349663453732E-4</c:v>
                </c:pt>
                <c:pt idx="281">
                  <c:v>7.0863526213210334E-4</c:v>
                </c:pt>
                <c:pt idx="282">
                  <c:v>7.2266793710921799E-4</c:v>
                </c:pt>
                <c:pt idx="283">
                  <c:v>7.3672032674737856E-4</c:v>
                </c:pt>
                <c:pt idx="284">
                  <c:v>7.5079132406298467E-4</c:v>
                </c:pt>
                <c:pt idx="285">
                  <c:v>7.6487990211676529E-4</c:v>
                </c:pt>
                <c:pt idx="286">
                  <c:v>7.7898510702353332E-4</c:v>
                </c:pt>
                <c:pt idx="287">
                  <c:v>7.9310605166976007E-4</c:v>
                </c:pt>
                <c:pt idx="288">
                  <c:v>8.0724191005815415E-4</c:v>
                </c:pt>
                <c:pt idx="289">
                  <c:v>8.2139191220872065E-4</c:v>
                </c:pt>
                <c:pt idx="290">
                  <c:v>8.3555533955439922E-4</c:v>
                </c:pt>
                <c:pt idx="291">
                  <c:v>8.4973152077715312E-4</c:v>
                </c:pt>
                <c:pt idx="292">
                  <c:v>8.6391982803675125E-4</c:v>
                </c:pt>
                <c:pt idx="293">
                  <c:v>8.7811967355040145E-4</c:v>
                </c:pt>
                <c:pt idx="294">
                  <c:v>8.9233050648618675E-4</c:v>
                </c:pt>
                <c:pt idx="295">
                  <c:v>9.0655181013769566E-4</c:v>
                </c:pt>
                <c:pt idx="296">
                  <c:v>9.207830993509772E-4</c:v>
                </c:pt>
                <c:pt idx="297">
                  <c:v>9.3502391817817184E-4</c:v>
                </c:pt>
                <c:pt idx="298">
                  <c:v>9.4927383773521707E-4</c:v>
                </c:pt>
                <c:pt idx="299">
                  <c:v>9.6353245424336592E-4</c:v>
                </c:pt>
                <c:pt idx="300">
                  <c:v>9.7779938723664499E-4</c:v>
                </c:pt>
                <c:pt idx="301">
                  <c:v>9.9207427791919039E-4</c:v>
                </c:pt>
                <c:pt idx="302">
                  <c:v>1.0063567876582465E-3</c:v>
                </c:pt>
                <c:pt idx="303">
                  <c:v>1.0206465966000088E-3</c:v>
                </c:pt>
                <c:pt idx="304">
                  <c:v>1.0349434023969382E-3</c:v>
                </c:pt>
                <c:pt idx="305">
                  <c:v>1.0492469190362841E-3</c:v>
                </c:pt>
                <c:pt idx="306">
                  <c:v>1.0635568757606394E-3</c:v>
                </c:pt>
                <c:pt idx="307">
                  <c:v>1.0778730160722768E-3</c:v>
                </c:pt>
                <c:pt idx="308">
                  <c:v>1.0921950968138287E-3</c:v>
                </c:pt>
                <c:pt idx="309">
                  <c:v>1.1065228873186541E-3</c:v>
                </c:pt>
                <c:pt idx="310">
                  <c:v>1.1208561686247977E-3</c:v>
                </c:pt>
                <c:pt idx="311">
                  <c:v>1.1351947327471754E-3</c:v>
                </c:pt>
                <c:pt idx="312">
                  <c:v>1.1495383820029738E-3</c:v>
                </c:pt>
                <c:pt idx="313">
                  <c:v>1.1638869283858762E-3</c:v>
                </c:pt>
                <c:pt idx="314">
                  <c:v>1.1782401929850389E-3</c:v>
                </c:pt>
                <c:pt idx="315">
                  <c:v>1.1925980054451489E-3</c:v>
                </c:pt>
                <c:pt idx="316">
                  <c:v>1.2069602034642582E-3</c:v>
                </c:pt>
                <c:pt idx="317">
                  <c:v>1.2213266323263584E-3</c:v>
                </c:pt>
                <c:pt idx="318">
                  <c:v>1.2356971444659117E-3</c:v>
                </c:pt>
                <c:pt idx="319">
                  <c:v>1.250071599061904E-3</c:v>
                </c:pt>
                <c:pt idx="320">
                  <c:v>1.2644498616590462E-3</c:v>
                </c:pt>
                <c:pt idx="321">
                  <c:v>1.2788318038140865E-3</c:v>
                </c:pt>
                <c:pt idx="322">
                  <c:v>1.293217302765324E-3</c:v>
                </c:pt>
                <c:pt idx="323">
                  <c:v>1.3076062411235476E-3</c:v>
                </c:pt>
                <c:pt idx="324">
                  <c:v>1.3219985065828581E-3</c:v>
                </c:pt>
                <c:pt idx="325">
                  <c:v>1.3363939916498321E-3</c:v>
                </c:pt>
                <c:pt idx="326">
                  <c:v>1.3507925933897687E-3</c:v>
                </c:pt>
                <c:pt idx="327">
                  <c:v>1.3651942131887129E-3</c:v>
                </c:pt>
                <c:pt idx="328">
                  <c:v>1.3795987565301932E-3</c:v>
                </c:pt>
                <c:pt idx="329">
                  <c:v>1.3940061327855694E-3</c:v>
                </c:pt>
                <c:pt idx="330">
                  <c:v>1.4084162550170726E-3</c:v>
                </c:pt>
                <c:pt idx="331">
                  <c:v>1.4228290397926486E-3</c:v>
                </c:pt>
                <c:pt idx="332">
                  <c:v>1.4372444070117761E-3</c:v>
                </c:pt>
                <c:pt idx="333">
                  <c:v>1.451662279741542E-3</c:v>
                </c:pt>
                <c:pt idx="334">
                  <c:v>1.4660825840622361E-3</c:v>
                </c:pt>
                <c:pt idx="335">
                  <c:v>1.4805052489218731E-3</c:v>
                </c:pt>
                <c:pt idx="336">
                  <c:v>1.4949302059990084E-3</c:v>
                </c:pt>
                <c:pt idx="337">
                  <c:v>1.5093573895733482E-3</c:v>
                </c:pt>
                <c:pt idx="338">
                  <c:v>1.5237867364035955E-3</c:v>
                </c:pt>
                <c:pt idx="339">
                  <c:v>1.5382181856121006E-3</c:v>
                </c:pt>
                <c:pt idx="340">
                  <c:v>1.5526516785758697E-3</c:v>
                </c:pt>
                <c:pt idx="341">
                  <c:v>1.5670871588235147E-3</c:v>
                </c:pt>
                <c:pt idx="342">
                  <c:v>1.5815245719378067E-3</c:v>
                </c:pt>
                <c:pt idx="343">
                  <c:v>1.5959638654634333E-3</c:v>
                </c:pt>
                <c:pt idx="344">
                  <c:v>1.6104049888196836E-3</c:v>
                </c:pt>
                <c:pt idx="345">
                  <c:v>1.6248478932177225E-3</c:v>
                </c:pt>
                <c:pt idx="346">
                  <c:v>1.6392925315822169E-3</c:v>
                </c:pt>
                <c:pt idx="347">
                  <c:v>1.6537388584769988E-3</c:v>
                </c:pt>
                <c:pt idx="348">
                  <c:v>1.668186830034575E-3</c:v>
                </c:pt>
                <c:pt idx="349">
                  <c:v>1.6826364038892087E-3</c:v>
                </c:pt>
                <c:pt idx="350">
                  <c:v>1.6970875391134159E-3</c:v>
                </c:pt>
                <c:pt idx="351">
                  <c:v>1.7115401961576193E-3</c:v>
                </c:pt>
                <c:pt idx="352">
                  <c:v>1.7259943367928261E-3</c:v>
                </c:pt>
                <c:pt idx="353">
                  <c:v>1.7404499240561259E-3</c:v>
                </c:pt>
                <c:pt idx="354">
                  <c:v>1.7549069221988521E-3</c:v>
                </c:pt>
                <c:pt idx="355">
                  <c:v>1.7693652966372837E-3</c:v>
                </c:pt>
                <c:pt idx="356">
                  <c:v>1.7838250139056914E-3</c:v>
                </c:pt>
                <c:pt idx="357">
                  <c:v>1.7982860416116682E-3</c:v>
                </c:pt>
                <c:pt idx="358">
                  <c:v>1.8127483483935376E-3</c:v>
                </c:pt>
                <c:pt idx="359">
                  <c:v>1.8272119038798005E-3</c:v>
                </c:pt>
                <c:pt idx="360">
                  <c:v>1.8416766786504633E-3</c:v>
                </c:pt>
                <c:pt idx="361">
                  <c:v>1.856142644200164E-3</c:v>
                </c:pt>
                <c:pt idx="362">
                  <c:v>1.8706097729029886E-3</c:v>
                </c:pt>
                <c:pt idx="363">
                  <c:v>1.8850780379788983E-3</c:v>
                </c:pt>
                <c:pt idx="364">
                  <c:v>1.8995474134616888E-3</c:v>
                </c:pt>
                <c:pt idx="365">
                  <c:v>1.914017874168374E-3</c:v>
                </c:pt>
                <c:pt idx="366">
                  <c:v>1.928489395669956E-3</c:v>
                </c:pt>
                <c:pt idx="367">
                  <c:v>1.9429619542634727E-3</c:v>
                </c:pt>
                <c:pt idx="368">
                  <c:v>1.957435526945296E-3</c:v>
                </c:pt>
                <c:pt idx="369">
                  <c:v>1.9719100913855817E-3</c:v>
                </c:pt>
                <c:pt idx="370">
                  <c:v>1.9863856259038416E-3</c:v>
                </c:pt>
                <c:pt idx="371">
                  <c:v>2.000862109445555E-3</c:v>
                </c:pt>
                <c:pt idx="372">
                  <c:v>2.0153395215597907E-3</c:v>
                </c:pt>
                <c:pt idx="373">
                  <c:v>2.0298178423777801E-3</c:v>
                </c:pt>
                <c:pt idx="374">
                  <c:v>2.0442970525923927E-3</c:v>
                </c:pt>
                <c:pt idx="375">
                  <c:v>2.0587771334384716E-3</c:v>
                </c:pt>
                <c:pt idx="376">
                  <c:v>2.0732580666739751E-3</c:v>
                </c:pt>
                <c:pt idx="377">
                  <c:v>2.0877398345619381E-3</c:v>
                </c:pt>
                <c:pt idx="378">
                  <c:v>2.102222419853124E-3</c:v>
                </c:pt>
                <c:pt idx="379">
                  <c:v>2.1167058057694169E-3</c:v>
                </c:pt>
                <c:pt idx="380">
                  <c:v>2.1311899759878768E-3</c:v>
                </c:pt>
                <c:pt idx="381">
                  <c:v>2.1456749146254329E-3</c:v>
                </c:pt>
                <c:pt idx="382">
                  <c:v>2.1601606062242066E-3</c:v>
                </c:pt>
                <c:pt idx="383">
                  <c:v>2.1746470357373892E-3</c:v>
                </c:pt>
                <c:pt idx="384">
                  <c:v>2.1891341885157071E-3</c:v>
                </c:pt>
                <c:pt idx="385">
                  <c:v>2.2036220502943864E-3</c:v>
                </c:pt>
                <c:pt idx="386">
                  <c:v>2.2181106071806605E-3</c:v>
                </c:pt>
                <c:pt idx="387">
                  <c:v>2.2325998456417368E-3</c:v>
                </c:pt>
                <c:pt idx="388">
                  <c:v>2.2470897524932243E-3</c:v>
                </c:pt>
                <c:pt idx="389">
                  <c:v>2.2615803148880289E-3</c:v>
                </c:pt>
                <c:pt idx="390">
                  <c:v>2.276071520305639E-3</c:v>
                </c:pt>
                <c:pt idx="391">
                  <c:v>2.2905633565418401E-3</c:v>
                </c:pt>
                <c:pt idx="392">
                  <c:v>2.3050558116988031E-3</c:v>
                </c:pt>
                <c:pt idx="393">
                  <c:v>2.3195488741755512E-3</c:v>
                </c:pt>
                <c:pt idx="394">
                  <c:v>2.334042532658758E-3</c:v>
                </c:pt>
                <c:pt idx="395">
                  <c:v>2.3485367761139193E-3</c:v>
                </c:pt>
                <c:pt idx="396">
                  <c:v>2.3630315937768231E-3</c:v>
                </c:pt>
                <c:pt idx="397">
                  <c:v>2.3775269751453334E-3</c:v>
                </c:pt>
                <c:pt idx="398">
                  <c:v>2.3920229099714781E-3</c:v>
                </c:pt>
                <c:pt idx="399">
                  <c:v>2.4065193882538169E-3</c:v>
                </c:pt>
                <c:pt idx="400">
                  <c:v>2.4210164002300889E-3</c:v>
                </c:pt>
                <c:pt idx="401">
                  <c:v>2.4355139363701028E-3</c:v>
                </c:pt>
                <c:pt idx="402">
                  <c:v>2.4500119873689095E-3</c:v>
                </c:pt>
                <c:pt idx="403">
                  <c:v>2.4645105441401796E-3</c:v>
                </c:pt>
                <c:pt idx="404">
                  <c:v>2.4790095978098402E-3</c:v>
                </c:pt>
                <c:pt idx="405">
                  <c:v>2.4935091397099195E-3</c:v>
                </c:pt>
                <c:pt idx="406">
                  <c:v>2.5080091613726039E-3</c:v>
                </c:pt>
                <c:pt idx="407">
                  <c:v>2.5225096545245049E-3</c:v>
                </c:pt>
                <c:pt idx="408">
                  <c:v>2.5370106110811168E-3</c:v>
                </c:pt>
                <c:pt idx="409">
                  <c:v>2.5515120231414615E-3</c:v>
                </c:pt>
                <c:pt idx="410">
                  <c:v>2.5660138829829231E-3</c:v>
                </c:pt>
                <c:pt idx="411">
                  <c:v>2.5805161830562496E-3</c:v>
                </c:pt>
                <c:pt idx="412">
                  <c:v>2.5950189159807077E-3</c:v>
                </c:pt>
                <c:pt idx="413">
                  <c:v>2.6095220745394336E-3</c:v>
                </c:pt>
                <c:pt idx="414">
                  <c:v>2.6240256516749075E-3</c:v>
                </c:pt>
                <c:pt idx="415">
                  <c:v>2.6385296404845748E-3</c:v>
                </c:pt>
                <c:pt idx="416">
                  <c:v>2.6530340342166389E-3</c:v>
                </c:pt>
                <c:pt idx="417">
                  <c:v>2.6675388262659603E-3</c:v>
                </c:pt>
                <c:pt idx="418">
                  <c:v>2.6820440101701093E-3</c:v>
                </c:pt>
                <c:pt idx="419">
                  <c:v>2.6965495796055284E-3</c:v>
                </c:pt>
                <c:pt idx="420">
                  <c:v>2.7110555283838375E-3</c:v>
                </c:pt>
                <c:pt idx="421">
                  <c:v>2.7255618504482318E-3</c:v>
                </c:pt>
                <c:pt idx="422">
                  <c:v>2.7400685398700207E-3</c:v>
                </c:pt>
                <c:pt idx="423">
                  <c:v>2.7545755908452547E-3</c:v>
                </c:pt>
                <c:pt idx="424">
                  <c:v>2.7690829976914633E-3</c:v>
                </c:pt>
                <c:pt idx="425">
                  <c:v>2.7835907548445101E-3</c:v>
                </c:pt>
                <c:pt idx="426">
                  <c:v>2.7980988568555121E-3</c:v>
                </c:pt>
                <c:pt idx="427">
                  <c:v>2.8126072983878903E-3</c:v>
                </c:pt>
                <c:pt idx="428">
                  <c:v>2.8271160742144906E-3</c:v>
                </c:pt>
                <c:pt idx="429">
                  <c:v>2.8416251792147918E-3</c:v>
                </c:pt>
                <c:pt idx="430">
                  <c:v>2.8561346083722048E-3</c:v>
                </c:pt>
                <c:pt idx="431">
                  <c:v>2.870644356771456E-3</c:v>
                </c:pt>
                <c:pt idx="432">
                  <c:v>2.8851544195960446E-3</c:v>
                </c:pt>
                <c:pt idx="433">
                  <c:v>2.8996647921257696E-3</c:v>
                </c:pt>
                <c:pt idx="434">
                  <c:v>2.9141754697343445E-3</c:v>
                </c:pt>
                <c:pt idx="435">
                  <c:v>2.9286864478870744E-3</c:v>
                </c:pt>
                <c:pt idx="436">
                  <c:v>2.9431977221386005E-3</c:v>
                </c:pt>
                <c:pt idx="437">
                  <c:v>2.9577092881307131E-3</c:v>
                </c:pt>
                <c:pt idx="438">
                  <c:v>2.9722211415902353E-3</c:v>
                </c:pt>
                <c:pt idx="439">
                  <c:v>2.9867332783269484E-3</c:v>
                </c:pt>
                <c:pt idx="440">
                  <c:v>3.0012456942316028E-3</c:v>
                </c:pt>
                <c:pt idx="441">
                  <c:v>3.0157583852739658E-3</c:v>
                </c:pt>
                <c:pt idx="442">
                  <c:v>3.0302713475009384E-3</c:v>
                </c:pt>
                <c:pt idx="443">
                  <c:v>3.04478457703472E-3</c:v>
                </c:pt>
                <c:pt idx="444">
                  <c:v>3.0592980700710169E-3</c:v>
                </c:pt>
                <c:pt idx="445">
                  <c:v>3.0738118228773228E-3</c:v>
                </c:pt>
                <c:pt idx="446">
                  <c:v>3.088325831791229E-3</c:v>
                </c:pt>
                <c:pt idx="447">
                  <c:v>3.1028400932187885E-3</c:v>
                </c:pt>
                <c:pt idx="448">
                  <c:v>3.1173546036329242E-3</c:v>
                </c:pt>
                <c:pt idx="449">
                  <c:v>3.1318693595718838E-3</c:v>
                </c:pt>
                <c:pt idx="450">
                  <c:v>3.1463843576377379E-3</c:v>
                </c:pt>
                <c:pt idx="451">
                  <c:v>3.1608995944949108E-3</c:v>
                </c:pt>
                <c:pt idx="452">
                  <c:v>3.1754150668687631E-3</c:v>
                </c:pt>
                <c:pt idx="453">
                  <c:v>3.1899307715442075E-3</c:v>
                </c:pt>
                <c:pt idx="454">
                  <c:v>3.2044467053643625E-3</c:v>
                </c:pt>
                <c:pt idx="455">
                  <c:v>3.2189628652292365E-3</c:v>
                </c:pt>
                <c:pt idx="456">
                  <c:v>3.2334792480944639E-3</c:v>
                </c:pt>
                <c:pt idx="457">
                  <c:v>3.2479958509700523E-3</c:v>
                </c:pt>
                <c:pt idx="458">
                  <c:v>3.2625126709191822E-3</c:v>
                </c:pt>
                <c:pt idx="459">
                  <c:v>3.2770297050570317E-3</c:v>
                </c:pt>
                <c:pt idx="460">
                  <c:v>3.2915469505496293E-3</c:v>
                </c:pt>
                <c:pt idx="461">
                  <c:v>3.306064404612734E-3</c:v>
                </c:pt>
                <c:pt idx="462">
                  <c:v>3.3205820645107612E-3</c:v>
                </c:pt>
                <c:pt idx="463">
                  <c:v>3.3350999275557195E-3</c:v>
                </c:pt>
                <c:pt idx="464">
                  <c:v>3.3496179911061789E-3</c:v>
                </c:pt>
                <c:pt idx="465">
                  <c:v>3.3641362525662741E-3</c:v>
                </c:pt>
                <c:pt idx="466">
                  <c:v>3.3786547093847142E-3</c:v>
                </c:pt>
                <c:pt idx="467">
                  <c:v>3.3931733590538498E-3</c:v>
                </c:pt>
                <c:pt idx="468">
                  <c:v>3.4076921991087264E-3</c:v>
                </c:pt>
                <c:pt idx="469">
                  <c:v>3.4222112271261955E-3</c:v>
                </c:pt>
                <c:pt idx="470">
                  <c:v>3.4367304407240166E-3</c:v>
                </c:pt>
                <c:pt idx="471">
                  <c:v>3.4512498375600148E-3</c:v>
                </c:pt>
                <c:pt idx="472">
                  <c:v>3.4657694153312287E-3</c:v>
                </c:pt>
                <c:pt idx="473">
                  <c:v>3.4802891717731054E-3</c:v>
                </c:pt>
                <c:pt idx="474">
                  <c:v>3.4948091046586947E-3</c:v>
                </c:pt>
                <c:pt idx="475">
                  <c:v>3.5093292117978742E-3</c:v>
                </c:pt>
                <c:pt idx="476">
                  <c:v>3.523849491036598E-3</c:v>
                </c:pt>
                <c:pt idx="477">
                  <c:v>3.5383699402561485E-3</c:v>
                </c:pt>
                <c:pt idx="478">
                  <c:v>3.5528905573724255E-3</c:v>
                </c:pt>
                <c:pt idx="479">
                  <c:v>3.5674113403352282E-3</c:v>
                </c:pt>
                <c:pt idx="480">
                  <c:v>3.5819322871275829E-3</c:v>
                </c:pt>
                <c:pt idx="481">
                  <c:v>3.5964533957650708E-3</c:v>
                </c:pt>
                <c:pt idx="482">
                  <c:v>3.6109746642951678E-3</c:v>
                </c:pt>
                <c:pt idx="483">
                  <c:v>3.62549609079661E-3</c:v>
                </c:pt>
                <c:pt idx="484">
                  <c:v>3.6400176733787726E-3</c:v>
                </c:pt>
                <c:pt idx="485">
                  <c:v>3.6545394101810615E-3</c:v>
                </c:pt>
                <c:pt idx="486">
                  <c:v>3.6690612993723185E-3</c:v>
                </c:pt>
                <c:pt idx="487">
                  <c:v>3.6835833391502424E-3</c:v>
                </c:pt>
                <c:pt idx="488">
                  <c:v>3.6981055277408212E-3</c:v>
                </c:pt>
                <c:pt idx="489">
                  <c:v>3.7126278633977847E-3</c:v>
                </c:pt>
                <c:pt idx="490">
                  <c:v>3.7271503444020614E-3</c:v>
                </c:pt>
                <c:pt idx="491">
                  <c:v>3.7416729690612481E-3</c:v>
                </c:pt>
                <c:pt idx="492">
                  <c:v>3.7561957357091025E-3</c:v>
                </c:pt>
                <c:pt idx="493">
                  <c:v>3.7707186427050339E-3</c:v>
                </c:pt>
                <c:pt idx="494">
                  <c:v>3.7852416884336126E-3</c:v>
                </c:pt>
                <c:pt idx="495">
                  <c:v>3.7997648713040937E-3</c:v>
                </c:pt>
                <c:pt idx="496">
                  <c:v>3.8142881897499435E-3</c:v>
                </c:pt>
                <c:pt idx="497">
                  <c:v>3.8288116422283826E-3</c:v>
                </c:pt>
                <c:pt idx="498">
                  <c:v>3.8433352272199354E-3</c:v>
                </c:pt>
                <c:pt idx="499">
                  <c:v>3.857858943227997E-3</c:v>
                </c:pt>
                <c:pt idx="500">
                  <c:v>3.8723827887783991E-3</c:v>
                </c:pt>
                <c:pt idx="501">
                  <c:v>3.8869067624189959E-3</c:v>
                </c:pt>
                <c:pt idx="502">
                  <c:v>3.9014308627192541E-3</c:v>
                </c:pt>
                <c:pt idx="503">
                  <c:v>3.9159550882698442E-3</c:v>
                </c:pt>
                <c:pt idx="504">
                  <c:v>3.9304794376822634E-3</c:v>
                </c:pt>
                <c:pt idx="505">
                  <c:v>3.9450039095884418E-3</c:v>
                </c:pt>
                <c:pt idx="506">
                  <c:v>3.9595285026403724E-3</c:v>
                </c:pt>
                <c:pt idx="507">
                  <c:v>3.9740532155097472E-3</c:v>
                </c:pt>
                <c:pt idx="508">
                  <c:v>3.9885780468875889E-3</c:v>
                </c:pt>
                <c:pt idx="509">
                  <c:v>4.0031029954839129E-3</c:v>
                </c:pt>
                <c:pt idx="510">
                  <c:v>4.0176280600273786E-3</c:v>
                </c:pt>
                <c:pt idx="511">
                  <c:v>4.0321532392649535E-3</c:v>
                </c:pt>
                <c:pt idx="512">
                  <c:v>4.0466785319615856E-3</c:v>
                </c:pt>
                <c:pt idx="513">
                  <c:v>4.0612039368998817E-3</c:v>
                </c:pt>
                <c:pt idx="514">
                  <c:v>4.0757294528797955E-3</c:v>
                </c:pt>
                <c:pt idx="515">
                  <c:v>4.0902550787183184E-3</c:v>
                </c:pt>
                <c:pt idx="516">
                  <c:v>4.1047808132491752E-3</c:v>
                </c:pt>
                <c:pt idx="517">
                  <c:v>4.1193066553225372E-3</c:v>
                </c:pt>
                <c:pt idx="518">
                  <c:v>4.1338326038047228E-3</c:v>
                </c:pt>
                <c:pt idx="519">
                  <c:v>4.1483586575779266E-3</c:v>
                </c:pt>
                <c:pt idx="520">
                  <c:v>4.1628848155399363E-3</c:v>
                </c:pt>
                <c:pt idx="521">
                  <c:v>4.1774110766038585E-3</c:v>
                </c:pt>
                <c:pt idx="522">
                  <c:v>4.1919374396978612E-3</c:v>
                </c:pt>
                <c:pt idx="523">
                  <c:v>4.206463903764909E-3</c:v>
                </c:pt>
                <c:pt idx="524">
                  <c:v>4.2209904677625145E-3</c:v>
                </c:pt>
                <c:pt idx="525">
                  <c:v>4.2355171306624776E-3</c:v>
                </c:pt>
                <c:pt idx="526">
                  <c:v>4.2500438914506531E-3</c:v>
                </c:pt>
                <c:pt idx="527">
                  <c:v>4.2645707491267082E-3</c:v>
                </c:pt>
                <c:pt idx="528">
                  <c:v>4.2790977027038846E-3</c:v>
                </c:pt>
                <c:pt idx="529">
                  <c:v>4.2936247512087768E-3</c:v>
                </c:pt>
                <c:pt idx="530">
                  <c:v>4.3081518936810923E-3</c:v>
                </c:pt>
                <c:pt idx="531">
                  <c:v>4.3226791291734543E-3</c:v>
                </c:pt>
                <c:pt idx="532">
                  <c:v>4.3372064567511609E-3</c:v>
                </c:pt>
                <c:pt idx="533">
                  <c:v>4.351733875491994E-3</c:v>
                </c:pt>
                <c:pt idx="534">
                  <c:v>4.3662613844860001E-3</c:v>
                </c:pt>
                <c:pt idx="535">
                  <c:v>4.3807889828352872E-3</c:v>
                </c:pt>
                <c:pt idx="536">
                  <c:v>4.3953166696538348E-3</c:v>
                </c:pt>
                <c:pt idx="537">
                  <c:v>4.4098444440672895E-3</c:v>
                </c:pt>
                <c:pt idx="538">
                  <c:v>4.4243723052127763E-3</c:v>
                </c:pt>
                <c:pt idx="539">
                  <c:v>4.4389002522387143E-3</c:v>
                </c:pt>
                <c:pt idx="540">
                  <c:v>4.4534282843046238E-3</c:v>
                </c:pt>
                <c:pt idx="541">
                  <c:v>4.4679564005809577E-3</c:v>
                </c:pt>
                <c:pt idx="542">
                  <c:v>4.4824846002489158E-3</c:v>
                </c:pt>
                <c:pt idx="543">
                  <c:v>4.497012882500275E-3</c:v>
                </c:pt>
                <c:pt idx="544">
                  <c:v>4.5115412465372177E-3</c:v>
                </c:pt>
                <c:pt idx="545">
                  <c:v>4.5260696915721665E-3</c:v>
                </c:pt>
                <c:pt idx="546">
                  <c:v>4.5405982168276191E-3</c:v>
                </c:pt>
                <c:pt idx="547">
                  <c:v>4.555126821535989E-3</c:v>
                </c:pt>
                <c:pt idx="548">
                  <c:v>4.5696555049394467E-3</c:v>
                </c:pt>
                <c:pt idx="549">
                  <c:v>4.5841842662897635E-3</c:v>
                </c:pt>
                <c:pt idx="550">
                  <c:v>4.5987131048481665E-3</c:v>
                </c:pt>
                <c:pt idx="551">
                  <c:v>4.6132420198851829E-3</c:v>
                </c:pt>
                <c:pt idx="552">
                  <c:v>4.6277710106804992E-3</c:v>
                </c:pt>
                <c:pt idx="553">
                  <c:v>4.6423000765228118E-3</c:v>
                </c:pt>
                <c:pt idx="554">
                  <c:v>4.6568292167096913E-3</c:v>
                </c:pt>
                <c:pt idx="555">
                  <c:v>4.6713584305474497E-3</c:v>
                </c:pt>
                <c:pt idx="556">
                  <c:v>4.6858877173509882E-3</c:v>
                </c:pt>
                <c:pt idx="557">
                  <c:v>4.7004170764436849E-3</c:v>
                </c:pt>
                <c:pt idx="558">
                  <c:v>4.7149465071572505E-3</c:v>
                </c:pt>
                <c:pt idx="559">
                  <c:v>4.7294760088316071E-3</c:v>
                </c:pt>
                <c:pt idx="560">
                  <c:v>4.7440055808147547E-3</c:v>
                </c:pt>
                <c:pt idx="561">
                  <c:v>4.7585352224626572E-3</c:v>
                </c:pt>
                <c:pt idx="562">
                  <c:v>4.7730649331391211E-3</c:v>
                </c:pt>
                <c:pt idx="563">
                  <c:v>4.7875947122156641E-3</c:v>
                </c:pt>
                <c:pt idx="564">
                  <c:v>4.8021245590714155E-3</c:v>
                </c:pt>
                <c:pt idx="565">
                  <c:v>4.8166544730929876E-3</c:v>
                </c:pt>
                <c:pt idx="566">
                  <c:v>4.8311844536743746E-3</c:v>
                </c:pt>
                <c:pt idx="567">
                  <c:v>4.8457145002168307E-3</c:v>
                </c:pt>
                <c:pt idx="568">
                  <c:v>4.8602446121287718E-3</c:v>
                </c:pt>
                <c:pt idx="569">
                  <c:v>4.8747747888256629E-3</c:v>
                </c:pt>
                <c:pt idx="570">
                  <c:v>4.8893050297299113E-3</c:v>
                </c:pt>
                <c:pt idx="571">
                  <c:v>4.9038353342707739E-3</c:v>
                </c:pt>
                <c:pt idx="572">
                  <c:v>4.9183657018842461E-3</c:v>
                </c:pt>
                <c:pt idx="573">
                  <c:v>4.9328961320129674E-3</c:v>
                </c:pt>
                <c:pt idx="574">
                  <c:v>4.9474266241061196E-3</c:v>
                </c:pt>
                <c:pt idx="575">
                  <c:v>4.9619571776193389E-3</c:v>
                </c:pt>
                <c:pt idx="576">
                  <c:v>4.9764877920146144E-3</c:v>
                </c:pt>
                <c:pt idx="577">
                  <c:v>4.9910184667601989E-3</c:v>
                </c:pt>
                <c:pt idx="578">
                  <c:v>5.0055492013305171E-3</c:v>
                </c:pt>
                <c:pt idx="579">
                  <c:v>5.020079995206074E-3</c:v>
                </c:pt>
                <c:pt idx="580">
                  <c:v>5.0346108478733793E-3</c:v>
                </c:pt>
                <c:pt idx="581">
                  <c:v>5.0491417588248381E-3</c:v>
                </c:pt>
                <c:pt idx="582">
                  <c:v>5.0636727275586929E-3</c:v>
                </c:pt>
                <c:pt idx="583">
                  <c:v>5.0782037535789179E-3</c:v>
                </c:pt>
                <c:pt idx="584">
                  <c:v>5.0927348363951491E-3</c:v>
                </c:pt>
                <c:pt idx="585">
                  <c:v>5.107265975522606E-3</c:v>
                </c:pt>
                <c:pt idx="586">
                  <c:v>5.1217971704820009E-3</c:v>
                </c:pt>
                <c:pt idx="587">
                  <c:v>5.1363284207994716E-3</c:v>
                </c:pt>
                <c:pt idx="588">
                  <c:v>5.1508597260065039E-3</c:v>
                </c:pt>
                <c:pt idx="589">
                  <c:v>5.165391085639846E-3</c:v>
                </c:pt>
                <c:pt idx="590">
                  <c:v>5.1799224992414503E-3</c:v>
                </c:pt>
                <c:pt idx="591">
                  <c:v>5.1944539663583925E-3</c:v>
                </c:pt>
                <c:pt idx="592">
                  <c:v>5.2089854865427941E-3</c:v>
                </c:pt>
                <c:pt idx="593">
                  <c:v>5.2235170593517661E-3</c:v>
                </c:pt>
                <c:pt idx="594">
                  <c:v>5.23804868434733E-3</c:v>
                </c:pt>
                <c:pt idx="595">
                  <c:v>5.2525803610963505E-3</c:v>
                </c:pt>
                <c:pt idx="596">
                  <c:v>5.2671120891704766E-3</c:v>
                </c:pt>
                <c:pt idx="597">
                  <c:v>5.2816438681460619E-3</c:v>
                </c:pt>
                <c:pt idx="598">
                  <c:v>5.2961756976041136E-3</c:v>
                </c:pt>
                <c:pt idx="599">
                  <c:v>5.3107075771302225E-3</c:v>
                </c:pt>
                <c:pt idx="600">
                  <c:v>5.3252395063145023E-3</c:v>
                </c:pt>
                <c:pt idx="601">
                  <c:v>5.3397714847515229E-3</c:v>
                </c:pt>
                <c:pt idx="602">
                  <c:v>5.3543035120402604E-3</c:v>
                </c:pt>
                <c:pt idx="603">
                  <c:v>5.3688355877840278E-3</c:v>
                </c:pt>
                <c:pt idx="604">
                  <c:v>5.3833677115904211E-3</c:v>
                </c:pt>
                <c:pt idx="605">
                  <c:v>5.3978998830712596E-3</c:v>
                </c:pt>
                <c:pt idx="606">
                  <c:v>5.4124321018425301E-3</c:v>
                </c:pt>
                <c:pt idx="607">
                  <c:v>5.426964367524335E-3</c:v>
                </c:pt>
                <c:pt idx="608">
                  <c:v>5.4414966797408301E-3</c:v>
                </c:pt>
                <c:pt idx="609">
                  <c:v>5.4560290381201748E-3</c:v>
                </c:pt>
                <c:pt idx="610">
                  <c:v>5.4705614422944793E-3</c:v>
                </c:pt>
                <c:pt idx="611">
                  <c:v>5.4850938918997519E-3</c:v>
                </c:pt>
                <c:pt idx="612">
                  <c:v>5.4996263865758456E-3</c:v>
                </c:pt>
                <c:pt idx="613">
                  <c:v>5.5141589259664094E-3</c:v>
                </c:pt>
                <c:pt idx="614">
                  <c:v>5.5286915097188414E-3</c:v>
                </c:pt>
                <c:pt idx="615">
                  <c:v>5.5432241374842265E-3</c:v>
                </c:pt>
                <c:pt idx="616">
                  <c:v>5.5577568089173112E-3</c:v>
                </c:pt>
                <c:pt idx="617">
                  <c:v>5.572289523676434E-3</c:v>
                </c:pt>
                <c:pt idx="618">
                  <c:v>5.5868222814234878E-3</c:v>
                </c:pt>
                <c:pt idx="619">
                  <c:v>5.6013550818238764E-3</c:v>
                </c:pt>
                <c:pt idx="620">
                  <c:v>5.6158879245464637E-3</c:v>
                </c:pt>
                <c:pt idx="621">
                  <c:v>5.630420809263537E-3</c:v>
                </c:pt>
                <c:pt idx="622">
                  <c:v>5.6449537356507472E-3</c:v>
                </c:pt>
                <c:pt idx="623">
                  <c:v>5.6594867033870839E-3</c:v>
                </c:pt>
                <c:pt idx="624">
                  <c:v>5.6740197121548227E-3</c:v>
                </c:pt>
                <c:pt idx="625">
                  <c:v>5.6885527616394836E-3</c:v>
                </c:pt>
                <c:pt idx="626">
                  <c:v>5.7030858515297947E-3</c:v>
                </c:pt>
                <c:pt idx="627">
                  <c:v>5.7176189815176448E-3</c:v>
                </c:pt>
                <c:pt idx="628">
                  <c:v>5.732152151298046E-3</c:v>
                </c:pt>
                <c:pt idx="629">
                  <c:v>5.7466853605690985E-3</c:v>
                </c:pt>
                <c:pt idx="630">
                  <c:v>5.7612186090319449E-3</c:v>
                </c:pt>
                <c:pt idx="631">
                  <c:v>5.7757518963907333E-3</c:v>
                </c:pt>
                <c:pt idx="632">
                  <c:v>5.7902852223525886E-3</c:v>
                </c:pt>
                <c:pt idx="633">
                  <c:v>5.8048185866275605E-3</c:v>
                </c:pt>
                <c:pt idx="634">
                  <c:v>5.8193519889285991E-3</c:v>
                </c:pt>
                <c:pt idx="635">
                  <c:v>5.8338854289715072E-3</c:v>
                </c:pt>
                <c:pt idx="636">
                  <c:v>5.848418906474924E-3</c:v>
                </c:pt>
                <c:pt idx="637">
                  <c:v>5.8629524211602658E-3</c:v>
                </c:pt>
                <c:pt idx="638">
                  <c:v>5.877485972751709E-3</c:v>
                </c:pt>
                <c:pt idx="639">
                  <c:v>5.8920195609761528E-3</c:v>
                </c:pt>
                <c:pt idx="640">
                  <c:v>5.9065531855631787E-3</c:v>
                </c:pt>
                <c:pt idx="641">
                  <c:v>5.9210868462450262E-3</c:v>
                </c:pt>
                <c:pt idx="642">
                  <c:v>5.9356205427565549E-3</c:v>
                </c:pt>
                <c:pt idx="643">
                  <c:v>5.9501542748352154E-3</c:v>
                </c:pt>
                <c:pt idx="644">
                  <c:v>5.9646880422210159E-3</c:v>
                </c:pt>
                <c:pt idx="645">
                  <c:v>5.9792218446564904E-3</c:v>
                </c:pt>
                <c:pt idx="646">
                  <c:v>5.9937556818866712E-3</c:v>
                </c:pt>
                <c:pt idx="647">
                  <c:v>6.0082895536590613E-3</c:v>
                </c:pt>
                <c:pt idx="648">
                  <c:v>6.0228234597235891E-3</c:v>
                </c:pt>
                <c:pt idx="649">
                  <c:v>6.0373573998326012E-3</c:v>
                </c:pt>
                <c:pt idx="650">
                  <c:v>6.051891373740818E-3</c:v>
                </c:pt>
                <c:pt idx="651">
                  <c:v>6.0664253812053098E-3</c:v>
                </c:pt>
                <c:pt idx="652">
                  <c:v>6.0809594219854738E-3</c:v>
                </c:pt>
                <c:pt idx="653">
                  <c:v>6.0954934958429912E-3</c:v>
                </c:pt>
                <c:pt idx="654">
                  <c:v>6.1100276025418182E-3</c:v>
                </c:pt>
                <c:pt idx="655">
                  <c:v>6.1245617418481512E-3</c:v>
                </c:pt>
                <c:pt idx="656">
                  <c:v>6.1390959135303952E-3</c:v>
                </c:pt>
                <c:pt idx="657">
                  <c:v>6.1536301173591478E-3</c:v>
                </c:pt>
                <c:pt idx="658">
                  <c:v>6.1681643531071662E-3</c:v>
                </c:pt>
                <c:pt idx="659">
                  <c:v>6.1826986205493414E-3</c:v>
                </c:pt>
                <c:pt idx="660">
                  <c:v>6.1972329194626809E-3</c:v>
                </c:pt>
                <c:pt idx="661">
                  <c:v>6.2117672496262736E-3</c:v>
                </c:pt>
                <c:pt idx="662">
                  <c:v>6.2263016108212738E-3</c:v>
                </c:pt>
                <c:pt idx="663">
                  <c:v>6.240836002830874E-3</c:v>
                </c:pt>
                <c:pt idx="664">
                  <c:v>6.2553704254402782E-3</c:v>
                </c:pt>
                <c:pt idx="665">
                  <c:v>6.2699048784366869E-3</c:v>
                </c:pt>
                <c:pt idx="666">
                  <c:v>6.2844393616092635E-3</c:v>
                </c:pt>
                <c:pt idx="667">
                  <c:v>6.2989738747491206E-3</c:v>
                </c:pt>
                <c:pt idx="668">
                  <c:v>6.3135084176492917E-3</c:v>
                </c:pt>
                <c:pt idx="669">
                  <c:v>6.3280429901047142E-3</c:v>
                </c:pt>
                <c:pt idx="670">
                  <c:v>6.3425775919122001E-3</c:v>
                </c:pt>
                <c:pt idx="671">
                  <c:v>6.3571122228704216E-3</c:v>
                </c:pt>
                <c:pt idx="672">
                  <c:v>6.3716468827798899E-3</c:v>
                </c:pt>
                <c:pt idx="673">
                  <c:v>6.386181571442928E-3</c:v>
                </c:pt>
                <c:pt idx="674">
                  <c:v>6.4007162886636588E-3</c:v>
                </c:pt>
                <c:pt idx="675">
                  <c:v>6.4152510342479728E-3</c:v>
                </c:pt>
                <c:pt idx="676">
                  <c:v>6.429785808003523E-3</c:v>
                </c:pt>
                <c:pt idx="677">
                  <c:v>6.4443206097396927E-3</c:v>
                </c:pt>
                <c:pt idx="678">
                  <c:v>6.458855439267581E-3</c:v>
                </c:pt>
                <c:pt idx="679">
                  <c:v>6.473390296399986E-3</c:v>
                </c:pt>
                <c:pt idx="680">
                  <c:v>6.4879251809513792E-3</c:v>
                </c:pt>
                <c:pt idx="681">
                  <c:v>6.5024600927378927E-3</c:v>
                </c:pt>
                <c:pt idx="682">
                  <c:v>6.5169950315772983E-3</c:v>
                </c:pt>
                <c:pt idx="683">
                  <c:v>6.5315299972889913E-3</c:v>
                </c:pt>
                <c:pt idx="684">
                  <c:v>6.5460649896939664E-3</c:v>
                </c:pt>
                <c:pt idx="685">
                  <c:v>6.5606000086148092E-3</c:v>
                </c:pt>
                <c:pt idx="686">
                  <c:v>6.5751350538756697E-3</c:v>
                </c:pt>
                <c:pt idx="687">
                  <c:v>6.5896701253022518E-3</c:v>
                </c:pt>
                <c:pt idx="688">
                  <c:v>6.6042052227217925E-3</c:v>
                </c:pt>
                <c:pt idx="689">
                  <c:v>6.6187403459630452E-3</c:v>
                </c:pt>
                <c:pt idx="690">
                  <c:v>6.6332754948562654E-3</c:v>
                </c:pt>
                <c:pt idx="691">
                  <c:v>6.6478106692331937E-3</c:v>
                </c:pt>
                <c:pt idx="692">
                  <c:v>6.6623458689270354E-3</c:v>
                </c:pt>
                <c:pt idx="693">
                  <c:v>6.6768810937724507E-3</c:v>
                </c:pt>
                <c:pt idx="694">
                  <c:v>6.6914163436055359E-3</c:v>
                </c:pt>
                <c:pt idx="695">
                  <c:v>6.7059516182638081E-3</c:v>
                </c:pt>
                <c:pt idx="696">
                  <c:v>6.7204869175861879E-3</c:v>
                </c:pt>
                <c:pt idx="697">
                  <c:v>6.7350222414129888E-3</c:v>
                </c:pt>
                <c:pt idx="698">
                  <c:v>6.7495575895858955E-3</c:v>
                </c:pt>
                <c:pt idx="699">
                  <c:v>6.7640929619479599E-3</c:v>
                </c:pt>
                <c:pt idx="700">
                  <c:v>6.7786283583435745E-3</c:v>
                </c:pt>
                <c:pt idx="701">
                  <c:v>6.7931637786184627E-3</c:v>
                </c:pt>
                <c:pt idx="702">
                  <c:v>6.8076992226196722E-3</c:v>
                </c:pt>
                <c:pt idx="703">
                  <c:v>6.8222346901955448E-3</c:v>
                </c:pt>
                <c:pt idx="704">
                  <c:v>6.8367701811957171E-3</c:v>
                </c:pt>
                <c:pt idx="705">
                  <c:v>6.851305695471102E-3</c:v>
                </c:pt>
                <c:pt idx="706">
                  <c:v>6.8658412328738722E-3</c:v>
                </c:pt>
                <c:pt idx="707">
                  <c:v>6.8803767932574507E-3</c:v>
                </c:pt>
                <c:pt idx="708">
                  <c:v>6.8949123764764954E-3</c:v>
                </c:pt>
                <c:pt idx="709">
                  <c:v>6.9094479823868897E-3</c:v>
                </c:pt>
                <c:pt idx="710">
                  <c:v>6.9239836108457237E-3</c:v>
                </c:pt>
                <c:pt idx="711">
                  <c:v>6.9385192617112835E-3</c:v>
                </c:pt>
                <c:pt idx="712">
                  <c:v>6.953054934843046E-3</c:v>
                </c:pt>
                <c:pt idx="713">
                  <c:v>6.9675906301016558E-3</c:v>
                </c:pt>
                <c:pt idx="714">
                  <c:v>6.9821263473489187E-3</c:v>
                </c:pt>
                <c:pt idx="715">
                  <c:v>6.9966620864477906E-3</c:v>
                </c:pt>
                <c:pt idx="716">
                  <c:v>7.0111978472623595E-3</c:v>
                </c:pt>
                <c:pt idx="717">
                  <c:v>7.0257336296578425E-3</c:v>
                </c:pt>
                <c:pt idx="718">
                  <c:v>7.0402694335005662E-3</c:v>
                </c:pt>
                <c:pt idx="719">
                  <c:v>7.0548052586579604E-3</c:v>
                </c:pt>
                <c:pt idx="720">
                  <c:v>7.0693411049985453E-3</c:v>
                </c:pt>
                <c:pt idx="721">
                  <c:v>7.0838769723919207E-3</c:v>
                </c:pt>
                <c:pt idx="722">
                  <c:v>7.0984128607087518E-3</c:v>
                </c:pt>
                <c:pt idx="723">
                  <c:v>7.1129487698207644E-3</c:v>
                </c:pt>
                <c:pt idx="724">
                  <c:v>7.1274846996007236E-3</c:v>
                </c:pt>
                <c:pt idx="725">
                  <c:v>7.1420206499224394E-3</c:v>
                </c:pt>
                <c:pt idx="726">
                  <c:v>7.1565566206607395E-3</c:v>
                </c:pt>
                <c:pt idx="727">
                  <c:v>7.1710926116914731E-3</c:v>
                </c:pt>
                <c:pt idx="728">
                  <c:v>7.1856286228914861E-3</c:v>
                </c:pt>
                <c:pt idx="729">
                  <c:v>7.2001646541386246E-3</c:v>
                </c:pt>
                <c:pt idx="730">
                  <c:v>7.2147007053117154E-3</c:v>
                </c:pt>
                <c:pt idx="731">
                  <c:v>7.2292367762905631E-3</c:v>
                </c:pt>
                <c:pt idx="732">
                  <c:v>7.2437728669559349E-3</c:v>
                </c:pt>
                <c:pt idx="733">
                  <c:v>7.2583089771895521E-3</c:v>
                </c:pt>
                <c:pt idx="734">
                  <c:v>7.2728451068740834E-3</c:v>
                </c:pt>
                <c:pt idx="735">
                  <c:v>7.2873812558931321E-3</c:v>
                </c:pt>
                <c:pt idx="736">
                  <c:v>7.3019174241312291E-3</c:v>
                </c:pt>
                <c:pt idx="737">
                  <c:v>7.3164536114738209E-3</c:v>
                </c:pt>
                <c:pt idx="738">
                  <c:v>7.3309898178072676E-3</c:v>
                </c:pt>
                <c:pt idx="739">
                  <c:v>7.3455260430188227E-3</c:v>
                </c:pt>
                <c:pt idx="740">
                  <c:v>7.3600622869966319E-3</c:v>
                </c:pt>
                <c:pt idx="741">
                  <c:v>7.374598549629725E-3</c:v>
                </c:pt>
                <c:pt idx="742">
                  <c:v>7.3891348308080017E-3</c:v>
                </c:pt>
                <c:pt idx="743">
                  <c:v>7.4036711304222291E-3</c:v>
                </c:pt>
                <c:pt idx="744">
                  <c:v>7.4182074483640304E-3</c:v>
                </c:pt>
                <c:pt idx="745">
                  <c:v>7.4327437845258708E-3</c:v>
                </c:pt>
                <c:pt idx="746">
                  <c:v>7.4472801388010632E-3</c:v>
                </c:pt>
                <c:pt idx="747">
                  <c:v>7.4618165110837478E-3</c:v>
                </c:pt>
                <c:pt idx="748">
                  <c:v>7.4763529012688845E-3</c:v>
                </c:pt>
                <c:pt idx="749">
                  <c:v>7.4908893092522555E-3</c:v>
                </c:pt>
                <c:pt idx="750">
                  <c:v>7.5054257349304468E-3</c:v>
                </c:pt>
                <c:pt idx="751">
                  <c:v>7.5199621782008402E-3</c:v>
                </c:pt>
                <c:pt idx="752">
                  <c:v>7.5344986389616134E-3</c:v>
                </c:pt>
                <c:pt idx="753">
                  <c:v>7.5490351171117326E-3</c:v>
                </c:pt>
                <c:pt idx="754">
                  <c:v>7.5635716125509282E-3</c:v>
                </c:pt>
                <c:pt idx="755">
                  <c:v>7.5781081251797156E-3</c:v>
                </c:pt>
                <c:pt idx="756">
                  <c:v>7.5926446548993569E-3</c:v>
                </c:pt>
                <c:pt idx="757">
                  <c:v>7.6071812016118784E-3</c:v>
                </c:pt>
                <c:pt idx="758">
                  <c:v>7.6217177652200523E-3</c:v>
                </c:pt>
                <c:pt idx="759">
                  <c:v>7.6362543456273873E-3</c:v>
                </c:pt>
                <c:pt idx="760">
                  <c:v>7.6507909427381291E-3</c:v>
                </c:pt>
                <c:pt idx="761">
                  <c:v>7.6653275564572462E-3</c:v>
                </c:pt>
                <c:pt idx="762">
                  <c:v>7.6798641866904285E-3</c:v>
                </c:pt>
                <c:pt idx="763">
                  <c:v>7.6944008333440818E-3</c:v>
                </c:pt>
                <c:pt idx="764">
                  <c:v>7.7089374963253124E-3</c:v>
                </c:pt>
                <c:pt idx="765">
                  <c:v>7.7234741755419292E-3</c:v>
                </c:pt>
                <c:pt idx="766">
                  <c:v>7.7380108709024283E-3</c:v>
                </c:pt>
                <c:pt idx="767">
                  <c:v>7.7525475823160012E-3</c:v>
                </c:pt>
                <c:pt idx="768">
                  <c:v>7.7670843096925143E-3</c:v>
                </c:pt>
                <c:pt idx="769">
                  <c:v>7.7816210529425018E-3</c:v>
                </c:pt>
                <c:pt idx="770">
                  <c:v>7.7961578119771745E-3</c:v>
                </c:pt>
                <c:pt idx="771">
                  <c:v>7.8106945867084006E-3</c:v>
                </c:pt>
                <c:pt idx="772">
                  <c:v>7.825231377048698E-3</c:v>
                </c:pt>
                <c:pt idx="773">
                  <c:v>7.8397681829112456E-3</c:v>
                </c:pt>
                <c:pt idx="774">
                  <c:v>7.8543050042098519E-3</c:v>
                </c:pt>
                <c:pt idx="775">
                  <c:v>7.8688418408589655E-3</c:v>
                </c:pt>
                <c:pt idx="776">
                  <c:v>7.8833786927736751E-3</c:v>
                </c:pt>
                <c:pt idx="777">
                  <c:v>7.8979155598696837E-3</c:v>
                </c:pt>
                <c:pt idx="778">
                  <c:v>7.9124524420633134E-3</c:v>
                </c:pt>
                <c:pt idx="779">
                  <c:v>7.9269893392715108E-3</c:v>
                </c:pt>
                <c:pt idx="780">
                  <c:v>7.9415262514118228E-3</c:v>
                </c:pt>
                <c:pt idx="781">
                  <c:v>7.9560631784023946E-3</c:v>
                </c:pt>
                <c:pt idx="782">
                  <c:v>7.9706001201619789E-3</c:v>
                </c:pt>
                <c:pt idx="783">
                  <c:v>7.9851370766099109E-3</c:v>
                </c:pt>
                <c:pt idx="784">
                  <c:v>7.9996740476661176E-3</c:v>
                </c:pt>
                <c:pt idx="785">
                  <c:v>8.0142110332511104E-3</c:v>
                </c:pt>
                <c:pt idx="786">
                  <c:v>8.028748033285963E-3</c:v>
                </c:pt>
                <c:pt idx="787">
                  <c:v>8.0432850476923317E-3</c:v>
                </c:pt>
                <c:pt idx="788">
                  <c:v>8.0578220763924315E-3</c:v>
                </c:pt>
                <c:pt idx="789">
                  <c:v>8.072359119309043E-3</c:v>
                </c:pt>
                <c:pt idx="790">
                  <c:v>8.0868961763654983E-3</c:v>
                </c:pt>
                <c:pt idx="791">
                  <c:v>8.1014332474856794E-3</c:v>
                </c:pt>
                <c:pt idx="792">
                  <c:v>8.1159703325940167E-3</c:v>
                </c:pt>
                <c:pt idx="793">
                  <c:v>8.1305074316154781E-3</c:v>
                </c:pt>
                <c:pt idx="794">
                  <c:v>8.1450445444755694E-3</c:v>
                </c:pt>
                <c:pt idx="795">
                  <c:v>8.159581671100322E-3</c:v>
                </c:pt>
                <c:pt idx="796">
                  <c:v>8.1741188114163015E-3</c:v>
                </c:pt>
                <c:pt idx="797">
                  <c:v>8.1886559653505872E-3</c:v>
                </c:pt>
                <c:pt idx="798">
                  <c:v>8.2031931328307838E-3</c:v>
                </c:pt>
                <c:pt idx="799">
                  <c:v>8.2177303137850009E-3</c:v>
                </c:pt>
                <c:pt idx="800">
                  <c:v>8.2322675081418547E-3</c:v>
                </c:pt>
                <c:pt idx="801">
                  <c:v>8.2468047158304712E-3</c:v>
                </c:pt>
                <c:pt idx="802">
                  <c:v>8.2613419367804711E-3</c:v>
                </c:pt>
                <c:pt idx="803">
                  <c:v>8.2758791709219709E-3</c:v>
                </c:pt>
                <c:pt idx="804">
                  <c:v>8.2904164181855783E-3</c:v>
                </c:pt>
                <c:pt idx="805">
                  <c:v>8.3049536785023814E-3</c:v>
                </c:pt>
                <c:pt idx="806">
                  <c:v>8.3194909518039574E-3</c:v>
                </c:pt>
                <c:pt idx="807">
                  <c:v>8.3340282380223556E-3</c:v>
                </c:pt>
                <c:pt idx="808">
                  <c:v>8.3485655370900986E-3</c:v>
                </c:pt>
                <c:pt idx="809">
                  <c:v>8.3631028489401828E-3</c:v>
                </c:pt>
                <c:pt idx="810">
                  <c:v>8.3776401735060659E-3</c:v>
                </c:pt>
                <c:pt idx="811">
                  <c:v>8.3921775107216635E-3</c:v>
                </c:pt>
                <c:pt idx="812">
                  <c:v>8.4067148605213565E-3</c:v>
                </c:pt>
                <c:pt idx="813">
                  <c:v>8.4212522228399728E-3</c:v>
                </c:pt>
                <c:pt idx="814">
                  <c:v>8.4357895976127899E-3</c:v>
                </c:pt>
                <c:pt idx="815">
                  <c:v>8.450326984775533E-3</c:v>
                </c:pt>
                <c:pt idx="816">
                  <c:v>8.4648643842643676E-3</c:v>
                </c:pt>
                <c:pt idx="817">
                  <c:v>8.4794017960158948E-3</c:v>
                </c:pt>
                <c:pt idx="818">
                  <c:v>8.4939392199671546E-3</c:v>
                </c:pt>
                <c:pt idx="819">
                  <c:v>8.5084766560556118E-3</c:v>
                </c:pt>
                <c:pt idx="820">
                  <c:v>8.52301410421916E-3</c:v>
                </c:pt>
                <c:pt idx="821">
                  <c:v>8.5375515643961192E-3</c:v>
                </c:pt>
                <c:pt idx="822">
                  <c:v>8.5520890365252261E-3</c:v>
                </c:pt>
                <c:pt idx="823">
                  <c:v>8.5666265205456265E-3</c:v>
                </c:pt>
                <c:pt idx="824">
                  <c:v>8.5811640163968896E-3</c:v>
                </c:pt>
                <c:pt idx="825">
                  <c:v>8.5957015240189852E-3</c:v>
                </c:pt>
                <c:pt idx="826">
                  <c:v>8.6102390433522944E-3</c:v>
                </c:pt>
                <c:pt idx="827">
                  <c:v>8.6247765743376007E-3</c:v>
                </c:pt>
                <c:pt idx="828">
                  <c:v>8.6393141169160761E-3</c:v>
                </c:pt>
                <c:pt idx="829">
                  <c:v>8.6538516710292987E-3</c:v>
                </c:pt>
                <c:pt idx="830">
                  <c:v>8.6683892366192349E-3</c:v>
                </c:pt>
                <c:pt idx="831">
                  <c:v>8.6829268136282382E-3</c:v>
                </c:pt>
                <c:pt idx="832">
                  <c:v>8.6974644019990471E-3</c:v>
                </c:pt>
                <c:pt idx="833">
                  <c:v>8.7120020016747887E-3</c:v>
                </c:pt>
                <c:pt idx="834">
                  <c:v>8.7265396125989578E-3</c:v>
                </c:pt>
                <c:pt idx="835">
                  <c:v>8.7410772347154362E-3</c:v>
                </c:pt>
                <c:pt idx="836">
                  <c:v>8.7556148679684715E-3</c:v>
                </c:pt>
                <c:pt idx="837">
                  <c:v>8.7701525123026827E-3</c:v>
                </c:pt>
                <c:pt idx="838">
                  <c:v>8.7846901676630566E-3</c:v>
                </c:pt>
                <c:pt idx="839">
                  <c:v>8.7992278339949406E-3</c:v>
                </c:pt>
                <c:pt idx="840">
                  <c:v>8.8137655112440483E-3</c:v>
                </c:pt>
                <c:pt idx="841">
                  <c:v>8.8283031993564437E-3</c:v>
                </c:pt>
                <c:pt idx="842">
                  <c:v>8.8428408982785516E-3</c:v>
                </c:pt>
                <c:pt idx="843">
                  <c:v>8.8573786079571438E-3</c:v>
                </c:pt>
                <c:pt idx="844">
                  <c:v>8.8719163283393406E-3</c:v>
                </c:pt>
                <c:pt idx="845">
                  <c:v>8.8864540593726147E-3</c:v>
                </c:pt>
                <c:pt idx="846">
                  <c:v>8.9009918010047769E-3</c:v>
                </c:pt>
                <c:pt idx="847">
                  <c:v>8.915529553183978E-3</c:v>
                </c:pt>
                <c:pt idx="848">
                  <c:v>8.9300673158587088E-3</c:v>
                </c:pt>
                <c:pt idx="849">
                  <c:v>8.9446050889777935E-3</c:v>
                </c:pt>
                <c:pt idx="850">
                  <c:v>8.9591428724903888E-3</c:v>
                </c:pt>
                <c:pt idx="851">
                  <c:v>8.9736806663459796E-3</c:v>
                </c:pt>
                <c:pt idx="852">
                  <c:v>8.9882184704943805E-3</c:v>
                </c:pt>
                <c:pt idx="853">
                  <c:v>9.0027562848857285E-3</c:v>
                </c:pt>
                <c:pt idx="854">
                  <c:v>9.0172941094704799E-3</c:v>
                </c:pt>
                <c:pt idx="855">
                  <c:v>9.0318319441994172E-3</c:v>
                </c:pt>
                <c:pt idx="856">
                  <c:v>9.0463697890236262E-3</c:v>
                </c:pt>
                <c:pt idx="857">
                  <c:v>9.060907643894521E-3</c:v>
                </c:pt>
                <c:pt idx="858">
                  <c:v>9.0754455087638207E-3</c:v>
                </c:pt>
                <c:pt idx="859">
                  <c:v>9.089983383583548E-3</c:v>
                </c:pt>
                <c:pt idx="860">
                  <c:v>9.1045212683060414E-3</c:v>
                </c:pt>
                <c:pt idx="861">
                  <c:v>9.1190591628839378E-3</c:v>
                </c:pt>
                <c:pt idx="862">
                  <c:v>9.1335970672701758E-3</c:v>
                </c:pt>
                <c:pt idx="863">
                  <c:v>9.1481349814179942E-3</c:v>
                </c:pt>
                <c:pt idx="864">
                  <c:v>9.162672905280932E-3</c:v>
                </c:pt>
                <c:pt idx="865">
                  <c:v>9.1772108388128142E-3</c:v>
                </c:pt>
                <c:pt idx="866">
                  <c:v>9.1917487819677679E-3</c:v>
                </c:pt>
                <c:pt idx="867">
                  <c:v>9.2062867347001993E-3</c:v>
                </c:pt>
                <c:pt idx="868">
                  <c:v>9.2208246969648095E-3</c:v>
                </c:pt>
                <c:pt idx="869">
                  <c:v>9.235362668716586E-3</c:v>
                </c:pt>
                <c:pt idx="870">
                  <c:v>9.2499006499107937E-3</c:v>
                </c:pt>
                <c:pt idx="871">
                  <c:v>9.2644386405029804E-3</c:v>
                </c:pt>
                <c:pt idx="872">
                  <c:v>9.2789766404489729E-3</c:v>
                </c:pt>
                <c:pt idx="873">
                  <c:v>9.293514649704876E-3</c:v>
                </c:pt>
                <c:pt idx="874">
                  <c:v>9.3080526682270629E-3</c:v>
                </c:pt>
                <c:pt idx="875">
                  <c:v>9.3225906959721883E-3</c:v>
                </c:pt>
                <c:pt idx="876">
                  <c:v>9.3371287328971684E-3</c:v>
                </c:pt>
                <c:pt idx="877">
                  <c:v>9.3516667789591904E-3</c:v>
                </c:pt>
                <c:pt idx="878">
                  <c:v>9.3662048341157066E-3</c:v>
                </c:pt>
                <c:pt idx="879">
                  <c:v>9.3807428983244349E-3</c:v>
                </c:pt>
                <c:pt idx="880">
                  <c:v>9.3952809715433551E-3</c:v>
                </c:pt>
                <c:pt idx="881">
                  <c:v>9.4098190537307037E-3</c:v>
                </c:pt>
                <c:pt idx="882">
                  <c:v>9.4243571448449741E-3</c:v>
                </c:pt>
                <c:pt idx="883">
                  <c:v>9.4388952448449213E-3</c:v>
                </c:pt>
                <c:pt idx="884">
                  <c:v>9.4534333536895488E-3</c:v>
                </c:pt>
                <c:pt idx="885">
                  <c:v>9.4679714713381147E-3</c:v>
                </c:pt>
                <c:pt idx="886">
                  <c:v>9.4825095977501255E-3</c:v>
                </c:pt>
                <c:pt idx="887">
                  <c:v>9.4970477328853321E-3</c:v>
                </c:pt>
                <c:pt idx="888">
                  <c:v>9.5115858767037421E-3</c:v>
                </c:pt>
                <c:pt idx="889">
                  <c:v>9.5261240291655922E-3</c:v>
                </c:pt>
                <c:pt idx="890">
                  <c:v>9.5406621902313776E-3</c:v>
                </c:pt>
                <c:pt idx="891">
                  <c:v>9.555200359861819E-3</c:v>
                </c:pt>
                <c:pt idx="892">
                  <c:v>9.5697385380178884E-3</c:v>
                </c:pt>
                <c:pt idx="893">
                  <c:v>9.5842767246607837E-3</c:v>
                </c:pt>
                <c:pt idx="894">
                  <c:v>9.5988149197519471E-3</c:v>
                </c:pt>
                <c:pt idx="895">
                  <c:v>9.6133531232530448E-3</c:v>
                </c:pt>
                <c:pt idx="896">
                  <c:v>9.6278913351259855E-3</c:v>
                </c:pt>
                <c:pt idx="897">
                  <c:v>9.642429555332897E-3</c:v>
                </c:pt>
                <c:pt idx="898">
                  <c:v>9.6569677838361425E-3</c:v>
                </c:pt>
                <c:pt idx="899">
                  <c:v>9.6715060205983094E-3</c:v>
                </c:pt>
                <c:pt idx="900">
                  <c:v>9.6860442655822068E-3</c:v>
                </c:pt>
                <c:pt idx="901">
                  <c:v>9.7005825187508679E-3</c:v>
                </c:pt>
                <c:pt idx="902">
                  <c:v>9.7151207800675529E-3</c:v>
                </c:pt>
                <c:pt idx="903">
                  <c:v>9.729659049495732E-3</c:v>
                </c:pt>
                <c:pt idx="904">
                  <c:v>9.7441973269991027E-3</c:v>
                </c:pt>
                <c:pt idx="905">
                  <c:v>9.7587356125415723E-3</c:v>
                </c:pt>
                <c:pt idx="906">
                  <c:v>9.7732739060872632E-3</c:v>
                </c:pt>
                <c:pt idx="907">
                  <c:v>9.7878122076005183E-3</c:v>
                </c:pt>
                <c:pt idx="908">
                  <c:v>9.8023505170458797E-3</c:v>
                </c:pt>
                <c:pt idx="909">
                  <c:v>9.8168888343881083E-3</c:v>
                </c:pt>
                <c:pt idx="910">
                  <c:v>9.8314271595921748E-3</c:v>
                </c:pt>
                <c:pt idx="911">
                  <c:v>9.8459654926232529E-3</c:v>
                </c:pt>
                <c:pt idx="912">
                  <c:v>9.8605038334467175E-3</c:v>
                </c:pt>
                <c:pt idx="913">
                  <c:v>9.8750421820281552E-3</c:v>
                </c:pt>
                <c:pt idx="914">
                  <c:v>9.8895805383333521E-3</c:v>
                </c:pt>
                <c:pt idx="915">
                  <c:v>9.9041189023282954E-3</c:v>
                </c:pt>
                <c:pt idx="916">
                  <c:v>9.9186572739791666E-3</c:v>
                </c:pt>
                <c:pt idx="917">
                  <c:v>9.9331956532523556E-3</c:v>
                </c:pt>
                <c:pt idx="918">
                  <c:v>9.9477340401144376E-3</c:v>
                </c:pt>
                <c:pt idx="919">
                  <c:v>9.9622724345321927E-3</c:v>
                </c:pt>
                <c:pt idx="920">
                  <c:v>9.9768108364725883E-3</c:v>
                </c:pt>
                <c:pt idx="921">
                  <c:v>9.991349245902786E-3</c:v>
                </c:pt>
                <c:pt idx="922">
                  <c:v>1.0005887662790137E-2</c:v>
                </c:pt>
                <c:pt idx="923">
                  <c:v>1.0020426087102182E-2</c:v>
                </c:pt>
                <c:pt idx="924">
                  <c:v>1.0034964518806658E-2</c:v>
                </c:pt>
                <c:pt idx="925">
                  <c:v>1.0049502957871473E-2</c:v>
                </c:pt>
                <c:pt idx="926">
                  <c:v>1.0064041404264732E-2</c:v>
                </c:pt>
                <c:pt idx="927">
                  <c:v>1.0078579857954722E-2</c:v>
                </c:pt>
                <c:pt idx="928">
                  <c:v>1.0093118318909909E-2</c:v>
                </c:pt>
                <c:pt idx="929">
                  <c:v>1.0107656787098948E-2</c:v>
                </c:pt>
                <c:pt idx="930">
                  <c:v>1.0122195262490665E-2</c:v>
                </c:pt>
                <c:pt idx="931">
                  <c:v>1.0136733745054069E-2</c:v>
                </c:pt>
                <c:pt idx="932">
                  <c:v>1.0151272234758348E-2</c:v>
                </c:pt>
                <c:pt idx="933">
                  <c:v>1.0165810731572864E-2</c:v>
                </c:pt>
                <c:pt idx="934">
                  <c:v>1.0180349235467156E-2</c:v>
                </c:pt>
                <c:pt idx="935">
                  <c:v>1.0194887746410933E-2</c:v>
                </c:pt>
                <c:pt idx="936">
                  <c:v>1.0209426264374081E-2</c:v>
                </c:pt>
                <c:pt idx="937">
                  <c:v>1.0223964789326653E-2</c:v>
                </c:pt>
                <c:pt idx="938">
                  <c:v>1.0238503321238879E-2</c:v>
                </c:pt>
                <c:pt idx="939">
                  <c:v>1.0253041860081148E-2</c:v>
                </c:pt>
                <c:pt idx="940">
                  <c:v>1.0267580405824026E-2</c:v>
                </c:pt>
                <c:pt idx="941">
                  <c:v>1.0282118958438238E-2</c:v>
                </c:pt>
                <c:pt idx="942">
                  <c:v>1.0296657517894679E-2</c:v>
                </c:pt>
                <c:pt idx="943">
                  <c:v>1.0311196084164408E-2</c:v>
                </c:pt>
                <c:pt idx="944">
                  <c:v>1.0325734657218645E-2</c:v>
                </c:pt>
                <c:pt idx="945">
                  <c:v>1.0340273237028772E-2</c:v>
                </c:pt>
                <c:pt idx="946">
                  <c:v>1.0354811823566333E-2</c:v>
                </c:pt>
                <c:pt idx="947">
                  <c:v>1.0369350416803032E-2</c:v>
                </c:pt>
                <c:pt idx="948">
                  <c:v>1.0383889016710729E-2</c:v>
                </c:pt>
                <c:pt idx="949">
                  <c:v>1.0398427623261441E-2</c:v>
                </c:pt>
                <c:pt idx="950">
                  <c:v>1.0412966236427346E-2</c:v>
                </c:pt>
                <c:pt idx="951">
                  <c:v>1.0427504856180773E-2</c:v>
                </c:pt>
                <c:pt idx="952">
                  <c:v>1.0442043482494206E-2</c:v>
                </c:pt>
                <c:pt idx="953">
                  <c:v>1.0456582115340283E-2</c:v>
                </c:pt>
                <c:pt idx="954">
                  <c:v>1.0471120754691794E-2</c:v>
                </c:pt>
                <c:pt idx="955">
                  <c:v>1.0485659400521678E-2</c:v>
                </c:pt>
                <c:pt idx="956">
                  <c:v>1.0500198052803025E-2</c:v>
                </c:pt>
                <c:pt idx="957">
                  <c:v>1.0514736711509072E-2</c:v>
                </c:pt>
                <c:pt idx="958">
                  <c:v>1.0529275376613211E-2</c:v>
                </c:pt>
                <c:pt idx="959">
                  <c:v>1.0543814048088967E-2</c:v>
                </c:pt>
                <c:pt idx="960">
                  <c:v>1.0558352725910027E-2</c:v>
                </c:pt>
                <c:pt idx="961">
                  <c:v>1.0572891410050213E-2</c:v>
                </c:pt>
                <c:pt idx="962">
                  <c:v>1.058743010048349E-2</c:v>
                </c:pt>
                <c:pt idx="963">
                  <c:v>1.0601968797183971E-2</c:v>
                </c:pt>
                <c:pt idx="964">
                  <c:v>1.0616507500125907E-2</c:v>
                </c:pt>
                <c:pt idx="965">
                  <c:v>1.0631046209283693E-2</c:v>
                </c:pt>
                <c:pt idx="966">
                  <c:v>1.0645584924631859E-2</c:v>
                </c:pt>
                <c:pt idx="967">
                  <c:v>1.0660123646145079E-2</c:v>
                </c:pt>
                <c:pt idx="968">
                  <c:v>1.0674662373798161E-2</c:v>
                </c:pt>
                <c:pt idx="969">
                  <c:v>1.0689201107566054E-2</c:v>
                </c:pt>
                <c:pt idx="970">
                  <c:v>1.0703739847423841E-2</c:v>
                </c:pt>
                <c:pt idx="971">
                  <c:v>1.0718278593346739E-2</c:v>
                </c:pt>
                <c:pt idx="972">
                  <c:v>1.0732817345310102E-2</c:v>
                </c:pt>
                <c:pt idx="973">
                  <c:v>1.0747356103289413E-2</c:v>
                </c:pt>
                <c:pt idx="974">
                  <c:v>1.0761894867260294E-2</c:v>
                </c:pt>
                <c:pt idx="975">
                  <c:v>1.0776433637198492E-2</c:v>
                </c:pt>
                <c:pt idx="976">
                  <c:v>1.0790972413079887E-2</c:v>
                </c:pt>
                <c:pt idx="977">
                  <c:v>1.0805511194880494E-2</c:v>
                </c:pt>
                <c:pt idx="978">
                  <c:v>1.0820049982576447E-2</c:v>
                </c:pt>
                <c:pt idx="979">
                  <c:v>1.0834588776144015E-2</c:v>
                </c:pt>
                <c:pt idx="980">
                  <c:v>1.0849127575559595E-2</c:v>
                </c:pt>
                <c:pt idx="981">
                  <c:v>1.0863666380799705E-2</c:v>
                </c:pt>
                <c:pt idx="982">
                  <c:v>1.0878205191840993E-2</c:v>
                </c:pt>
                <c:pt idx="983">
                  <c:v>1.0892744008660228E-2</c:v>
                </c:pt>
                <c:pt idx="984">
                  <c:v>1.0907282831234308E-2</c:v>
                </c:pt>
                <c:pt idx="985">
                  <c:v>1.0921821659540249E-2</c:v>
                </c:pt>
                <c:pt idx="986">
                  <c:v>1.0936360493555191E-2</c:v>
                </c:pt>
                <c:pt idx="987">
                  <c:v>1.0950899333256393E-2</c:v>
                </c:pt>
                <c:pt idx="988">
                  <c:v>1.0965438178621244E-2</c:v>
                </c:pt>
                <c:pt idx="989">
                  <c:v>1.097997702962724E-2</c:v>
                </c:pt>
                <c:pt idx="990">
                  <c:v>1.0994515886252006E-2</c:v>
                </c:pt>
                <c:pt idx="991">
                  <c:v>1.1009054748473277E-2</c:v>
                </c:pt>
                <c:pt idx="992">
                  <c:v>1.1023593616268911E-2</c:v>
                </c:pt>
                <c:pt idx="993">
                  <c:v>1.1038132489616883E-2</c:v>
                </c:pt>
                <c:pt idx="994">
                  <c:v>1.1052671368495281E-2</c:v>
                </c:pt>
                <c:pt idx="995">
                  <c:v>1.1067210252882306E-2</c:v>
                </c:pt>
                <c:pt idx="996">
                  <c:v>1.1081749142756283E-2</c:v>
                </c:pt>
                <c:pt idx="997">
                  <c:v>1.1096288038095639E-2</c:v>
                </c:pt>
                <c:pt idx="998">
                  <c:v>1.1110826938878922E-2</c:v>
                </c:pt>
                <c:pt idx="999">
                  <c:v>1.1125365845084789E-2</c:v>
                </c:pt>
                <c:pt idx="1000">
                  <c:v>1.1139904756692005E-2</c:v>
                </c:pt>
                <c:pt idx="1001">
                  <c:v>1.1154443673679451E-2</c:v>
                </c:pt>
                <c:pt idx="1002">
                  <c:v>1.1168982596026118E-2</c:v>
                </c:pt>
                <c:pt idx="1003">
                  <c:v>1.1183521523711104E-2</c:v>
                </c:pt>
                <c:pt idx="1004">
                  <c:v>1.1198060456713618E-2</c:v>
                </c:pt>
                <c:pt idx="1005">
                  <c:v>1.121259939501297E-2</c:v>
                </c:pt>
              </c:numCache>
            </c:numRef>
          </c:xVal>
          <c:yVal>
            <c:numRef>
              <c:f>ANALYSIS!$P$30:$P$1035</c:f>
              <c:numCache>
                <c:formatCode>0.000%</c:formatCode>
                <c:ptCount val="1006"/>
                <c:pt idx="0" formatCode="0.00%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2.8000000000000018E-2</c:v>
                </c:pt>
                <c:pt idx="29">
                  <c:v>2.9000000000000019E-2</c:v>
                </c:pt>
                <c:pt idx="30">
                  <c:v>3.000000000000002E-2</c:v>
                </c:pt>
                <c:pt idx="31">
                  <c:v>3.1000000000000021E-2</c:v>
                </c:pt>
                <c:pt idx="32">
                  <c:v>3.2000000000000021E-2</c:v>
                </c:pt>
                <c:pt idx="33">
                  <c:v>3.3000000000000022E-2</c:v>
                </c:pt>
                <c:pt idx="34">
                  <c:v>3.4000000000000023E-2</c:v>
                </c:pt>
                <c:pt idx="35">
                  <c:v>3.5000000000000024E-2</c:v>
                </c:pt>
                <c:pt idx="36">
                  <c:v>3.6000000000000025E-2</c:v>
                </c:pt>
                <c:pt idx="37">
                  <c:v>3.7000000000000026E-2</c:v>
                </c:pt>
                <c:pt idx="38">
                  <c:v>3.8000000000000027E-2</c:v>
                </c:pt>
                <c:pt idx="39">
                  <c:v>3.9000000000000028E-2</c:v>
                </c:pt>
                <c:pt idx="40">
                  <c:v>4.0000000000000029E-2</c:v>
                </c:pt>
                <c:pt idx="41">
                  <c:v>4.1000000000000029E-2</c:v>
                </c:pt>
                <c:pt idx="42">
                  <c:v>4.200000000000003E-2</c:v>
                </c:pt>
                <c:pt idx="43">
                  <c:v>4.3000000000000031E-2</c:v>
                </c:pt>
                <c:pt idx="44">
                  <c:v>4.4000000000000032E-2</c:v>
                </c:pt>
                <c:pt idx="45">
                  <c:v>4.5000000000000033E-2</c:v>
                </c:pt>
                <c:pt idx="46">
                  <c:v>4.6000000000000034E-2</c:v>
                </c:pt>
                <c:pt idx="47">
                  <c:v>4.7000000000000035E-2</c:v>
                </c:pt>
                <c:pt idx="48">
                  <c:v>4.8000000000000036E-2</c:v>
                </c:pt>
                <c:pt idx="49">
                  <c:v>4.9000000000000037E-2</c:v>
                </c:pt>
                <c:pt idx="50">
                  <c:v>5.0000000000000037E-2</c:v>
                </c:pt>
                <c:pt idx="51">
                  <c:v>5.1000000000000038E-2</c:v>
                </c:pt>
                <c:pt idx="52">
                  <c:v>5.2000000000000039E-2</c:v>
                </c:pt>
                <c:pt idx="53">
                  <c:v>5.300000000000004E-2</c:v>
                </c:pt>
                <c:pt idx="54">
                  <c:v>5.4000000000000041E-2</c:v>
                </c:pt>
                <c:pt idx="55">
                  <c:v>5.5000000000000042E-2</c:v>
                </c:pt>
                <c:pt idx="56">
                  <c:v>5.6000000000000043E-2</c:v>
                </c:pt>
                <c:pt idx="57">
                  <c:v>5.7000000000000044E-2</c:v>
                </c:pt>
                <c:pt idx="58">
                  <c:v>5.8000000000000045E-2</c:v>
                </c:pt>
                <c:pt idx="59">
                  <c:v>5.9000000000000045E-2</c:v>
                </c:pt>
                <c:pt idx="60">
                  <c:v>6.0000000000000046E-2</c:v>
                </c:pt>
                <c:pt idx="61">
                  <c:v>6.1000000000000047E-2</c:v>
                </c:pt>
                <c:pt idx="62">
                  <c:v>6.2000000000000048E-2</c:v>
                </c:pt>
                <c:pt idx="63">
                  <c:v>6.3000000000000042E-2</c:v>
                </c:pt>
                <c:pt idx="64">
                  <c:v>6.4000000000000043E-2</c:v>
                </c:pt>
                <c:pt idx="65">
                  <c:v>6.5000000000000044E-2</c:v>
                </c:pt>
                <c:pt idx="66">
                  <c:v>6.6000000000000045E-2</c:v>
                </c:pt>
                <c:pt idx="67">
                  <c:v>6.7000000000000046E-2</c:v>
                </c:pt>
                <c:pt idx="68">
                  <c:v>6.8000000000000047E-2</c:v>
                </c:pt>
                <c:pt idx="69">
                  <c:v>6.9000000000000047E-2</c:v>
                </c:pt>
                <c:pt idx="70">
                  <c:v>7.0000000000000048E-2</c:v>
                </c:pt>
                <c:pt idx="71">
                  <c:v>7.1000000000000049E-2</c:v>
                </c:pt>
                <c:pt idx="72">
                  <c:v>7.200000000000005E-2</c:v>
                </c:pt>
                <c:pt idx="73">
                  <c:v>7.3000000000000051E-2</c:v>
                </c:pt>
                <c:pt idx="74">
                  <c:v>7.4000000000000052E-2</c:v>
                </c:pt>
                <c:pt idx="75">
                  <c:v>7.5000000000000053E-2</c:v>
                </c:pt>
                <c:pt idx="76">
                  <c:v>7.6000000000000054E-2</c:v>
                </c:pt>
                <c:pt idx="77">
                  <c:v>7.7000000000000055E-2</c:v>
                </c:pt>
                <c:pt idx="78">
                  <c:v>7.8000000000000055E-2</c:v>
                </c:pt>
                <c:pt idx="79">
                  <c:v>7.9000000000000056E-2</c:v>
                </c:pt>
                <c:pt idx="80">
                  <c:v>8.0000000000000057E-2</c:v>
                </c:pt>
                <c:pt idx="81">
                  <c:v>8.1000000000000058E-2</c:v>
                </c:pt>
                <c:pt idx="82">
                  <c:v>8.2000000000000059E-2</c:v>
                </c:pt>
                <c:pt idx="83">
                  <c:v>8.300000000000006E-2</c:v>
                </c:pt>
                <c:pt idx="84">
                  <c:v>8.4000000000000061E-2</c:v>
                </c:pt>
                <c:pt idx="85">
                  <c:v>8.5000000000000062E-2</c:v>
                </c:pt>
                <c:pt idx="86">
                  <c:v>8.6000000000000063E-2</c:v>
                </c:pt>
                <c:pt idx="87">
                  <c:v>8.7000000000000063E-2</c:v>
                </c:pt>
                <c:pt idx="88">
                  <c:v>8.8000000000000064E-2</c:v>
                </c:pt>
                <c:pt idx="89">
                  <c:v>8.9000000000000065E-2</c:v>
                </c:pt>
                <c:pt idx="90">
                  <c:v>9.0000000000000066E-2</c:v>
                </c:pt>
                <c:pt idx="91">
                  <c:v>9.1000000000000067E-2</c:v>
                </c:pt>
                <c:pt idx="92">
                  <c:v>9.2000000000000068E-2</c:v>
                </c:pt>
                <c:pt idx="93">
                  <c:v>9.3000000000000069E-2</c:v>
                </c:pt>
                <c:pt idx="94">
                  <c:v>9.400000000000007E-2</c:v>
                </c:pt>
                <c:pt idx="95">
                  <c:v>9.500000000000007E-2</c:v>
                </c:pt>
                <c:pt idx="96">
                  <c:v>9.6000000000000071E-2</c:v>
                </c:pt>
                <c:pt idx="97">
                  <c:v>9.7000000000000072E-2</c:v>
                </c:pt>
                <c:pt idx="98">
                  <c:v>9.8000000000000073E-2</c:v>
                </c:pt>
                <c:pt idx="99">
                  <c:v>9.9000000000000074E-2</c:v>
                </c:pt>
                <c:pt idx="100">
                  <c:v>0.10000000000000007</c:v>
                </c:pt>
                <c:pt idx="101">
                  <c:v>0.10100000000000008</c:v>
                </c:pt>
                <c:pt idx="102">
                  <c:v>0.10200000000000008</c:v>
                </c:pt>
                <c:pt idx="103">
                  <c:v>0.10300000000000008</c:v>
                </c:pt>
                <c:pt idx="104">
                  <c:v>0.10400000000000008</c:v>
                </c:pt>
                <c:pt idx="105">
                  <c:v>0.10500000000000008</c:v>
                </c:pt>
                <c:pt idx="106">
                  <c:v>0.10600000000000008</c:v>
                </c:pt>
                <c:pt idx="107">
                  <c:v>0.10700000000000008</c:v>
                </c:pt>
                <c:pt idx="108">
                  <c:v>0.10800000000000008</c:v>
                </c:pt>
                <c:pt idx="109">
                  <c:v>0.10900000000000008</c:v>
                </c:pt>
                <c:pt idx="110">
                  <c:v>0.11000000000000008</c:v>
                </c:pt>
                <c:pt idx="111">
                  <c:v>0.11100000000000008</c:v>
                </c:pt>
                <c:pt idx="112">
                  <c:v>0.11200000000000009</c:v>
                </c:pt>
                <c:pt idx="113">
                  <c:v>0.11300000000000009</c:v>
                </c:pt>
                <c:pt idx="114">
                  <c:v>0.11400000000000009</c:v>
                </c:pt>
                <c:pt idx="115">
                  <c:v>0.11500000000000009</c:v>
                </c:pt>
                <c:pt idx="116">
                  <c:v>0.11600000000000009</c:v>
                </c:pt>
                <c:pt idx="117">
                  <c:v>0.11700000000000009</c:v>
                </c:pt>
                <c:pt idx="118">
                  <c:v>0.11800000000000009</c:v>
                </c:pt>
                <c:pt idx="119">
                  <c:v>0.11900000000000009</c:v>
                </c:pt>
                <c:pt idx="120">
                  <c:v>0.12000000000000009</c:v>
                </c:pt>
                <c:pt idx="121">
                  <c:v>0.12100000000000009</c:v>
                </c:pt>
                <c:pt idx="122">
                  <c:v>0.12200000000000009</c:v>
                </c:pt>
                <c:pt idx="123">
                  <c:v>0.1230000000000001</c:v>
                </c:pt>
                <c:pt idx="124">
                  <c:v>0.1240000000000001</c:v>
                </c:pt>
                <c:pt idx="125">
                  <c:v>0.12500000000000008</c:v>
                </c:pt>
                <c:pt idx="126">
                  <c:v>0.12600000000000008</c:v>
                </c:pt>
                <c:pt idx="127">
                  <c:v>0.12700000000000009</c:v>
                </c:pt>
                <c:pt idx="128">
                  <c:v>0.12800000000000009</c:v>
                </c:pt>
                <c:pt idx="129">
                  <c:v>0.12900000000000009</c:v>
                </c:pt>
                <c:pt idx="130">
                  <c:v>0.13000000000000009</c:v>
                </c:pt>
                <c:pt idx="131">
                  <c:v>0.13100000000000009</c:v>
                </c:pt>
                <c:pt idx="132">
                  <c:v>0.13200000000000009</c:v>
                </c:pt>
                <c:pt idx="133">
                  <c:v>0.13300000000000009</c:v>
                </c:pt>
                <c:pt idx="134">
                  <c:v>0.13400000000000009</c:v>
                </c:pt>
                <c:pt idx="135">
                  <c:v>0.13500000000000009</c:v>
                </c:pt>
                <c:pt idx="136">
                  <c:v>0.13600000000000009</c:v>
                </c:pt>
                <c:pt idx="137">
                  <c:v>0.13700000000000009</c:v>
                </c:pt>
                <c:pt idx="138">
                  <c:v>0.13800000000000009</c:v>
                </c:pt>
                <c:pt idx="139">
                  <c:v>0.1390000000000001</c:v>
                </c:pt>
                <c:pt idx="140">
                  <c:v>0.1400000000000001</c:v>
                </c:pt>
                <c:pt idx="141">
                  <c:v>0.1410000000000001</c:v>
                </c:pt>
                <c:pt idx="142">
                  <c:v>0.1420000000000001</c:v>
                </c:pt>
                <c:pt idx="143">
                  <c:v>0.1430000000000001</c:v>
                </c:pt>
                <c:pt idx="144">
                  <c:v>0.1440000000000001</c:v>
                </c:pt>
                <c:pt idx="145">
                  <c:v>0.1450000000000001</c:v>
                </c:pt>
                <c:pt idx="146">
                  <c:v>0.1460000000000001</c:v>
                </c:pt>
                <c:pt idx="147">
                  <c:v>0.1470000000000001</c:v>
                </c:pt>
                <c:pt idx="148">
                  <c:v>0.1480000000000001</c:v>
                </c:pt>
                <c:pt idx="149">
                  <c:v>0.1490000000000001</c:v>
                </c:pt>
                <c:pt idx="150">
                  <c:v>0.15000000000000011</c:v>
                </c:pt>
                <c:pt idx="151">
                  <c:v>0.15100000000000011</c:v>
                </c:pt>
                <c:pt idx="152">
                  <c:v>0.15200000000000011</c:v>
                </c:pt>
                <c:pt idx="153">
                  <c:v>0.15300000000000011</c:v>
                </c:pt>
                <c:pt idx="154">
                  <c:v>0.15400000000000011</c:v>
                </c:pt>
                <c:pt idx="155">
                  <c:v>0.15500000000000011</c:v>
                </c:pt>
                <c:pt idx="156">
                  <c:v>0.15600000000000011</c:v>
                </c:pt>
                <c:pt idx="157">
                  <c:v>0.15700000000000011</c:v>
                </c:pt>
                <c:pt idx="158">
                  <c:v>0.15800000000000011</c:v>
                </c:pt>
                <c:pt idx="159">
                  <c:v>0.15900000000000011</c:v>
                </c:pt>
                <c:pt idx="160">
                  <c:v>0.16000000000000011</c:v>
                </c:pt>
                <c:pt idx="161">
                  <c:v>0.16100000000000012</c:v>
                </c:pt>
                <c:pt idx="162">
                  <c:v>0.16200000000000012</c:v>
                </c:pt>
                <c:pt idx="163">
                  <c:v>0.16300000000000012</c:v>
                </c:pt>
                <c:pt idx="164">
                  <c:v>0.16400000000000012</c:v>
                </c:pt>
                <c:pt idx="165">
                  <c:v>0.16500000000000012</c:v>
                </c:pt>
                <c:pt idx="166">
                  <c:v>0.16600000000000012</c:v>
                </c:pt>
                <c:pt idx="167">
                  <c:v>0.16700000000000012</c:v>
                </c:pt>
                <c:pt idx="168">
                  <c:v>0.16800000000000012</c:v>
                </c:pt>
                <c:pt idx="169">
                  <c:v>0.16900000000000012</c:v>
                </c:pt>
                <c:pt idx="170">
                  <c:v>0.17000000000000012</c:v>
                </c:pt>
                <c:pt idx="171">
                  <c:v>0.17100000000000012</c:v>
                </c:pt>
                <c:pt idx="172">
                  <c:v>0.17200000000000013</c:v>
                </c:pt>
                <c:pt idx="173">
                  <c:v>0.17300000000000013</c:v>
                </c:pt>
                <c:pt idx="174">
                  <c:v>0.17400000000000013</c:v>
                </c:pt>
                <c:pt idx="175">
                  <c:v>0.17500000000000013</c:v>
                </c:pt>
                <c:pt idx="176">
                  <c:v>0.17600000000000013</c:v>
                </c:pt>
                <c:pt idx="177">
                  <c:v>0.17700000000000013</c:v>
                </c:pt>
                <c:pt idx="178">
                  <c:v>0.17800000000000013</c:v>
                </c:pt>
                <c:pt idx="179">
                  <c:v>0.17900000000000013</c:v>
                </c:pt>
                <c:pt idx="180">
                  <c:v>0.18000000000000013</c:v>
                </c:pt>
                <c:pt idx="181">
                  <c:v>0.18100000000000013</c:v>
                </c:pt>
                <c:pt idx="182">
                  <c:v>0.18200000000000013</c:v>
                </c:pt>
                <c:pt idx="183">
                  <c:v>0.18300000000000013</c:v>
                </c:pt>
                <c:pt idx="184">
                  <c:v>0.18400000000000014</c:v>
                </c:pt>
                <c:pt idx="185">
                  <c:v>0.18500000000000014</c:v>
                </c:pt>
                <c:pt idx="186">
                  <c:v>0.18600000000000014</c:v>
                </c:pt>
                <c:pt idx="187">
                  <c:v>0.18700000000000014</c:v>
                </c:pt>
                <c:pt idx="188">
                  <c:v>0.18800000000000014</c:v>
                </c:pt>
                <c:pt idx="189">
                  <c:v>0.18900000000000014</c:v>
                </c:pt>
                <c:pt idx="190">
                  <c:v>0.19000000000000014</c:v>
                </c:pt>
                <c:pt idx="191">
                  <c:v>0.19100000000000014</c:v>
                </c:pt>
                <c:pt idx="192">
                  <c:v>0.19200000000000014</c:v>
                </c:pt>
                <c:pt idx="193">
                  <c:v>0.19300000000000014</c:v>
                </c:pt>
                <c:pt idx="194">
                  <c:v>0.19400000000000014</c:v>
                </c:pt>
                <c:pt idx="195">
                  <c:v>0.19500000000000015</c:v>
                </c:pt>
                <c:pt idx="196">
                  <c:v>0.19600000000000015</c:v>
                </c:pt>
                <c:pt idx="197">
                  <c:v>0.19700000000000015</c:v>
                </c:pt>
                <c:pt idx="198">
                  <c:v>0.19800000000000015</c:v>
                </c:pt>
                <c:pt idx="199">
                  <c:v>0.19900000000000015</c:v>
                </c:pt>
                <c:pt idx="200">
                  <c:v>0.20000000000000015</c:v>
                </c:pt>
                <c:pt idx="201">
                  <c:v>0.20100000000000015</c:v>
                </c:pt>
                <c:pt idx="202">
                  <c:v>0.20200000000000015</c:v>
                </c:pt>
                <c:pt idx="203">
                  <c:v>0.20300000000000015</c:v>
                </c:pt>
                <c:pt idx="204">
                  <c:v>0.20400000000000015</c:v>
                </c:pt>
                <c:pt idx="205">
                  <c:v>0.20500000000000015</c:v>
                </c:pt>
                <c:pt idx="206">
                  <c:v>0.20600000000000016</c:v>
                </c:pt>
                <c:pt idx="207">
                  <c:v>0.20700000000000016</c:v>
                </c:pt>
                <c:pt idx="208">
                  <c:v>0.20800000000000016</c:v>
                </c:pt>
                <c:pt idx="209">
                  <c:v>0.20900000000000016</c:v>
                </c:pt>
                <c:pt idx="210">
                  <c:v>0.21000000000000016</c:v>
                </c:pt>
                <c:pt idx="211">
                  <c:v>0.21100000000000016</c:v>
                </c:pt>
                <c:pt idx="212">
                  <c:v>0.21200000000000016</c:v>
                </c:pt>
                <c:pt idx="213">
                  <c:v>0.21300000000000016</c:v>
                </c:pt>
                <c:pt idx="214">
                  <c:v>0.21400000000000016</c:v>
                </c:pt>
                <c:pt idx="215">
                  <c:v>0.21500000000000016</c:v>
                </c:pt>
                <c:pt idx="216">
                  <c:v>0.21600000000000016</c:v>
                </c:pt>
                <c:pt idx="217">
                  <c:v>0.21700000000000016</c:v>
                </c:pt>
                <c:pt idx="218">
                  <c:v>0.21800000000000017</c:v>
                </c:pt>
                <c:pt idx="219">
                  <c:v>0.21900000000000017</c:v>
                </c:pt>
                <c:pt idx="220">
                  <c:v>0.22000000000000017</c:v>
                </c:pt>
                <c:pt idx="221">
                  <c:v>0.22100000000000017</c:v>
                </c:pt>
                <c:pt idx="222">
                  <c:v>0.22200000000000017</c:v>
                </c:pt>
                <c:pt idx="223">
                  <c:v>0.22300000000000017</c:v>
                </c:pt>
                <c:pt idx="224">
                  <c:v>0.22400000000000017</c:v>
                </c:pt>
                <c:pt idx="225">
                  <c:v>0.22500000000000017</c:v>
                </c:pt>
                <c:pt idx="226">
                  <c:v>0.22600000000000017</c:v>
                </c:pt>
                <c:pt idx="227">
                  <c:v>0.22700000000000017</c:v>
                </c:pt>
                <c:pt idx="228">
                  <c:v>0.22800000000000017</c:v>
                </c:pt>
                <c:pt idx="229">
                  <c:v>0.22900000000000018</c:v>
                </c:pt>
                <c:pt idx="230">
                  <c:v>0.23000000000000018</c:v>
                </c:pt>
                <c:pt idx="231">
                  <c:v>0.23100000000000018</c:v>
                </c:pt>
                <c:pt idx="232">
                  <c:v>0.23200000000000018</c:v>
                </c:pt>
                <c:pt idx="233">
                  <c:v>0.23300000000000018</c:v>
                </c:pt>
                <c:pt idx="234">
                  <c:v>0.23400000000000018</c:v>
                </c:pt>
                <c:pt idx="235">
                  <c:v>0.23500000000000018</c:v>
                </c:pt>
                <c:pt idx="236">
                  <c:v>0.23600000000000018</c:v>
                </c:pt>
                <c:pt idx="237">
                  <c:v>0.23700000000000018</c:v>
                </c:pt>
                <c:pt idx="238">
                  <c:v>0.23800000000000018</c:v>
                </c:pt>
                <c:pt idx="239">
                  <c:v>0.23900000000000018</c:v>
                </c:pt>
                <c:pt idx="240">
                  <c:v>0.24000000000000019</c:v>
                </c:pt>
                <c:pt idx="241">
                  <c:v>0.24100000000000019</c:v>
                </c:pt>
                <c:pt idx="242">
                  <c:v>0.24200000000000019</c:v>
                </c:pt>
                <c:pt idx="243">
                  <c:v>0.24300000000000019</c:v>
                </c:pt>
                <c:pt idx="244">
                  <c:v>0.24400000000000019</c:v>
                </c:pt>
                <c:pt idx="245">
                  <c:v>0.24500000000000019</c:v>
                </c:pt>
                <c:pt idx="246">
                  <c:v>0.24600000000000019</c:v>
                </c:pt>
                <c:pt idx="247">
                  <c:v>0.24700000000000019</c:v>
                </c:pt>
                <c:pt idx="248">
                  <c:v>0.24800000000000019</c:v>
                </c:pt>
                <c:pt idx="249">
                  <c:v>0.24900000000000019</c:v>
                </c:pt>
                <c:pt idx="250">
                  <c:v>0.25000000000000017</c:v>
                </c:pt>
                <c:pt idx="251">
                  <c:v>0.25100000000000017</c:v>
                </c:pt>
                <c:pt idx="252">
                  <c:v>0.25200000000000017</c:v>
                </c:pt>
                <c:pt idx="253">
                  <c:v>0.25300000000000017</c:v>
                </c:pt>
                <c:pt idx="254">
                  <c:v>0.25400000000000017</c:v>
                </c:pt>
                <c:pt idx="255">
                  <c:v>0.25500000000000017</c:v>
                </c:pt>
                <c:pt idx="256">
                  <c:v>0.25600000000000017</c:v>
                </c:pt>
                <c:pt idx="257">
                  <c:v>0.25700000000000017</c:v>
                </c:pt>
                <c:pt idx="258">
                  <c:v>0.25800000000000017</c:v>
                </c:pt>
                <c:pt idx="259">
                  <c:v>0.25900000000000017</c:v>
                </c:pt>
                <c:pt idx="260">
                  <c:v>0.26000000000000018</c:v>
                </c:pt>
                <c:pt idx="261">
                  <c:v>0.26100000000000018</c:v>
                </c:pt>
                <c:pt idx="262">
                  <c:v>0.26200000000000018</c:v>
                </c:pt>
                <c:pt idx="263">
                  <c:v>0.26300000000000018</c:v>
                </c:pt>
                <c:pt idx="264">
                  <c:v>0.26400000000000018</c:v>
                </c:pt>
                <c:pt idx="265">
                  <c:v>0.26500000000000018</c:v>
                </c:pt>
                <c:pt idx="266">
                  <c:v>0.26600000000000018</c:v>
                </c:pt>
                <c:pt idx="267">
                  <c:v>0.26700000000000018</c:v>
                </c:pt>
                <c:pt idx="268">
                  <c:v>0.26800000000000018</c:v>
                </c:pt>
                <c:pt idx="269">
                  <c:v>0.26900000000000018</c:v>
                </c:pt>
                <c:pt idx="270">
                  <c:v>0.27000000000000018</c:v>
                </c:pt>
                <c:pt idx="271">
                  <c:v>0.27100000000000019</c:v>
                </c:pt>
                <c:pt idx="272">
                  <c:v>0.27200000000000019</c:v>
                </c:pt>
                <c:pt idx="273">
                  <c:v>0.27300000000000019</c:v>
                </c:pt>
                <c:pt idx="274">
                  <c:v>0.27400000000000019</c:v>
                </c:pt>
                <c:pt idx="275">
                  <c:v>0.27500000000000019</c:v>
                </c:pt>
                <c:pt idx="276">
                  <c:v>0.27600000000000019</c:v>
                </c:pt>
                <c:pt idx="277">
                  <c:v>0.27700000000000019</c:v>
                </c:pt>
                <c:pt idx="278">
                  <c:v>0.27800000000000019</c:v>
                </c:pt>
                <c:pt idx="279">
                  <c:v>0.27900000000000019</c:v>
                </c:pt>
                <c:pt idx="280">
                  <c:v>0.28000000000000019</c:v>
                </c:pt>
                <c:pt idx="281">
                  <c:v>0.28100000000000019</c:v>
                </c:pt>
                <c:pt idx="282">
                  <c:v>0.28200000000000019</c:v>
                </c:pt>
                <c:pt idx="283">
                  <c:v>0.2830000000000002</c:v>
                </c:pt>
                <c:pt idx="284">
                  <c:v>0.2840000000000002</c:v>
                </c:pt>
                <c:pt idx="285">
                  <c:v>0.2850000000000002</c:v>
                </c:pt>
                <c:pt idx="286">
                  <c:v>0.2860000000000002</c:v>
                </c:pt>
                <c:pt idx="287">
                  <c:v>0.2870000000000002</c:v>
                </c:pt>
                <c:pt idx="288">
                  <c:v>0.2880000000000002</c:v>
                </c:pt>
                <c:pt idx="289">
                  <c:v>0.2890000000000002</c:v>
                </c:pt>
                <c:pt idx="290">
                  <c:v>0.2900000000000002</c:v>
                </c:pt>
                <c:pt idx="291">
                  <c:v>0.2910000000000002</c:v>
                </c:pt>
                <c:pt idx="292">
                  <c:v>0.2920000000000002</c:v>
                </c:pt>
                <c:pt idx="293">
                  <c:v>0.2930000000000002</c:v>
                </c:pt>
                <c:pt idx="294">
                  <c:v>0.29400000000000021</c:v>
                </c:pt>
                <c:pt idx="295">
                  <c:v>0.29500000000000021</c:v>
                </c:pt>
                <c:pt idx="296">
                  <c:v>0.29600000000000021</c:v>
                </c:pt>
                <c:pt idx="297">
                  <c:v>0.29700000000000021</c:v>
                </c:pt>
                <c:pt idx="298">
                  <c:v>0.29800000000000021</c:v>
                </c:pt>
                <c:pt idx="299">
                  <c:v>0.29900000000000021</c:v>
                </c:pt>
                <c:pt idx="300">
                  <c:v>0.30000000000000021</c:v>
                </c:pt>
                <c:pt idx="301">
                  <c:v>0.30100000000000021</c:v>
                </c:pt>
                <c:pt idx="302">
                  <c:v>0.30200000000000021</c:v>
                </c:pt>
                <c:pt idx="303">
                  <c:v>0.30300000000000021</c:v>
                </c:pt>
                <c:pt idx="304">
                  <c:v>0.30400000000000021</c:v>
                </c:pt>
                <c:pt idx="305">
                  <c:v>0.30500000000000022</c:v>
                </c:pt>
                <c:pt idx="306">
                  <c:v>0.30600000000000022</c:v>
                </c:pt>
                <c:pt idx="307">
                  <c:v>0.30700000000000022</c:v>
                </c:pt>
                <c:pt idx="308">
                  <c:v>0.30800000000000022</c:v>
                </c:pt>
                <c:pt idx="309">
                  <c:v>0.30900000000000022</c:v>
                </c:pt>
                <c:pt idx="310">
                  <c:v>0.31000000000000022</c:v>
                </c:pt>
                <c:pt idx="311">
                  <c:v>0.31100000000000022</c:v>
                </c:pt>
                <c:pt idx="312">
                  <c:v>0.31200000000000022</c:v>
                </c:pt>
                <c:pt idx="313">
                  <c:v>0.31300000000000022</c:v>
                </c:pt>
                <c:pt idx="314">
                  <c:v>0.31400000000000022</c:v>
                </c:pt>
                <c:pt idx="315">
                  <c:v>0.31500000000000022</c:v>
                </c:pt>
                <c:pt idx="316">
                  <c:v>0.31600000000000023</c:v>
                </c:pt>
                <c:pt idx="317">
                  <c:v>0.31700000000000023</c:v>
                </c:pt>
                <c:pt idx="318">
                  <c:v>0.31800000000000023</c:v>
                </c:pt>
                <c:pt idx="319">
                  <c:v>0.31900000000000023</c:v>
                </c:pt>
                <c:pt idx="320">
                  <c:v>0.32000000000000023</c:v>
                </c:pt>
                <c:pt idx="321">
                  <c:v>0.32100000000000023</c:v>
                </c:pt>
                <c:pt idx="322">
                  <c:v>0.32200000000000023</c:v>
                </c:pt>
                <c:pt idx="323">
                  <c:v>0.32300000000000023</c:v>
                </c:pt>
                <c:pt idx="324">
                  <c:v>0.32400000000000023</c:v>
                </c:pt>
                <c:pt idx="325">
                  <c:v>0.32500000000000023</c:v>
                </c:pt>
                <c:pt idx="326">
                  <c:v>0.32600000000000023</c:v>
                </c:pt>
                <c:pt idx="327">
                  <c:v>0.32700000000000023</c:v>
                </c:pt>
                <c:pt idx="328">
                  <c:v>0.32800000000000024</c:v>
                </c:pt>
                <c:pt idx="329">
                  <c:v>0.32900000000000024</c:v>
                </c:pt>
                <c:pt idx="330">
                  <c:v>0.33000000000000024</c:v>
                </c:pt>
                <c:pt idx="331">
                  <c:v>0.33100000000000024</c:v>
                </c:pt>
                <c:pt idx="332">
                  <c:v>0.33200000000000024</c:v>
                </c:pt>
                <c:pt idx="333">
                  <c:v>0.33300000000000024</c:v>
                </c:pt>
                <c:pt idx="334">
                  <c:v>0.33400000000000024</c:v>
                </c:pt>
                <c:pt idx="335">
                  <c:v>0.33500000000000024</c:v>
                </c:pt>
                <c:pt idx="336">
                  <c:v>0.33600000000000024</c:v>
                </c:pt>
                <c:pt idx="337">
                  <c:v>0.33700000000000024</c:v>
                </c:pt>
                <c:pt idx="338">
                  <c:v>0.33800000000000024</c:v>
                </c:pt>
                <c:pt idx="339">
                  <c:v>0.33900000000000025</c:v>
                </c:pt>
                <c:pt idx="340">
                  <c:v>0.34000000000000025</c:v>
                </c:pt>
                <c:pt idx="341">
                  <c:v>0.34100000000000025</c:v>
                </c:pt>
                <c:pt idx="342">
                  <c:v>0.34200000000000025</c:v>
                </c:pt>
                <c:pt idx="343">
                  <c:v>0.34300000000000025</c:v>
                </c:pt>
                <c:pt idx="344">
                  <c:v>0.34400000000000025</c:v>
                </c:pt>
                <c:pt idx="345">
                  <c:v>0.34500000000000025</c:v>
                </c:pt>
                <c:pt idx="346">
                  <c:v>0.34600000000000025</c:v>
                </c:pt>
                <c:pt idx="347">
                  <c:v>0.34700000000000025</c:v>
                </c:pt>
                <c:pt idx="348">
                  <c:v>0.34800000000000025</c:v>
                </c:pt>
                <c:pt idx="349">
                  <c:v>0.34900000000000025</c:v>
                </c:pt>
                <c:pt idx="350">
                  <c:v>0.35000000000000026</c:v>
                </c:pt>
                <c:pt idx="351">
                  <c:v>0.35100000000000026</c:v>
                </c:pt>
                <c:pt idx="352">
                  <c:v>0.35200000000000026</c:v>
                </c:pt>
                <c:pt idx="353">
                  <c:v>0.35300000000000026</c:v>
                </c:pt>
                <c:pt idx="354">
                  <c:v>0.35400000000000026</c:v>
                </c:pt>
                <c:pt idx="355">
                  <c:v>0.35500000000000026</c:v>
                </c:pt>
                <c:pt idx="356">
                  <c:v>0.35600000000000026</c:v>
                </c:pt>
                <c:pt idx="357">
                  <c:v>0.35700000000000026</c:v>
                </c:pt>
                <c:pt idx="358">
                  <c:v>0.35800000000000026</c:v>
                </c:pt>
                <c:pt idx="359">
                  <c:v>0.35900000000000026</c:v>
                </c:pt>
                <c:pt idx="360">
                  <c:v>0.36000000000000026</c:v>
                </c:pt>
                <c:pt idx="361">
                  <c:v>0.36100000000000027</c:v>
                </c:pt>
                <c:pt idx="362">
                  <c:v>0.36200000000000027</c:v>
                </c:pt>
                <c:pt idx="363">
                  <c:v>0.36300000000000027</c:v>
                </c:pt>
                <c:pt idx="364">
                  <c:v>0.36400000000000027</c:v>
                </c:pt>
                <c:pt idx="365">
                  <c:v>0.36500000000000027</c:v>
                </c:pt>
                <c:pt idx="366">
                  <c:v>0.36600000000000027</c:v>
                </c:pt>
                <c:pt idx="367">
                  <c:v>0.36700000000000027</c:v>
                </c:pt>
                <c:pt idx="368">
                  <c:v>0.36800000000000027</c:v>
                </c:pt>
                <c:pt idx="369">
                  <c:v>0.36900000000000027</c:v>
                </c:pt>
                <c:pt idx="370">
                  <c:v>0.37000000000000027</c:v>
                </c:pt>
                <c:pt idx="371">
                  <c:v>0.37100000000000027</c:v>
                </c:pt>
                <c:pt idx="372">
                  <c:v>0.37200000000000027</c:v>
                </c:pt>
                <c:pt idx="373">
                  <c:v>0.37300000000000028</c:v>
                </c:pt>
                <c:pt idx="374">
                  <c:v>0.37400000000000028</c:v>
                </c:pt>
                <c:pt idx="375">
                  <c:v>0.37500000000000028</c:v>
                </c:pt>
                <c:pt idx="376">
                  <c:v>0.37600000000000028</c:v>
                </c:pt>
                <c:pt idx="377">
                  <c:v>0.37700000000000028</c:v>
                </c:pt>
                <c:pt idx="378">
                  <c:v>0.37800000000000028</c:v>
                </c:pt>
                <c:pt idx="379">
                  <c:v>0.37900000000000028</c:v>
                </c:pt>
                <c:pt idx="380">
                  <c:v>0.38000000000000028</c:v>
                </c:pt>
                <c:pt idx="381">
                  <c:v>0.38100000000000028</c:v>
                </c:pt>
                <c:pt idx="382">
                  <c:v>0.38200000000000028</c:v>
                </c:pt>
                <c:pt idx="383">
                  <c:v>0.38300000000000028</c:v>
                </c:pt>
                <c:pt idx="384">
                  <c:v>0.38400000000000029</c:v>
                </c:pt>
                <c:pt idx="385">
                  <c:v>0.38500000000000029</c:v>
                </c:pt>
                <c:pt idx="386">
                  <c:v>0.38600000000000029</c:v>
                </c:pt>
                <c:pt idx="387">
                  <c:v>0.38700000000000029</c:v>
                </c:pt>
                <c:pt idx="388">
                  <c:v>0.38800000000000029</c:v>
                </c:pt>
                <c:pt idx="389">
                  <c:v>0.38900000000000029</c:v>
                </c:pt>
                <c:pt idx="390">
                  <c:v>0.39000000000000029</c:v>
                </c:pt>
                <c:pt idx="391">
                  <c:v>0.39100000000000029</c:v>
                </c:pt>
                <c:pt idx="392">
                  <c:v>0.39200000000000029</c:v>
                </c:pt>
                <c:pt idx="393">
                  <c:v>0.39300000000000029</c:v>
                </c:pt>
                <c:pt idx="394">
                  <c:v>0.39400000000000029</c:v>
                </c:pt>
                <c:pt idx="395">
                  <c:v>0.3950000000000003</c:v>
                </c:pt>
                <c:pt idx="396">
                  <c:v>0.3960000000000003</c:v>
                </c:pt>
                <c:pt idx="397">
                  <c:v>0.3970000000000003</c:v>
                </c:pt>
                <c:pt idx="398">
                  <c:v>0.3980000000000003</c:v>
                </c:pt>
                <c:pt idx="399">
                  <c:v>0.3990000000000003</c:v>
                </c:pt>
                <c:pt idx="400">
                  <c:v>0.4000000000000003</c:v>
                </c:pt>
                <c:pt idx="401">
                  <c:v>0.4010000000000003</c:v>
                </c:pt>
                <c:pt idx="402">
                  <c:v>0.4020000000000003</c:v>
                </c:pt>
                <c:pt idx="403">
                  <c:v>0.4030000000000003</c:v>
                </c:pt>
                <c:pt idx="404">
                  <c:v>0.4040000000000003</c:v>
                </c:pt>
                <c:pt idx="405">
                  <c:v>0.4050000000000003</c:v>
                </c:pt>
                <c:pt idx="406">
                  <c:v>0.40600000000000031</c:v>
                </c:pt>
                <c:pt idx="407">
                  <c:v>0.40700000000000031</c:v>
                </c:pt>
                <c:pt idx="408">
                  <c:v>0.40800000000000031</c:v>
                </c:pt>
                <c:pt idx="409">
                  <c:v>0.40900000000000031</c:v>
                </c:pt>
                <c:pt idx="410">
                  <c:v>0.41000000000000031</c:v>
                </c:pt>
                <c:pt idx="411">
                  <c:v>0.41100000000000031</c:v>
                </c:pt>
                <c:pt idx="412">
                  <c:v>0.41200000000000031</c:v>
                </c:pt>
                <c:pt idx="413">
                  <c:v>0.41300000000000031</c:v>
                </c:pt>
                <c:pt idx="414">
                  <c:v>0.41400000000000031</c:v>
                </c:pt>
                <c:pt idx="415">
                  <c:v>0.41500000000000031</c:v>
                </c:pt>
                <c:pt idx="416">
                  <c:v>0.41600000000000031</c:v>
                </c:pt>
                <c:pt idx="417">
                  <c:v>0.41700000000000031</c:v>
                </c:pt>
                <c:pt idx="418">
                  <c:v>0.41800000000000032</c:v>
                </c:pt>
                <c:pt idx="419">
                  <c:v>0.41900000000000032</c:v>
                </c:pt>
                <c:pt idx="420">
                  <c:v>0.42000000000000032</c:v>
                </c:pt>
                <c:pt idx="421">
                  <c:v>0.42100000000000032</c:v>
                </c:pt>
                <c:pt idx="422">
                  <c:v>0.42200000000000032</c:v>
                </c:pt>
                <c:pt idx="423">
                  <c:v>0.42300000000000032</c:v>
                </c:pt>
                <c:pt idx="424">
                  <c:v>0.42400000000000032</c:v>
                </c:pt>
                <c:pt idx="425">
                  <c:v>0.42500000000000032</c:v>
                </c:pt>
                <c:pt idx="426">
                  <c:v>0.42600000000000032</c:v>
                </c:pt>
                <c:pt idx="427">
                  <c:v>0.42700000000000032</c:v>
                </c:pt>
                <c:pt idx="428">
                  <c:v>0.42800000000000032</c:v>
                </c:pt>
                <c:pt idx="429">
                  <c:v>0.42900000000000033</c:v>
                </c:pt>
                <c:pt idx="430">
                  <c:v>0.43000000000000033</c:v>
                </c:pt>
                <c:pt idx="431">
                  <c:v>0.43100000000000033</c:v>
                </c:pt>
                <c:pt idx="432">
                  <c:v>0.43200000000000033</c:v>
                </c:pt>
                <c:pt idx="433">
                  <c:v>0.43300000000000033</c:v>
                </c:pt>
                <c:pt idx="434">
                  <c:v>0.43400000000000033</c:v>
                </c:pt>
                <c:pt idx="435">
                  <c:v>0.43500000000000033</c:v>
                </c:pt>
                <c:pt idx="436">
                  <c:v>0.43600000000000033</c:v>
                </c:pt>
                <c:pt idx="437">
                  <c:v>0.43700000000000033</c:v>
                </c:pt>
                <c:pt idx="438">
                  <c:v>0.43800000000000033</c:v>
                </c:pt>
                <c:pt idx="439">
                  <c:v>0.43900000000000033</c:v>
                </c:pt>
                <c:pt idx="440">
                  <c:v>0.44000000000000034</c:v>
                </c:pt>
                <c:pt idx="441">
                  <c:v>0.44100000000000034</c:v>
                </c:pt>
                <c:pt idx="442">
                  <c:v>0.44200000000000034</c:v>
                </c:pt>
                <c:pt idx="443">
                  <c:v>0.44300000000000034</c:v>
                </c:pt>
                <c:pt idx="444">
                  <c:v>0.44400000000000034</c:v>
                </c:pt>
                <c:pt idx="445">
                  <c:v>0.44500000000000034</c:v>
                </c:pt>
                <c:pt idx="446">
                  <c:v>0.44600000000000034</c:v>
                </c:pt>
                <c:pt idx="447">
                  <c:v>0.44700000000000034</c:v>
                </c:pt>
                <c:pt idx="448">
                  <c:v>0.44800000000000034</c:v>
                </c:pt>
                <c:pt idx="449">
                  <c:v>0.44900000000000034</c:v>
                </c:pt>
                <c:pt idx="450">
                  <c:v>0.45000000000000034</c:v>
                </c:pt>
                <c:pt idx="451">
                  <c:v>0.45100000000000035</c:v>
                </c:pt>
                <c:pt idx="452">
                  <c:v>0.45200000000000035</c:v>
                </c:pt>
                <c:pt idx="453">
                  <c:v>0.45300000000000035</c:v>
                </c:pt>
                <c:pt idx="454">
                  <c:v>0.45400000000000035</c:v>
                </c:pt>
                <c:pt idx="455">
                  <c:v>0.45500000000000035</c:v>
                </c:pt>
                <c:pt idx="456">
                  <c:v>0.45600000000000035</c:v>
                </c:pt>
                <c:pt idx="457">
                  <c:v>0.45700000000000035</c:v>
                </c:pt>
                <c:pt idx="458">
                  <c:v>0.45800000000000035</c:v>
                </c:pt>
                <c:pt idx="459">
                  <c:v>0.45900000000000035</c:v>
                </c:pt>
                <c:pt idx="460">
                  <c:v>0.46000000000000035</c:v>
                </c:pt>
                <c:pt idx="461">
                  <c:v>0.46100000000000035</c:v>
                </c:pt>
                <c:pt idx="462">
                  <c:v>0.46200000000000035</c:v>
                </c:pt>
                <c:pt idx="463">
                  <c:v>0.46300000000000036</c:v>
                </c:pt>
                <c:pt idx="464">
                  <c:v>0.46400000000000036</c:v>
                </c:pt>
                <c:pt idx="465">
                  <c:v>0.46500000000000036</c:v>
                </c:pt>
                <c:pt idx="466">
                  <c:v>0.46600000000000036</c:v>
                </c:pt>
                <c:pt idx="467">
                  <c:v>0.46700000000000036</c:v>
                </c:pt>
                <c:pt idx="468">
                  <c:v>0.46800000000000036</c:v>
                </c:pt>
                <c:pt idx="469">
                  <c:v>0.46900000000000036</c:v>
                </c:pt>
                <c:pt idx="470">
                  <c:v>0.47000000000000036</c:v>
                </c:pt>
                <c:pt idx="471">
                  <c:v>0.47100000000000036</c:v>
                </c:pt>
                <c:pt idx="472">
                  <c:v>0.47200000000000036</c:v>
                </c:pt>
                <c:pt idx="473">
                  <c:v>0.47300000000000036</c:v>
                </c:pt>
                <c:pt idx="474">
                  <c:v>0.47400000000000037</c:v>
                </c:pt>
                <c:pt idx="475">
                  <c:v>0.47500000000000037</c:v>
                </c:pt>
                <c:pt idx="476">
                  <c:v>0.47600000000000037</c:v>
                </c:pt>
                <c:pt idx="477">
                  <c:v>0.47700000000000037</c:v>
                </c:pt>
                <c:pt idx="478">
                  <c:v>0.47800000000000037</c:v>
                </c:pt>
                <c:pt idx="479">
                  <c:v>0.47900000000000037</c:v>
                </c:pt>
                <c:pt idx="480">
                  <c:v>0.48000000000000037</c:v>
                </c:pt>
                <c:pt idx="481">
                  <c:v>0.48100000000000037</c:v>
                </c:pt>
                <c:pt idx="482">
                  <c:v>0.48200000000000037</c:v>
                </c:pt>
                <c:pt idx="483">
                  <c:v>0.48300000000000037</c:v>
                </c:pt>
                <c:pt idx="484">
                  <c:v>0.48400000000000037</c:v>
                </c:pt>
                <c:pt idx="485">
                  <c:v>0.48500000000000038</c:v>
                </c:pt>
                <c:pt idx="486">
                  <c:v>0.48600000000000038</c:v>
                </c:pt>
                <c:pt idx="487">
                  <c:v>0.48700000000000038</c:v>
                </c:pt>
                <c:pt idx="488">
                  <c:v>0.48800000000000038</c:v>
                </c:pt>
                <c:pt idx="489">
                  <c:v>0.48900000000000038</c:v>
                </c:pt>
                <c:pt idx="490">
                  <c:v>0.49000000000000038</c:v>
                </c:pt>
                <c:pt idx="491">
                  <c:v>0.49100000000000038</c:v>
                </c:pt>
                <c:pt idx="492">
                  <c:v>0.49200000000000038</c:v>
                </c:pt>
                <c:pt idx="493">
                  <c:v>0.49300000000000038</c:v>
                </c:pt>
                <c:pt idx="494">
                  <c:v>0.49400000000000038</c:v>
                </c:pt>
                <c:pt idx="495">
                  <c:v>0.49500000000000038</c:v>
                </c:pt>
                <c:pt idx="496">
                  <c:v>0.49600000000000039</c:v>
                </c:pt>
                <c:pt idx="497">
                  <c:v>0.49700000000000039</c:v>
                </c:pt>
                <c:pt idx="498">
                  <c:v>0.49800000000000039</c:v>
                </c:pt>
                <c:pt idx="499">
                  <c:v>0.49900000000000039</c:v>
                </c:pt>
                <c:pt idx="500">
                  <c:v>0.50000000000000033</c:v>
                </c:pt>
                <c:pt idx="501">
                  <c:v>0.50100000000000033</c:v>
                </c:pt>
                <c:pt idx="502">
                  <c:v>0.50200000000000033</c:v>
                </c:pt>
                <c:pt idx="503">
                  <c:v>0.50300000000000034</c:v>
                </c:pt>
                <c:pt idx="504">
                  <c:v>0.50400000000000034</c:v>
                </c:pt>
                <c:pt idx="505">
                  <c:v>0.50500000000000034</c:v>
                </c:pt>
                <c:pt idx="506">
                  <c:v>0.50600000000000034</c:v>
                </c:pt>
                <c:pt idx="507">
                  <c:v>0.50700000000000034</c:v>
                </c:pt>
                <c:pt idx="508">
                  <c:v>0.50800000000000034</c:v>
                </c:pt>
                <c:pt idx="509">
                  <c:v>0.50900000000000034</c:v>
                </c:pt>
                <c:pt idx="510">
                  <c:v>0.51000000000000034</c:v>
                </c:pt>
                <c:pt idx="511">
                  <c:v>0.51100000000000034</c:v>
                </c:pt>
                <c:pt idx="512">
                  <c:v>0.51200000000000034</c:v>
                </c:pt>
                <c:pt idx="513">
                  <c:v>0.51300000000000034</c:v>
                </c:pt>
                <c:pt idx="514">
                  <c:v>0.51400000000000035</c:v>
                </c:pt>
                <c:pt idx="515">
                  <c:v>0.51500000000000035</c:v>
                </c:pt>
                <c:pt idx="516">
                  <c:v>0.51600000000000035</c:v>
                </c:pt>
                <c:pt idx="517">
                  <c:v>0.51700000000000035</c:v>
                </c:pt>
                <c:pt idx="518">
                  <c:v>0.51800000000000035</c:v>
                </c:pt>
                <c:pt idx="519">
                  <c:v>0.51900000000000035</c:v>
                </c:pt>
                <c:pt idx="520">
                  <c:v>0.52000000000000035</c:v>
                </c:pt>
                <c:pt idx="521">
                  <c:v>0.52100000000000035</c:v>
                </c:pt>
                <c:pt idx="522">
                  <c:v>0.52200000000000035</c:v>
                </c:pt>
                <c:pt idx="523">
                  <c:v>0.52300000000000035</c:v>
                </c:pt>
                <c:pt idx="524">
                  <c:v>0.52400000000000035</c:v>
                </c:pt>
                <c:pt idx="525">
                  <c:v>0.52500000000000036</c:v>
                </c:pt>
                <c:pt idx="526">
                  <c:v>0.52600000000000036</c:v>
                </c:pt>
                <c:pt idx="527">
                  <c:v>0.52700000000000036</c:v>
                </c:pt>
                <c:pt idx="528">
                  <c:v>0.52800000000000036</c:v>
                </c:pt>
                <c:pt idx="529">
                  <c:v>0.52900000000000036</c:v>
                </c:pt>
                <c:pt idx="530">
                  <c:v>0.53000000000000036</c:v>
                </c:pt>
                <c:pt idx="531">
                  <c:v>0.53100000000000036</c:v>
                </c:pt>
                <c:pt idx="532">
                  <c:v>0.53200000000000036</c:v>
                </c:pt>
                <c:pt idx="533">
                  <c:v>0.53300000000000036</c:v>
                </c:pt>
                <c:pt idx="534">
                  <c:v>0.53400000000000036</c:v>
                </c:pt>
                <c:pt idx="535">
                  <c:v>0.53500000000000036</c:v>
                </c:pt>
                <c:pt idx="536">
                  <c:v>0.53600000000000037</c:v>
                </c:pt>
                <c:pt idx="537">
                  <c:v>0.53700000000000037</c:v>
                </c:pt>
                <c:pt idx="538">
                  <c:v>0.53800000000000037</c:v>
                </c:pt>
                <c:pt idx="539">
                  <c:v>0.53900000000000037</c:v>
                </c:pt>
                <c:pt idx="540">
                  <c:v>0.54000000000000037</c:v>
                </c:pt>
                <c:pt idx="541">
                  <c:v>0.54100000000000037</c:v>
                </c:pt>
                <c:pt idx="542">
                  <c:v>0.54200000000000037</c:v>
                </c:pt>
                <c:pt idx="543">
                  <c:v>0.54300000000000037</c:v>
                </c:pt>
                <c:pt idx="544">
                  <c:v>0.54400000000000037</c:v>
                </c:pt>
                <c:pt idx="545">
                  <c:v>0.54500000000000037</c:v>
                </c:pt>
                <c:pt idx="546">
                  <c:v>0.54600000000000037</c:v>
                </c:pt>
                <c:pt idx="547">
                  <c:v>0.54700000000000037</c:v>
                </c:pt>
                <c:pt idx="548">
                  <c:v>0.54800000000000038</c:v>
                </c:pt>
                <c:pt idx="549">
                  <c:v>0.54900000000000038</c:v>
                </c:pt>
                <c:pt idx="550">
                  <c:v>0.55000000000000038</c:v>
                </c:pt>
                <c:pt idx="551">
                  <c:v>0.55100000000000038</c:v>
                </c:pt>
                <c:pt idx="552">
                  <c:v>0.55200000000000038</c:v>
                </c:pt>
                <c:pt idx="553">
                  <c:v>0.55300000000000038</c:v>
                </c:pt>
                <c:pt idx="554">
                  <c:v>0.55400000000000038</c:v>
                </c:pt>
                <c:pt idx="555">
                  <c:v>0.55500000000000038</c:v>
                </c:pt>
                <c:pt idx="556">
                  <c:v>0.55600000000000038</c:v>
                </c:pt>
                <c:pt idx="557">
                  <c:v>0.55700000000000038</c:v>
                </c:pt>
                <c:pt idx="558">
                  <c:v>0.55800000000000038</c:v>
                </c:pt>
                <c:pt idx="559">
                  <c:v>0.55900000000000039</c:v>
                </c:pt>
                <c:pt idx="560">
                  <c:v>0.56000000000000039</c:v>
                </c:pt>
                <c:pt idx="561">
                  <c:v>0.56100000000000039</c:v>
                </c:pt>
                <c:pt idx="562">
                  <c:v>0.56200000000000039</c:v>
                </c:pt>
                <c:pt idx="563">
                  <c:v>0.56300000000000039</c:v>
                </c:pt>
                <c:pt idx="564">
                  <c:v>0.56400000000000039</c:v>
                </c:pt>
                <c:pt idx="565">
                  <c:v>0.56500000000000039</c:v>
                </c:pt>
                <c:pt idx="566">
                  <c:v>0.56600000000000039</c:v>
                </c:pt>
                <c:pt idx="567">
                  <c:v>0.56700000000000039</c:v>
                </c:pt>
                <c:pt idx="568">
                  <c:v>0.56800000000000039</c:v>
                </c:pt>
                <c:pt idx="569">
                  <c:v>0.56900000000000039</c:v>
                </c:pt>
                <c:pt idx="570">
                  <c:v>0.5700000000000004</c:v>
                </c:pt>
                <c:pt idx="571">
                  <c:v>0.5710000000000004</c:v>
                </c:pt>
                <c:pt idx="572">
                  <c:v>0.5720000000000004</c:v>
                </c:pt>
                <c:pt idx="573">
                  <c:v>0.5730000000000004</c:v>
                </c:pt>
                <c:pt idx="574">
                  <c:v>0.5740000000000004</c:v>
                </c:pt>
                <c:pt idx="575">
                  <c:v>0.5750000000000004</c:v>
                </c:pt>
                <c:pt idx="576">
                  <c:v>0.5760000000000004</c:v>
                </c:pt>
                <c:pt idx="577">
                  <c:v>0.5770000000000004</c:v>
                </c:pt>
                <c:pt idx="578">
                  <c:v>0.5780000000000004</c:v>
                </c:pt>
                <c:pt idx="579">
                  <c:v>0.5790000000000004</c:v>
                </c:pt>
                <c:pt idx="580">
                  <c:v>0.5800000000000004</c:v>
                </c:pt>
                <c:pt idx="581">
                  <c:v>0.58100000000000041</c:v>
                </c:pt>
                <c:pt idx="582">
                  <c:v>0.58200000000000041</c:v>
                </c:pt>
                <c:pt idx="583">
                  <c:v>0.58300000000000041</c:v>
                </c:pt>
                <c:pt idx="584">
                  <c:v>0.58400000000000041</c:v>
                </c:pt>
                <c:pt idx="585">
                  <c:v>0.58500000000000041</c:v>
                </c:pt>
                <c:pt idx="586">
                  <c:v>0.58600000000000041</c:v>
                </c:pt>
                <c:pt idx="587">
                  <c:v>0.58700000000000041</c:v>
                </c:pt>
                <c:pt idx="588">
                  <c:v>0.58800000000000041</c:v>
                </c:pt>
                <c:pt idx="589">
                  <c:v>0.58900000000000041</c:v>
                </c:pt>
                <c:pt idx="590">
                  <c:v>0.59000000000000041</c:v>
                </c:pt>
                <c:pt idx="591">
                  <c:v>0.59100000000000041</c:v>
                </c:pt>
                <c:pt idx="592">
                  <c:v>0.59200000000000041</c:v>
                </c:pt>
                <c:pt idx="593">
                  <c:v>0.59300000000000042</c:v>
                </c:pt>
                <c:pt idx="594">
                  <c:v>0.59400000000000042</c:v>
                </c:pt>
                <c:pt idx="595">
                  <c:v>0.59500000000000042</c:v>
                </c:pt>
                <c:pt idx="596">
                  <c:v>0.59600000000000042</c:v>
                </c:pt>
                <c:pt idx="597">
                  <c:v>0.59700000000000042</c:v>
                </c:pt>
                <c:pt idx="598">
                  <c:v>0.59800000000000042</c:v>
                </c:pt>
                <c:pt idx="599">
                  <c:v>0.59900000000000042</c:v>
                </c:pt>
                <c:pt idx="600">
                  <c:v>0.60000000000000042</c:v>
                </c:pt>
                <c:pt idx="601">
                  <c:v>0.60100000000000042</c:v>
                </c:pt>
                <c:pt idx="602">
                  <c:v>0.60200000000000042</c:v>
                </c:pt>
                <c:pt idx="603">
                  <c:v>0.60300000000000042</c:v>
                </c:pt>
                <c:pt idx="604">
                  <c:v>0.60400000000000043</c:v>
                </c:pt>
                <c:pt idx="605">
                  <c:v>0.60500000000000043</c:v>
                </c:pt>
                <c:pt idx="606">
                  <c:v>0.60600000000000043</c:v>
                </c:pt>
                <c:pt idx="607">
                  <c:v>0.60700000000000043</c:v>
                </c:pt>
                <c:pt idx="608">
                  <c:v>0.60800000000000043</c:v>
                </c:pt>
                <c:pt idx="609">
                  <c:v>0.60900000000000043</c:v>
                </c:pt>
                <c:pt idx="610">
                  <c:v>0.61000000000000043</c:v>
                </c:pt>
                <c:pt idx="611">
                  <c:v>0.61100000000000043</c:v>
                </c:pt>
                <c:pt idx="612">
                  <c:v>0.61200000000000043</c:v>
                </c:pt>
                <c:pt idx="613">
                  <c:v>0.61300000000000043</c:v>
                </c:pt>
                <c:pt idx="614">
                  <c:v>0.61400000000000043</c:v>
                </c:pt>
                <c:pt idx="615">
                  <c:v>0.61500000000000044</c:v>
                </c:pt>
                <c:pt idx="616">
                  <c:v>0.61600000000000044</c:v>
                </c:pt>
                <c:pt idx="617">
                  <c:v>0.61700000000000044</c:v>
                </c:pt>
                <c:pt idx="618">
                  <c:v>0.61800000000000044</c:v>
                </c:pt>
                <c:pt idx="619">
                  <c:v>0.61900000000000044</c:v>
                </c:pt>
                <c:pt idx="620">
                  <c:v>0.62000000000000044</c:v>
                </c:pt>
                <c:pt idx="621">
                  <c:v>0.62100000000000044</c:v>
                </c:pt>
                <c:pt idx="622">
                  <c:v>0.62200000000000044</c:v>
                </c:pt>
                <c:pt idx="623">
                  <c:v>0.62300000000000044</c:v>
                </c:pt>
                <c:pt idx="624">
                  <c:v>0.62400000000000044</c:v>
                </c:pt>
                <c:pt idx="625">
                  <c:v>0.62500000000000044</c:v>
                </c:pt>
                <c:pt idx="626">
                  <c:v>0.62600000000000044</c:v>
                </c:pt>
                <c:pt idx="627">
                  <c:v>0.62700000000000045</c:v>
                </c:pt>
                <c:pt idx="628">
                  <c:v>0.62800000000000045</c:v>
                </c:pt>
                <c:pt idx="629">
                  <c:v>0.62900000000000045</c:v>
                </c:pt>
                <c:pt idx="630">
                  <c:v>0.63000000000000045</c:v>
                </c:pt>
                <c:pt idx="631">
                  <c:v>0.63100000000000045</c:v>
                </c:pt>
                <c:pt idx="632">
                  <c:v>0.63200000000000045</c:v>
                </c:pt>
                <c:pt idx="633">
                  <c:v>0.63300000000000045</c:v>
                </c:pt>
                <c:pt idx="634">
                  <c:v>0.63400000000000045</c:v>
                </c:pt>
                <c:pt idx="635">
                  <c:v>0.63500000000000045</c:v>
                </c:pt>
                <c:pt idx="636">
                  <c:v>0.63600000000000045</c:v>
                </c:pt>
                <c:pt idx="637">
                  <c:v>0.63700000000000045</c:v>
                </c:pt>
                <c:pt idx="638">
                  <c:v>0.63800000000000046</c:v>
                </c:pt>
                <c:pt idx="639">
                  <c:v>0.63900000000000046</c:v>
                </c:pt>
                <c:pt idx="640">
                  <c:v>0.64000000000000046</c:v>
                </c:pt>
                <c:pt idx="641">
                  <c:v>0.64100000000000046</c:v>
                </c:pt>
                <c:pt idx="642">
                  <c:v>0.64200000000000046</c:v>
                </c:pt>
                <c:pt idx="643">
                  <c:v>0.64300000000000046</c:v>
                </c:pt>
                <c:pt idx="644">
                  <c:v>0.64400000000000046</c:v>
                </c:pt>
                <c:pt idx="645">
                  <c:v>0.64500000000000046</c:v>
                </c:pt>
                <c:pt idx="646">
                  <c:v>0.64600000000000046</c:v>
                </c:pt>
                <c:pt idx="647">
                  <c:v>0.64700000000000046</c:v>
                </c:pt>
                <c:pt idx="648">
                  <c:v>0.64800000000000046</c:v>
                </c:pt>
                <c:pt idx="649">
                  <c:v>0.64900000000000047</c:v>
                </c:pt>
                <c:pt idx="650">
                  <c:v>0.65000000000000047</c:v>
                </c:pt>
                <c:pt idx="651">
                  <c:v>0.65100000000000047</c:v>
                </c:pt>
                <c:pt idx="652">
                  <c:v>0.65200000000000047</c:v>
                </c:pt>
                <c:pt idx="653">
                  <c:v>0.65300000000000047</c:v>
                </c:pt>
                <c:pt idx="654">
                  <c:v>0.65400000000000047</c:v>
                </c:pt>
                <c:pt idx="655">
                  <c:v>0.65500000000000047</c:v>
                </c:pt>
                <c:pt idx="656">
                  <c:v>0.65600000000000047</c:v>
                </c:pt>
                <c:pt idx="657">
                  <c:v>0.65700000000000047</c:v>
                </c:pt>
                <c:pt idx="658">
                  <c:v>0.65800000000000047</c:v>
                </c:pt>
                <c:pt idx="659">
                  <c:v>0.65900000000000047</c:v>
                </c:pt>
                <c:pt idx="660">
                  <c:v>0.66000000000000048</c:v>
                </c:pt>
                <c:pt idx="661">
                  <c:v>0.66100000000000048</c:v>
                </c:pt>
                <c:pt idx="662">
                  <c:v>0.66200000000000048</c:v>
                </c:pt>
                <c:pt idx="663">
                  <c:v>0.66300000000000048</c:v>
                </c:pt>
                <c:pt idx="664">
                  <c:v>0.66400000000000048</c:v>
                </c:pt>
                <c:pt idx="665">
                  <c:v>0.66500000000000048</c:v>
                </c:pt>
                <c:pt idx="666">
                  <c:v>0.66600000000000048</c:v>
                </c:pt>
                <c:pt idx="667">
                  <c:v>0.66700000000000048</c:v>
                </c:pt>
                <c:pt idx="668">
                  <c:v>0.66800000000000048</c:v>
                </c:pt>
                <c:pt idx="669">
                  <c:v>0.66900000000000048</c:v>
                </c:pt>
                <c:pt idx="670">
                  <c:v>0.67000000000000048</c:v>
                </c:pt>
                <c:pt idx="671">
                  <c:v>0.67100000000000048</c:v>
                </c:pt>
                <c:pt idx="672">
                  <c:v>0.67200000000000049</c:v>
                </c:pt>
                <c:pt idx="673">
                  <c:v>0.67300000000000049</c:v>
                </c:pt>
                <c:pt idx="674">
                  <c:v>0.67400000000000049</c:v>
                </c:pt>
                <c:pt idx="675">
                  <c:v>0.67500000000000049</c:v>
                </c:pt>
                <c:pt idx="676">
                  <c:v>0.67600000000000049</c:v>
                </c:pt>
                <c:pt idx="677">
                  <c:v>0.67700000000000049</c:v>
                </c:pt>
                <c:pt idx="678">
                  <c:v>0.67800000000000049</c:v>
                </c:pt>
                <c:pt idx="679">
                  <c:v>0.67900000000000049</c:v>
                </c:pt>
                <c:pt idx="680">
                  <c:v>0.68000000000000049</c:v>
                </c:pt>
                <c:pt idx="681">
                  <c:v>0.68100000000000049</c:v>
                </c:pt>
                <c:pt idx="682">
                  <c:v>0.68200000000000049</c:v>
                </c:pt>
                <c:pt idx="683">
                  <c:v>0.6830000000000005</c:v>
                </c:pt>
                <c:pt idx="684">
                  <c:v>0.6840000000000005</c:v>
                </c:pt>
                <c:pt idx="685">
                  <c:v>0.6850000000000005</c:v>
                </c:pt>
                <c:pt idx="686">
                  <c:v>0.6860000000000005</c:v>
                </c:pt>
                <c:pt idx="687">
                  <c:v>0.6870000000000005</c:v>
                </c:pt>
                <c:pt idx="688">
                  <c:v>0.6880000000000005</c:v>
                </c:pt>
                <c:pt idx="689">
                  <c:v>0.6890000000000005</c:v>
                </c:pt>
                <c:pt idx="690">
                  <c:v>0.6900000000000005</c:v>
                </c:pt>
                <c:pt idx="691">
                  <c:v>0.6910000000000005</c:v>
                </c:pt>
                <c:pt idx="692">
                  <c:v>0.6920000000000005</c:v>
                </c:pt>
                <c:pt idx="693">
                  <c:v>0.6930000000000005</c:v>
                </c:pt>
                <c:pt idx="694">
                  <c:v>0.69400000000000051</c:v>
                </c:pt>
                <c:pt idx="695">
                  <c:v>0.69500000000000051</c:v>
                </c:pt>
                <c:pt idx="696">
                  <c:v>0.69600000000000051</c:v>
                </c:pt>
                <c:pt idx="697">
                  <c:v>0.69700000000000051</c:v>
                </c:pt>
                <c:pt idx="698">
                  <c:v>0.69800000000000051</c:v>
                </c:pt>
                <c:pt idx="699">
                  <c:v>0.69900000000000051</c:v>
                </c:pt>
                <c:pt idx="700">
                  <c:v>0.70000000000000051</c:v>
                </c:pt>
                <c:pt idx="701">
                  <c:v>0.70100000000000051</c:v>
                </c:pt>
                <c:pt idx="702">
                  <c:v>0.70200000000000051</c:v>
                </c:pt>
                <c:pt idx="703">
                  <c:v>0.70300000000000051</c:v>
                </c:pt>
                <c:pt idx="704">
                  <c:v>0.70400000000000051</c:v>
                </c:pt>
                <c:pt idx="705">
                  <c:v>0.70500000000000052</c:v>
                </c:pt>
                <c:pt idx="706">
                  <c:v>0.70600000000000052</c:v>
                </c:pt>
                <c:pt idx="707">
                  <c:v>0.70700000000000052</c:v>
                </c:pt>
                <c:pt idx="708">
                  <c:v>0.70800000000000052</c:v>
                </c:pt>
                <c:pt idx="709">
                  <c:v>0.70900000000000052</c:v>
                </c:pt>
                <c:pt idx="710">
                  <c:v>0.71000000000000052</c:v>
                </c:pt>
                <c:pt idx="711">
                  <c:v>0.71100000000000052</c:v>
                </c:pt>
                <c:pt idx="712">
                  <c:v>0.71200000000000052</c:v>
                </c:pt>
                <c:pt idx="713">
                  <c:v>0.71300000000000052</c:v>
                </c:pt>
                <c:pt idx="714">
                  <c:v>0.71400000000000052</c:v>
                </c:pt>
                <c:pt idx="715">
                  <c:v>0.71500000000000052</c:v>
                </c:pt>
                <c:pt idx="716">
                  <c:v>0.71600000000000052</c:v>
                </c:pt>
                <c:pt idx="717">
                  <c:v>0.71700000000000053</c:v>
                </c:pt>
                <c:pt idx="718">
                  <c:v>0.71800000000000053</c:v>
                </c:pt>
                <c:pt idx="719">
                  <c:v>0.71900000000000053</c:v>
                </c:pt>
                <c:pt idx="720">
                  <c:v>0.72000000000000053</c:v>
                </c:pt>
                <c:pt idx="721">
                  <c:v>0.72100000000000053</c:v>
                </c:pt>
                <c:pt idx="722">
                  <c:v>0.72200000000000053</c:v>
                </c:pt>
                <c:pt idx="723">
                  <c:v>0.72300000000000053</c:v>
                </c:pt>
                <c:pt idx="724">
                  <c:v>0.72400000000000053</c:v>
                </c:pt>
                <c:pt idx="725">
                  <c:v>0.72500000000000053</c:v>
                </c:pt>
                <c:pt idx="726">
                  <c:v>0.72600000000000053</c:v>
                </c:pt>
                <c:pt idx="727">
                  <c:v>0.72700000000000053</c:v>
                </c:pt>
                <c:pt idx="728">
                  <c:v>0.72800000000000054</c:v>
                </c:pt>
                <c:pt idx="729">
                  <c:v>0.72900000000000054</c:v>
                </c:pt>
                <c:pt idx="730">
                  <c:v>0.73000000000000054</c:v>
                </c:pt>
                <c:pt idx="731">
                  <c:v>0.73100000000000054</c:v>
                </c:pt>
                <c:pt idx="732">
                  <c:v>0.73200000000000054</c:v>
                </c:pt>
                <c:pt idx="733">
                  <c:v>0.73300000000000054</c:v>
                </c:pt>
                <c:pt idx="734">
                  <c:v>0.73400000000000054</c:v>
                </c:pt>
                <c:pt idx="735">
                  <c:v>0.73500000000000054</c:v>
                </c:pt>
                <c:pt idx="736">
                  <c:v>0.73600000000000054</c:v>
                </c:pt>
                <c:pt idx="737">
                  <c:v>0.73700000000000054</c:v>
                </c:pt>
                <c:pt idx="738">
                  <c:v>0.73800000000000054</c:v>
                </c:pt>
                <c:pt idx="739">
                  <c:v>0.73900000000000055</c:v>
                </c:pt>
                <c:pt idx="740">
                  <c:v>0.74000000000000055</c:v>
                </c:pt>
                <c:pt idx="741">
                  <c:v>0.74100000000000055</c:v>
                </c:pt>
                <c:pt idx="742">
                  <c:v>0.74200000000000055</c:v>
                </c:pt>
                <c:pt idx="743">
                  <c:v>0.74300000000000055</c:v>
                </c:pt>
                <c:pt idx="744">
                  <c:v>0.74400000000000055</c:v>
                </c:pt>
                <c:pt idx="745">
                  <c:v>0.74500000000000055</c:v>
                </c:pt>
                <c:pt idx="746">
                  <c:v>0.74600000000000055</c:v>
                </c:pt>
                <c:pt idx="747">
                  <c:v>0.74700000000000055</c:v>
                </c:pt>
                <c:pt idx="748">
                  <c:v>0.74800000000000055</c:v>
                </c:pt>
                <c:pt idx="749">
                  <c:v>0.74900000000000055</c:v>
                </c:pt>
                <c:pt idx="750">
                  <c:v>0.75000000000000056</c:v>
                </c:pt>
                <c:pt idx="751">
                  <c:v>0.75100000000000056</c:v>
                </c:pt>
                <c:pt idx="752">
                  <c:v>0.75200000000000056</c:v>
                </c:pt>
                <c:pt idx="753">
                  <c:v>0.75300000000000056</c:v>
                </c:pt>
                <c:pt idx="754">
                  <c:v>0.75400000000000056</c:v>
                </c:pt>
                <c:pt idx="755">
                  <c:v>0.75500000000000056</c:v>
                </c:pt>
                <c:pt idx="756">
                  <c:v>0.75600000000000056</c:v>
                </c:pt>
                <c:pt idx="757">
                  <c:v>0.75700000000000056</c:v>
                </c:pt>
                <c:pt idx="758">
                  <c:v>0.75800000000000056</c:v>
                </c:pt>
                <c:pt idx="759">
                  <c:v>0.75900000000000056</c:v>
                </c:pt>
                <c:pt idx="760">
                  <c:v>0.76000000000000056</c:v>
                </c:pt>
                <c:pt idx="761">
                  <c:v>0.76100000000000056</c:v>
                </c:pt>
                <c:pt idx="762">
                  <c:v>0.76200000000000057</c:v>
                </c:pt>
                <c:pt idx="763">
                  <c:v>0.76300000000000057</c:v>
                </c:pt>
                <c:pt idx="764">
                  <c:v>0.76400000000000057</c:v>
                </c:pt>
                <c:pt idx="765">
                  <c:v>0.76500000000000057</c:v>
                </c:pt>
                <c:pt idx="766">
                  <c:v>0.76600000000000057</c:v>
                </c:pt>
                <c:pt idx="767">
                  <c:v>0.76700000000000057</c:v>
                </c:pt>
                <c:pt idx="768">
                  <c:v>0.76800000000000057</c:v>
                </c:pt>
                <c:pt idx="769">
                  <c:v>0.76900000000000057</c:v>
                </c:pt>
                <c:pt idx="770">
                  <c:v>0.77000000000000057</c:v>
                </c:pt>
                <c:pt idx="771">
                  <c:v>0.77100000000000057</c:v>
                </c:pt>
                <c:pt idx="772">
                  <c:v>0.77200000000000057</c:v>
                </c:pt>
                <c:pt idx="773">
                  <c:v>0.77300000000000058</c:v>
                </c:pt>
                <c:pt idx="774">
                  <c:v>0.77400000000000058</c:v>
                </c:pt>
                <c:pt idx="775">
                  <c:v>0.77500000000000058</c:v>
                </c:pt>
                <c:pt idx="776">
                  <c:v>0.77600000000000058</c:v>
                </c:pt>
                <c:pt idx="777">
                  <c:v>0.77700000000000058</c:v>
                </c:pt>
                <c:pt idx="778">
                  <c:v>0.77800000000000058</c:v>
                </c:pt>
                <c:pt idx="779">
                  <c:v>0.77900000000000058</c:v>
                </c:pt>
                <c:pt idx="780">
                  <c:v>0.78000000000000058</c:v>
                </c:pt>
                <c:pt idx="781">
                  <c:v>0.78100000000000058</c:v>
                </c:pt>
                <c:pt idx="782">
                  <c:v>0.78200000000000058</c:v>
                </c:pt>
                <c:pt idx="783">
                  <c:v>0.78300000000000058</c:v>
                </c:pt>
                <c:pt idx="784">
                  <c:v>0.78400000000000059</c:v>
                </c:pt>
                <c:pt idx="785">
                  <c:v>0.78500000000000059</c:v>
                </c:pt>
                <c:pt idx="786">
                  <c:v>0.78600000000000059</c:v>
                </c:pt>
                <c:pt idx="787">
                  <c:v>0.78700000000000059</c:v>
                </c:pt>
                <c:pt idx="788">
                  <c:v>0.78800000000000059</c:v>
                </c:pt>
                <c:pt idx="789">
                  <c:v>0.78900000000000059</c:v>
                </c:pt>
                <c:pt idx="790">
                  <c:v>0.79000000000000059</c:v>
                </c:pt>
                <c:pt idx="791">
                  <c:v>0.79100000000000059</c:v>
                </c:pt>
                <c:pt idx="792">
                  <c:v>0.79200000000000059</c:v>
                </c:pt>
                <c:pt idx="793">
                  <c:v>0.79300000000000059</c:v>
                </c:pt>
                <c:pt idx="794">
                  <c:v>0.79400000000000059</c:v>
                </c:pt>
                <c:pt idx="795">
                  <c:v>0.7950000000000006</c:v>
                </c:pt>
                <c:pt idx="796">
                  <c:v>0.7960000000000006</c:v>
                </c:pt>
                <c:pt idx="797">
                  <c:v>0.7970000000000006</c:v>
                </c:pt>
                <c:pt idx="798">
                  <c:v>0.7980000000000006</c:v>
                </c:pt>
                <c:pt idx="799">
                  <c:v>0.7990000000000006</c:v>
                </c:pt>
                <c:pt idx="800">
                  <c:v>0.8000000000000006</c:v>
                </c:pt>
                <c:pt idx="801">
                  <c:v>0.8010000000000006</c:v>
                </c:pt>
                <c:pt idx="802">
                  <c:v>0.8020000000000006</c:v>
                </c:pt>
                <c:pt idx="803">
                  <c:v>0.8030000000000006</c:v>
                </c:pt>
                <c:pt idx="804">
                  <c:v>0.8040000000000006</c:v>
                </c:pt>
                <c:pt idx="805">
                  <c:v>0.8050000000000006</c:v>
                </c:pt>
                <c:pt idx="806">
                  <c:v>0.8060000000000006</c:v>
                </c:pt>
                <c:pt idx="807">
                  <c:v>0.80700000000000061</c:v>
                </c:pt>
                <c:pt idx="808">
                  <c:v>0.80800000000000061</c:v>
                </c:pt>
                <c:pt idx="809">
                  <c:v>0.80900000000000061</c:v>
                </c:pt>
                <c:pt idx="810">
                  <c:v>0.81000000000000061</c:v>
                </c:pt>
                <c:pt idx="811">
                  <c:v>0.81100000000000061</c:v>
                </c:pt>
                <c:pt idx="812">
                  <c:v>0.81200000000000061</c:v>
                </c:pt>
                <c:pt idx="813">
                  <c:v>0.81300000000000061</c:v>
                </c:pt>
                <c:pt idx="814">
                  <c:v>0.81400000000000061</c:v>
                </c:pt>
                <c:pt idx="815">
                  <c:v>0.81500000000000061</c:v>
                </c:pt>
                <c:pt idx="816">
                  <c:v>0.81600000000000061</c:v>
                </c:pt>
                <c:pt idx="817">
                  <c:v>0.81700000000000061</c:v>
                </c:pt>
                <c:pt idx="818">
                  <c:v>0.81800000000000062</c:v>
                </c:pt>
                <c:pt idx="819">
                  <c:v>0.81900000000000062</c:v>
                </c:pt>
                <c:pt idx="820">
                  <c:v>0.82000000000000062</c:v>
                </c:pt>
                <c:pt idx="821">
                  <c:v>0.82100000000000062</c:v>
                </c:pt>
                <c:pt idx="822">
                  <c:v>0.82200000000000062</c:v>
                </c:pt>
                <c:pt idx="823">
                  <c:v>0.82300000000000062</c:v>
                </c:pt>
                <c:pt idx="824">
                  <c:v>0.82400000000000062</c:v>
                </c:pt>
                <c:pt idx="825">
                  <c:v>0.82500000000000062</c:v>
                </c:pt>
                <c:pt idx="826">
                  <c:v>0.82600000000000062</c:v>
                </c:pt>
                <c:pt idx="827">
                  <c:v>0.82700000000000062</c:v>
                </c:pt>
                <c:pt idx="828">
                  <c:v>0.82800000000000062</c:v>
                </c:pt>
                <c:pt idx="829">
                  <c:v>0.82900000000000063</c:v>
                </c:pt>
                <c:pt idx="830">
                  <c:v>0.83000000000000063</c:v>
                </c:pt>
                <c:pt idx="831">
                  <c:v>0.83100000000000063</c:v>
                </c:pt>
                <c:pt idx="832">
                  <c:v>0.83200000000000063</c:v>
                </c:pt>
                <c:pt idx="833">
                  <c:v>0.83300000000000063</c:v>
                </c:pt>
                <c:pt idx="834">
                  <c:v>0.83400000000000063</c:v>
                </c:pt>
                <c:pt idx="835">
                  <c:v>0.83500000000000063</c:v>
                </c:pt>
                <c:pt idx="836">
                  <c:v>0.83600000000000063</c:v>
                </c:pt>
                <c:pt idx="837">
                  <c:v>0.83700000000000063</c:v>
                </c:pt>
                <c:pt idx="838">
                  <c:v>0.83800000000000063</c:v>
                </c:pt>
                <c:pt idx="839">
                  <c:v>0.83900000000000063</c:v>
                </c:pt>
                <c:pt idx="840">
                  <c:v>0.84000000000000064</c:v>
                </c:pt>
                <c:pt idx="841">
                  <c:v>0.84100000000000064</c:v>
                </c:pt>
                <c:pt idx="842">
                  <c:v>0.84200000000000064</c:v>
                </c:pt>
                <c:pt idx="843">
                  <c:v>0.84300000000000064</c:v>
                </c:pt>
                <c:pt idx="844">
                  <c:v>0.84400000000000064</c:v>
                </c:pt>
                <c:pt idx="845">
                  <c:v>0.84500000000000064</c:v>
                </c:pt>
                <c:pt idx="846">
                  <c:v>0.84600000000000064</c:v>
                </c:pt>
                <c:pt idx="847">
                  <c:v>0.84700000000000064</c:v>
                </c:pt>
                <c:pt idx="848">
                  <c:v>0.84800000000000064</c:v>
                </c:pt>
                <c:pt idx="849">
                  <c:v>0.84900000000000064</c:v>
                </c:pt>
                <c:pt idx="850">
                  <c:v>0.85000000000000064</c:v>
                </c:pt>
                <c:pt idx="851">
                  <c:v>0.85100000000000064</c:v>
                </c:pt>
                <c:pt idx="852">
                  <c:v>0.85200000000000065</c:v>
                </c:pt>
                <c:pt idx="853">
                  <c:v>0.85300000000000065</c:v>
                </c:pt>
                <c:pt idx="854">
                  <c:v>0.85400000000000065</c:v>
                </c:pt>
                <c:pt idx="855">
                  <c:v>0.85500000000000065</c:v>
                </c:pt>
                <c:pt idx="856">
                  <c:v>0.85600000000000065</c:v>
                </c:pt>
                <c:pt idx="857">
                  <c:v>0.85700000000000065</c:v>
                </c:pt>
                <c:pt idx="858">
                  <c:v>0.85800000000000065</c:v>
                </c:pt>
                <c:pt idx="859">
                  <c:v>0.85900000000000065</c:v>
                </c:pt>
                <c:pt idx="860">
                  <c:v>0.86000000000000065</c:v>
                </c:pt>
                <c:pt idx="861">
                  <c:v>0.86100000000000065</c:v>
                </c:pt>
                <c:pt idx="862">
                  <c:v>0.86200000000000065</c:v>
                </c:pt>
                <c:pt idx="863">
                  <c:v>0.86300000000000066</c:v>
                </c:pt>
                <c:pt idx="864">
                  <c:v>0.86400000000000066</c:v>
                </c:pt>
                <c:pt idx="865">
                  <c:v>0.86500000000000066</c:v>
                </c:pt>
                <c:pt idx="866">
                  <c:v>0.86600000000000066</c:v>
                </c:pt>
                <c:pt idx="867">
                  <c:v>0.86700000000000066</c:v>
                </c:pt>
                <c:pt idx="868">
                  <c:v>0.86800000000000066</c:v>
                </c:pt>
                <c:pt idx="869">
                  <c:v>0.86900000000000066</c:v>
                </c:pt>
                <c:pt idx="870">
                  <c:v>0.87000000000000066</c:v>
                </c:pt>
                <c:pt idx="871">
                  <c:v>0.87100000000000066</c:v>
                </c:pt>
                <c:pt idx="872">
                  <c:v>0.87200000000000066</c:v>
                </c:pt>
                <c:pt idx="873">
                  <c:v>0.87300000000000066</c:v>
                </c:pt>
                <c:pt idx="874">
                  <c:v>0.87400000000000067</c:v>
                </c:pt>
                <c:pt idx="875">
                  <c:v>0.87500000000000067</c:v>
                </c:pt>
                <c:pt idx="876">
                  <c:v>0.87600000000000067</c:v>
                </c:pt>
                <c:pt idx="877">
                  <c:v>0.87700000000000067</c:v>
                </c:pt>
                <c:pt idx="878">
                  <c:v>0.87800000000000067</c:v>
                </c:pt>
                <c:pt idx="879">
                  <c:v>0.87900000000000067</c:v>
                </c:pt>
                <c:pt idx="880">
                  <c:v>0.88000000000000067</c:v>
                </c:pt>
                <c:pt idx="881">
                  <c:v>0.88100000000000067</c:v>
                </c:pt>
                <c:pt idx="882">
                  <c:v>0.88200000000000067</c:v>
                </c:pt>
                <c:pt idx="883">
                  <c:v>0.88300000000000067</c:v>
                </c:pt>
                <c:pt idx="884">
                  <c:v>0.88400000000000067</c:v>
                </c:pt>
                <c:pt idx="885">
                  <c:v>0.88500000000000068</c:v>
                </c:pt>
                <c:pt idx="886">
                  <c:v>0.88600000000000068</c:v>
                </c:pt>
                <c:pt idx="887">
                  <c:v>0.88700000000000068</c:v>
                </c:pt>
                <c:pt idx="888">
                  <c:v>0.88800000000000068</c:v>
                </c:pt>
                <c:pt idx="889">
                  <c:v>0.88900000000000068</c:v>
                </c:pt>
                <c:pt idx="890">
                  <c:v>0.89000000000000068</c:v>
                </c:pt>
                <c:pt idx="891">
                  <c:v>0.89100000000000068</c:v>
                </c:pt>
                <c:pt idx="892">
                  <c:v>0.89200000000000068</c:v>
                </c:pt>
                <c:pt idx="893">
                  <c:v>0.89300000000000068</c:v>
                </c:pt>
                <c:pt idx="894">
                  <c:v>0.89400000000000068</c:v>
                </c:pt>
                <c:pt idx="895">
                  <c:v>0.89500000000000068</c:v>
                </c:pt>
                <c:pt idx="896">
                  <c:v>0.89600000000000068</c:v>
                </c:pt>
                <c:pt idx="897">
                  <c:v>0.89700000000000069</c:v>
                </c:pt>
                <c:pt idx="898">
                  <c:v>0.89800000000000069</c:v>
                </c:pt>
                <c:pt idx="899">
                  <c:v>0.89900000000000069</c:v>
                </c:pt>
                <c:pt idx="900">
                  <c:v>0.90000000000000069</c:v>
                </c:pt>
                <c:pt idx="901">
                  <c:v>0.90100000000000069</c:v>
                </c:pt>
                <c:pt idx="902">
                  <c:v>0.90200000000000069</c:v>
                </c:pt>
                <c:pt idx="903">
                  <c:v>0.90300000000000069</c:v>
                </c:pt>
                <c:pt idx="904">
                  <c:v>0.90400000000000069</c:v>
                </c:pt>
                <c:pt idx="905">
                  <c:v>0.90500000000000069</c:v>
                </c:pt>
                <c:pt idx="906">
                  <c:v>0.90600000000000069</c:v>
                </c:pt>
                <c:pt idx="907">
                  <c:v>0.90700000000000069</c:v>
                </c:pt>
                <c:pt idx="908">
                  <c:v>0.9080000000000007</c:v>
                </c:pt>
                <c:pt idx="909">
                  <c:v>0.9090000000000007</c:v>
                </c:pt>
                <c:pt idx="910">
                  <c:v>0.9100000000000007</c:v>
                </c:pt>
                <c:pt idx="911">
                  <c:v>0.9110000000000007</c:v>
                </c:pt>
                <c:pt idx="912">
                  <c:v>0.9120000000000007</c:v>
                </c:pt>
                <c:pt idx="913">
                  <c:v>0.9130000000000007</c:v>
                </c:pt>
                <c:pt idx="914">
                  <c:v>0.9140000000000007</c:v>
                </c:pt>
                <c:pt idx="915">
                  <c:v>0.9150000000000007</c:v>
                </c:pt>
                <c:pt idx="916">
                  <c:v>0.9160000000000007</c:v>
                </c:pt>
                <c:pt idx="917">
                  <c:v>0.9170000000000007</c:v>
                </c:pt>
                <c:pt idx="918">
                  <c:v>0.9180000000000007</c:v>
                </c:pt>
                <c:pt idx="919">
                  <c:v>0.91900000000000071</c:v>
                </c:pt>
                <c:pt idx="920">
                  <c:v>0.92000000000000071</c:v>
                </c:pt>
                <c:pt idx="921">
                  <c:v>0.92100000000000071</c:v>
                </c:pt>
                <c:pt idx="922">
                  <c:v>0.92200000000000071</c:v>
                </c:pt>
                <c:pt idx="923">
                  <c:v>0.92300000000000071</c:v>
                </c:pt>
                <c:pt idx="924">
                  <c:v>0.92400000000000071</c:v>
                </c:pt>
                <c:pt idx="925">
                  <c:v>0.92500000000000071</c:v>
                </c:pt>
                <c:pt idx="926">
                  <c:v>0.92600000000000071</c:v>
                </c:pt>
                <c:pt idx="927">
                  <c:v>0.92700000000000071</c:v>
                </c:pt>
                <c:pt idx="928">
                  <c:v>0.92800000000000071</c:v>
                </c:pt>
                <c:pt idx="929">
                  <c:v>0.92900000000000071</c:v>
                </c:pt>
                <c:pt idx="930">
                  <c:v>0.93000000000000071</c:v>
                </c:pt>
                <c:pt idx="931">
                  <c:v>0.93100000000000072</c:v>
                </c:pt>
                <c:pt idx="932">
                  <c:v>0.93200000000000072</c:v>
                </c:pt>
                <c:pt idx="933">
                  <c:v>0.93300000000000072</c:v>
                </c:pt>
                <c:pt idx="934">
                  <c:v>0.93400000000000072</c:v>
                </c:pt>
                <c:pt idx="935">
                  <c:v>0.93500000000000072</c:v>
                </c:pt>
                <c:pt idx="936">
                  <c:v>0.93600000000000072</c:v>
                </c:pt>
                <c:pt idx="937">
                  <c:v>0.93700000000000072</c:v>
                </c:pt>
                <c:pt idx="938">
                  <c:v>0.93800000000000072</c:v>
                </c:pt>
                <c:pt idx="939">
                  <c:v>0.93900000000000072</c:v>
                </c:pt>
                <c:pt idx="940">
                  <c:v>0.94000000000000072</c:v>
                </c:pt>
                <c:pt idx="941">
                  <c:v>0.94100000000000072</c:v>
                </c:pt>
                <c:pt idx="942">
                  <c:v>0.94200000000000073</c:v>
                </c:pt>
                <c:pt idx="943">
                  <c:v>0.94300000000000073</c:v>
                </c:pt>
                <c:pt idx="944">
                  <c:v>0.94400000000000073</c:v>
                </c:pt>
                <c:pt idx="945">
                  <c:v>0.94500000000000073</c:v>
                </c:pt>
                <c:pt idx="946">
                  <c:v>0.94600000000000073</c:v>
                </c:pt>
                <c:pt idx="947">
                  <c:v>0.94700000000000073</c:v>
                </c:pt>
                <c:pt idx="948">
                  <c:v>0.94800000000000073</c:v>
                </c:pt>
                <c:pt idx="949">
                  <c:v>0.94900000000000073</c:v>
                </c:pt>
                <c:pt idx="950">
                  <c:v>0.95000000000000073</c:v>
                </c:pt>
                <c:pt idx="951">
                  <c:v>0.95100000000000073</c:v>
                </c:pt>
                <c:pt idx="952">
                  <c:v>0.95200000000000073</c:v>
                </c:pt>
                <c:pt idx="953">
                  <c:v>0.95300000000000074</c:v>
                </c:pt>
                <c:pt idx="954">
                  <c:v>0.95400000000000074</c:v>
                </c:pt>
                <c:pt idx="955">
                  <c:v>0.95500000000000074</c:v>
                </c:pt>
                <c:pt idx="956">
                  <c:v>0.95600000000000074</c:v>
                </c:pt>
                <c:pt idx="957">
                  <c:v>0.95700000000000074</c:v>
                </c:pt>
                <c:pt idx="958">
                  <c:v>0.95800000000000074</c:v>
                </c:pt>
                <c:pt idx="959">
                  <c:v>0.95900000000000074</c:v>
                </c:pt>
                <c:pt idx="960">
                  <c:v>0.96000000000000074</c:v>
                </c:pt>
                <c:pt idx="961">
                  <c:v>0.96100000000000074</c:v>
                </c:pt>
                <c:pt idx="962">
                  <c:v>0.96200000000000074</c:v>
                </c:pt>
                <c:pt idx="963">
                  <c:v>0.96300000000000074</c:v>
                </c:pt>
                <c:pt idx="964">
                  <c:v>0.96400000000000075</c:v>
                </c:pt>
                <c:pt idx="965">
                  <c:v>0.96500000000000075</c:v>
                </c:pt>
                <c:pt idx="966">
                  <c:v>0.96600000000000075</c:v>
                </c:pt>
                <c:pt idx="967">
                  <c:v>0.96700000000000075</c:v>
                </c:pt>
                <c:pt idx="968">
                  <c:v>0.96800000000000075</c:v>
                </c:pt>
                <c:pt idx="969">
                  <c:v>0.96900000000000075</c:v>
                </c:pt>
                <c:pt idx="970">
                  <c:v>0.97000000000000075</c:v>
                </c:pt>
                <c:pt idx="971">
                  <c:v>0.97100000000000075</c:v>
                </c:pt>
                <c:pt idx="972">
                  <c:v>0.97200000000000075</c:v>
                </c:pt>
                <c:pt idx="973">
                  <c:v>0.97300000000000075</c:v>
                </c:pt>
                <c:pt idx="974">
                  <c:v>0.97400000000000075</c:v>
                </c:pt>
                <c:pt idx="975">
                  <c:v>0.97500000000000075</c:v>
                </c:pt>
                <c:pt idx="976">
                  <c:v>0.97600000000000076</c:v>
                </c:pt>
                <c:pt idx="977">
                  <c:v>0.97700000000000076</c:v>
                </c:pt>
                <c:pt idx="978">
                  <c:v>0.97800000000000076</c:v>
                </c:pt>
                <c:pt idx="979">
                  <c:v>0.97900000000000076</c:v>
                </c:pt>
                <c:pt idx="980">
                  <c:v>0.98000000000000076</c:v>
                </c:pt>
                <c:pt idx="981">
                  <c:v>0.98100000000000076</c:v>
                </c:pt>
                <c:pt idx="982">
                  <c:v>0.98200000000000076</c:v>
                </c:pt>
                <c:pt idx="983">
                  <c:v>0.98300000000000076</c:v>
                </c:pt>
                <c:pt idx="984">
                  <c:v>0.98400000000000076</c:v>
                </c:pt>
                <c:pt idx="985">
                  <c:v>0.98500000000000076</c:v>
                </c:pt>
                <c:pt idx="986">
                  <c:v>0.98600000000000076</c:v>
                </c:pt>
                <c:pt idx="987">
                  <c:v>0.98700000000000077</c:v>
                </c:pt>
                <c:pt idx="988">
                  <c:v>0.98800000000000077</c:v>
                </c:pt>
                <c:pt idx="989">
                  <c:v>0.98900000000000077</c:v>
                </c:pt>
                <c:pt idx="990">
                  <c:v>0.99000000000000077</c:v>
                </c:pt>
                <c:pt idx="991">
                  <c:v>0.99100000000000077</c:v>
                </c:pt>
                <c:pt idx="992">
                  <c:v>0.99200000000000077</c:v>
                </c:pt>
                <c:pt idx="993">
                  <c:v>0.99300000000000077</c:v>
                </c:pt>
                <c:pt idx="994">
                  <c:v>0.99400000000000077</c:v>
                </c:pt>
                <c:pt idx="995">
                  <c:v>0.99500000000000077</c:v>
                </c:pt>
                <c:pt idx="996">
                  <c:v>0.99600000000000077</c:v>
                </c:pt>
                <c:pt idx="997">
                  <c:v>0.99700000000000077</c:v>
                </c:pt>
                <c:pt idx="998">
                  <c:v>0.99800000000000078</c:v>
                </c:pt>
                <c:pt idx="999">
                  <c:v>0.99900000000000078</c:v>
                </c:pt>
                <c:pt idx="1000">
                  <c:v>1.0000000000000007</c:v>
                </c:pt>
                <c:pt idx="1001">
                  <c:v>1.0010000000000006</c:v>
                </c:pt>
                <c:pt idx="1002">
                  <c:v>1.0020000000000004</c:v>
                </c:pt>
                <c:pt idx="1003">
                  <c:v>1.0030000000000003</c:v>
                </c:pt>
                <c:pt idx="1004">
                  <c:v>1.0040000000000002</c:v>
                </c:pt>
                <c:pt idx="1005">
                  <c:v>1.0050000000000001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C0-4AAF-95DD-FEA6468955F4}"/>
            </c:ext>
          </c:extLst>
        </c:ser>
        <c:ser>
          <c:idx val="1"/>
          <c:order val="1"/>
          <c:tx>
            <c:strRef>
              <c:f>ANALYSIS!$Q$28</c:f>
              <c:strCache>
                <c:ptCount val="1"/>
                <c:pt idx="0">
                  <c:v>Capital market line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ANALYSIS!$Q$30:$Q$1035</c:f>
              <c:numCache>
                <c:formatCode>0.00%</c:formatCode>
                <c:ptCount val="1006"/>
                <c:pt idx="0">
                  <c:v>0</c:v>
                </c:pt>
                <c:pt idx="1">
                  <c:v>0.03</c:v>
                </c:pt>
                <c:pt idx="2">
                  <c:v>0.06</c:v>
                </c:pt>
                <c:pt idx="3">
                  <c:v>0.09</c:v>
                </c:pt>
                <c:pt idx="4">
                  <c:v>0.12</c:v>
                </c:pt>
                <c:pt idx="5">
                  <c:v>0.15</c:v>
                </c:pt>
                <c:pt idx="6">
                  <c:v>0.18</c:v>
                </c:pt>
                <c:pt idx="7">
                  <c:v>0.21</c:v>
                </c:pt>
                <c:pt idx="8">
                  <c:v>0.24</c:v>
                </c:pt>
                <c:pt idx="9">
                  <c:v>0.27</c:v>
                </c:pt>
                <c:pt idx="10">
                  <c:v>0.30000000000000004</c:v>
                </c:pt>
                <c:pt idx="11">
                  <c:v>0.33000000000000007</c:v>
                </c:pt>
                <c:pt idx="12">
                  <c:v>0.3600000000000001</c:v>
                </c:pt>
                <c:pt idx="13">
                  <c:v>0.39000000000000012</c:v>
                </c:pt>
                <c:pt idx="14">
                  <c:v>0.42000000000000015</c:v>
                </c:pt>
                <c:pt idx="15">
                  <c:v>0.45000000000000018</c:v>
                </c:pt>
                <c:pt idx="16">
                  <c:v>0.4800000000000002</c:v>
                </c:pt>
                <c:pt idx="17">
                  <c:v>0.51000000000000023</c:v>
                </c:pt>
                <c:pt idx="18">
                  <c:v>0.54000000000000026</c:v>
                </c:pt>
                <c:pt idx="19">
                  <c:v>0.57000000000000028</c:v>
                </c:pt>
                <c:pt idx="20">
                  <c:v>0.60000000000000031</c:v>
                </c:pt>
                <c:pt idx="21">
                  <c:v>0.63000000000000034</c:v>
                </c:pt>
                <c:pt idx="22">
                  <c:v>0.66000000000000036</c:v>
                </c:pt>
                <c:pt idx="23">
                  <c:v>0.69000000000000039</c:v>
                </c:pt>
                <c:pt idx="24">
                  <c:v>0.72000000000000042</c:v>
                </c:pt>
                <c:pt idx="25">
                  <c:v>0.75000000000000044</c:v>
                </c:pt>
                <c:pt idx="26">
                  <c:v>0.78000000000000047</c:v>
                </c:pt>
                <c:pt idx="27">
                  <c:v>0.8100000000000005</c:v>
                </c:pt>
                <c:pt idx="28">
                  <c:v>0.84000000000000052</c:v>
                </c:pt>
                <c:pt idx="29">
                  <c:v>0.87000000000000055</c:v>
                </c:pt>
                <c:pt idx="30">
                  <c:v>0.90000000000000058</c:v>
                </c:pt>
                <c:pt idx="31">
                  <c:v>0.9300000000000006</c:v>
                </c:pt>
                <c:pt idx="32">
                  <c:v>0.96000000000000063</c:v>
                </c:pt>
                <c:pt idx="33">
                  <c:v>0.99000000000000066</c:v>
                </c:pt>
                <c:pt idx="34">
                  <c:v>1.0200000000000007</c:v>
                </c:pt>
                <c:pt idx="35">
                  <c:v>1.0500000000000007</c:v>
                </c:pt>
                <c:pt idx="36">
                  <c:v>1.0800000000000007</c:v>
                </c:pt>
                <c:pt idx="37">
                  <c:v>1.1100000000000008</c:v>
                </c:pt>
                <c:pt idx="38">
                  <c:v>1.1400000000000008</c:v>
                </c:pt>
                <c:pt idx="39">
                  <c:v>1.1700000000000008</c:v>
                </c:pt>
                <c:pt idx="40">
                  <c:v>1.2000000000000008</c:v>
                </c:pt>
                <c:pt idx="41">
                  <c:v>1.2300000000000009</c:v>
                </c:pt>
                <c:pt idx="42">
                  <c:v>1.2600000000000009</c:v>
                </c:pt>
                <c:pt idx="43">
                  <c:v>1.2900000000000009</c:v>
                </c:pt>
                <c:pt idx="44">
                  <c:v>1.320000000000001</c:v>
                </c:pt>
                <c:pt idx="45">
                  <c:v>1.350000000000001</c:v>
                </c:pt>
                <c:pt idx="46">
                  <c:v>1.380000000000001</c:v>
                </c:pt>
                <c:pt idx="47">
                  <c:v>1.410000000000001</c:v>
                </c:pt>
                <c:pt idx="48">
                  <c:v>1.4400000000000011</c:v>
                </c:pt>
                <c:pt idx="49">
                  <c:v>1.4700000000000011</c:v>
                </c:pt>
                <c:pt idx="50">
                  <c:v>1.5000000000000011</c:v>
                </c:pt>
                <c:pt idx="51">
                  <c:v>1.5300000000000011</c:v>
                </c:pt>
                <c:pt idx="52">
                  <c:v>1.5600000000000012</c:v>
                </c:pt>
                <c:pt idx="53">
                  <c:v>1.5900000000000012</c:v>
                </c:pt>
                <c:pt idx="54">
                  <c:v>1.6200000000000012</c:v>
                </c:pt>
                <c:pt idx="55">
                  <c:v>1.6500000000000012</c:v>
                </c:pt>
                <c:pt idx="56">
                  <c:v>1.6800000000000013</c:v>
                </c:pt>
                <c:pt idx="57">
                  <c:v>1.7100000000000013</c:v>
                </c:pt>
                <c:pt idx="58">
                  <c:v>1.7400000000000013</c:v>
                </c:pt>
                <c:pt idx="59">
                  <c:v>1.7700000000000014</c:v>
                </c:pt>
                <c:pt idx="60">
                  <c:v>1.8000000000000014</c:v>
                </c:pt>
                <c:pt idx="61">
                  <c:v>1.8300000000000014</c:v>
                </c:pt>
                <c:pt idx="62">
                  <c:v>1.8600000000000014</c:v>
                </c:pt>
                <c:pt idx="63">
                  <c:v>1.8900000000000015</c:v>
                </c:pt>
                <c:pt idx="64">
                  <c:v>1.9200000000000015</c:v>
                </c:pt>
                <c:pt idx="65">
                  <c:v>1.9500000000000015</c:v>
                </c:pt>
                <c:pt idx="66">
                  <c:v>1.9800000000000015</c:v>
                </c:pt>
                <c:pt idx="67">
                  <c:v>2.0100000000000016</c:v>
                </c:pt>
                <c:pt idx="68">
                  <c:v>2.0400000000000014</c:v>
                </c:pt>
                <c:pt idx="69">
                  <c:v>2.0700000000000012</c:v>
                </c:pt>
                <c:pt idx="70">
                  <c:v>2.100000000000001</c:v>
                </c:pt>
                <c:pt idx="71">
                  <c:v>2.1300000000000008</c:v>
                </c:pt>
                <c:pt idx="72">
                  <c:v>2.1600000000000006</c:v>
                </c:pt>
                <c:pt idx="73">
                  <c:v>2.1900000000000004</c:v>
                </c:pt>
                <c:pt idx="74">
                  <c:v>2.2200000000000002</c:v>
                </c:pt>
                <c:pt idx="75">
                  <c:v>2.25</c:v>
                </c:pt>
                <c:pt idx="76">
                  <c:v>2.2799999999999998</c:v>
                </c:pt>
                <c:pt idx="77">
                  <c:v>2.3099999999999996</c:v>
                </c:pt>
                <c:pt idx="78">
                  <c:v>2.3399999999999994</c:v>
                </c:pt>
                <c:pt idx="79">
                  <c:v>2.3699999999999992</c:v>
                </c:pt>
                <c:pt idx="80">
                  <c:v>2.399999999999999</c:v>
                </c:pt>
                <c:pt idx="81">
                  <c:v>2.4299999999999988</c:v>
                </c:pt>
                <c:pt idx="82">
                  <c:v>2.4599999999999986</c:v>
                </c:pt>
                <c:pt idx="83">
                  <c:v>2.4899999999999984</c:v>
                </c:pt>
                <c:pt idx="84">
                  <c:v>2.5199999999999982</c:v>
                </c:pt>
                <c:pt idx="85">
                  <c:v>2.549999999999998</c:v>
                </c:pt>
                <c:pt idx="86">
                  <c:v>2.5799999999999979</c:v>
                </c:pt>
                <c:pt idx="87">
                  <c:v>2.6099999999999977</c:v>
                </c:pt>
                <c:pt idx="88">
                  <c:v>2.6399999999999975</c:v>
                </c:pt>
                <c:pt idx="89">
                  <c:v>2.6699999999999973</c:v>
                </c:pt>
                <c:pt idx="90">
                  <c:v>2.6999999999999971</c:v>
                </c:pt>
                <c:pt idx="91">
                  <c:v>2.7299999999999969</c:v>
                </c:pt>
                <c:pt idx="92">
                  <c:v>2.7599999999999967</c:v>
                </c:pt>
                <c:pt idx="93">
                  <c:v>2.7899999999999965</c:v>
                </c:pt>
                <c:pt idx="94">
                  <c:v>2.8199999999999963</c:v>
                </c:pt>
                <c:pt idx="95">
                  <c:v>2.8499999999999961</c:v>
                </c:pt>
                <c:pt idx="96">
                  <c:v>2.8799999999999959</c:v>
                </c:pt>
                <c:pt idx="97">
                  <c:v>2.9099999999999957</c:v>
                </c:pt>
                <c:pt idx="98">
                  <c:v>2.9399999999999955</c:v>
                </c:pt>
                <c:pt idx="99">
                  <c:v>2.9699999999999953</c:v>
                </c:pt>
                <c:pt idx="100">
                  <c:v>2.9999999999999951</c:v>
                </c:pt>
                <c:pt idx="101">
                  <c:v>3.0299999999999949</c:v>
                </c:pt>
                <c:pt idx="102">
                  <c:v>3.0599999999999947</c:v>
                </c:pt>
                <c:pt idx="103">
                  <c:v>3.0899999999999945</c:v>
                </c:pt>
                <c:pt idx="104">
                  <c:v>3.1199999999999943</c:v>
                </c:pt>
                <c:pt idx="105">
                  <c:v>3.1499999999999941</c:v>
                </c:pt>
                <c:pt idx="106">
                  <c:v>3.1799999999999939</c:v>
                </c:pt>
                <c:pt idx="107">
                  <c:v>3.2099999999999937</c:v>
                </c:pt>
                <c:pt idx="108">
                  <c:v>3.2399999999999936</c:v>
                </c:pt>
                <c:pt idx="109">
                  <c:v>3.2699999999999934</c:v>
                </c:pt>
                <c:pt idx="110">
                  <c:v>3.2999999999999932</c:v>
                </c:pt>
                <c:pt idx="111">
                  <c:v>3.329999999999993</c:v>
                </c:pt>
                <c:pt idx="112">
                  <c:v>3.3599999999999928</c:v>
                </c:pt>
                <c:pt idx="113">
                  <c:v>3.3899999999999926</c:v>
                </c:pt>
                <c:pt idx="114">
                  <c:v>3.4199999999999924</c:v>
                </c:pt>
                <c:pt idx="115">
                  <c:v>3.4499999999999922</c:v>
                </c:pt>
                <c:pt idx="116">
                  <c:v>3.479999999999992</c:v>
                </c:pt>
                <c:pt idx="117">
                  <c:v>3.5099999999999918</c:v>
                </c:pt>
                <c:pt idx="118">
                  <c:v>3.5399999999999916</c:v>
                </c:pt>
                <c:pt idx="119">
                  <c:v>3.5699999999999914</c:v>
                </c:pt>
                <c:pt idx="120">
                  <c:v>3.5999999999999912</c:v>
                </c:pt>
                <c:pt idx="121">
                  <c:v>3.629999999999991</c:v>
                </c:pt>
                <c:pt idx="122">
                  <c:v>3.6599999999999908</c:v>
                </c:pt>
                <c:pt idx="123">
                  <c:v>3.6899999999999906</c:v>
                </c:pt>
                <c:pt idx="124">
                  <c:v>3.7199999999999904</c:v>
                </c:pt>
                <c:pt idx="125">
                  <c:v>3.7499999999999902</c:v>
                </c:pt>
                <c:pt idx="126">
                  <c:v>3.77999999999999</c:v>
                </c:pt>
                <c:pt idx="127">
                  <c:v>3.8099999999999898</c:v>
                </c:pt>
                <c:pt idx="128">
                  <c:v>3.8399999999999896</c:v>
                </c:pt>
                <c:pt idx="129">
                  <c:v>3.8699999999999894</c:v>
                </c:pt>
                <c:pt idx="130">
                  <c:v>3.8999999999999893</c:v>
                </c:pt>
                <c:pt idx="131">
                  <c:v>3.9299999999999891</c:v>
                </c:pt>
                <c:pt idx="132">
                  <c:v>3.9599999999999889</c:v>
                </c:pt>
                <c:pt idx="133">
                  <c:v>3.9899999999999887</c:v>
                </c:pt>
                <c:pt idx="134">
                  <c:v>4.0199999999999889</c:v>
                </c:pt>
                <c:pt idx="135">
                  <c:v>4.0499999999999892</c:v>
                </c:pt>
                <c:pt idx="136">
                  <c:v>4.0799999999999894</c:v>
                </c:pt>
                <c:pt idx="137">
                  <c:v>4.1099999999999897</c:v>
                </c:pt>
                <c:pt idx="138">
                  <c:v>4.1399999999999899</c:v>
                </c:pt>
                <c:pt idx="139">
                  <c:v>4.1699999999999902</c:v>
                </c:pt>
                <c:pt idx="140">
                  <c:v>4.1999999999999904</c:v>
                </c:pt>
                <c:pt idx="141">
                  <c:v>4.2299999999999907</c:v>
                </c:pt>
                <c:pt idx="142">
                  <c:v>4.2599999999999909</c:v>
                </c:pt>
                <c:pt idx="143">
                  <c:v>4.2899999999999912</c:v>
                </c:pt>
                <c:pt idx="144">
                  <c:v>4.3199999999999914</c:v>
                </c:pt>
                <c:pt idx="145">
                  <c:v>4.3499999999999917</c:v>
                </c:pt>
                <c:pt idx="146">
                  <c:v>4.3799999999999919</c:v>
                </c:pt>
                <c:pt idx="147">
                  <c:v>4.4099999999999921</c:v>
                </c:pt>
                <c:pt idx="148">
                  <c:v>4.4399999999999924</c:v>
                </c:pt>
                <c:pt idx="149">
                  <c:v>4.4699999999999926</c:v>
                </c:pt>
                <c:pt idx="150">
                  <c:v>4.4999999999999929</c:v>
                </c:pt>
                <c:pt idx="151">
                  <c:v>4.5299999999999931</c:v>
                </c:pt>
                <c:pt idx="152">
                  <c:v>4.5599999999999934</c:v>
                </c:pt>
                <c:pt idx="153">
                  <c:v>4.5899999999999936</c:v>
                </c:pt>
                <c:pt idx="154">
                  <c:v>4.6199999999999939</c:v>
                </c:pt>
                <c:pt idx="155">
                  <c:v>4.6499999999999941</c:v>
                </c:pt>
                <c:pt idx="156">
                  <c:v>4.6799999999999944</c:v>
                </c:pt>
                <c:pt idx="157">
                  <c:v>4.7099999999999946</c:v>
                </c:pt>
                <c:pt idx="158">
                  <c:v>4.7399999999999949</c:v>
                </c:pt>
                <c:pt idx="159">
                  <c:v>4.7699999999999951</c:v>
                </c:pt>
                <c:pt idx="160">
                  <c:v>4.7999999999999954</c:v>
                </c:pt>
                <c:pt idx="161">
                  <c:v>4.8299999999999956</c:v>
                </c:pt>
                <c:pt idx="162">
                  <c:v>4.8599999999999959</c:v>
                </c:pt>
                <c:pt idx="163">
                  <c:v>4.8899999999999961</c:v>
                </c:pt>
                <c:pt idx="164">
                  <c:v>4.9199999999999964</c:v>
                </c:pt>
                <c:pt idx="165">
                  <c:v>4.9499999999999966</c:v>
                </c:pt>
                <c:pt idx="166">
                  <c:v>4.9799999999999969</c:v>
                </c:pt>
                <c:pt idx="167">
                  <c:v>5.0099999999999971</c:v>
                </c:pt>
                <c:pt idx="168">
                  <c:v>5.0399999999999974</c:v>
                </c:pt>
                <c:pt idx="169">
                  <c:v>5.0699999999999976</c:v>
                </c:pt>
                <c:pt idx="170">
                  <c:v>5.0999999999999979</c:v>
                </c:pt>
                <c:pt idx="171">
                  <c:v>5.1299999999999981</c:v>
                </c:pt>
                <c:pt idx="172">
                  <c:v>5.1599999999999984</c:v>
                </c:pt>
                <c:pt idx="173">
                  <c:v>5.1899999999999986</c:v>
                </c:pt>
                <c:pt idx="174">
                  <c:v>5.2199999999999989</c:v>
                </c:pt>
                <c:pt idx="175">
                  <c:v>5.2499999999999991</c:v>
                </c:pt>
                <c:pt idx="176">
                  <c:v>5.2799999999999994</c:v>
                </c:pt>
                <c:pt idx="177">
                  <c:v>5.31</c:v>
                </c:pt>
                <c:pt idx="178">
                  <c:v>5.34</c:v>
                </c:pt>
                <c:pt idx="179">
                  <c:v>5.37</c:v>
                </c:pt>
                <c:pt idx="180">
                  <c:v>5.4</c:v>
                </c:pt>
                <c:pt idx="181">
                  <c:v>5.4300000000000006</c:v>
                </c:pt>
                <c:pt idx="182">
                  <c:v>5.4600000000000009</c:v>
                </c:pt>
                <c:pt idx="183">
                  <c:v>5.4900000000000011</c:v>
                </c:pt>
                <c:pt idx="184">
                  <c:v>5.5200000000000014</c:v>
                </c:pt>
                <c:pt idx="185">
                  <c:v>5.5500000000000016</c:v>
                </c:pt>
                <c:pt idx="186">
                  <c:v>5.5800000000000018</c:v>
                </c:pt>
                <c:pt idx="187">
                  <c:v>5.6100000000000021</c:v>
                </c:pt>
                <c:pt idx="188">
                  <c:v>5.6400000000000023</c:v>
                </c:pt>
                <c:pt idx="189">
                  <c:v>5.6700000000000026</c:v>
                </c:pt>
                <c:pt idx="190">
                  <c:v>5.7000000000000028</c:v>
                </c:pt>
                <c:pt idx="191">
                  <c:v>5.7300000000000031</c:v>
                </c:pt>
                <c:pt idx="192">
                  <c:v>5.7600000000000033</c:v>
                </c:pt>
                <c:pt idx="193">
                  <c:v>5.7900000000000036</c:v>
                </c:pt>
                <c:pt idx="194">
                  <c:v>5.8200000000000038</c:v>
                </c:pt>
                <c:pt idx="195">
                  <c:v>5.8500000000000041</c:v>
                </c:pt>
                <c:pt idx="196">
                  <c:v>5.8800000000000043</c:v>
                </c:pt>
                <c:pt idx="197">
                  <c:v>5.9100000000000046</c:v>
                </c:pt>
                <c:pt idx="198">
                  <c:v>5.9400000000000048</c:v>
                </c:pt>
                <c:pt idx="199">
                  <c:v>5.9700000000000051</c:v>
                </c:pt>
                <c:pt idx="200">
                  <c:v>6.0000000000000053</c:v>
                </c:pt>
                <c:pt idx="201">
                  <c:v>6.0300000000000056</c:v>
                </c:pt>
                <c:pt idx="202">
                  <c:v>6.0600000000000058</c:v>
                </c:pt>
                <c:pt idx="203">
                  <c:v>6.0900000000000061</c:v>
                </c:pt>
                <c:pt idx="204">
                  <c:v>6.1200000000000063</c:v>
                </c:pt>
                <c:pt idx="205">
                  <c:v>6.1500000000000066</c:v>
                </c:pt>
                <c:pt idx="206">
                  <c:v>6.1800000000000068</c:v>
                </c:pt>
                <c:pt idx="207">
                  <c:v>6.2100000000000071</c:v>
                </c:pt>
                <c:pt idx="208">
                  <c:v>6.2400000000000073</c:v>
                </c:pt>
                <c:pt idx="209">
                  <c:v>6.2700000000000076</c:v>
                </c:pt>
                <c:pt idx="210">
                  <c:v>6.3000000000000078</c:v>
                </c:pt>
                <c:pt idx="211">
                  <c:v>6.3300000000000081</c:v>
                </c:pt>
                <c:pt idx="212">
                  <c:v>6.3600000000000083</c:v>
                </c:pt>
                <c:pt idx="213">
                  <c:v>6.3900000000000086</c:v>
                </c:pt>
                <c:pt idx="214">
                  <c:v>6.4200000000000088</c:v>
                </c:pt>
                <c:pt idx="215">
                  <c:v>6.4500000000000091</c:v>
                </c:pt>
                <c:pt idx="216">
                  <c:v>6.4800000000000093</c:v>
                </c:pt>
                <c:pt idx="217">
                  <c:v>6.5100000000000096</c:v>
                </c:pt>
                <c:pt idx="218">
                  <c:v>6.5400000000000098</c:v>
                </c:pt>
                <c:pt idx="219">
                  <c:v>6.5700000000000101</c:v>
                </c:pt>
                <c:pt idx="220">
                  <c:v>6.6000000000000103</c:v>
                </c:pt>
                <c:pt idx="221">
                  <c:v>6.6300000000000106</c:v>
                </c:pt>
                <c:pt idx="222">
                  <c:v>6.6600000000000108</c:v>
                </c:pt>
                <c:pt idx="223">
                  <c:v>6.690000000000011</c:v>
                </c:pt>
                <c:pt idx="224">
                  <c:v>6.7200000000000113</c:v>
                </c:pt>
                <c:pt idx="225">
                  <c:v>6.7500000000000115</c:v>
                </c:pt>
                <c:pt idx="226">
                  <c:v>6.7800000000000118</c:v>
                </c:pt>
                <c:pt idx="227">
                  <c:v>6.810000000000012</c:v>
                </c:pt>
                <c:pt idx="228">
                  <c:v>6.8400000000000123</c:v>
                </c:pt>
                <c:pt idx="229">
                  <c:v>6.8700000000000125</c:v>
                </c:pt>
                <c:pt idx="230">
                  <c:v>6.9000000000000128</c:v>
                </c:pt>
                <c:pt idx="231">
                  <c:v>6.930000000000013</c:v>
                </c:pt>
                <c:pt idx="232">
                  <c:v>6.9600000000000133</c:v>
                </c:pt>
                <c:pt idx="233">
                  <c:v>6.9900000000000135</c:v>
                </c:pt>
                <c:pt idx="234">
                  <c:v>7.0200000000000138</c:v>
                </c:pt>
                <c:pt idx="235">
                  <c:v>7.050000000000014</c:v>
                </c:pt>
                <c:pt idx="236">
                  <c:v>7.0800000000000143</c:v>
                </c:pt>
                <c:pt idx="237">
                  <c:v>7.1100000000000145</c:v>
                </c:pt>
                <c:pt idx="238">
                  <c:v>7.1400000000000148</c:v>
                </c:pt>
                <c:pt idx="239">
                  <c:v>7.170000000000015</c:v>
                </c:pt>
                <c:pt idx="240">
                  <c:v>7.2000000000000153</c:v>
                </c:pt>
                <c:pt idx="241">
                  <c:v>7.2300000000000155</c:v>
                </c:pt>
                <c:pt idx="242">
                  <c:v>7.2600000000000158</c:v>
                </c:pt>
                <c:pt idx="243">
                  <c:v>7.290000000000016</c:v>
                </c:pt>
                <c:pt idx="244">
                  <c:v>7.3200000000000163</c:v>
                </c:pt>
                <c:pt idx="245">
                  <c:v>7.3500000000000165</c:v>
                </c:pt>
                <c:pt idx="246">
                  <c:v>7.3800000000000168</c:v>
                </c:pt>
                <c:pt idx="247">
                  <c:v>7.410000000000017</c:v>
                </c:pt>
                <c:pt idx="248">
                  <c:v>7.4400000000000173</c:v>
                </c:pt>
                <c:pt idx="249">
                  <c:v>7.4700000000000175</c:v>
                </c:pt>
                <c:pt idx="250">
                  <c:v>7.5000000000000178</c:v>
                </c:pt>
                <c:pt idx="251">
                  <c:v>7.530000000000018</c:v>
                </c:pt>
                <c:pt idx="252">
                  <c:v>7.5600000000000183</c:v>
                </c:pt>
                <c:pt idx="253">
                  <c:v>7.5900000000000185</c:v>
                </c:pt>
                <c:pt idx="254">
                  <c:v>7.6200000000000188</c:v>
                </c:pt>
                <c:pt idx="255">
                  <c:v>7.650000000000019</c:v>
                </c:pt>
                <c:pt idx="256">
                  <c:v>7.6800000000000193</c:v>
                </c:pt>
                <c:pt idx="257">
                  <c:v>7.7100000000000195</c:v>
                </c:pt>
                <c:pt idx="258">
                  <c:v>7.7400000000000198</c:v>
                </c:pt>
                <c:pt idx="259">
                  <c:v>7.77000000000002</c:v>
                </c:pt>
                <c:pt idx="260">
                  <c:v>7.8000000000000203</c:v>
                </c:pt>
                <c:pt idx="261">
                  <c:v>7.8300000000000205</c:v>
                </c:pt>
                <c:pt idx="262">
                  <c:v>7.8600000000000207</c:v>
                </c:pt>
                <c:pt idx="263">
                  <c:v>7.890000000000021</c:v>
                </c:pt>
                <c:pt idx="264">
                  <c:v>7.9200000000000212</c:v>
                </c:pt>
                <c:pt idx="265">
                  <c:v>7.9500000000000215</c:v>
                </c:pt>
                <c:pt idx="266">
                  <c:v>7.9800000000000217</c:v>
                </c:pt>
                <c:pt idx="267">
                  <c:v>8.0100000000000211</c:v>
                </c:pt>
                <c:pt idx="268">
                  <c:v>8.0400000000000205</c:v>
                </c:pt>
                <c:pt idx="269">
                  <c:v>8.0700000000000198</c:v>
                </c:pt>
                <c:pt idx="270">
                  <c:v>8.1000000000000192</c:v>
                </c:pt>
                <c:pt idx="271">
                  <c:v>8.1300000000000185</c:v>
                </c:pt>
                <c:pt idx="272">
                  <c:v>8.1600000000000179</c:v>
                </c:pt>
                <c:pt idx="273">
                  <c:v>8.1900000000000173</c:v>
                </c:pt>
                <c:pt idx="274">
                  <c:v>8.2200000000000166</c:v>
                </c:pt>
                <c:pt idx="275">
                  <c:v>8.250000000000016</c:v>
                </c:pt>
                <c:pt idx="276">
                  <c:v>8.2800000000000153</c:v>
                </c:pt>
                <c:pt idx="277">
                  <c:v>8.3100000000000147</c:v>
                </c:pt>
                <c:pt idx="278">
                  <c:v>8.3400000000000141</c:v>
                </c:pt>
                <c:pt idx="279">
                  <c:v>8.3700000000000134</c:v>
                </c:pt>
                <c:pt idx="280">
                  <c:v>8.4000000000000128</c:v>
                </c:pt>
                <c:pt idx="281">
                  <c:v>8.4300000000000122</c:v>
                </c:pt>
                <c:pt idx="282">
                  <c:v>8.4600000000000115</c:v>
                </c:pt>
                <c:pt idx="283">
                  <c:v>8.4900000000000109</c:v>
                </c:pt>
                <c:pt idx="284">
                  <c:v>8.5200000000000102</c:v>
                </c:pt>
                <c:pt idx="285">
                  <c:v>8.5500000000000096</c:v>
                </c:pt>
                <c:pt idx="286">
                  <c:v>8.580000000000009</c:v>
                </c:pt>
                <c:pt idx="287">
                  <c:v>8.6100000000000083</c:v>
                </c:pt>
                <c:pt idx="288">
                  <c:v>8.6400000000000077</c:v>
                </c:pt>
                <c:pt idx="289">
                  <c:v>8.670000000000007</c:v>
                </c:pt>
                <c:pt idx="290">
                  <c:v>8.7000000000000064</c:v>
                </c:pt>
                <c:pt idx="291">
                  <c:v>8.7300000000000058</c:v>
                </c:pt>
                <c:pt idx="292">
                  <c:v>8.7600000000000051</c:v>
                </c:pt>
                <c:pt idx="293">
                  <c:v>8.7900000000000045</c:v>
                </c:pt>
                <c:pt idx="294">
                  <c:v>8.8200000000000038</c:v>
                </c:pt>
                <c:pt idx="295">
                  <c:v>8.8500000000000032</c:v>
                </c:pt>
                <c:pt idx="296">
                  <c:v>8.8800000000000026</c:v>
                </c:pt>
                <c:pt idx="297">
                  <c:v>8.9100000000000019</c:v>
                </c:pt>
                <c:pt idx="298">
                  <c:v>8.9400000000000013</c:v>
                </c:pt>
                <c:pt idx="299">
                  <c:v>8.9700000000000006</c:v>
                </c:pt>
                <c:pt idx="300">
                  <c:v>9</c:v>
                </c:pt>
                <c:pt idx="301">
                  <c:v>9.0299999999999994</c:v>
                </c:pt>
                <c:pt idx="302">
                  <c:v>9.0599999999999987</c:v>
                </c:pt>
                <c:pt idx="303">
                  <c:v>9.0899999999999981</c:v>
                </c:pt>
                <c:pt idx="304">
                  <c:v>9.1199999999999974</c:v>
                </c:pt>
                <c:pt idx="305">
                  <c:v>9.1499999999999968</c:v>
                </c:pt>
                <c:pt idx="306">
                  <c:v>9.1799999999999962</c:v>
                </c:pt>
                <c:pt idx="307">
                  <c:v>9.2099999999999955</c:v>
                </c:pt>
                <c:pt idx="308">
                  <c:v>9.2399999999999949</c:v>
                </c:pt>
                <c:pt idx="309">
                  <c:v>9.2699999999999942</c:v>
                </c:pt>
                <c:pt idx="310">
                  <c:v>9.2999999999999936</c:v>
                </c:pt>
                <c:pt idx="311">
                  <c:v>9.329999999999993</c:v>
                </c:pt>
                <c:pt idx="312">
                  <c:v>9.3599999999999923</c:v>
                </c:pt>
                <c:pt idx="313">
                  <c:v>9.3899999999999917</c:v>
                </c:pt>
                <c:pt idx="314">
                  <c:v>9.419999999999991</c:v>
                </c:pt>
                <c:pt idx="315">
                  <c:v>9.4499999999999904</c:v>
                </c:pt>
                <c:pt idx="316">
                  <c:v>9.4799999999999898</c:v>
                </c:pt>
                <c:pt idx="317">
                  <c:v>9.5099999999999891</c:v>
                </c:pt>
                <c:pt idx="318">
                  <c:v>9.5399999999999885</c:v>
                </c:pt>
                <c:pt idx="319">
                  <c:v>9.5699999999999878</c:v>
                </c:pt>
                <c:pt idx="320">
                  <c:v>9.5999999999999872</c:v>
                </c:pt>
                <c:pt idx="321">
                  <c:v>9.6299999999999866</c:v>
                </c:pt>
                <c:pt idx="322">
                  <c:v>9.6599999999999859</c:v>
                </c:pt>
                <c:pt idx="323">
                  <c:v>9.6899999999999853</c:v>
                </c:pt>
                <c:pt idx="324">
                  <c:v>9.7199999999999847</c:v>
                </c:pt>
                <c:pt idx="325">
                  <c:v>9.749999999999984</c:v>
                </c:pt>
                <c:pt idx="326">
                  <c:v>9.7799999999999834</c:v>
                </c:pt>
                <c:pt idx="327">
                  <c:v>9.8099999999999827</c:v>
                </c:pt>
                <c:pt idx="328">
                  <c:v>9.8399999999999821</c:v>
                </c:pt>
                <c:pt idx="329">
                  <c:v>9.8699999999999815</c:v>
                </c:pt>
                <c:pt idx="330">
                  <c:v>9.8999999999999808</c:v>
                </c:pt>
                <c:pt idx="331">
                  <c:v>9.9299999999999802</c:v>
                </c:pt>
                <c:pt idx="332">
                  <c:v>9.9599999999999795</c:v>
                </c:pt>
                <c:pt idx="333">
                  <c:v>9.9899999999999789</c:v>
                </c:pt>
                <c:pt idx="334">
                  <c:v>10.019999999999978</c:v>
                </c:pt>
                <c:pt idx="335">
                  <c:v>10.049999999999978</c:v>
                </c:pt>
                <c:pt idx="336">
                  <c:v>10.079999999999977</c:v>
                </c:pt>
                <c:pt idx="337">
                  <c:v>10.109999999999976</c:v>
                </c:pt>
                <c:pt idx="338">
                  <c:v>10.139999999999976</c:v>
                </c:pt>
                <c:pt idx="339">
                  <c:v>10.169999999999975</c:v>
                </c:pt>
                <c:pt idx="340">
                  <c:v>10.199999999999974</c:v>
                </c:pt>
                <c:pt idx="341">
                  <c:v>10.229999999999974</c:v>
                </c:pt>
                <c:pt idx="342">
                  <c:v>10.259999999999973</c:v>
                </c:pt>
                <c:pt idx="343">
                  <c:v>10.289999999999973</c:v>
                </c:pt>
                <c:pt idx="344">
                  <c:v>10.319999999999972</c:v>
                </c:pt>
                <c:pt idx="345">
                  <c:v>10.349999999999971</c:v>
                </c:pt>
                <c:pt idx="346">
                  <c:v>10.379999999999971</c:v>
                </c:pt>
                <c:pt idx="347">
                  <c:v>10.40999999999997</c:v>
                </c:pt>
                <c:pt idx="348">
                  <c:v>10.439999999999969</c:v>
                </c:pt>
                <c:pt idx="349">
                  <c:v>10.469999999999969</c:v>
                </c:pt>
                <c:pt idx="350">
                  <c:v>10.499999999999968</c:v>
                </c:pt>
                <c:pt idx="351">
                  <c:v>10.529999999999967</c:v>
                </c:pt>
                <c:pt idx="352">
                  <c:v>10.559999999999967</c:v>
                </c:pt>
                <c:pt idx="353">
                  <c:v>10.589999999999966</c:v>
                </c:pt>
                <c:pt idx="354">
                  <c:v>10.619999999999965</c:v>
                </c:pt>
                <c:pt idx="355">
                  <c:v>10.649999999999965</c:v>
                </c:pt>
                <c:pt idx="356">
                  <c:v>10.679999999999964</c:v>
                </c:pt>
                <c:pt idx="357">
                  <c:v>10.709999999999964</c:v>
                </c:pt>
                <c:pt idx="358">
                  <c:v>10.739999999999963</c:v>
                </c:pt>
                <c:pt idx="359">
                  <c:v>10.769999999999962</c:v>
                </c:pt>
                <c:pt idx="360">
                  <c:v>10.799999999999962</c:v>
                </c:pt>
                <c:pt idx="361">
                  <c:v>10.829999999999961</c:v>
                </c:pt>
                <c:pt idx="362">
                  <c:v>10.85999999999996</c:v>
                </c:pt>
                <c:pt idx="363">
                  <c:v>10.88999999999996</c:v>
                </c:pt>
                <c:pt idx="364">
                  <c:v>10.919999999999959</c:v>
                </c:pt>
                <c:pt idx="365">
                  <c:v>10.949999999999958</c:v>
                </c:pt>
                <c:pt idx="366">
                  <c:v>10.979999999999958</c:v>
                </c:pt>
                <c:pt idx="367">
                  <c:v>11.009999999999957</c:v>
                </c:pt>
                <c:pt idx="368">
                  <c:v>11.039999999999957</c:v>
                </c:pt>
                <c:pt idx="369">
                  <c:v>11.069999999999956</c:v>
                </c:pt>
                <c:pt idx="370">
                  <c:v>11.099999999999955</c:v>
                </c:pt>
                <c:pt idx="371">
                  <c:v>11.129999999999955</c:v>
                </c:pt>
                <c:pt idx="372">
                  <c:v>11.159999999999954</c:v>
                </c:pt>
                <c:pt idx="373">
                  <c:v>11.189999999999953</c:v>
                </c:pt>
                <c:pt idx="374">
                  <c:v>11.219999999999953</c:v>
                </c:pt>
                <c:pt idx="375">
                  <c:v>11.249999999999952</c:v>
                </c:pt>
                <c:pt idx="376">
                  <c:v>11.279999999999951</c:v>
                </c:pt>
                <c:pt idx="377">
                  <c:v>11.309999999999951</c:v>
                </c:pt>
                <c:pt idx="378">
                  <c:v>11.33999999999995</c:v>
                </c:pt>
                <c:pt idx="379">
                  <c:v>11.369999999999949</c:v>
                </c:pt>
                <c:pt idx="380">
                  <c:v>11.399999999999949</c:v>
                </c:pt>
                <c:pt idx="381">
                  <c:v>11.429999999999948</c:v>
                </c:pt>
                <c:pt idx="382">
                  <c:v>11.459999999999948</c:v>
                </c:pt>
                <c:pt idx="383">
                  <c:v>11.489999999999947</c:v>
                </c:pt>
                <c:pt idx="384">
                  <c:v>11.519999999999946</c:v>
                </c:pt>
                <c:pt idx="385">
                  <c:v>11.549999999999946</c:v>
                </c:pt>
                <c:pt idx="386">
                  <c:v>11.579999999999945</c:v>
                </c:pt>
                <c:pt idx="387">
                  <c:v>11.609999999999944</c:v>
                </c:pt>
                <c:pt idx="388">
                  <c:v>11.639999999999944</c:v>
                </c:pt>
                <c:pt idx="389">
                  <c:v>11.669999999999943</c:v>
                </c:pt>
                <c:pt idx="390">
                  <c:v>11.699999999999942</c:v>
                </c:pt>
                <c:pt idx="391">
                  <c:v>11.729999999999942</c:v>
                </c:pt>
                <c:pt idx="392">
                  <c:v>11.759999999999941</c:v>
                </c:pt>
                <c:pt idx="393">
                  <c:v>11.789999999999941</c:v>
                </c:pt>
                <c:pt idx="394">
                  <c:v>11.81999999999994</c:v>
                </c:pt>
                <c:pt idx="395">
                  <c:v>11.849999999999939</c:v>
                </c:pt>
                <c:pt idx="396">
                  <c:v>11.879999999999939</c:v>
                </c:pt>
                <c:pt idx="397">
                  <c:v>11.909999999999938</c:v>
                </c:pt>
                <c:pt idx="398">
                  <c:v>11.939999999999937</c:v>
                </c:pt>
                <c:pt idx="399">
                  <c:v>11.969999999999937</c:v>
                </c:pt>
                <c:pt idx="400">
                  <c:v>11.999999999999936</c:v>
                </c:pt>
                <c:pt idx="401">
                  <c:v>12.029999999999935</c:v>
                </c:pt>
                <c:pt idx="402">
                  <c:v>12.059999999999935</c:v>
                </c:pt>
                <c:pt idx="403">
                  <c:v>12.089999999999934</c:v>
                </c:pt>
                <c:pt idx="404">
                  <c:v>12.119999999999933</c:v>
                </c:pt>
                <c:pt idx="405">
                  <c:v>12.149999999999933</c:v>
                </c:pt>
                <c:pt idx="406">
                  <c:v>12.179999999999932</c:v>
                </c:pt>
                <c:pt idx="407">
                  <c:v>12.209999999999932</c:v>
                </c:pt>
                <c:pt idx="408">
                  <c:v>12.239999999999931</c:v>
                </c:pt>
                <c:pt idx="409">
                  <c:v>12.26999999999993</c:v>
                </c:pt>
                <c:pt idx="410">
                  <c:v>12.29999999999993</c:v>
                </c:pt>
                <c:pt idx="411">
                  <c:v>12.329999999999929</c:v>
                </c:pt>
                <c:pt idx="412">
                  <c:v>12.359999999999928</c:v>
                </c:pt>
                <c:pt idx="413">
                  <c:v>12.389999999999928</c:v>
                </c:pt>
                <c:pt idx="414">
                  <c:v>12.419999999999927</c:v>
                </c:pt>
                <c:pt idx="415">
                  <c:v>12.449999999999926</c:v>
                </c:pt>
                <c:pt idx="416">
                  <c:v>12.479999999999926</c:v>
                </c:pt>
                <c:pt idx="417">
                  <c:v>12.509999999999925</c:v>
                </c:pt>
                <c:pt idx="418">
                  <c:v>12.539999999999925</c:v>
                </c:pt>
                <c:pt idx="419">
                  <c:v>12.569999999999924</c:v>
                </c:pt>
                <c:pt idx="420">
                  <c:v>12.599999999999923</c:v>
                </c:pt>
                <c:pt idx="421">
                  <c:v>12.629999999999923</c:v>
                </c:pt>
                <c:pt idx="422">
                  <c:v>12.659999999999922</c:v>
                </c:pt>
                <c:pt idx="423">
                  <c:v>12.689999999999921</c:v>
                </c:pt>
                <c:pt idx="424">
                  <c:v>12.719999999999921</c:v>
                </c:pt>
                <c:pt idx="425">
                  <c:v>12.74999999999992</c:v>
                </c:pt>
                <c:pt idx="426">
                  <c:v>12.779999999999919</c:v>
                </c:pt>
                <c:pt idx="427">
                  <c:v>12.809999999999919</c:v>
                </c:pt>
                <c:pt idx="428">
                  <c:v>12.839999999999918</c:v>
                </c:pt>
                <c:pt idx="429">
                  <c:v>12.869999999999918</c:v>
                </c:pt>
                <c:pt idx="430">
                  <c:v>12.899999999999917</c:v>
                </c:pt>
                <c:pt idx="431">
                  <c:v>12.929999999999916</c:v>
                </c:pt>
                <c:pt idx="432">
                  <c:v>12.959999999999916</c:v>
                </c:pt>
                <c:pt idx="433">
                  <c:v>12.989999999999915</c:v>
                </c:pt>
                <c:pt idx="434">
                  <c:v>13.019999999999914</c:v>
                </c:pt>
                <c:pt idx="435">
                  <c:v>13.049999999999914</c:v>
                </c:pt>
                <c:pt idx="436">
                  <c:v>13.079999999999913</c:v>
                </c:pt>
                <c:pt idx="437">
                  <c:v>13.109999999999912</c:v>
                </c:pt>
                <c:pt idx="438">
                  <c:v>13.139999999999912</c:v>
                </c:pt>
                <c:pt idx="439">
                  <c:v>13.169999999999911</c:v>
                </c:pt>
                <c:pt idx="440">
                  <c:v>13.19999999999991</c:v>
                </c:pt>
                <c:pt idx="441">
                  <c:v>13.22999999999991</c:v>
                </c:pt>
                <c:pt idx="442">
                  <c:v>13.259999999999909</c:v>
                </c:pt>
                <c:pt idx="443">
                  <c:v>13.289999999999909</c:v>
                </c:pt>
                <c:pt idx="444">
                  <c:v>13.319999999999908</c:v>
                </c:pt>
                <c:pt idx="445">
                  <c:v>13.349999999999907</c:v>
                </c:pt>
                <c:pt idx="446">
                  <c:v>13.379999999999907</c:v>
                </c:pt>
                <c:pt idx="447">
                  <c:v>13.409999999999906</c:v>
                </c:pt>
                <c:pt idx="448">
                  <c:v>13.439999999999905</c:v>
                </c:pt>
                <c:pt idx="449">
                  <c:v>13.469999999999905</c:v>
                </c:pt>
                <c:pt idx="450">
                  <c:v>13.499999999999904</c:v>
                </c:pt>
                <c:pt idx="451">
                  <c:v>13.529999999999903</c:v>
                </c:pt>
                <c:pt idx="452">
                  <c:v>13.559999999999903</c:v>
                </c:pt>
                <c:pt idx="453">
                  <c:v>13.589999999999902</c:v>
                </c:pt>
                <c:pt idx="454">
                  <c:v>13.619999999999902</c:v>
                </c:pt>
                <c:pt idx="455">
                  <c:v>13.649999999999901</c:v>
                </c:pt>
                <c:pt idx="456">
                  <c:v>13.6799999999999</c:v>
                </c:pt>
                <c:pt idx="457">
                  <c:v>13.7099999999999</c:v>
                </c:pt>
                <c:pt idx="458">
                  <c:v>13.739999999999899</c:v>
                </c:pt>
                <c:pt idx="459">
                  <c:v>13.769999999999898</c:v>
                </c:pt>
                <c:pt idx="460">
                  <c:v>13.799999999999898</c:v>
                </c:pt>
                <c:pt idx="461">
                  <c:v>13.829999999999897</c:v>
                </c:pt>
                <c:pt idx="462">
                  <c:v>13.859999999999896</c:v>
                </c:pt>
                <c:pt idx="463">
                  <c:v>13.889999999999896</c:v>
                </c:pt>
                <c:pt idx="464">
                  <c:v>13.919999999999895</c:v>
                </c:pt>
                <c:pt idx="465">
                  <c:v>13.949999999999894</c:v>
                </c:pt>
                <c:pt idx="466">
                  <c:v>13.979999999999894</c:v>
                </c:pt>
                <c:pt idx="467">
                  <c:v>14.009999999999893</c:v>
                </c:pt>
                <c:pt idx="468">
                  <c:v>14.039999999999893</c:v>
                </c:pt>
                <c:pt idx="469">
                  <c:v>14.069999999999892</c:v>
                </c:pt>
                <c:pt idx="470">
                  <c:v>14.099999999999891</c:v>
                </c:pt>
                <c:pt idx="471">
                  <c:v>14.129999999999891</c:v>
                </c:pt>
                <c:pt idx="472">
                  <c:v>14.15999999999989</c:v>
                </c:pt>
                <c:pt idx="473">
                  <c:v>14.189999999999889</c:v>
                </c:pt>
                <c:pt idx="474">
                  <c:v>14.219999999999889</c:v>
                </c:pt>
                <c:pt idx="475">
                  <c:v>14.249999999999888</c:v>
                </c:pt>
                <c:pt idx="476">
                  <c:v>14.279999999999887</c:v>
                </c:pt>
                <c:pt idx="477">
                  <c:v>14.309999999999887</c:v>
                </c:pt>
                <c:pt idx="478">
                  <c:v>14.339999999999886</c:v>
                </c:pt>
                <c:pt idx="479">
                  <c:v>14.369999999999886</c:v>
                </c:pt>
                <c:pt idx="480">
                  <c:v>14.399999999999885</c:v>
                </c:pt>
                <c:pt idx="481">
                  <c:v>14.429999999999884</c:v>
                </c:pt>
                <c:pt idx="482">
                  <c:v>14.459999999999884</c:v>
                </c:pt>
                <c:pt idx="483">
                  <c:v>14.489999999999883</c:v>
                </c:pt>
                <c:pt idx="484">
                  <c:v>14.519999999999882</c:v>
                </c:pt>
                <c:pt idx="485">
                  <c:v>14.549999999999882</c:v>
                </c:pt>
                <c:pt idx="486">
                  <c:v>14.579999999999881</c:v>
                </c:pt>
                <c:pt idx="487">
                  <c:v>14.60999999999988</c:v>
                </c:pt>
                <c:pt idx="488">
                  <c:v>14.63999999999988</c:v>
                </c:pt>
                <c:pt idx="489">
                  <c:v>14.669999999999879</c:v>
                </c:pt>
                <c:pt idx="490">
                  <c:v>14.699999999999878</c:v>
                </c:pt>
                <c:pt idx="491">
                  <c:v>14.729999999999878</c:v>
                </c:pt>
                <c:pt idx="492">
                  <c:v>14.759999999999877</c:v>
                </c:pt>
                <c:pt idx="493">
                  <c:v>14.789999999999877</c:v>
                </c:pt>
                <c:pt idx="494">
                  <c:v>14.819999999999876</c:v>
                </c:pt>
                <c:pt idx="495">
                  <c:v>14.849999999999875</c:v>
                </c:pt>
                <c:pt idx="496">
                  <c:v>14.879999999999875</c:v>
                </c:pt>
                <c:pt idx="497">
                  <c:v>14.909999999999874</c:v>
                </c:pt>
                <c:pt idx="498">
                  <c:v>14.939999999999873</c:v>
                </c:pt>
                <c:pt idx="499">
                  <c:v>14.969999999999873</c:v>
                </c:pt>
                <c:pt idx="500">
                  <c:v>14.999999999999872</c:v>
                </c:pt>
                <c:pt idx="501">
                  <c:v>15.029999999999871</c:v>
                </c:pt>
                <c:pt idx="502">
                  <c:v>15.059999999999871</c:v>
                </c:pt>
                <c:pt idx="503">
                  <c:v>15.08999999999987</c:v>
                </c:pt>
                <c:pt idx="504">
                  <c:v>15.11999999999987</c:v>
                </c:pt>
                <c:pt idx="505">
                  <c:v>15.149999999999869</c:v>
                </c:pt>
                <c:pt idx="506">
                  <c:v>15.179999999999868</c:v>
                </c:pt>
                <c:pt idx="507">
                  <c:v>15.209999999999868</c:v>
                </c:pt>
                <c:pt idx="508">
                  <c:v>15.239999999999867</c:v>
                </c:pt>
                <c:pt idx="509">
                  <c:v>15.269999999999866</c:v>
                </c:pt>
                <c:pt idx="510">
                  <c:v>15.299999999999866</c:v>
                </c:pt>
                <c:pt idx="511">
                  <c:v>15.329999999999865</c:v>
                </c:pt>
                <c:pt idx="512">
                  <c:v>15.359999999999864</c:v>
                </c:pt>
                <c:pt idx="513">
                  <c:v>15.389999999999864</c:v>
                </c:pt>
                <c:pt idx="514">
                  <c:v>15.419999999999863</c:v>
                </c:pt>
                <c:pt idx="515">
                  <c:v>15.449999999999863</c:v>
                </c:pt>
                <c:pt idx="516">
                  <c:v>15.479999999999862</c:v>
                </c:pt>
                <c:pt idx="517">
                  <c:v>15.509999999999861</c:v>
                </c:pt>
                <c:pt idx="518">
                  <c:v>15.539999999999861</c:v>
                </c:pt>
                <c:pt idx="519">
                  <c:v>15.56999999999986</c:v>
                </c:pt>
                <c:pt idx="520">
                  <c:v>15.599999999999859</c:v>
                </c:pt>
                <c:pt idx="521">
                  <c:v>15.629999999999859</c:v>
                </c:pt>
                <c:pt idx="522">
                  <c:v>15.659999999999858</c:v>
                </c:pt>
                <c:pt idx="523">
                  <c:v>15.689999999999857</c:v>
                </c:pt>
                <c:pt idx="524">
                  <c:v>15.719999999999857</c:v>
                </c:pt>
                <c:pt idx="525">
                  <c:v>15.749999999999856</c:v>
                </c:pt>
                <c:pt idx="526">
                  <c:v>15.779999999999855</c:v>
                </c:pt>
                <c:pt idx="527">
                  <c:v>15.809999999999855</c:v>
                </c:pt>
                <c:pt idx="528">
                  <c:v>15.839999999999854</c:v>
                </c:pt>
                <c:pt idx="529">
                  <c:v>15.869999999999854</c:v>
                </c:pt>
                <c:pt idx="530">
                  <c:v>15.899999999999853</c:v>
                </c:pt>
                <c:pt idx="531">
                  <c:v>15.929999999999852</c:v>
                </c:pt>
                <c:pt idx="532">
                  <c:v>15.959999999999852</c:v>
                </c:pt>
                <c:pt idx="533">
                  <c:v>15.989999999999851</c:v>
                </c:pt>
                <c:pt idx="534">
                  <c:v>16.01999999999985</c:v>
                </c:pt>
                <c:pt idx="535">
                  <c:v>16.049999999999851</c:v>
                </c:pt>
                <c:pt idx="536">
                  <c:v>16.079999999999853</c:v>
                </c:pt>
                <c:pt idx="537">
                  <c:v>16.109999999999854</c:v>
                </c:pt>
                <c:pt idx="538">
                  <c:v>16.139999999999855</c:v>
                </c:pt>
                <c:pt idx="539">
                  <c:v>16.169999999999856</c:v>
                </c:pt>
                <c:pt idx="540">
                  <c:v>16.199999999999857</c:v>
                </c:pt>
                <c:pt idx="541">
                  <c:v>16.229999999999858</c:v>
                </c:pt>
                <c:pt idx="542">
                  <c:v>16.259999999999859</c:v>
                </c:pt>
                <c:pt idx="543">
                  <c:v>16.289999999999861</c:v>
                </c:pt>
                <c:pt idx="544">
                  <c:v>16.319999999999862</c:v>
                </c:pt>
                <c:pt idx="545">
                  <c:v>16.349999999999863</c:v>
                </c:pt>
                <c:pt idx="546">
                  <c:v>16.379999999999864</c:v>
                </c:pt>
                <c:pt idx="547">
                  <c:v>16.409999999999865</c:v>
                </c:pt>
                <c:pt idx="548">
                  <c:v>16.439999999999866</c:v>
                </c:pt>
                <c:pt idx="549">
                  <c:v>16.469999999999867</c:v>
                </c:pt>
                <c:pt idx="550">
                  <c:v>16.499999999999869</c:v>
                </c:pt>
                <c:pt idx="551">
                  <c:v>16.52999999999987</c:v>
                </c:pt>
                <c:pt idx="552">
                  <c:v>16.559999999999871</c:v>
                </c:pt>
                <c:pt idx="553">
                  <c:v>16.589999999999872</c:v>
                </c:pt>
                <c:pt idx="554">
                  <c:v>16.619999999999873</c:v>
                </c:pt>
                <c:pt idx="555">
                  <c:v>16.649999999999874</c:v>
                </c:pt>
                <c:pt idx="556">
                  <c:v>16.679999999999875</c:v>
                </c:pt>
                <c:pt idx="557">
                  <c:v>16.709999999999877</c:v>
                </c:pt>
                <c:pt idx="558">
                  <c:v>16.739999999999878</c:v>
                </c:pt>
                <c:pt idx="559">
                  <c:v>16.769999999999879</c:v>
                </c:pt>
                <c:pt idx="560">
                  <c:v>16.79999999999988</c:v>
                </c:pt>
                <c:pt idx="561">
                  <c:v>16.829999999999881</c:v>
                </c:pt>
                <c:pt idx="562">
                  <c:v>16.859999999999882</c:v>
                </c:pt>
                <c:pt idx="563">
                  <c:v>16.889999999999883</c:v>
                </c:pt>
                <c:pt idx="564">
                  <c:v>16.919999999999884</c:v>
                </c:pt>
                <c:pt idx="565">
                  <c:v>16.949999999999886</c:v>
                </c:pt>
                <c:pt idx="566">
                  <c:v>16.979999999999887</c:v>
                </c:pt>
                <c:pt idx="567">
                  <c:v>17.009999999999888</c:v>
                </c:pt>
                <c:pt idx="568">
                  <c:v>17.039999999999889</c:v>
                </c:pt>
                <c:pt idx="569">
                  <c:v>17.06999999999989</c:v>
                </c:pt>
                <c:pt idx="570">
                  <c:v>17.099999999999891</c:v>
                </c:pt>
                <c:pt idx="571">
                  <c:v>17.129999999999892</c:v>
                </c:pt>
                <c:pt idx="572">
                  <c:v>17.159999999999894</c:v>
                </c:pt>
                <c:pt idx="573">
                  <c:v>17.189999999999895</c:v>
                </c:pt>
                <c:pt idx="574">
                  <c:v>17.219999999999896</c:v>
                </c:pt>
                <c:pt idx="575">
                  <c:v>17.249999999999897</c:v>
                </c:pt>
                <c:pt idx="576">
                  <c:v>17.279999999999898</c:v>
                </c:pt>
                <c:pt idx="577">
                  <c:v>17.309999999999899</c:v>
                </c:pt>
                <c:pt idx="578">
                  <c:v>17.3399999999999</c:v>
                </c:pt>
                <c:pt idx="579">
                  <c:v>17.369999999999902</c:v>
                </c:pt>
                <c:pt idx="580">
                  <c:v>17.399999999999903</c:v>
                </c:pt>
                <c:pt idx="581">
                  <c:v>17.429999999999904</c:v>
                </c:pt>
                <c:pt idx="582">
                  <c:v>17.459999999999905</c:v>
                </c:pt>
                <c:pt idx="583">
                  <c:v>17.489999999999906</c:v>
                </c:pt>
                <c:pt idx="584">
                  <c:v>17.519999999999907</c:v>
                </c:pt>
                <c:pt idx="585">
                  <c:v>17.549999999999908</c:v>
                </c:pt>
                <c:pt idx="586">
                  <c:v>17.579999999999909</c:v>
                </c:pt>
                <c:pt idx="587">
                  <c:v>17.609999999999911</c:v>
                </c:pt>
                <c:pt idx="588">
                  <c:v>17.639999999999912</c:v>
                </c:pt>
                <c:pt idx="589">
                  <c:v>17.669999999999913</c:v>
                </c:pt>
                <c:pt idx="590">
                  <c:v>17.699999999999914</c:v>
                </c:pt>
                <c:pt idx="591">
                  <c:v>17.729999999999915</c:v>
                </c:pt>
                <c:pt idx="592">
                  <c:v>17.759999999999916</c:v>
                </c:pt>
                <c:pt idx="593">
                  <c:v>17.789999999999917</c:v>
                </c:pt>
                <c:pt idx="594">
                  <c:v>17.819999999999919</c:v>
                </c:pt>
                <c:pt idx="595">
                  <c:v>17.84999999999992</c:v>
                </c:pt>
                <c:pt idx="596">
                  <c:v>17.879999999999921</c:v>
                </c:pt>
                <c:pt idx="597">
                  <c:v>17.909999999999922</c:v>
                </c:pt>
                <c:pt idx="598">
                  <c:v>17.939999999999923</c:v>
                </c:pt>
                <c:pt idx="599">
                  <c:v>17.969999999999924</c:v>
                </c:pt>
                <c:pt idx="600">
                  <c:v>17.999999999999925</c:v>
                </c:pt>
                <c:pt idx="601">
                  <c:v>18.029999999999927</c:v>
                </c:pt>
                <c:pt idx="602">
                  <c:v>18.059999999999928</c:v>
                </c:pt>
                <c:pt idx="603">
                  <c:v>18.089999999999929</c:v>
                </c:pt>
                <c:pt idx="604">
                  <c:v>18.11999999999993</c:v>
                </c:pt>
                <c:pt idx="605">
                  <c:v>18.149999999999931</c:v>
                </c:pt>
                <c:pt idx="606">
                  <c:v>18.179999999999932</c:v>
                </c:pt>
                <c:pt idx="607">
                  <c:v>18.209999999999933</c:v>
                </c:pt>
                <c:pt idx="608">
                  <c:v>18.239999999999934</c:v>
                </c:pt>
                <c:pt idx="609">
                  <c:v>18.269999999999936</c:v>
                </c:pt>
                <c:pt idx="610">
                  <c:v>18.299999999999937</c:v>
                </c:pt>
                <c:pt idx="611">
                  <c:v>18.329999999999938</c:v>
                </c:pt>
                <c:pt idx="612">
                  <c:v>18.359999999999939</c:v>
                </c:pt>
                <c:pt idx="613">
                  <c:v>18.38999999999994</c:v>
                </c:pt>
                <c:pt idx="614">
                  <c:v>18.419999999999941</c:v>
                </c:pt>
                <c:pt idx="615">
                  <c:v>18.449999999999942</c:v>
                </c:pt>
                <c:pt idx="616">
                  <c:v>18.479999999999944</c:v>
                </c:pt>
                <c:pt idx="617">
                  <c:v>18.509999999999945</c:v>
                </c:pt>
                <c:pt idx="618">
                  <c:v>18.539999999999946</c:v>
                </c:pt>
                <c:pt idx="619">
                  <c:v>18.569999999999947</c:v>
                </c:pt>
                <c:pt idx="620">
                  <c:v>18.599999999999948</c:v>
                </c:pt>
                <c:pt idx="621">
                  <c:v>18.629999999999949</c:v>
                </c:pt>
                <c:pt idx="622">
                  <c:v>18.65999999999995</c:v>
                </c:pt>
                <c:pt idx="623">
                  <c:v>18.689999999999952</c:v>
                </c:pt>
                <c:pt idx="624">
                  <c:v>18.719999999999953</c:v>
                </c:pt>
                <c:pt idx="625">
                  <c:v>18.749999999999954</c:v>
                </c:pt>
                <c:pt idx="626">
                  <c:v>18.779999999999955</c:v>
                </c:pt>
                <c:pt idx="627">
                  <c:v>18.809999999999956</c:v>
                </c:pt>
                <c:pt idx="628">
                  <c:v>18.839999999999957</c:v>
                </c:pt>
                <c:pt idx="629">
                  <c:v>18.869999999999958</c:v>
                </c:pt>
                <c:pt idx="630">
                  <c:v>18.899999999999959</c:v>
                </c:pt>
                <c:pt idx="631">
                  <c:v>18.929999999999961</c:v>
                </c:pt>
                <c:pt idx="632">
                  <c:v>18.959999999999962</c:v>
                </c:pt>
                <c:pt idx="633">
                  <c:v>18.989999999999963</c:v>
                </c:pt>
                <c:pt idx="634">
                  <c:v>19.019999999999964</c:v>
                </c:pt>
                <c:pt idx="635">
                  <c:v>19.049999999999965</c:v>
                </c:pt>
                <c:pt idx="636">
                  <c:v>19.079999999999966</c:v>
                </c:pt>
                <c:pt idx="637">
                  <c:v>19.109999999999967</c:v>
                </c:pt>
                <c:pt idx="638">
                  <c:v>19.139999999999969</c:v>
                </c:pt>
                <c:pt idx="639">
                  <c:v>19.16999999999997</c:v>
                </c:pt>
                <c:pt idx="640">
                  <c:v>19.199999999999971</c:v>
                </c:pt>
                <c:pt idx="641">
                  <c:v>19.229999999999972</c:v>
                </c:pt>
                <c:pt idx="642">
                  <c:v>19.259999999999973</c:v>
                </c:pt>
                <c:pt idx="643">
                  <c:v>19.289999999999974</c:v>
                </c:pt>
                <c:pt idx="644">
                  <c:v>19.319999999999975</c:v>
                </c:pt>
                <c:pt idx="645">
                  <c:v>19.349999999999977</c:v>
                </c:pt>
                <c:pt idx="646">
                  <c:v>19.379999999999978</c:v>
                </c:pt>
                <c:pt idx="647">
                  <c:v>19.409999999999979</c:v>
                </c:pt>
                <c:pt idx="648">
                  <c:v>19.43999999999998</c:v>
                </c:pt>
                <c:pt idx="649">
                  <c:v>19.469999999999981</c:v>
                </c:pt>
                <c:pt idx="650">
                  <c:v>19.499999999999982</c:v>
                </c:pt>
                <c:pt idx="651">
                  <c:v>19.529999999999983</c:v>
                </c:pt>
                <c:pt idx="652">
                  <c:v>19.559999999999985</c:v>
                </c:pt>
                <c:pt idx="653">
                  <c:v>19.589999999999986</c:v>
                </c:pt>
                <c:pt idx="654">
                  <c:v>19.619999999999987</c:v>
                </c:pt>
                <c:pt idx="655">
                  <c:v>19.649999999999988</c:v>
                </c:pt>
                <c:pt idx="656">
                  <c:v>19.679999999999989</c:v>
                </c:pt>
                <c:pt idx="657">
                  <c:v>19.70999999999999</c:v>
                </c:pt>
                <c:pt idx="658">
                  <c:v>19.739999999999991</c:v>
                </c:pt>
                <c:pt idx="659">
                  <c:v>19.769999999999992</c:v>
                </c:pt>
                <c:pt idx="660">
                  <c:v>19.799999999999994</c:v>
                </c:pt>
                <c:pt idx="661">
                  <c:v>19.829999999999995</c:v>
                </c:pt>
                <c:pt idx="662">
                  <c:v>19.859999999999996</c:v>
                </c:pt>
                <c:pt idx="663">
                  <c:v>19.889999999999997</c:v>
                </c:pt>
                <c:pt idx="664">
                  <c:v>19.919999999999998</c:v>
                </c:pt>
                <c:pt idx="665">
                  <c:v>19.95</c:v>
                </c:pt>
                <c:pt idx="666">
                  <c:v>19.98</c:v>
                </c:pt>
                <c:pt idx="667">
                  <c:v>20.010000000000002</c:v>
                </c:pt>
                <c:pt idx="668">
                  <c:v>20.040000000000003</c:v>
                </c:pt>
                <c:pt idx="669">
                  <c:v>20.070000000000004</c:v>
                </c:pt>
                <c:pt idx="670">
                  <c:v>20.100000000000005</c:v>
                </c:pt>
                <c:pt idx="671">
                  <c:v>20.130000000000006</c:v>
                </c:pt>
                <c:pt idx="672">
                  <c:v>20.160000000000007</c:v>
                </c:pt>
                <c:pt idx="673">
                  <c:v>20.190000000000008</c:v>
                </c:pt>
                <c:pt idx="674">
                  <c:v>20.22000000000001</c:v>
                </c:pt>
                <c:pt idx="675">
                  <c:v>20.250000000000011</c:v>
                </c:pt>
                <c:pt idx="676">
                  <c:v>20.280000000000012</c:v>
                </c:pt>
                <c:pt idx="677">
                  <c:v>20.310000000000013</c:v>
                </c:pt>
                <c:pt idx="678">
                  <c:v>20.340000000000014</c:v>
                </c:pt>
                <c:pt idx="679">
                  <c:v>20.370000000000015</c:v>
                </c:pt>
                <c:pt idx="680">
                  <c:v>20.400000000000016</c:v>
                </c:pt>
                <c:pt idx="681">
                  <c:v>20.430000000000017</c:v>
                </c:pt>
                <c:pt idx="682">
                  <c:v>20.460000000000019</c:v>
                </c:pt>
                <c:pt idx="683">
                  <c:v>20.49000000000002</c:v>
                </c:pt>
                <c:pt idx="684">
                  <c:v>20.520000000000021</c:v>
                </c:pt>
                <c:pt idx="685">
                  <c:v>20.550000000000022</c:v>
                </c:pt>
                <c:pt idx="686">
                  <c:v>20.580000000000023</c:v>
                </c:pt>
                <c:pt idx="687">
                  <c:v>20.610000000000024</c:v>
                </c:pt>
                <c:pt idx="688">
                  <c:v>20.640000000000025</c:v>
                </c:pt>
                <c:pt idx="689">
                  <c:v>20.670000000000027</c:v>
                </c:pt>
                <c:pt idx="690">
                  <c:v>20.700000000000028</c:v>
                </c:pt>
                <c:pt idx="691">
                  <c:v>20.730000000000029</c:v>
                </c:pt>
                <c:pt idx="692">
                  <c:v>20.76000000000003</c:v>
                </c:pt>
                <c:pt idx="693">
                  <c:v>20.790000000000031</c:v>
                </c:pt>
                <c:pt idx="694">
                  <c:v>20.820000000000032</c:v>
                </c:pt>
                <c:pt idx="695">
                  <c:v>20.850000000000033</c:v>
                </c:pt>
                <c:pt idx="696">
                  <c:v>20.880000000000035</c:v>
                </c:pt>
                <c:pt idx="697">
                  <c:v>20.910000000000036</c:v>
                </c:pt>
                <c:pt idx="698">
                  <c:v>20.940000000000037</c:v>
                </c:pt>
                <c:pt idx="699">
                  <c:v>20.970000000000038</c:v>
                </c:pt>
                <c:pt idx="700">
                  <c:v>21.000000000000039</c:v>
                </c:pt>
                <c:pt idx="701">
                  <c:v>21.03000000000004</c:v>
                </c:pt>
                <c:pt idx="702">
                  <c:v>21.060000000000041</c:v>
                </c:pt>
                <c:pt idx="703">
                  <c:v>21.090000000000042</c:v>
                </c:pt>
                <c:pt idx="704">
                  <c:v>21.120000000000044</c:v>
                </c:pt>
                <c:pt idx="705">
                  <c:v>21.150000000000045</c:v>
                </c:pt>
                <c:pt idx="706">
                  <c:v>21.180000000000046</c:v>
                </c:pt>
                <c:pt idx="707">
                  <c:v>21.210000000000047</c:v>
                </c:pt>
                <c:pt idx="708">
                  <c:v>21.240000000000048</c:v>
                </c:pt>
                <c:pt idx="709">
                  <c:v>21.270000000000049</c:v>
                </c:pt>
                <c:pt idx="710">
                  <c:v>21.30000000000005</c:v>
                </c:pt>
                <c:pt idx="711">
                  <c:v>21.330000000000052</c:v>
                </c:pt>
                <c:pt idx="712">
                  <c:v>21.360000000000053</c:v>
                </c:pt>
                <c:pt idx="713">
                  <c:v>21.390000000000054</c:v>
                </c:pt>
                <c:pt idx="714">
                  <c:v>21.420000000000055</c:v>
                </c:pt>
                <c:pt idx="715">
                  <c:v>21.450000000000056</c:v>
                </c:pt>
                <c:pt idx="716">
                  <c:v>21.480000000000057</c:v>
                </c:pt>
                <c:pt idx="717">
                  <c:v>21.510000000000058</c:v>
                </c:pt>
                <c:pt idx="718">
                  <c:v>21.54000000000006</c:v>
                </c:pt>
                <c:pt idx="719">
                  <c:v>21.570000000000061</c:v>
                </c:pt>
                <c:pt idx="720">
                  <c:v>21.600000000000062</c:v>
                </c:pt>
                <c:pt idx="721">
                  <c:v>21.630000000000063</c:v>
                </c:pt>
                <c:pt idx="722">
                  <c:v>21.660000000000064</c:v>
                </c:pt>
                <c:pt idx="723">
                  <c:v>21.690000000000065</c:v>
                </c:pt>
                <c:pt idx="724">
                  <c:v>21.720000000000066</c:v>
                </c:pt>
                <c:pt idx="725">
                  <c:v>21.750000000000068</c:v>
                </c:pt>
                <c:pt idx="726">
                  <c:v>21.780000000000069</c:v>
                </c:pt>
                <c:pt idx="727">
                  <c:v>21.81000000000007</c:v>
                </c:pt>
                <c:pt idx="728">
                  <c:v>21.840000000000071</c:v>
                </c:pt>
                <c:pt idx="729">
                  <c:v>21.870000000000072</c:v>
                </c:pt>
                <c:pt idx="730">
                  <c:v>21.900000000000073</c:v>
                </c:pt>
                <c:pt idx="731">
                  <c:v>21.930000000000074</c:v>
                </c:pt>
                <c:pt idx="732">
                  <c:v>21.960000000000075</c:v>
                </c:pt>
                <c:pt idx="733">
                  <c:v>21.990000000000077</c:v>
                </c:pt>
                <c:pt idx="734">
                  <c:v>22.020000000000078</c:v>
                </c:pt>
                <c:pt idx="735">
                  <c:v>22.050000000000079</c:v>
                </c:pt>
                <c:pt idx="736">
                  <c:v>22.08000000000008</c:v>
                </c:pt>
                <c:pt idx="737">
                  <c:v>22.110000000000081</c:v>
                </c:pt>
                <c:pt idx="738">
                  <c:v>22.140000000000082</c:v>
                </c:pt>
                <c:pt idx="739">
                  <c:v>22.170000000000083</c:v>
                </c:pt>
                <c:pt idx="740">
                  <c:v>22.200000000000085</c:v>
                </c:pt>
                <c:pt idx="741">
                  <c:v>22.230000000000086</c:v>
                </c:pt>
                <c:pt idx="742">
                  <c:v>22.260000000000087</c:v>
                </c:pt>
                <c:pt idx="743">
                  <c:v>22.290000000000088</c:v>
                </c:pt>
                <c:pt idx="744">
                  <c:v>22.320000000000089</c:v>
                </c:pt>
                <c:pt idx="745">
                  <c:v>22.35000000000009</c:v>
                </c:pt>
                <c:pt idx="746">
                  <c:v>22.380000000000091</c:v>
                </c:pt>
                <c:pt idx="747">
                  <c:v>22.410000000000093</c:v>
                </c:pt>
                <c:pt idx="748">
                  <c:v>22.440000000000094</c:v>
                </c:pt>
                <c:pt idx="749">
                  <c:v>22.470000000000095</c:v>
                </c:pt>
                <c:pt idx="750">
                  <c:v>22.500000000000096</c:v>
                </c:pt>
                <c:pt idx="751">
                  <c:v>22.530000000000097</c:v>
                </c:pt>
                <c:pt idx="752">
                  <c:v>22.560000000000098</c:v>
                </c:pt>
                <c:pt idx="753">
                  <c:v>22.590000000000099</c:v>
                </c:pt>
                <c:pt idx="754">
                  <c:v>22.6200000000001</c:v>
                </c:pt>
                <c:pt idx="755">
                  <c:v>22.650000000000102</c:v>
                </c:pt>
                <c:pt idx="756">
                  <c:v>22.680000000000103</c:v>
                </c:pt>
                <c:pt idx="757">
                  <c:v>22.710000000000104</c:v>
                </c:pt>
                <c:pt idx="758">
                  <c:v>22.740000000000105</c:v>
                </c:pt>
                <c:pt idx="759">
                  <c:v>22.770000000000106</c:v>
                </c:pt>
                <c:pt idx="760">
                  <c:v>22.800000000000107</c:v>
                </c:pt>
                <c:pt idx="761">
                  <c:v>22.830000000000108</c:v>
                </c:pt>
                <c:pt idx="762">
                  <c:v>22.86000000000011</c:v>
                </c:pt>
                <c:pt idx="763">
                  <c:v>22.890000000000111</c:v>
                </c:pt>
                <c:pt idx="764">
                  <c:v>22.920000000000112</c:v>
                </c:pt>
                <c:pt idx="765">
                  <c:v>22.950000000000113</c:v>
                </c:pt>
                <c:pt idx="766">
                  <c:v>22.980000000000114</c:v>
                </c:pt>
                <c:pt idx="767">
                  <c:v>23.010000000000115</c:v>
                </c:pt>
                <c:pt idx="768">
                  <c:v>23.040000000000116</c:v>
                </c:pt>
                <c:pt idx="769">
                  <c:v>23.070000000000118</c:v>
                </c:pt>
                <c:pt idx="770">
                  <c:v>23.100000000000119</c:v>
                </c:pt>
                <c:pt idx="771">
                  <c:v>23.13000000000012</c:v>
                </c:pt>
                <c:pt idx="772">
                  <c:v>23.160000000000121</c:v>
                </c:pt>
                <c:pt idx="773">
                  <c:v>23.190000000000122</c:v>
                </c:pt>
                <c:pt idx="774">
                  <c:v>23.220000000000123</c:v>
                </c:pt>
                <c:pt idx="775">
                  <c:v>23.250000000000124</c:v>
                </c:pt>
                <c:pt idx="776">
                  <c:v>23.280000000000125</c:v>
                </c:pt>
                <c:pt idx="777">
                  <c:v>23.310000000000127</c:v>
                </c:pt>
                <c:pt idx="778">
                  <c:v>23.340000000000128</c:v>
                </c:pt>
                <c:pt idx="779">
                  <c:v>23.370000000000129</c:v>
                </c:pt>
                <c:pt idx="780">
                  <c:v>23.40000000000013</c:v>
                </c:pt>
                <c:pt idx="781">
                  <c:v>23.430000000000131</c:v>
                </c:pt>
                <c:pt idx="782">
                  <c:v>23.460000000000132</c:v>
                </c:pt>
                <c:pt idx="783">
                  <c:v>23.490000000000133</c:v>
                </c:pt>
                <c:pt idx="784">
                  <c:v>23.520000000000135</c:v>
                </c:pt>
                <c:pt idx="785">
                  <c:v>23.550000000000136</c:v>
                </c:pt>
                <c:pt idx="786">
                  <c:v>23.580000000000137</c:v>
                </c:pt>
                <c:pt idx="787">
                  <c:v>23.610000000000138</c:v>
                </c:pt>
                <c:pt idx="788">
                  <c:v>23.640000000000139</c:v>
                </c:pt>
                <c:pt idx="789">
                  <c:v>23.67000000000014</c:v>
                </c:pt>
                <c:pt idx="790">
                  <c:v>23.700000000000141</c:v>
                </c:pt>
                <c:pt idx="791">
                  <c:v>23.730000000000143</c:v>
                </c:pt>
                <c:pt idx="792">
                  <c:v>23.760000000000144</c:v>
                </c:pt>
                <c:pt idx="793">
                  <c:v>23.790000000000145</c:v>
                </c:pt>
                <c:pt idx="794">
                  <c:v>23.820000000000146</c:v>
                </c:pt>
                <c:pt idx="795">
                  <c:v>23.850000000000147</c:v>
                </c:pt>
                <c:pt idx="796">
                  <c:v>23.880000000000148</c:v>
                </c:pt>
                <c:pt idx="797">
                  <c:v>23.910000000000149</c:v>
                </c:pt>
                <c:pt idx="798">
                  <c:v>23.94000000000015</c:v>
                </c:pt>
                <c:pt idx="799">
                  <c:v>23.970000000000152</c:v>
                </c:pt>
                <c:pt idx="800">
                  <c:v>24.000000000000153</c:v>
                </c:pt>
                <c:pt idx="801">
                  <c:v>24.030000000000154</c:v>
                </c:pt>
                <c:pt idx="802">
                  <c:v>24.060000000000155</c:v>
                </c:pt>
                <c:pt idx="803">
                  <c:v>24.090000000000156</c:v>
                </c:pt>
                <c:pt idx="804">
                  <c:v>24.120000000000157</c:v>
                </c:pt>
                <c:pt idx="805">
                  <c:v>24.150000000000158</c:v>
                </c:pt>
                <c:pt idx="806">
                  <c:v>24.18000000000016</c:v>
                </c:pt>
                <c:pt idx="807">
                  <c:v>24.210000000000161</c:v>
                </c:pt>
                <c:pt idx="808">
                  <c:v>24.240000000000162</c:v>
                </c:pt>
                <c:pt idx="809">
                  <c:v>24.270000000000163</c:v>
                </c:pt>
                <c:pt idx="810">
                  <c:v>24.300000000000164</c:v>
                </c:pt>
                <c:pt idx="811">
                  <c:v>24.330000000000165</c:v>
                </c:pt>
                <c:pt idx="812">
                  <c:v>24.360000000000166</c:v>
                </c:pt>
                <c:pt idx="813">
                  <c:v>24.390000000000168</c:v>
                </c:pt>
                <c:pt idx="814">
                  <c:v>24.420000000000169</c:v>
                </c:pt>
                <c:pt idx="815">
                  <c:v>24.45000000000017</c:v>
                </c:pt>
                <c:pt idx="816">
                  <c:v>24.480000000000171</c:v>
                </c:pt>
                <c:pt idx="817">
                  <c:v>24.510000000000172</c:v>
                </c:pt>
                <c:pt idx="818">
                  <c:v>24.540000000000173</c:v>
                </c:pt>
                <c:pt idx="819">
                  <c:v>24.570000000000174</c:v>
                </c:pt>
                <c:pt idx="820">
                  <c:v>24.600000000000176</c:v>
                </c:pt>
                <c:pt idx="821">
                  <c:v>24.630000000000177</c:v>
                </c:pt>
                <c:pt idx="822">
                  <c:v>24.660000000000178</c:v>
                </c:pt>
                <c:pt idx="823">
                  <c:v>24.690000000000179</c:v>
                </c:pt>
                <c:pt idx="824">
                  <c:v>24.72000000000018</c:v>
                </c:pt>
                <c:pt idx="825">
                  <c:v>24.750000000000181</c:v>
                </c:pt>
                <c:pt idx="826">
                  <c:v>24.780000000000182</c:v>
                </c:pt>
                <c:pt idx="827">
                  <c:v>24.810000000000183</c:v>
                </c:pt>
                <c:pt idx="828">
                  <c:v>24.840000000000185</c:v>
                </c:pt>
                <c:pt idx="829">
                  <c:v>24.870000000000186</c:v>
                </c:pt>
                <c:pt idx="830">
                  <c:v>24.900000000000187</c:v>
                </c:pt>
                <c:pt idx="831">
                  <c:v>24.930000000000188</c:v>
                </c:pt>
                <c:pt idx="832">
                  <c:v>24.960000000000189</c:v>
                </c:pt>
                <c:pt idx="833">
                  <c:v>24.99000000000019</c:v>
                </c:pt>
                <c:pt idx="834">
                  <c:v>25.020000000000191</c:v>
                </c:pt>
                <c:pt idx="835">
                  <c:v>25.050000000000193</c:v>
                </c:pt>
                <c:pt idx="836">
                  <c:v>25.080000000000194</c:v>
                </c:pt>
                <c:pt idx="837">
                  <c:v>25.110000000000195</c:v>
                </c:pt>
                <c:pt idx="838">
                  <c:v>25.140000000000196</c:v>
                </c:pt>
                <c:pt idx="839">
                  <c:v>25.170000000000197</c:v>
                </c:pt>
                <c:pt idx="840">
                  <c:v>25.200000000000198</c:v>
                </c:pt>
                <c:pt idx="841">
                  <c:v>25.230000000000199</c:v>
                </c:pt>
                <c:pt idx="842">
                  <c:v>25.260000000000201</c:v>
                </c:pt>
                <c:pt idx="843">
                  <c:v>25.290000000000202</c:v>
                </c:pt>
                <c:pt idx="844">
                  <c:v>25.320000000000203</c:v>
                </c:pt>
                <c:pt idx="845">
                  <c:v>25.350000000000204</c:v>
                </c:pt>
                <c:pt idx="846">
                  <c:v>25.380000000000205</c:v>
                </c:pt>
                <c:pt idx="847">
                  <c:v>25.410000000000206</c:v>
                </c:pt>
                <c:pt idx="848">
                  <c:v>25.440000000000207</c:v>
                </c:pt>
                <c:pt idx="849">
                  <c:v>25.470000000000208</c:v>
                </c:pt>
                <c:pt idx="850">
                  <c:v>25.50000000000021</c:v>
                </c:pt>
                <c:pt idx="851">
                  <c:v>25.530000000000211</c:v>
                </c:pt>
                <c:pt idx="852">
                  <c:v>25.560000000000212</c:v>
                </c:pt>
                <c:pt idx="853">
                  <c:v>25.590000000000213</c:v>
                </c:pt>
                <c:pt idx="854">
                  <c:v>25.620000000000214</c:v>
                </c:pt>
                <c:pt idx="855">
                  <c:v>25.650000000000215</c:v>
                </c:pt>
                <c:pt idx="856">
                  <c:v>25.680000000000216</c:v>
                </c:pt>
                <c:pt idx="857">
                  <c:v>25.710000000000218</c:v>
                </c:pt>
                <c:pt idx="858">
                  <c:v>25.740000000000219</c:v>
                </c:pt>
                <c:pt idx="859">
                  <c:v>25.77000000000022</c:v>
                </c:pt>
                <c:pt idx="860">
                  <c:v>25.800000000000221</c:v>
                </c:pt>
                <c:pt idx="861">
                  <c:v>25.830000000000222</c:v>
                </c:pt>
                <c:pt idx="862">
                  <c:v>25.860000000000223</c:v>
                </c:pt>
                <c:pt idx="863">
                  <c:v>25.890000000000224</c:v>
                </c:pt>
                <c:pt idx="864">
                  <c:v>25.920000000000226</c:v>
                </c:pt>
                <c:pt idx="865">
                  <c:v>25.950000000000227</c:v>
                </c:pt>
                <c:pt idx="866">
                  <c:v>25.980000000000228</c:v>
                </c:pt>
                <c:pt idx="867">
                  <c:v>26.010000000000229</c:v>
                </c:pt>
                <c:pt idx="868">
                  <c:v>26.04000000000023</c:v>
                </c:pt>
                <c:pt idx="869">
                  <c:v>26.070000000000231</c:v>
                </c:pt>
                <c:pt idx="870">
                  <c:v>26.100000000000232</c:v>
                </c:pt>
                <c:pt idx="871">
                  <c:v>26.130000000000233</c:v>
                </c:pt>
                <c:pt idx="872">
                  <c:v>26.160000000000235</c:v>
                </c:pt>
                <c:pt idx="873">
                  <c:v>26.190000000000236</c:v>
                </c:pt>
                <c:pt idx="874">
                  <c:v>26.220000000000237</c:v>
                </c:pt>
                <c:pt idx="875">
                  <c:v>26.250000000000238</c:v>
                </c:pt>
                <c:pt idx="876">
                  <c:v>26.280000000000239</c:v>
                </c:pt>
                <c:pt idx="877">
                  <c:v>26.31000000000024</c:v>
                </c:pt>
                <c:pt idx="878">
                  <c:v>26.340000000000241</c:v>
                </c:pt>
                <c:pt idx="879">
                  <c:v>26.370000000000243</c:v>
                </c:pt>
                <c:pt idx="880">
                  <c:v>26.400000000000244</c:v>
                </c:pt>
                <c:pt idx="881">
                  <c:v>26.430000000000245</c:v>
                </c:pt>
                <c:pt idx="882">
                  <c:v>26.460000000000246</c:v>
                </c:pt>
                <c:pt idx="883">
                  <c:v>26.490000000000247</c:v>
                </c:pt>
                <c:pt idx="884">
                  <c:v>26.520000000000248</c:v>
                </c:pt>
                <c:pt idx="885">
                  <c:v>26.550000000000249</c:v>
                </c:pt>
                <c:pt idx="886">
                  <c:v>26.580000000000251</c:v>
                </c:pt>
                <c:pt idx="887">
                  <c:v>26.610000000000252</c:v>
                </c:pt>
                <c:pt idx="888">
                  <c:v>26.640000000000253</c:v>
                </c:pt>
                <c:pt idx="889">
                  <c:v>26.670000000000254</c:v>
                </c:pt>
                <c:pt idx="890">
                  <c:v>26.700000000000255</c:v>
                </c:pt>
                <c:pt idx="891">
                  <c:v>26.730000000000256</c:v>
                </c:pt>
                <c:pt idx="892">
                  <c:v>26.760000000000257</c:v>
                </c:pt>
                <c:pt idx="893">
                  <c:v>26.790000000000258</c:v>
                </c:pt>
                <c:pt idx="894">
                  <c:v>26.82000000000026</c:v>
                </c:pt>
                <c:pt idx="895">
                  <c:v>26.850000000000261</c:v>
                </c:pt>
                <c:pt idx="896">
                  <c:v>26.880000000000262</c:v>
                </c:pt>
                <c:pt idx="897">
                  <c:v>26.910000000000263</c:v>
                </c:pt>
                <c:pt idx="898">
                  <c:v>26.940000000000264</c:v>
                </c:pt>
                <c:pt idx="899">
                  <c:v>26.970000000000265</c:v>
                </c:pt>
                <c:pt idx="900">
                  <c:v>27.000000000000266</c:v>
                </c:pt>
                <c:pt idx="901">
                  <c:v>27.030000000000268</c:v>
                </c:pt>
                <c:pt idx="902">
                  <c:v>27.060000000000269</c:v>
                </c:pt>
                <c:pt idx="903">
                  <c:v>27.09000000000027</c:v>
                </c:pt>
                <c:pt idx="904">
                  <c:v>27.120000000000271</c:v>
                </c:pt>
                <c:pt idx="905">
                  <c:v>27.150000000000272</c:v>
                </c:pt>
                <c:pt idx="906">
                  <c:v>27.180000000000273</c:v>
                </c:pt>
                <c:pt idx="907">
                  <c:v>27.210000000000274</c:v>
                </c:pt>
                <c:pt idx="908">
                  <c:v>27.240000000000276</c:v>
                </c:pt>
                <c:pt idx="909">
                  <c:v>27.270000000000277</c:v>
                </c:pt>
                <c:pt idx="910">
                  <c:v>27.300000000000278</c:v>
                </c:pt>
                <c:pt idx="911">
                  <c:v>27.330000000000279</c:v>
                </c:pt>
                <c:pt idx="912">
                  <c:v>27.36000000000028</c:v>
                </c:pt>
                <c:pt idx="913">
                  <c:v>27.390000000000281</c:v>
                </c:pt>
                <c:pt idx="914">
                  <c:v>27.420000000000282</c:v>
                </c:pt>
                <c:pt idx="915">
                  <c:v>27.450000000000284</c:v>
                </c:pt>
                <c:pt idx="916">
                  <c:v>27.480000000000285</c:v>
                </c:pt>
                <c:pt idx="917">
                  <c:v>27.510000000000286</c:v>
                </c:pt>
                <c:pt idx="918">
                  <c:v>27.540000000000287</c:v>
                </c:pt>
                <c:pt idx="919">
                  <c:v>27.570000000000288</c:v>
                </c:pt>
                <c:pt idx="920">
                  <c:v>27.600000000000289</c:v>
                </c:pt>
                <c:pt idx="921">
                  <c:v>27.63000000000029</c:v>
                </c:pt>
                <c:pt idx="922">
                  <c:v>27.660000000000291</c:v>
                </c:pt>
                <c:pt idx="923">
                  <c:v>27.690000000000293</c:v>
                </c:pt>
                <c:pt idx="924">
                  <c:v>27.720000000000294</c:v>
                </c:pt>
                <c:pt idx="925">
                  <c:v>27.750000000000295</c:v>
                </c:pt>
                <c:pt idx="926">
                  <c:v>27.780000000000296</c:v>
                </c:pt>
                <c:pt idx="927">
                  <c:v>27.810000000000297</c:v>
                </c:pt>
                <c:pt idx="928">
                  <c:v>27.840000000000298</c:v>
                </c:pt>
                <c:pt idx="929">
                  <c:v>27.870000000000299</c:v>
                </c:pt>
                <c:pt idx="930">
                  <c:v>27.900000000000301</c:v>
                </c:pt>
                <c:pt idx="931">
                  <c:v>27.930000000000302</c:v>
                </c:pt>
                <c:pt idx="932">
                  <c:v>27.960000000000303</c:v>
                </c:pt>
                <c:pt idx="933">
                  <c:v>27.990000000000304</c:v>
                </c:pt>
                <c:pt idx="934">
                  <c:v>28.020000000000305</c:v>
                </c:pt>
                <c:pt idx="935">
                  <c:v>28.050000000000306</c:v>
                </c:pt>
                <c:pt idx="936">
                  <c:v>28.080000000000307</c:v>
                </c:pt>
                <c:pt idx="937">
                  <c:v>28.110000000000309</c:v>
                </c:pt>
                <c:pt idx="938">
                  <c:v>28.14000000000031</c:v>
                </c:pt>
                <c:pt idx="939">
                  <c:v>28.170000000000311</c:v>
                </c:pt>
                <c:pt idx="940">
                  <c:v>28.200000000000312</c:v>
                </c:pt>
                <c:pt idx="941">
                  <c:v>28.230000000000313</c:v>
                </c:pt>
                <c:pt idx="942">
                  <c:v>28.260000000000314</c:v>
                </c:pt>
                <c:pt idx="943">
                  <c:v>28.290000000000315</c:v>
                </c:pt>
                <c:pt idx="944">
                  <c:v>28.320000000000316</c:v>
                </c:pt>
                <c:pt idx="945">
                  <c:v>28.350000000000318</c:v>
                </c:pt>
                <c:pt idx="946">
                  <c:v>28.380000000000319</c:v>
                </c:pt>
                <c:pt idx="947">
                  <c:v>28.41000000000032</c:v>
                </c:pt>
                <c:pt idx="948">
                  <c:v>28.440000000000321</c:v>
                </c:pt>
                <c:pt idx="949">
                  <c:v>28.470000000000322</c:v>
                </c:pt>
                <c:pt idx="950">
                  <c:v>28.500000000000323</c:v>
                </c:pt>
                <c:pt idx="951">
                  <c:v>28.530000000000324</c:v>
                </c:pt>
                <c:pt idx="952">
                  <c:v>28.560000000000326</c:v>
                </c:pt>
                <c:pt idx="953">
                  <c:v>28.590000000000327</c:v>
                </c:pt>
                <c:pt idx="954">
                  <c:v>28.620000000000328</c:v>
                </c:pt>
                <c:pt idx="955">
                  <c:v>28.650000000000329</c:v>
                </c:pt>
                <c:pt idx="956">
                  <c:v>28.68000000000033</c:v>
                </c:pt>
                <c:pt idx="957">
                  <c:v>28.710000000000331</c:v>
                </c:pt>
                <c:pt idx="958">
                  <c:v>28.740000000000332</c:v>
                </c:pt>
                <c:pt idx="959">
                  <c:v>28.770000000000334</c:v>
                </c:pt>
                <c:pt idx="960">
                  <c:v>28.800000000000335</c:v>
                </c:pt>
                <c:pt idx="961">
                  <c:v>28.830000000000336</c:v>
                </c:pt>
                <c:pt idx="962">
                  <c:v>28.860000000000337</c:v>
                </c:pt>
                <c:pt idx="963">
                  <c:v>28.890000000000338</c:v>
                </c:pt>
                <c:pt idx="964">
                  <c:v>28.920000000000339</c:v>
                </c:pt>
                <c:pt idx="965">
                  <c:v>28.95000000000034</c:v>
                </c:pt>
                <c:pt idx="966">
                  <c:v>28.980000000000341</c:v>
                </c:pt>
                <c:pt idx="967">
                  <c:v>29.010000000000343</c:v>
                </c:pt>
                <c:pt idx="968">
                  <c:v>29.040000000000344</c:v>
                </c:pt>
                <c:pt idx="969">
                  <c:v>29.070000000000345</c:v>
                </c:pt>
                <c:pt idx="970">
                  <c:v>29.100000000000346</c:v>
                </c:pt>
                <c:pt idx="971">
                  <c:v>29.130000000000347</c:v>
                </c:pt>
                <c:pt idx="972">
                  <c:v>29.160000000000348</c:v>
                </c:pt>
                <c:pt idx="973">
                  <c:v>29.190000000000349</c:v>
                </c:pt>
                <c:pt idx="974">
                  <c:v>29.220000000000351</c:v>
                </c:pt>
                <c:pt idx="975">
                  <c:v>29.250000000000352</c:v>
                </c:pt>
                <c:pt idx="976">
                  <c:v>29.280000000000353</c:v>
                </c:pt>
                <c:pt idx="977">
                  <c:v>29.310000000000354</c:v>
                </c:pt>
                <c:pt idx="978">
                  <c:v>29.340000000000355</c:v>
                </c:pt>
                <c:pt idx="979">
                  <c:v>29.370000000000356</c:v>
                </c:pt>
                <c:pt idx="980">
                  <c:v>29.400000000000357</c:v>
                </c:pt>
                <c:pt idx="981">
                  <c:v>29.430000000000359</c:v>
                </c:pt>
                <c:pt idx="982">
                  <c:v>29.46000000000036</c:v>
                </c:pt>
                <c:pt idx="983">
                  <c:v>29.490000000000361</c:v>
                </c:pt>
                <c:pt idx="984">
                  <c:v>29.520000000000362</c:v>
                </c:pt>
                <c:pt idx="985">
                  <c:v>29.550000000000363</c:v>
                </c:pt>
                <c:pt idx="986">
                  <c:v>29.580000000000364</c:v>
                </c:pt>
                <c:pt idx="987">
                  <c:v>29.610000000000365</c:v>
                </c:pt>
                <c:pt idx="988">
                  <c:v>29.640000000000366</c:v>
                </c:pt>
                <c:pt idx="989">
                  <c:v>29.670000000000368</c:v>
                </c:pt>
                <c:pt idx="990">
                  <c:v>29.700000000000369</c:v>
                </c:pt>
                <c:pt idx="991">
                  <c:v>29.73000000000037</c:v>
                </c:pt>
                <c:pt idx="992">
                  <c:v>29.760000000000371</c:v>
                </c:pt>
                <c:pt idx="993">
                  <c:v>29.790000000000372</c:v>
                </c:pt>
                <c:pt idx="994">
                  <c:v>29.820000000000373</c:v>
                </c:pt>
                <c:pt idx="995">
                  <c:v>29.850000000000374</c:v>
                </c:pt>
                <c:pt idx="996">
                  <c:v>29.880000000000376</c:v>
                </c:pt>
                <c:pt idx="997">
                  <c:v>29.910000000000377</c:v>
                </c:pt>
                <c:pt idx="998">
                  <c:v>29.940000000000378</c:v>
                </c:pt>
                <c:pt idx="999">
                  <c:v>29.970000000000379</c:v>
                </c:pt>
                <c:pt idx="1000">
                  <c:v>30.00000000000038</c:v>
                </c:pt>
                <c:pt idx="1001">
                  <c:v>30.030000000000381</c:v>
                </c:pt>
                <c:pt idx="1002">
                  <c:v>30.060000000000382</c:v>
                </c:pt>
                <c:pt idx="1003">
                  <c:v>30.090000000000384</c:v>
                </c:pt>
                <c:pt idx="1004">
                  <c:v>30.120000000000385</c:v>
                </c:pt>
                <c:pt idx="1005">
                  <c:v>30.150000000000386</c:v>
                </c:pt>
              </c:numCache>
            </c:numRef>
          </c:xVal>
          <c:yVal>
            <c:numRef>
              <c:f>ANALYSIS!$R$30:$R$1035</c:f>
              <c:numCache>
                <c:formatCode>0.00%</c:formatCode>
                <c:ptCount val="1006"/>
                <c:pt idx="0">
                  <c:v>0.25</c:v>
                </c:pt>
                <c:pt idx="1">
                  <c:v>0.10458247919916183</c:v>
                </c:pt>
                <c:pt idx="2">
                  <c:v>-4.0835041601676336E-2</c:v>
                </c:pt>
                <c:pt idx="3">
                  <c:v>-0.18625256240251448</c:v>
                </c:pt>
                <c:pt idx="4">
                  <c:v>-0.33167008320335267</c:v>
                </c:pt>
                <c:pt idx="5">
                  <c:v>-0.47708760400419081</c:v>
                </c:pt>
                <c:pt idx="6">
                  <c:v>-0.62250512480502895</c:v>
                </c:pt>
                <c:pt idx="7">
                  <c:v>-0.7679226456058672</c:v>
                </c:pt>
                <c:pt idx="8">
                  <c:v>-0.91334016640670534</c:v>
                </c:pt>
                <c:pt idx="9">
                  <c:v>-1.0587576872075435</c:v>
                </c:pt>
                <c:pt idx="10">
                  <c:v>-1.2041752080083818</c:v>
                </c:pt>
                <c:pt idx="11">
                  <c:v>-1.3495927288092202</c:v>
                </c:pt>
                <c:pt idx="12">
                  <c:v>-1.4950102496100586</c:v>
                </c:pt>
                <c:pt idx="13">
                  <c:v>-1.6404277704108967</c:v>
                </c:pt>
                <c:pt idx="14">
                  <c:v>-1.7858452912117349</c:v>
                </c:pt>
                <c:pt idx="15">
                  <c:v>-1.9312628120125734</c:v>
                </c:pt>
                <c:pt idx="16">
                  <c:v>-2.0766803328134116</c:v>
                </c:pt>
                <c:pt idx="17">
                  <c:v>-2.2220978536142502</c:v>
                </c:pt>
                <c:pt idx="18">
                  <c:v>-2.3675153744150883</c:v>
                </c:pt>
                <c:pt idx="19">
                  <c:v>-2.5129328952159264</c:v>
                </c:pt>
                <c:pt idx="20">
                  <c:v>-2.658350416016765</c:v>
                </c:pt>
                <c:pt idx="21">
                  <c:v>-2.8037679368176032</c:v>
                </c:pt>
                <c:pt idx="22">
                  <c:v>-2.9491854576184413</c:v>
                </c:pt>
                <c:pt idx="23">
                  <c:v>-3.0946029784192799</c:v>
                </c:pt>
                <c:pt idx="24">
                  <c:v>-3.240020499220118</c:v>
                </c:pt>
                <c:pt idx="25">
                  <c:v>-3.3854380200209562</c:v>
                </c:pt>
                <c:pt idx="26">
                  <c:v>-3.5308555408217948</c:v>
                </c:pt>
                <c:pt idx="27">
                  <c:v>-3.6762730616226329</c:v>
                </c:pt>
                <c:pt idx="28">
                  <c:v>-3.8216905824234715</c:v>
                </c:pt>
                <c:pt idx="29">
                  <c:v>-3.9671081032243096</c:v>
                </c:pt>
                <c:pt idx="30">
                  <c:v>-4.1125256240251478</c:v>
                </c:pt>
                <c:pt idx="31">
                  <c:v>-4.2579431448259859</c:v>
                </c:pt>
                <c:pt idx="32">
                  <c:v>-4.403360665626824</c:v>
                </c:pt>
                <c:pt idx="33">
                  <c:v>-4.5487781864276631</c:v>
                </c:pt>
                <c:pt idx="34">
                  <c:v>-4.6941957072285012</c:v>
                </c:pt>
                <c:pt idx="35">
                  <c:v>-4.8396132280293394</c:v>
                </c:pt>
                <c:pt idx="36">
                  <c:v>-4.9850307488301775</c:v>
                </c:pt>
                <c:pt idx="37">
                  <c:v>-5.1304482696310156</c:v>
                </c:pt>
                <c:pt idx="38">
                  <c:v>-5.2758657904318538</c:v>
                </c:pt>
                <c:pt idx="39">
                  <c:v>-5.4212833112326928</c:v>
                </c:pt>
                <c:pt idx="40">
                  <c:v>-5.5667008320335309</c:v>
                </c:pt>
                <c:pt idx="41">
                  <c:v>-5.7121183528343691</c:v>
                </c:pt>
                <c:pt idx="42">
                  <c:v>-5.8575358736352072</c:v>
                </c:pt>
                <c:pt idx="43">
                  <c:v>-6.0029533944360454</c:v>
                </c:pt>
                <c:pt idx="44">
                  <c:v>-6.1483709152368844</c:v>
                </c:pt>
                <c:pt idx="45">
                  <c:v>-6.2937884360377225</c:v>
                </c:pt>
                <c:pt idx="46">
                  <c:v>-6.4392059568385607</c:v>
                </c:pt>
                <c:pt idx="47">
                  <c:v>-6.5846234776393988</c:v>
                </c:pt>
                <c:pt idx="48">
                  <c:v>-6.730040998440237</c:v>
                </c:pt>
                <c:pt idx="49">
                  <c:v>-6.8754585192410751</c:v>
                </c:pt>
                <c:pt idx="50">
                  <c:v>-7.0208760400419141</c:v>
                </c:pt>
                <c:pt idx="51">
                  <c:v>-7.1662935608427523</c:v>
                </c:pt>
                <c:pt idx="52">
                  <c:v>-7.3117110816435904</c:v>
                </c:pt>
                <c:pt idx="53">
                  <c:v>-7.4571286024444285</c:v>
                </c:pt>
                <c:pt idx="54">
                  <c:v>-7.6025461232452667</c:v>
                </c:pt>
                <c:pt idx="55">
                  <c:v>-7.7479636440461048</c:v>
                </c:pt>
                <c:pt idx="56">
                  <c:v>-7.893381164846943</c:v>
                </c:pt>
                <c:pt idx="57">
                  <c:v>-8.038798685647782</c:v>
                </c:pt>
                <c:pt idx="58">
                  <c:v>-8.1842162064486192</c:v>
                </c:pt>
                <c:pt idx="59">
                  <c:v>-8.3296337272494583</c:v>
                </c:pt>
                <c:pt idx="60">
                  <c:v>-8.4750512480502973</c:v>
                </c:pt>
                <c:pt idx="61">
                  <c:v>-8.6204687688511346</c:v>
                </c:pt>
                <c:pt idx="62">
                  <c:v>-8.7658862896519736</c:v>
                </c:pt>
                <c:pt idx="63">
                  <c:v>-8.9113038104528108</c:v>
                </c:pt>
                <c:pt idx="64">
                  <c:v>-9.0567213312536499</c:v>
                </c:pt>
                <c:pt idx="65">
                  <c:v>-9.2021388520544889</c:v>
                </c:pt>
                <c:pt idx="66">
                  <c:v>-9.3475563728553261</c:v>
                </c:pt>
                <c:pt idx="67">
                  <c:v>-9.4929738936561652</c:v>
                </c:pt>
                <c:pt idx="68">
                  <c:v>-9.6383914144570024</c:v>
                </c:pt>
                <c:pt idx="69">
                  <c:v>-9.7838089352578397</c:v>
                </c:pt>
                <c:pt idx="70">
                  <c:v>-9.9292264560586769</c:v>
                </c:pt>
                <c:pt idx="71">
                  <c:v>-10.074643976859514</c:v>
                </c:pt>
                <c:pt idx="72">
                  <c:v>-10.220061497660351</c:v>
                </c:pt>
                <c:pt idx="73">
                  <c:v>-10.365479018461189</c:v>
                </c:pt>
                <c:pt idx="74">
                  <c:v>-10.510896539262026</c:v>
                </c:pt>
                <c:pt idx="75">
                  <c:v>-10.656314060062863</c:v>
                </c:pt>
                <c:pt idx="76">
                  <c:v>-10.8017315808637</c:v>
                </c:pt>
                <c:pt idx="77">
                  <c:v>-10.947149101664538</c:v>
                </c:pt>
                <c:pt idx="78">
                  <c:v>-11.092566622465375</c:v>
                </c:pt>
                <c:pt idx="79">
                  <c:v>-11.237984143266212</c:v>
                </c:pt>
                <c:pt idx="80">
                  <c:v>-11.383401664067049</c:v>
                </c:pt>
                <c:pt idx="81">
                  <c:v>-11.528819184867887</c:v>
                </c:pt>
                <c:pt idx="82">
                  <c:v>-11.674236705668722</c:v>
                </c:pt>
                <c:pt idx="83">
                  <c:v>-11.819654226469559</c:v>
                </c:pt>
                <c:pt idx="84">
                  <c:v>-11.965071747270397</c:v>
                </c:pt>
                <c:pt idx="85">
                  <c:v>-12.110489268071234</c:v>
                </c:pt>
                <c:pt idx="86">
                  <c:v>-12.255906788872071</c:v>
                </c:pt>
                <c:pt idx="87">
                  <c:v>-12.401324309672908</c:v>
                </c:pt>
                <c:pt idx="88">
                  <c:v>-12.546741830473746</c:v>
                </c:pt>
                <c:pt idx="89">
                  <c:v>-12.692159351274583</c:v>
                </c:pt>
                <c:pt idx="90">
                  <c:v>-12.83757687207542</c:v>
                </c:pt>
                <c:pt idx="91">
                  <c:v>-12.982994392876257</c:v>
                </c:pt>
                <c:pt idx="92">
                  <c:v>-13.128411913677095</c:v>
                </c:pt>
                <c:pt idx="93">
                  <c:v>-13.273829434477932</c:v>
                </c:pt>
                <c:pt idx="94">
                  <c:v>-13.419246955278769</c:v>
                </c:pt>
                <c:pt idx="95">
                  <c:v>-13.564664476079606</c:v>
                </c:pt>
                <c:pt idx="96">
                  <c:v>-13.710081996880444</c:v>
                </c:pt>
                <c:pt idx="97">
                  <c:v>-13.855499517681281</c:v>
                </c:pt>
                <c:pt idx="98">
                  <c:v>-14.000917038482118</c:v>
                </c:pt>
                <c:pt idx="99">
                  <c:v>-14.146334559282955</c:v>
                </c:pt>
                <c:pt idx="100">
                  <c:v>-14.291752080083793</c:v>
                </c:pt>
                <c:pt idx="101">
                  <c:v>-14.43716960088463</c:v>
                </c:pt>
                <c:pt idx="102">
                  <c:v>-14.582587121685467</c:v>
                </c:pt>
                <c:pt idx="103">
                  <c:v>-14.728004642486304</c:v>
                </c:pt>
                <c:pt idx="104">
                  <c:v>-14.873422163287142</c:v>
                </c:pt>
                <c:pt idx="105">
                  <c:v>-15.018839684087979</c:v>
                </c:pt>
                <c:pt idx="106">
                  <c:v>-15.164257204888816</c:v>
                </c:pt>
                <c:pt idx="107">
                  <c:v>-15.309674725689653</c:v>
                </c:pt>
                <c:pt idx="108">
                  <c:v>-15.455092246490491</c:v>
                </c:pt>
                <c:pt idx="109">
                  <c:v>-15.600509767291328</c:v>
                </c:pt>
                <c:pt idx="110">
                  <c:v>-15.745927288092165</c:v>
                </c:pt>
                <c:pt idx="111">
                  <c:v>-15.891344808893002</c:v>
                </c:pt>
                <c:pt idx="112">
                  <c:v>-16.03676232969384</c:v>
                </c:pt>
                <c:pt idx="113">
                  <c:v>-16.182179850494677</c:v>
                </c:pt>
                <c:pt idx="114">
                  <c:v>-16.327597371295514</c:v>
                </c:pt>
                <c:pt idx="115">
                  <c:v>-16.473014892096352</c:v>
                </c:pt>
                <c:pt idx="116">
                  <c:v>-16.618432412897189</c:v>
                </c:pt>
                <c:pt idx="117">
                  <c:v>-16.763849933698026</c:v>
                </c:pt>
                <c:pt idx="118">
                  <c:v>-16.909267454498863</c:v>
                </c:pt>
                <c:pt idx="119">
                  <c:v>-17.054684975299701</c:v>
                </c:pt>
                <c:pt idx="120">
                  <c:v>-17.200102496100538</c:v>
                </c:pt>
                <c:pt idx="121">
                  <c:v>-17.345520016901375</c:v>
                </c:pt>
                <c:pt idx="122">
                  <c:v>-17.490937537702212</c:v>
                </c:pt>
                <c:pt idx="123">
                  <c:v>-17.63635505850305</c:v>
                </c:pt>
                <c:pt idx="124">
                  <c:v>-17.781772579303887</c:v>
                </c:pt>
                <c:pt idx="125">
                  <c:v>-17.927190100104724</c:v>
                </c:pt>
                <c:pt idx="126">
                  <c:v>-18.072607620905561</c:v>
                </c:pt>
                <c:pt idx="127">
                  <c:v>-18.218025141706399</c:v>
                </c:pt>
                <c:pt idx="128">
                  <c:v>-18.363442662507236</c:v>
                </c:pt>
                <c:pt idx="129">
                  <c:v>-18.508860183308073</c:v>
                </c:pt>
                <c:pt idx="130">
                  <c:v>-18.65427770410891</c:v>
                </c:pt>
                <c:pt idx="131">
                  <c:v>-18.799695224909748</c:v>
                </c:pt>
                <c:pt idx="132">
                  <c:v>-18.945112745710585</c:v>
                </c:pt>
                <c:pt idx="133">
                  <c:v>-19.090530266511422</c:v>
                </c:pt>
                <c:pt idx="134">
                  <c:v>-19.235947787312259</c:v>
                </c:pt>
                <c:pt idx="135">
                  <c:v>-19.3813653081131</c:v>
                </c:pt>
                <c:pt idx="136">
                  <c:v>-19.526782828913941</c:v>
                </c:pt>
                <c:pt idx="137">
                  <c:v>-19.672200349714778</c:v>
                </c:pt>
                <c:pt idx="138">
                  <c:v>-19.817617870515619</c:v>
                </c:pt>
                <c:pt idx="139">
                  <c:v>-19.963035391316456</c:v>
                </c:pt>
                <c:pt idx="140">
                  <c:v>-20.108452912117297</c:v>
                </c:pt>
                <c:pt idx="141">
                  <c:v>-20.253870432918138</c:v>
                </c:pt>
                <c:pt idx="142">
                  <c:v>-20.399287953718975</c:v>
                </c:pt>
                <c:pt idx="143">
                  <c:v>-20.544705474519816</c:v>
                </c:pt>
                <c:pt idx="144">
                  <c:v>-20.690122995320653</c:v>
                </c:pt>
                <c:pt idx="145">
                  <c:v>-20.835540516121494</c:v>
                </c:pt>
                <c:pt idx="146">
                  <c:v>-20.980958036922335</c:v>
                </c:pt>
                <c:pt idx="147">
                  <c:v>-21.126375557723172</c:v>
                </c:pt>
                <c:pt idx="148">
                  <c:v>-21.271793078524013</c:v>
                </c:pt>
                <c:pt idx="149">
                  <c:v>-21.41721059932485</c:v>
                </c:pt>
                <c:pt idx="150">
                  <c:v>-21.562628120125691</c:v>
                </c:pt>
                <c:pt idx="151">
                  <c:v>-21.708045640926532</c:v>
                </c:pt>
                <c:pt idx="152">
                  <c:v>-21.853463161727369</c:v>
                </c:pt>
                <c:pt idx="153">
                  <c:v>-21.99888068252821</c:v>
                </c:pt>
                <c:pt idx="154">
                  <c:v>-22.144298203329047</c:v>
                </c:pt>
                <c:pt idx="155">
                  <c:v>-22.289715724129888</c:v>
                </c:pt>
                <c:pt idx="156">
                  <c:v>-22.435133244930729</c:v>
                </c:pt>
                <c:pt idx="157">
                  <c:v>-22.580550765731566</c:v>
                </c:pt>
                <c:pt idx="158">
                  <c:v>-22.725968286532407</c:v>
                </c:pt>
                <c:pt idx="159">
                  <c:v>-22.871385807333244</c:v>
                </c:pt>
                <c:pt idx="160">
                  <c:v>-23.016803328134085</c:v>
                </c:pt>
                <c:pt idx="161">
                  <c:v>-23.162220848934922</c:v>
                </c:pt>
                <c:pt idx="162">
                  <c:v>-23.307638369735763</c:v>
                </c:pt>
                <c:pt idx="163">
                  <c:v>-23.453055890536604</c:v>
                </c:pt>
                <c:pt idx="164">
                  <c:v>-23.598473411337441</c:v>
                </c:pt>
                <c:pt idx="165">
                  <c:v>-23.743890932138282</c:v>
                </c:pt>
                <c:pt idx="166">
                  <c:v>-23.889308452939119</c:v>
                </c:pt>
                <c:pt idx="167">
                  <c:v>-24.03472597373996</c:v>
                </c:pt>
                <c:pt idx="168">
                  <c:v>-24.1801434945408</c:v>
                </c:pt>
                <c:pt idx="169">
                  <c:v>-24.325561015341638</c:v>
                </c:pt>
                <c:pt idx="170">
                  <c:v>-24.470978536142479</c:v>
                </c:pt>
                <c:pt idx="171">
                  <c:v>-24.616396056943316</c:v>
                </c:pt>
                <c:pt idx="172">
                  <c:v>-24.761813577744157</c:v>
                </c:pt>
                <c:pt idx="173">
                  <c:v>-24.907231098544997</c:v>
                </c:pt>
                <c:pt idx="174">
                  <c:v>-25.052648619345835</c:v>
                </c:pt>
                <c:pt idx="175">
                  <c:v>-25.198066140146675</c:v>
                </c:pt>
                <c:pt idx="176">
                  <c:v>-25.343483660947513</c:v>
                </c:pt>
                <c:pt idx="177">
                  <c:v>-25.488901181748354</c:v>
                </c:pt>
                <c:pt idx="178">
                  <c:v>-25.634318702549194</c:v>
                </c:pt>
                <c:pt idx="179">
                  <c:v>-25.779736223350032</c:v>
                </c:pt>
                <c:pt idx="180">
                  <c:v>-25.925153744150872</c:v>
                </c:pt>
                <c:pt idx="181">
                  <c:v>-26.07057126495171</c:v>
                </c:pt>
                <c:pt idx="182">
                  <c:v>-26.21598878575255</c:v>
                </c:pt>
                <c:pt idx="183">
                  <c:v>-26.361406306553391</c:v>
                </c:pt>
                <c:pt idx="184">
                  <c:v>-26.506823827354228</c:v>
                </c:pt>
                <c:pt idx="185">
                  <c:v>-26.652241348155069</c:v>
                </c:pt>
                <c:pt idx="186">
                  <c:v>-26.797658868955907</c:v>
                </c:pt>
                <c:pt idx="187">
                  <c:v>-26.943076389756747</c:v>
                </c:pt>
                <c:pt idx="188">
                  <c:v>-27.088493910557588</c:v>
                </c:pt>
                <c:pt idx="189">
                  <c:v>-27.233911431358425</c:v>
                </c:pt>
                <c:pt idx="190">
                  <c:v>-27.379328952159266</c:v>
                </c:pt>
                <c:pt idx="191">
                  <c:v>-27.524746472960103</c:v>
                </c:pt>
                <c:pt idx="192">
                  <c:v>-27.670163993760944</c:v>
                </c:pt>
                <c:pt idx="193">
                  <c:v>-27.815581514561785</c:v>
                </c:pt>
                <c:pt idx="194">
                  <c:v>-27.960999035362622</c:v>
                </c:pt>
                <c:pt idx="195">
                  <c:v>-28.106416556163463</c:v>
                </c:pt>
                <c:pt idx="196">
                  <c:v>-28.2518340769643</c:v>
                </c:pt>
                <c:pt idx="197">
                  <c:v>-28.397251597765141</c:v>
                </c:pt>
                <c:pt idx="198">
                  <c:v>-28.542669118565982</c:v>
                </c:pt>
                <c:pt idx="199">
                  <c:v>-28.688086639366819</c:v>
                </c:pt>
                <c:pt idx="200">
                  <c:v>-28.83350416016766</c:v>
                </c:pt>
                <c:pt idx="201">
                  <c:v>-28.978921680968497</c:v>
                </c:pt>
                <c:pt idx="202">
                  <c:v>-29.124339201769338</c:v>
                </c:pt>
                <c:pt idx="203">
                  <c:v>-29.269756722570179</c:v>
                </c:pt>
                <c:pt idx="204">
                  <c:v>-29.415174243371016</c:v>
                </c:pt>
                <c:pt idx="205">
                  <c:v>-29.560591764171857</c:v>
                </c:pt>
                <c:pt idx="206">
                  <c:v>-29.706009284972694</c:v>
                </c:pt>
                <c:pt idx="207">
                  <c:v>-29.851426805773535</c:v>
                </c:pt>
                <c:pt idx="208">
                  <c:v>-29.996844326574376</c:v>
                </c:pt>
                <c:pt idx="209">
                  <c:v>-30.142261847375213</c:v>
                </c:pt>
                <c:pt idx="210">
                  <c:v>-30.287679368176054</c:v>
                </c:pt>
                <c:pt idx="211">
                  <c:v>-30.433096888976891</c:v>
                </c:pt>
                <c:pt idx="212">
                  <c:v>-30.578514409777732</c:v>
                </c:pt>
                <c:pt idx="213">
                  <c:v>-30.723931930578573</c:v>
                </c:pt>
                <c:pt idx="214">
                  <c:v>-30.86934945137941</c:v>
                </c:pt>
                <c:pt idx="215">
                  <c:v>-31.014766972180251</c:v>
                </c:pt>
                <c:pt idx="216">
                  <c:v>-31.160184492981088</c:v>
                </c:pt>
                <c:pt idx="217">
                  <c:v>-31.305602013781929</c:v>
                </c:pt>
                <c:pt idx="218">
                  <c:v>-31.45101953458277</c:v>
                </c:pt>
                <c:pt idx="219">
                  <c:v>-31.596437055383607</c:v>
                </c:pt>
                <c:pt idx="220">
                  <c:v>-31.741854576184448</c:v>
                </c:pt>
                <c:pt idx="221">
                  <c:v>-31.887272096985285</c:v>
                </c:pt>
                <c:pt idx="222">
                  <c:v>-32.032689617786126</c:v>
                </c:pt>
                <c:pt idx="223">
                  <c:v>-32.178107138586967</c:v>
                </c:pt>
                <c:pt idx="224">
                  <c:v>-32.323524659387807</c:v>
                </c:pt>
                <c:pt idx="225">
                  <c:v>-32.468942180188641</c:v>
                </c:pt>
                <c:pt idx="226">
                  <c:v>-32.614359700989482</c:v>
                </c:pt>
                <c:pt idx="227">
                  <c:v>-32.759777221790323</c:v>
                </c:pt>
                <c:pt idx="228">
                  <c:v>-32.905194742591164</c:v>
                </c:pt>
                <c:pt idx="229">
                  <c:v>-33.050612263392004</c:v>
                </c:pt>
                <c:pt idx="230">
                  <c:v>-33.196029784192838</c:v>
                </c:pt>
                <c:pt idx="231">
                  <c:v>-33.341447304993679</c:v>
                </c:pt>
                <c:pt idx="232">
                  <c:v>-33.48686482579452</c:v>
                </c:pt>
                <c:pt idx="233">
                  <c:v>-33.63228234659536</c:v>
                </c:pt>
                <c:pt idx="234">
                  <c:v>-33.777699867396201</c:v>
                </c:pt>
                <c:pt idx="235">
                  <c:v>-33.923117388197035</c:v>
                </c:pt>
                <c:pt idx="236">
                  <c:v>-34.068534908997876</c:v>
                </c:pt>
                <c:pt idx="237">
                  <c:v>-34.213952429798717</c:v>
                </c:pt>
                <c:pt idx="238">
                  <c:v>-34.359369950599557</c:v>
                </c:pt>
                <c:pt idx="239">
                  <c:v>-34.504787471400398</c:v>
                </c:pt>
                <c:pt idx="240">
                  <c:v>-34.650204992201232</c:v>
                </c:pt>
                <c:pt idx="241">
                  <c:v>-34.795622513002073</c:v>
                </c:pt>
                <c:pt idx="242">
                  <c:v>-34.941040033802913</c:v>
                </c:pt>
                <c:pt idx="243">
                  <c:v>-35.086457554603754</c:v>
                </c:pt>
                <c:pt idx="244">
                  <c:v>-35.231875075404595</c:v>
                </c:pt>
                <c:pt idx="245">
                  <c:v>-35.377292596205429</c:v>
                </c:pt>
                <c:pt idx="246">
                  <c:v>-35.52271011700627</c:v>
                </c:pt>
                <c:pt idx="247">
                  <c:v>-35.66812763780711</c:v>
                </c:pt>
                <c:pt idx="248">
                  <c:v>-35.813545158607951</c:v>
                </c:pt>
                <c:pt idx="249">
                  <c:v>-35.958962679408792</c:v>
                </c:pt>
                <c:pt idx="250">
                  <c:v>-36.104380200209626</c:v>
                </c:pt>
                <c:pt idx="251">
                  <c:v>-36.249797721010466</c:v>
                </c:pt>
                <c:pt idx="252">
                  <c:v>-36.395215241811307</c:v>
                </c:pt>
                <c:pt idx="253">
                  <c:v>-36.540632762612148</c:v>
                </c:pt>
                <c:pt idx="254">
                  <c:v>-36.686050283412982</c:v>
                </c:pt>
                <c:pt idx="255">
                  <c:v>-36.831467804213823</c:v>
                </c:pt>
                <c:pt idx="256">
                  <c:v>-36.976885325014663</c:v>
                </c:pt>
                <c:pt idx="257">
                  <c:v>-37.122302845815504</c:v>
                </c:pt>
                <c:pt idx="258">
                  <c:v>-37.267720366616345</c:v>
                </c:pt>
                <c:pt idx="259">
                  <c:v>-37.413137887417179</c:v>
                </c:pt>
                <c:pt idx="260">
                  <c:v>-37.55855540821802</c:v>
                </c:pt>
                <c:pt idx="261">
                  <c:v>-37.70397292901886</c:v>
                </c:pt>
                <c:pt idx="262">
                  <c:v>-37.849390449819701</c:v>
                </c:pt>
                <c:pt idx="263">
                  <c:v>-37.994807970620542</c:v>
                </c:pt>
                <c:pt idx="264">
                  <c:v>-38.140225491421376</c:v>
                </c:pt>
                <c:pt idx="265">
                  <c:v>-38.285643012222216</c:v>
                </c:pt>
                <c:pt idx="266">
                  <c:v>-38.431060533023057</c:v>
                </c:pt>
                <c:pt idx="267">
                  <c:v>-38.576478053823891</c:v>
                </c:pt>
                <c:pt idx="268">
                  <c:v>-38.721895574624725</c:v>
                </c:pt>
                <c:pt idx="269">
                  <c:v>-38.867313095425565</c:v>
                </c:pt>
                <c:pt idx="270">
                  <c:v>-39.012730616226399</c:v>
                </c:pt>
                <c:pt idx="271">
                  <c:v>-39.158148137027233</c:v>
                </c:pt>
                <c:pt idx="272">
                  <c:v>-39.303565657828067</c:v>
                </c:pt>
                <c:pt idx="273">
                  <c:v>-39.4489831786289</c:v>
                </c:pt>
                <c:pt idx="274">
                  <c:v>-39.594400699429741</c:v>
                </c:pt>
                <c:pt idx="275">
                  <c:v>-39.739818220230575</c:v>
                </c:pt>
                <c:pt idx="276">
                  <c:v>-39.885235741031408</c:v>
                </c:pt>
                <c:pt idx="277">
                  <c:v>-40.030653261832242</c:v>
                </c:pt>
                <c:pt idx="278">
                  <c:v>-40.176070782633076</c:v>
                </c:pt>
                <c:pt idx="279">
                  <c:v>-40.321488303433917</c:v>
                </c:pt>
                <c:pt idx="280">
                  <c:v>-40.46690582423475</c:v>
                </c:pt>
                <c:pt idx="281">
                  <c:v>-40.612323345035584</c:v>
                </c:pt>
                <c:pt idx="282">
                  <c:v>-40.757740865836418</c:v>
                </c:pt>
                <c:pt idx="283">
                  <c:v>-40.903158386637251</c:v>
                </c:pt>
                <c:pt idx="284">
                  <c:v>-41.048575907438092</c:v>
                </c:pt>
                <c:pt idx="285">
                  <c:v>-41.193993428238926</c:v>
                </c:pt>
                <c:pt idx="286">
                  <c:v>-41.33941094903976</c:v>
                </c:pt>
                <c:pt idx="287">
                  <c:v>-41.484828469840593</c:v>
                </c:pt>
                <c:pt idx="288">
                  <c:v>-41.630245990641427</c:v>
                </c:pt>
                <c:pt idx="289">
                  <c:v>-41.775663511442268</c:v>
                </c:pt>
                <c:pt idx="290">
                  <c:v>-41.921081032243102</c:v>
                </c:pt>
                <c:pt idx="291">
                  <c:v>-42.066498553043935</c:v>
                </c:pt>
                <c:pt idx="292">
                  <c:v>-42.211916073844769</c:v>
                </c:pt>
                <c:pt idx="293">
                  <c:v>-42.357333594645603</c:v>
                </c:pt>
                <c:pt idx="294">
                  <c:v>-42.502751115446436</c:v>
                </c:pt>
                <c:pt idx="295">
                  <c:v>-42.648168636247277</c:v>
                </c:pt>
                <c:pt idx="296">
                  <c:v>-42.793586157048111</c:v>
                </c:pt>
                <c:pt idx="297">
                  <c:v>-42.939003677848945</c:v>
                </c:pt>
                <c:pt idx="298">
                  <c:v>-43.084421198649778</c:v>
                </c:pt>
                <c:pt idx="299">
                  <c:v>-43.229838719450612</c:v>
                </c:pt>
                <c:pt idx="300">
                  <c:v>-43.375256240251453</c:v>
                </c:pt>
                <c:pt idx="301">
                  <c:v>-43.520673761052286</c:v>
                </c:pt>
                <c:pt idx="302">
                  <c:v>-43.66609128185312</c:v>
                </c:pt>
                <c:pt idx="303">
                  <c:v>-43.811508802653954</c:v>
                </c:pt>
                <c:pt idx="304">
                  <c:v>-43.956926323454788</c:v>
                </c:pt>
                <c:pt idx="305">
                  <c:v>-44.102343844255628</c:v>
                </c:pt>
                <c:pt idx="306">
                  <c:v>-44.247761365056462</c:v>
                </c:pt>
                <c:pt idx="307">
                  <c:v>-44.393178885857296</c:v>
                </c:pt>
                <c:pt idx="308">
                  <c:v>-44.538596406658129</c:v>
                </c:pt>
                <c:pt idx="309">
                  <c:v>-44.684013927458963</c:v>
                </c:pt>
                <c:pt idx="310">
                  <c:v>-44.829431448259804</c:v>
                </c:pt>
                <c:pt idx="311">
                  <c:v>-44.974848969060638</c:v>
                </c:pt>
                <c:pt idx="312">
                  <c:v>-45.120266489861471</c:v>
                </c:pt>
                <c:pt idx="313">
                  <c:v>-45.265684010662305</c:v>
                </c:pt>
                <c:pt idx="314">
                  <c:v>-45.411101531463139</c:v>
                </c:pt>
                <c:pt idx="315">
                  <c:v>-45.55651905226398</c:v>
                </c:pt>
                <c:pt idx="316">
                  <c:v>-45.701936573064813</c:v>
                </c:pt>
                <c:pt idx="317">
                  <c:v>-45.847354093865647</c:v>
                </c:pt>
                <c:pt idx="318">
                  <c:v>-45.992771614666481</c:v>
                </c:pt>
                <c:pt idx="319">
                  <c:v>-46.138189135467314</c:v>
                </c:pt>
                <c:pt idx="320">
                  <c:v>-46.283606656268148</c:v>
                </c:pt>
                <c:pt idx="321">
                  <c:v>-46.429024177068989</c:v>
                </c:pt>
                <c:pt idx="322">
                  <c:v>-46.574441697869823</c:v>
                </c:pt>
                <c:pt idx="323">
                  <c:v>-46.719859218670656</c:v>
                </c:pt>
                <c:pt idx="324">
                  <c:v>-46.86527673947149</c:v>
                </c:pt>
                <c:pt idx="325">
                  <c:v>-47.010694260272324</c:v>
                </c:pt>
                <c:pt idx="326">
                  <c:v>-47.156111781073164</c:v>
                </c:pt>
                <c:pt idx="327">
                  <c:v>-47.301529301873998</c:v>
                </c:pt>
                <c:pt idx="328">
                  <c:v>-47.446946822674832</c:v>
                </c:pt>
                <c:pt idx="329">
                  <c:v>-47.592364343475666</c:v>
                </c:pt>
                <c:pt idx="330">
                  <c:v>-47.737781864276499</c:v>
                </c:pt>
                <c:pt idx="331">
                  <c:v>-47.88319938507734</c:v>
                </c:pt>
                <c:pt idx="332">
                  <c:v>-48.028616905878174</c:v>
                </c:pt>
                <c:pt idx="333">
                  <c:v>-48.174034426679007</c:v>
                </c:pt>
                <c:pt idx="334">
                  <c:v>-48.319451947479841</c:v>
                </c:pt>
                <c:pt idx="335">
                  <c:v>-48.464869468280675</c:v>
                </c:pt>
                <c:pt idx="336">
                  <c:v>-48.610286989081516</c:v>
                </c:pt>
                <c:pt idx="337">
                  <c:v>-48.755704509882349</c:v>
                </c:pt>
                <c:pt idx="338">
                  <c:v>-48.901122030683183</c:v>
                </c:pt>
                <c:pt idx="339">
                  <c:v>-49.046539551484017</c:v>
                </c:pt>
                <c:pt idx="340">
                  <c:v>-49.19195707228485</c:v>
                </c:pt>
                <c:pt idx="341">
                  <c:v>-49.337374593085691</c:v>
                </c:pt>
                <c:pt idx="342">
                  <c:v>-49.482792113886525</c:v>
                </c:pt>
                <c:pt idx="343">
                  <c:v>-49.628209634687359</c:v>
                </c:pt>
                <c:pt idx="344">
                  <c:v>-49.773627155488192</c:v>
                </c:pt>
                <c:pt idx="345">
                  <c:v>-49.919044676289026</c:v>
                </c:pt>
                <c:pt idx="346">
                  <c:v>-50.06446219708986</c:v>
                </c:pt>
                <c:pt idx="347">
                  <c:v>-50.209879717890701</c:v>
                </c:pt>
                <c:pt idx="348">
                  <c:v>-50.355297238691534</c:v>
                </c:pt>
                <c:pt idx="349">
                  <c:v>-50.500714759492368</c:v>
                </c:pt>
                <c:pt idx="350">
                  <c:v>-50.646132280293202</c:v>
                </c:pt>
                <c:pt idx="351">
                  <c:v>-50.791549801094035</c:v>
                </c:pt>
                <c:pt idx="352">
                  <c:v>-50.936967321894876</c:v>
                </c:pt>
                <c:pt idx="353">
                  <c:v>-51.08238484269571</c:v>
                </c:pt>
                <c:pt idx="354">
                  <c:v>-51.227802363496544</c:v>
                </c:pt>
                <c:pt idx="355">
                  <c:v>-51.373219884297377</c:v>
                </c:pt>
                <c:pt idx="356">
                  <c:v>-51.518637405098211</c:v>
                </c:pt>
                <c:pt idx="357">
                  <c:v>-51.664054925899052</c:v>
                </c:pt>
                <c:pt idx="358">
                  <c:v>-51.809472446699885</c:v>
                </c:pt>
                <c:pt idx="359">
                  <c:v>-51.954889967500719</c:v>
                </c:pt>
                <c:pt idx="360">
                  <c:v>-52.100307488301553</c:v>
                </c:pt>
                <c:pt idx="361">
                  <c:v>-52.245725009102387</c:v>
                </c:pt>
                <c:pt idx="362">
                  <c:v>-52.391142529903227</c:v>
                </c:pt>
                <c:pt idx="363">
                  <c:v>-52.536560050704061</c:v>
                </c:pt>
                <c:pt idx="364">
                  <c:v>-52.681977571504895</c:v>
                </c:pt>
                <c:pt idx="365">
                  <c:v>-52.827395092305728</c:v>
                </c:pt>
                <c:pt idx="366">
                  <c:v>-52.972812613106562</c:v>
                </c:pt>
                <c:pt idx="367">
                  <c:v>-53.118230133907403</c:v>
                </c:pt>
                <c:pt idx="368">
                  <c:v>-53.263647654708237</c:v>
                </c:pt>
                <c:pt idx="369">
                  <c:v>-53.40906517550907</c:v>
                </c:pt>
                <c:pt idx="370">
                  <c:v>-53.554482696309904</c:v>
                </c:pt>
                <c:pt idx="371">
                  <c:v>-53.699900217110738</c:v>
                </c:pt>
                <c:pt idx="372">
                  <c:v>-53.845317737911571</c:v>
                </c:pt>
                <c:pt idx="373">
                  <c:v>-53.990735258712412</c:v>
                </c:pt>
                <c:pt idx="374">
                  <c:v>-54.136152779513246</c:v>
                </c:pt>
                <c:pt idx="375">
                  <c:v>-54.28157030031408</c:v>
                </c:pt>
                <c:pt idx="376">
                  <c:v>-54.426987821114913</c:v>
                </c:pt>
                <c:pt idx="377">
                  <c:v>-54.572405341915747</c:v>
                </c:pt>
                <c:pt idx="378">
                  <c:v>-54.717822862716588</c:v>
                </c:pt>
                <c:pt idx="379">
                  <c:v>-54.863240383517422</c:v>
                </c:pt>
                <c:pt idx="380">
                  <c:v>-55.008657904318255</c:v>
                </c:pt>
                <c:pt idx="381">
                  <c:v>-55.154075425119089</c:v>
                </c:pt>
                <c:pt idx="382">
                  <c:v>-55.299492945919923</c:v>
                </c:pt>
                <c:pt idx="383">
                  <c:v>-55.444910466720764</c:v>
                </c:pt>
                <c:pt idx="384">
                  <c:v>-55.590327987521597</c:v>
                </c:pt>
                <c:pt idx="385">
                  <c:v>-55.735745508322431</c:v>
                </c:pt>
                <c:pt idx="386">
                  <c:v>-55.881163029123265</c:v>
                </c:pt>
                <c:pt idx="387">
                  <c:v>-56.026580549924098</c:v>
                </c:pt>
                <c:pt idx="388">
                  <c:v>-56.171998070724939</c:v>
                </c:pt>
                <c:pt idx="389">
                  <c:v>-56.317415591525773</c:v>
                </c:pt>
                <c:pt idx="390">
                  <c:v>-56.462833112326607</c:v>
                </c:pt>
                <c:pt idx="391">
                  <c:v>-56.60825063312744</c:v>
                </c:pt>
                <c:pt idx="392">
                  <c:v>-56.753668153928274</c:v>
                </c:pt>
                <c:pt idx="393">
                  <c:v>-56.899085674729115</c:v>
                </c:pt>
                <c:pt idx="394">
                  <c:v>-57.044503195529948</c:v>
                </c:pt>
                <c:pt idx="395">
                  <c:v>-57.189920716330782</c:v>
                </c:pt>
                <c:pt idx="396">
                  <c:v>-57.335338237131616</c:v>
                </c:pt>
                <c:pt idx="397">
                  <c:v>-57.48075575793245</c:v>
                </c:pt>
                <c:pt idx="398">
                  <c:v>-57.626173278733283</c:v>
                </c:pt>
                <c:pt idx="399">
                  <c:v>-57.771590799534124</c:v>
                </c:pt>
                <c:pt idx="400">
                  <c:v>-57.917008320334958</c:v>
                </c:pt>
                <c:pt idx="401">
                  <c:v>-58.062425841135791</c:v>
                </c:pt>
                <c:pt idx="402">
                  <c:v>-58.207843361936625</c:v>
                </c:pt>
                <c:pt idx="403">
                  <c:v>-58.353260882737459</c:v>
                </c:pt>
                <c:pt idx="404">
                  <c:v>-58.4986784035383</c:v>
                </c:pt>
                <c:pt idx="405">
                  <c:v>-58.644095924339133</c:v>
                </c:pt>
                <c:pt idx="406">
                  <c:v>-58.789513445139967</c:v>
                </c:pt>
                <c:pt idx="407">
                  <c:v>-58.934930965940801</c:v>
                </c:pt>
                <c:pt idx="408">
                  <c:v>-59.080348486741634</c:v>
                </c:pt>
                <c:pt idx="409">
                  <c:v>-59.225766007542475</c:v>
                </c:pt>
                <c:pt idx="410">
                  <c:v>-59.371183528343309</c:v>
                </c:pt>
                <c:pt idx="411">
                  <c:v>-59.516601049144143</c:v>
                </c:pt>
                <c:pt idx="412">
                  <c:v>-59.662018569944976</c:v>
                </c:pt>
                <c:pt idx="413">
                  <c:v>-59.80743609074581</c:v>
                </c:pt>
                <c:pt idx="414">
                  <c:v>-59.952853611546651</c:v>
                </c:pt>
                <c:pt idx="415">
                  <c:v>-60.098271132347485</c:v>
                </c:pt>
                <c:pt idx="416">
                  <c:v>-60.243688653148318</c:v>
                </c:pt>
                <c:pt idx="417">
                  <c:v>-60.389106173949152</c:v>
                </c:pt>
                <c:pt idx="418">
                  <c:v>-60.534523694749986</c:v>
                </c:pt>
                <c:pt idx="419">
                  <c:v>-60.679941215550826</c:v>
                </c:pt>
                <c:pt idx="420">
                  <c:v>-60.82535873635166</c:v>
                </c:pt>
                <c:pt idx="421">
                  <c:v>-60.970776257152494</c:v>
                </c:pt>
                <c:pt idx="422">
                  <c:v>-61.116193777953328</c:v>
                </c:pt>
                <c:pt idx="423">
                  <c:v>-61.261611298754161</c:v>
                </c:pt>
                <c:pt idx="424">
                  <c:v>-61.407028819554995</c:v>
                </c:pt>
                <c:pt idx="425">
                  <c:v>-61.552446340355836</c:v>
                </c:pt>
                <c:pt idx="426">
                  <c:v>-61.697863861156669</c:v>
                </c:pt>
                <c:pt idx="427">
                  <c:v>-61.843281381957503</c:v>
                </c:pt>
                <c:pt idx="428">
                  <c:v>-61.988698902758337</c:v>
                </c:pt>
                <c:pt idx="429">
                  <c:v>-62.134116423559171</c:v>
                </c:pt>
                <c:pt idx="430">
                  <c:v>-62.279533944360011</c:v>
                </c:pt>
                <c:pt idx="431">
                  <c:v>-62.424951465160845</c:v>
                </c:pt>
                <c:pt idx="432">
                  <c:v>-62.570368985961679</c:v>
                </c:pt>
                <c:pt idx="433">
                  <c:v>-62.715786506762512</c:v>
                </c:pt>
                <c:pt idx="434">
                  <c:v>-62.861204027563346</c:v>
                </c:pt>
                <c:pt idx="435">
                  <c:v>-63.006621548364187</c:v>
                </c:pt>
                <c:pt idx="436">
                  <c:v>-63.152039069165021</c:v>
                </c:pt>
                <c:pt idx="437">
                  <c:v>-63.297456589965854</c:v>
                </c:pt>
                <c:pt idx="438">
                  <c:v>-63.442874110766688</c:v>
                </c:pt>
                <c:pt idx="439">
                  <c:v>-63.588291631567522</c:v>
                </c:pt>
                <c:pt idx="440">
                  <c:v>-63.733709152368363</c:v>
                </c:pt>
                <c:pt idx="441">
                  <c:v>-63.879126673169196</c:v>
                </c:pt>
                <c:pt idx="442">
                  <c:v>-64.02454419397003</c:v>
                </c:pt>
                <c:pt idx="443">
                  <c:v>-64.169961714770864</c:v>
                </c:pt>
                <c:pt idx="444">
                  <c:v>-64.315379235571697</c:v>
                </c:pt>
                <c:pt idx="445">
                  <c:v>-64.460796756372531</c:v>
                </c:pt>
                <c:pt idx="446">
                  <c:v>-64.606214277173365</c:v>
                </c:pt>
                <c:pt idx="447">
                  <c:v>-64.751631797974198</c:v>
                </c:pt>
                <c:pt idx="448">
                  <c:v>-64.897049318775046</c:v>
                </c:pt>
                <c:pt idx="449">
                  <c:v>-65.04246683957588</c:v>
                </c:pt>
                <c:pt idx="450">
                  <c:v>-65.187884360376714</c:v>
                </c:pt>
                <c:pt idx="451">
                  <c:v>-65.333301881177547</c:v>
                </c:pt>
                <c:pt idx="452">
                  <c:v>-65.478719401978381</c:v>
                </c:pt>
                <c:pt idx="453">
                  <c:v>-65.624136922779215</c:v>
                </c:pt>
                <c:pt idx="454">
                  <c:v>-65.769554443580049</c:v>
                </c:pt>
                <c:pt idx="455">
                  <c:v>-65.914971964380882</c:v>
                </c:pt>
                <c:pt idx="456">
                  <c:v>-66.060389485181716</c:v>
                </c:pt>
                <c:pt idx="457">
                  <c:v>-66.20580700598255</c:v>
                </c:pt>
                <c:pt idx="458">
                  <c:v>-66.351224526783398</c:v>
                </c:pt>
                <c:pt idx="459">
                  <c:v>-66.496642047584231</c:v>
                </c:pt>
                <c:pt idx="460">
                  <c:v>-66.642059568385065</c:v>
                </c:pt>
                <c:pt idx="461">
                  <c:v>-66.787477089185899</c:v>
                </c:pt>
                <c:pt idx="462">
                  <c:v>-66.932894609986732</c:v>
                </c:pt>
                <c:pt idx="463">
                  <c:v>-67.078312130787566</c:v>
                </c:pt>
                <c:pt idx="464">
                  <c:v>-67.2237296515884</c:v>
                </c:pt>
                <c:pt idx="465">
                  <c:v>-67.369147172389233</c:v>
                </c:pt>
                <c:pt idx="466">
                  <c:v>-67.514564693190067</c:v>
                </c:pt>
                <c:pt idx="467">
                  <c:v>-67.659982213990901</c:v>
                </c:pt>
                <c:pt idx="468">
                  <c:v>-67.805399734791735</c:v>
                </c:pt>
                <c:pt idx="469">
                  <c:v>-67.950817255592582</c:v>
                </c:pt>
                <c:pt idx="470">
                  <c:v>-68.096234776393416</c:v>
                </c:pt>
                <c:pt idx="471">
                  <c:v>-68.24165229719425</c:v>
                </c:pt>
                <c:pt idx="472">
                  <c:v>-68.387069817995084</c:v>
                </c:pt>
                <c:pt idx="473">
                  <c:v>-68.532487338795917</c:v>
                </c:pt>
                <c:pt idx="474">
                  <c:v>-68.677904859596751</c:v>
                </c:pt>
                <c:pt idx="475">
                  <c:v>-68.823322380397585</c:v>
                </c:pt>
                <c:pt idx="476">
                  <c:v>-68.968739901198418</c:v>
                </c:pt>
                <c:pt idx="477">
                  <c:v>-69.114157421999252</c:v>
                </c:pt>
                <c:pt idx="478">
                  <c:v>-69.259574942800086</c:v>
                </c:pt>
                <c:pt idx="479">
                  <c:v>-69.404992463600934</c:v>
                </c:pt>
                <c:pt idx="480">
                  <c:v>-69.550409984401767</c:v>
                </c:pt>
                <c:pt idx="481">
                  <c:v>-69.695827505202601</c:v>
                </c:pt>
                <c:pt idx="482">
                  <c:v>-69.841245026003435</c:v>
                </c:pt>
                <c:pt idx="483">
                  <c:v>-69.986662546804268</c:v>
                </c:pt>
                <c:pt idx="484">
                  <c:v>-70.132080067605102</c:v>
                </c:pt>
                <c:pt idx="485">
                  <c:v>-70.277497588405936</c:v>
                </c:pt>
                <c:pt idx="486">
                  <c:v>-70.42291510920677</c:v>
                </c:pt>
                <c:pt idx="487">
                  <c:v>-70.568332630007603</c:v>
                </c:pt>
                <c:pt idx="488">
                  <c:v>-70.713750150808437</c:v>
                </c:pt>
                <c:pt idx="489">
                  <c:v>-70.859167671609285</c:v>
                </c:pt>
                <c:pt idx="490">
                  <c:v>-71.004585192410119</c:v>
                </c:pt>
                <c:pt idx="491">
                  <c:v>-71.150002713210952</c:v>
                </c:pt>
                <c:pt idx="492">
                  <c:v>-71.295420234011786</c:v>
                </c:pt>
                <c:pt idx="493">
                  <c:v>-71.44083775481262</c:v>
                </c:pt>
                <c:pt idx="494">
                  <c:v>-71.586255275613453</c:v>
                </c:pt>
                <c:pt idx="495">
                  <c:v>-71.731672796414287</c:v>
                </c:pt>
                <c:pt idx="496">
                  <c:v>-71.877090317215121</c:v>
                </c:pt>
                <c:pt idx="497">
                  <c:v>-72.022507838015954</c:v>
                </c:pt>
                <c:pt idx="498">
                  <c:v>-72.167925358816788</c:v>
                </c:pt>
                <c:pt idx="499">
                  <c:v>-72.313342879617622</c:v>
                </c:pt>
                <c:pt idx="500">
                  <c:v>-72.45876040041847</c:v>
                </c:pt>
                <c:pt idx="501">
                  <c:v>-72.604177921219303</c:v>
                </c:pt>
                <c:pt idx="502">
                  <c:v>-72.749595442020137</c:v>
                </c:pt>
                <c:pt idx="503">
                  <c:v>-72.895012962820971</c:v>
                </c:pt>
                <c:pt idx="504">
                  <c:v>-73.040430483621805</c:v>
                </c:pt>
                <c:pt idx="505">
                  <c:v>-73.185848004422638</c:v>
                </c:pt>
                <c:pt idx="506">
                  <c:v>-73.331265525223472</c:v>
                </c:pt>
                <c:pt idx="507">
                  <c:v>-73.476683046024306</c:v>
                </c:pt>
                <c:pt idx="508">
                  <c:v>-73.622100566825139</c:v>
                </c:pt>
                <c:pt idx="509">
                  <c:v>-73.767518087625973</c:v>
                </c:pt>
                <c:pt idx="510">
                  <c:v>-73.912935608426821</c:v>
                </c:pt>
                <c:pt idx="511">
                  <c:v>-74.058353129227655</c:v>
                </c:pt>
                <c:pt idx="512">
                  <c:v>-74.203770650028488</c:v>
                </c:pt>
                <c:pt idx="513">
                  <c:v>-74.349188170829322</c:v>
                </c:pt>
                <c:pt idx="514">
                  <c:v>-74.494605691630156</c:v>
                </c:pt>
                <c:pt idx="515">
                  <c:v>-74.640023212430989</c:v>
                </c:pt>
                <c:pt idx="516">
                  <c:v>-74.785440733231823</c:v>
                </c:pt>
                <c:pt idx="517">
                  <c:v>-74.930858254032657</c:v>
                </c:pt>
                <c:pt idx="518">
                  <c:v>-75.076275774833491</c:v>
                </c:pt>
                <c:pt idx="519">
                  <c:v>-75.221693295634324</c:v>
                </c:pt>
                <c:pt idx="520">
                  <c:v>-75.367110816435158</c:v>
                </c:pt>
                <c:pt idx="521">
                  <c:v>-75.512528337236006</c:v>
                </c:pt>
                <c:pt idx="522">
                  <c:v>-75.65794585803684</c:v>
                </c:pt>
                <c:pt idx="523">
                  <c:v>-75.803363378837673</c:v>
                </c:pt>
                <c:pt idx="524">
                  <c:v>-75.948780899638507</c:v>
                </c:pt>
                <c:pt idx="525">
                  <c:v>-76.094198420439341</c:v>
                </c:pt>
                <c:pt idx="526">
                  <c:v>-76.239615941240174</c:v>
                </c:pt>
                <c:pt idx="527">
                  <c:v>-76.385033462041008</c:v>
                </c:pt>
                <c:pt idx="528">
                  <c:v>-76.530450982841842</c:v>
                </c:pt>
                <c:pt idx="529">
                  <c:v>-76.675868503642675</c:v>
                </c:pt>
                <c:pt idx="530">
                  <c:v>-76.821286024443509</c:v>
                </c:pt>
                <c:pt idx="531">
                  <c:v>-76.966703545244357</c:v>
                </c:pt>
                <c:pt idx="532">
                  <c:v>-77.112121066045191</c:v>
                </c:pt>
                <c:pt idx="533">
                  <c:v>-77.257538586846024</c:v>
                </c:pt>
                <c:pt idx="534">
                  <c:v>-77.402956107646858</c:v>
                </c:pt>
                <c:pt idx="535">
                  <c:v>-77.548373628447706</c:v>
                </c:pt>
                <c:pt idx="536">
                  <c:v>-77.69379114924854</c:v>
                </c:pt>
                <c:pt idx="537">
                  <c:v>-77.839208670049388</c:v>
                </c:pt>
                <c:pt idx="538">
                  <c:v>-77.984626190850236</c:v>
                </c:pt>
                <c:pt idx="539">
                  <c:v>-78.130043711651069</c:v>
                </c:pt>
                <c:pt idx="540">
                  <c:v>-78.275461232451917</c:v>
                </c:pt>
                <c:pt idx="541">
                  <c:v>-78.420878753252765</c:v>
                </c:pt>
                <c:pt idx="542">
                  <c:v>-78.566296274053599</c:v>
                </c:pt>
                <c:pt idx="543">
                  <c:v>-78.711713794854447</c:v>
                </c:pt>
                <c:pt idx="544">
                  <c:v>-78.857131315655295</c:v>
                </c:pt>
                <c:pt idx="545">
                  <c:v>-79.002548836456143</c:v>
                </c:pt>
                <c:pt idx="546">
                  <c:v>-79.147966357256976</c:v>
                </c:pt>
                <c:pt idx="547">
                  <c:v>-79.293383878057824</c:v>
                </c:pt>
                <c:pt idx="548">
                  <c:v>-79.438801398858672</c:v>
                </c:pt>
                <c:pt idx="549">
                  <c:v>-79.584218919659506</c:v>
                </c:pt>
                <c:pt idx="550">
                  <c:v>-79.729636440460354</c:v>
                </c:pt>
                <c:pt idx="551">
                  <c:v>-79.875053961261202</c:v>
                </c:pt>
                <c:pt idx="552">
                  <c:v>-80.020471482062035</c:v>
                </c:pt>
                <c:pt idx="553">
                  <c:v>-80.165889002862883</c:v>
                </c:pt>
                <c:pt idx="554">
                  <c:v>-80.311306523663731</c:v>
                </c:pt>
                <c:pt idx="555">
                  <c:v>-80.456724044464579</c:v>
                </c:pt>
                <c:pt idx="556">
                  <c:v>-80.602141565265413</c:v>
                </c:pt>
                <c:pt idx="557">
                  <c:v>-80.747559086066261</c:v>
                </c:pt>
                <c:pt idx="558">
                  <c:v>-80.892976606867109</c:v>
                </c:pt>
                <c:pt idx="559">
                  <c:v>-81.038394127667942</c:v>
                </c:pt>
                <c:pt idx="560">
                  <c:v>-81.18381164846879</c:v>
                </c:pt>
                <c:pt idx="561">
                  <c:v>-81.329229169269638</c:v>
                </c:pt>
                <c:pt idx="562">
                  <c:v>-81.474646690070472</c:v>
                </c:pt>
                <c:pt idx="563">
                  <c:v>-81.62006421087132</c:v>
                </c:pt>
                <c:pt idx="564">
                  <c:v>-81.765481731672168</c:v>
                </c:pt>
                <c:pt idx="565">
                  <c:v>-81.910899252473016</c:v>
                </c:pt>
                <c:pt idx="566">
                  <c:v>-82.056316773273849</c:v>
                </c:pt>
                <c:pt idx="567">
                  <c:v>-82.201734294074697</c:v>
                </c:pt>
                <c:pt idx="568">
                  <c:v>-82.347151814875545</c:v>
                </c:pt>
                <c:pt idx="569">
                  <c:v>-82.492569335676379</c:v>
                </c:pt>
                <c:pt idx="570">
                  <c:v>-82.637986856477227</c:v>
                </c:pt>
                <c:pt idx="571">
                  <c:v>-82.783404377278075</c:v>
                </c:pt>
                <c:pt idx="572">
                  <c:v>-82.928821898078922</c:v>
                </c:pt>
                <c:pt idx="573">
                  <c:v>-83.074239418879756</c:v>
                </c:pt>
                <c:pt idx="574">
                  <c:v>-83.219656939680604</c:v>
                </c:pt>
                <c:pt idx="575">
                  <c:v>-83.365074460481452</c:v>
                </c:pt>
                <c:pt idx="576">
                  <c:v>-83.510491981282286</c:v>
                </c:pt>
                <c:pt idx="577">
                  <c:v>-83.655909502083134</c:v>
                </c:pt>
                <c:pt idx="578">
                  <c:v>-83.801327022883981</c:v>
                </c:pt>
                <c:pt idx="579">
                  <c:v>-83.946744543684815</c:v>
                </c:pt>
                <c:pt idx="580">
                  <c:v>-84.092162064485663</c:v>
                </c:pt>
                <c:pt idx="581">
                  <c:v>-84.237579585286511</c:v>
                </c:pt>
                <c:pt idx="582">
                  <c:v>-84.382997106087359</c:v>
                </c:pt>
                <c:pt idx="583">
                  <c:v>-84.528414626888193</c:v>
                </c:pt>
                <c:pt idx="584">
                  <c:v>-84.673832147689041</c:v>
                </c:pt>
                <c:pt idx="585">
                  <c:v>-84.819249668489888</c:v>
                </c:pt>
                <c:pt idx="586">
                  <c:v>-84.964667189290722</c:v>
                </c:pt>
                <c:pt idx="587">
                  <c:v>-85.11008471009157</c:v>
                </c:pt>
                <c:pt idx="588">
                  <c:v>-85.255502230892418</c:v>
                </c:pt>
                <c:pt idx="589">
                  <c:v>-85.400919751693252</c:v>
                </c:pt>
                <c:pt idx="590">
                  <c:v>-85.5463372724941</c:v>
                </c:pt>
                <c:pt idx="591">
                  <c:v>-85.691754793294947</c:v>
                </c:pt>
                <c:pt idx="592">
                  <c:v>-85.837172314095795</c:v>
                </c:pt>
                <c:pt idx="593">
                  <c:v>-85.982589834896629</c:v>
                </c:pt>
                <c:pt idx="594">
                  <c:v>-86.128007355697477</c:v>
                </c:pt>
                <c:pt idx="595">
                  <c:v>-86.273424876498325</c:v>
                </c:pt>
                <c:pt idx="596">
                  <c:v>-86.418842397299159</c:v>
                </c:pt>
                <c:pt idx="597">
                  <c:v>-86.564259918100007</c:v>
                </c:pt>
                <c:pt idx="598">
                  <c:v>-86.709677438900854</c:v>
                </c:pt>
                <c:pt idx="599">
                  <c:v>-86.855094959701688</c:v>
                </c:pt>
                <c:pt idx="600">
                  <c:v>-87.000512480502536</c:v>
                </c:pt>
                <c:pt idx="601">
                  <c:v>-87.145930001303384</c:v>
                </c:pt>
                <c:pt idx="602">
                  <c:v>-87.291347522104232</c:v>
                </c:pt>
                <c:pt idx="603">
                  <c:v>-87.436765042905066</c:v>
                </c:pt>
                <c:pt idx="604">
                  <c:v>-87.582182563705913</c:v>
                </c:pt>
                <c:pt idx="605">
                  <c:v>-87.727600084506761</c:v>
                </c:pt>
                <c:pt idx="606">
                  <c:v>-87.873017605307595</c:v>
                </c:pt>
                <c:pt idx="607">
                  <c:v>-88.018435126108443</c:v>
                </c:pt>
                <c:pt idx="608">
                  <c:v>-88.163852646909291</c:v>
                </c:pt>
                <c:pt idx="609">
                  <c:v>-88.309270167710125</c:v>
                </c:pt>
                <c:pt idx="610">
                  <c:v>-88.454687688510973</c:v>
                </c:pt>
                <c:pt idx="611">
                  <c:v>-88.60010520931182</c:v>
                </c:pt>
                <c:pt idx="612">
                  <c:v>-88.745522730112668</c:v>
                </c:pt>
                <c:pt idx="613">
                  <c:v>-88.890940250913502</c:v>
                </c:pt>
                <c:pt idx="614">
                  <c:v>-89.03635777171435</c:v>
                </c:pt>
                <c:pt idx="615">
                  <c:v>-89.181775292515198</c:v>
                </c:pt>
                <c:pt idx="616">
                  <c:v>-89.327192813316032</c:v>
                </c:pt>
                <c:pt idx="617">
                  <c:v>-89.472610334116879</c:v>
                </c:pt>
                <c:pt idx="618">
                  <c:v>-89.618027854917727</c:v>
                </c:pt>
                <c:pt idx="619">
                  <c:v>-89.763445375718575</c:v>
                </c:pt>
                <c:pt idx="620">
                  <c:v>-89.908862896519409</c:v>
                </c:pt>
                <c:pt idx="621">
                  <c:v>-90.054280417320257</c:v>
                </c:pt>
                <c:pt idx="622">
                  <c:v>-90.199697938121105</c:v>
                </c:pt>
                <c:pt idx="623">
                  <c:v>-90.345115458921939</c:v>
                </c:pt>
                <c:pt idx="624">
                  <c:v>-90.490532979722786</c:v>
                </c:pt>
                <c:pt idx="625">
                  <c:v>-90.635950500523634</c:v>
                </c:pt>
                <c:pt idx="626">
                  <c:v>-90.781368021324468</c:v>
                </c:pt>
                <c:pt idx="627">
                  <c:v>-90.926785542125316</c:v>
                </c:pt>
                <c:pt idx="628">
                  <c:v>-91.072203062926164</c:v>
                </c:pt>
                <c:pt idx="629">
                  <c:v>-91.217620583727012</c:v>
                </c:pt>
                <c:pt idx="630">
                  <c:v>-91.363038104527845</c:v>
                </c:pt>
                <c:pt idx="631">
                  <c:v>-91.508455625328693</c:v>
                </c:pt>
                <c:pt idx="632">
                  <c:v>-91.653873146129541</c:v>
                </c:pt>
                <c:pt idx="633">
                  <c:v>-91.799290666930375</c:v>
                </c:pt>
                <c:pt idx="634">
                  <c:v>-91.944708187731223</c:v>
                </c:pt>
                <c:pt idx="635">
                  <c:v>-92.090125708532071</c:v>
                </c:pt>
                <c:pt idx="636">
                  <c:v>-92.235543229332905</c:v>
                </c:pt>
                <c:pt idx="637">
                  <c:v>-92.380960750133752</c:v>
                </c:pt>
                <c:pt idx="638">
                  <c:v>-92.5263782709346</c:v>
                </c:pt>
                <c:pt idx="639">
                  <c:v>-92.671795791735448</c:v>
                </c:pt>
                <c:pt idx="640">
                  <c:v>-92.817213312536282</c:v>
                </c:pt>
                <c:pt idx="641">
                  <c:v>-92.96263083333713</c:v>
                </c:pt>
                <c:pt idx="642">
                  <c:v>-93.108048354137978</c:v>
                </c:pt>
                <c:pt idx="643">
                  <c:v>-93.253465874938811</c:v>
                </c:pt>
                <c:pt idx="644">
                  <c:v>-93.398883395739659</c:v>
                </c:pt>
                <c:pt idx="645">
                  <c:v>-93.544300916540507</c:v>
                </c:pt>
                <c:pt idx="646">
                  <c:v>-93.689718437341341</c:v>
                </c:pt>
                <c:pt idx="647">
                  <c:v>-93.835135958142189</c:v>
                </c:pt>
                <c:pt idx="648">
                  <c:v>-93.980553478943037</c:v>
                </c:pt>
                <c:pt idx="649">
                  <c:v>-94.125970999743885</c:v>
                </c:pt>
                <c:pt idx="650">
                  <c:v>-94.271388520544718</c:v>
                </c:pt>
                <c:pt idx="651">
                  <c:v>-94.416806041345566</c:v>
                </c:pt>
                <c:pt idx="652">
                  <c:v>-94.562223562146414</c:v>
                </c:pt>
                <c:pt idx="653">
                  <c:v>-94.707641082947248</c:v>
                </c:pt>
                <c:pt idx="654">
                  <c:v>-94.853058603748096</c:v>
                </c:pt>
                <c:pt idx="655">
                  <c:v>-94.998476124548944</c:v>
                </c:pt>
                <c:pt idx="656">
                  <c:v>-95.143893645349777</c:v>
                </c:pt>
                <c:pt idx="657">
                  <c:v>-95.289311166150625</c:v>
                </c:pt>
                <c:pt idx="658">
                  <c:v>-95.434728686951473</c:v>
                </c:pt>
                <c:pt idx="659">
                  <c:v>-95.580146207752321</c:v>
                </c:pt>
                <c:pt idx="660">
                  <c:v>-95.725563728553155</c:v>
                </c:pt>
                <c:pt idx="661">
                  <c:v>-95.870981249354003</c:v>
                </c:pt>
                <c:pt idx="662">
                  <c:v>-96.016398770154851</c:v>
                </c:pt>
                <c:pt idx="663">
                  <c:v>-96.161816290955684</c:v>
                </c:pt>
                <c:pt idx="664">
                  <c:v>-96.307233811756532</c:v>
                </c:pt>
                <c:pt idx="665">
                  <c:v>-96.45265133255738</c:v>
                </c:pt>
                <c:pt idx="666">
                  <c:v>-96.598068853358228</c:v>
                </c:pt>
                <c:pt idx="667">
                  <c:v>-96.743486374159062</c:v>
                </c:pt>
                <c:pt idx="668">
                  <c:v>-96.88890389495991</c:v>
                </c:pt>
                <c:pt idx="669">
                  <c:v>-97.034321415760758</c:v>
                </c:pt>
                <c:pt idx="670">
                  <c:v>-97.179738936561591</c:v>
                </c:pt>
                <c:pt idx="671">
                  <c:v>-97.325156457362439</c:v>
                </c:pt>
                <c:pt idx="672">
                  <c:v>-97.470573978163287</c:v>
                </c:pt>
                <c:pt idx="673">
                  <c:v>-97.615991498964121</c:v>
                </c:pt>
                <c:pt idx="674">
                  <c:v>-97.761409019764969</c:v>
                </c:pt>
                <c:pt idx="675">
                  <c:v>-97.906826540565817</c:v>
                </c:pt>
                <c:pt idx="676">
                  <c:v>-98.052244061366665</c:v>
                </c:pt>
                <c:pt idx="677">
                  <c:v>-98.197661582167498</c:v>
                </c:pt>
                <c:pt idx="678">
                  <c:v>-98.343079102968346</c:v>
                </c:pt>
                <c:pt idx="679">
                  <c:v>-98.488496623769194</c:v>
                </c:pt>
                <c:pt idx="680">
                  <c:v>-98.633914144570028</c:v>
                </c:pt>
                <c:pt idx="681">
                  <c:v>-98.779331665370876</c:v>
                </c:pt>
                <c:pt idx="682">
                  <c:v>-98.924749186171724</c:v>
                </c:pt>
                <c:pt idx="683">
                  <c:v>-99.070166706972557</c:v>
                </c:pt>
                <c:pt idx="684">
                  <c:v>-99.215584227773405</c:v>
                </c:pt>
                <c:pt idx="685">
                  <c:v>-99.361001748574253</c:v>
                </c:pt>
                <c:pt idx="686">
                  <c:v>-99.506419269375101</c:v>
                </c:pt>
                <c:pt idx="687">
                  <c:v>-99.651836790175935</c:v>
                </c:pt>
                <c:pt idx="688">
                  <c:v>-99.797254310976783</c:v>
                </c:pt>
                <c:pt idx="689">
                  <c:v>-99.942671831777631</c:v>
                </c:pt>
                <c:pt idx="690">
                  <c:v>-100.08808935257846</c:v>
                </c:pt>
                <c:pt idx="691">
                  <c:v>-100.23350687337931</c:v>
                </c:pt>
                <c:pt idx="692">
                  <c:v>-100.37892439418016</c:v>
                </c:pt>
                <c:pt idx="693">
                  <c:v>-100.52434191498099</c:v>
                </c:pt>
                <c:pt idx="694">
                  <c:v>-100.66975943578184</c:v>
                </c:pt>
                <c:pt idx="695">
                  <c:v>-100.81517695658269</c:v>
                </c:pt>
                <c:pt idx="696">
                  <c:v>-100.96059447738354</c:v>
                </c:pt>
                <c:pt idx="697">
                  <c:v>-101.10601199818437</c:v>
                </c:pt>
                <c:pt idx="698">
                  <c:v>-101.25142951898522</c:v>
                </c:pt>
                <c:pt idx="699">
                  <c:v>-101.39684703978607</c:v>
                </c:pt>
                <c:pt idx="700">
                  <c:v>-101.5422645605869</c:v>
                </c:pt>
                <c:pt idx="701">
                  <c:v>-101.68768208138775</c:v>
                </c:pt>
                <c:pt idx="702">
                  <c:v>-101.8330996021886</c:v>
                </c:pt>
                <c:pt idx="703">
                  <c:v>-101.97851712298943</c:v>
                </c:pt>
                <c:pt idx="704">
                  <c:v>-102.12393464379028</c:v>
                </c:pt>
                <c:pt idx="705">
                  <c:v>-102.26935216459113</c:v>
                </c:pt>
                <c:pt idx="706">
                  <c:v>-102.41476968539197</c:v>
                </c:pt>
                <c:pt idx="707">
                  <c:v>-102.56018720619281</c:v>
                </c:pt>
                <c:pt idx="708">
                  <c:v>-102.70560472699366</c:v>
                </c:pt>
                <c:pt idx="709">
                  <c:v>-102.8510222477945</c:v>
                </c:pt>
                <c:pt idx="710">
                  <c:v>-102.99643976859534</c:v>
                </c:pt>
                <c:pt idx="711">
                  <c:v>-103.14185728939619</c:v>
                </c:pt>
                <c:pt idx="712">
                  <c:v>-103.28727481019703</c:v>
                </c:pt>
                <c:pt idx="713">
                  <c:v>-103.43269233099788</c:v>
                </c:pt>
                <c:pt idx="714">
                  <c:v>-103.57810985179871</c:v>
                </c:pt>
                <c:pt idx="715">
                  <c:v>-103.72352737259956</c:v>
                </c:pt>
                <c:pt idx="716">
                  <c:v>-103.86894489340041</c:v>
                </c:pt>
                <c:pt idx="717">
                  <c:v>-104.01436241420124</c:v>
                </c:pt>
                <c:pt idx="718">
                  <c:v>-104.15977993500209</c:v>
                </c:pt>
                <c:pt idx="719">
                  <c:v>-104.30519745580294</c:v>
                </c:pt>
                <c:pt idx="720">
                  <c:v>-104.45061497660377</c:v>
                </c:pt>
                <c:pt idx="721">
                  <c:v>-104.59603249740462</c:v>
                </c:pt>
                <c:pt idx="722">
                  <c:v>-104.74145001820547</c:v>
                </c:pt>
                <c:pt idx="723">
                  <c:v>-104.88686753900632</c:v>
                </c:pt>
                <c:pt idx="724">
                  <c:v>-105.03228505980715</c:v>
                </c:pt>
                <c:pt idx="725">
                  <c:v>-105.177702580608</c:v>
                </c:pt>
                <c:pt idx="726">
                  <c:v>-105.32312010140885</c:v>
                </c:pt>
                <c:pt idx="727">
                  <c:v>-105.46853762220968</c:v>
                </c:pt>
                <c:pt idx="728">
                  <c:v>-105.61395514301053</c:v>
                </c:pt>
                <c:pt idx="729">
                  <c:v>-105.75937266381138</c:v>
                </c:pt>
                <c:pt idx="730">
                  <c:v>-105.90479018461221</c:v>
                </c:pt>
                <c:pt idx="731">
                  <c:v>-106.05020770541306</c:v>
                </c:pt>
                <c:pt idx="732">
                  <c:v>-106.19562522621391</c:v>
                </c:pt>
                <c:pt idx="733">
                  <c:v>-106.34104274701475</c:v>
                </c:pt>
                <c:pt idx="734">
                  <c:v>-106.48646026781559</c:v>
                </c:pt>
                <c:pt idx="735">
                  <c:v>-106.63187778861644</c:v>
                </c:pt>
                <c:pt idx="736">
                  <c:v>-106.77729530941728</c:v>
                </c:pt>
                <c:pt idx="737">
                  <c:v>-106.92271283021812</c:v>
                </c:pt>
                <c:pt idx="738">
                  <c:v>-107.06813035101897</c:v>
                </c:pt>
                <c:pt idx="739">
                  <c:v>-107.21354787181981</c:v>
                </c:pt>
                <c:pt idx="740">
                  <c:v>-107.35896539262065</c:v>
                </c:pt>
                <c:pt idx="741">
                  <c:v>-107.50438291342149</c:v>
                </c:pt>
                <c:pt idx="742">
                  <c:v>-107.64980043422234</c:v>
                </c:pt>
                <c:pt idx="743">
                  <c:v>-107.79521795502319</c:v>
                </c:pt>
                <c:pt idx="744">
                  <c:v>-107.94063547582402</c:v>
                </c:pt>
                <c:pt idx="745">
                  <c:v>-108.08605299662487</c:v>
                </c:pt>
                <c:pt idx="746">
                  <c:v>-108.23147051742572</c:v>
                </c:pt>
                <c:pt idx="747">
                  <c:v>-108.37688803822655</c:v>
                </c:pt>
                <c:pt idx="748">
                  <c:v>-108.5223055590274</c:v>
                </c:pt>
                <c:pt idx="749">
                  <c:v>-108.66772307982825</c:v>
                </c:pt>
                <c:pt idx="750">
                  <c:v>-108.81314060062908</c:v>
                </c:pt>
                <c:pt idx="751">
                  <c:v>-108.95855812142993</c:v>
                </c:pt>
                <c:pt idx="752">
                  <c:v>-109.10397564223078</c:v>
                </c:pt>
                <c:pt idx="753">
                  <c:v>-109.24939316303163</c:v>
                </c:pt>
                <c:pt idx="754">
                  <c:v>-109.39481068383246</c:v>
                </c:pt>
                <c:pt idx="755">
                  <c:v>-109.54022820463331</c:v>
                </c:pt>
                <c:pt idx="756">
                  <c:v>-109.68564572543416</c:v>
                </c:pt>
                <c:pt idx="757">
                  <c:v>-109.83106324623499</c:v>
                </c:pt>
                <c:pt idx="758">
                  <c:v>-109.97648076703584</c:v>
                </c:pt>
                <c:pt idx="759">
                  <c:v>-110.12189828783669</c:v>
                </c:pt>
                <c:pt idx="760">
                  <c:v>-110.26731580863753</c:v>
                </c:pt>
                <c:pt idx="761">
                  <c:v>-110.41273332943837</c:v>
                </c:pt>
                <c:pt idx="762">
                  <c:v>-110.55815085023922</c:v>
                </c:pt>
                <c:pt idx="763">
                  <c:v>-110.70356837104006</c:v>
                </c:pt>
                <c:pt idx="764">
                  <c:v>-110.8489858918409</c:v>
                </c:pt>
                <c:pt idx="765">
                  <c:v>-110.99440341264174</c:v>
                </c:pt>
                <c:pt idx="766">
                  <c:v>-111.13982093344259</c:v>
                </c:pt>
                <c:pt idx="767">
                  <c:v>-111.28523845424343</c:v>
                </c:pt>
                <c:pt idx="768">
                  <c:v>-111.43065597504427</c:v>
                </c:pt>
                <c:pt idx="769">
                  <c:v>-111.57607349584512</c:v>
                </c:pt>
                <c:pt idx="770">
                  <c:v>-111.72149101664597</c:v>
                </c:pt>
                <c:pt idx="771">
                  <c:v>-111.8669085374468</c:v>
                </c:pt>
                <c:pt idx="772">
                  <c:v>-112.01232605824765</c:v>
                </c:pt>
                <c:pt idx="773">
                  <c:v>-112.1577435790485</c:v>
                </c:pt>
                <c:pt idx="774">
                  <c:v>-112.30316109984933</c:v>
                </c:pt>
                <c:pt idx="775">
                  <c:v>-112.44857862065018</c:v>
                </c:pt>
                <c:pt idx="776">
                  <c:v>-112.59399614145103</c:v>
                </c:pt>
                <c:pt idx="777">
                  <c:v>-112.73941366225186</c:v>
                </c:pt>
                <c:pt idx="778">
                  <c:v>-112.88483118305271</c:v>
                </c:pt>
                <c:pt idx="779">
                  <c:v>-113.03024870385356</c:v>
                </c:pt>
                <c:pt idx="780">
                  <c:v>-113.17566622465441</c:v>
                </c:pt>
                <c:pt idx="781">
                  <c:v>-113.32108374545524</c:v>
                </c:pt>
                <c:pt idx="782">
                  <c:v>-113.46650126625609</c:v>
                </c:pt>
                <c:pt idx="783">
                  <c:v>-113.61191878705694</c:v>
                </c:pt>
                <c:pt idx="784">
                  <c:v>-113.75733630785777</c:v>
                </c:pt>
                <c:pt idx="785">
                  <c:v>-113.90275382865862</c:v>
                </c:pt>
                <c:pt idx="786">
                  <c:v>-114.04817134945947</c:v>
                </c:pt>
                <c:pt idx="787">
                  <c:v>-114.1935888702603</c:v>
                </c:pt>
                <c:pt idx="788">
                  <c:v>-114.33900639106115</c:v>
                </c:pt>
                <c:pt idx="789">
                  <c:v>-114.484423911862</c:v>
                </c:pt>
                <c:pt idx="790">
                  <c:v>-114.62984143266284</c:v>
                </c:pt>
                <c:pt idx="791">
                  <c:v>-114.77525895346368</c:v>
                </c:pt>
                <c:pt idx="792">
                  <c:v>-114.92067647426452</c:v>
                </c:pt>
                <c:pt idx="793">
                  <c:v>-115.06609399506537</c:v>
                </c:pt>
                <c:pt idx="794">
                  <c:v>-115.21151151586621</c:v>
                </c:pt>
                <c:pt idx="795">
                  <c:v>-115.35692903666705</c:v>
                </c:pt>
                <c:pt idx="796">
                  <c:v>-115.5023465574679</c:v>
                </c:pt>
                <c:pt idx="797">
                  <c:v>-115.64776407826875</c:v>
                </c:pt>
                <c:pt idx="798">
                  <c:v>-115.79318159906958</c:v>
                </c:pt>
                <c:pt idx="799">
                  <c:v>-115.93859911987043</c:v>
                </c:pt>
                <c:pt idx="800">
                  <c:v>-116.08401664067128</c:v>
                </c:pt>
                <c:pt idx="801">
                  <c:v>-116.22943416147211</c:v>
                </c:pt>
                <c:pt idx="802">
                  <c:v>-116.37485168227296</c:v>
                </c:pt>
                <c:pt idx="803">
                  <c:v>-116.52026920307381</c:v>
                </c:pt>
                <c:pt idx="804">
                  <c:v>-116.66568672387464</c:v>
                </c:pt>
                <c:pt idx="805">
                  <c:v>-116.81110424467549</c:v>
                </c:pt>
                <c:pt idx="806">
                  <c:v>-116.95652176547634</c:v>
                </c:pt>
                <c:pt idx="807">
                  <c:v>-117.10193928627719</c:v>
                </c:pt>
                <c:pt idx="808">
                  <c:v>-117.24735680707802</c:v>
                </c:pt>
                <c:pt idx="809">
                  <c:v>-117.39277432787887</c:v>
                </c:pt>
                <c:pt idx="810">
                  <c:v>-117.53819184867972</c:v>
                </c:pt>
                <c:pt idx="811">
                  <c:v>-117.68360936948055</c:v>
                </c:pt>
                <c:pt idx="812">
                  <c:v>-117.8290268902814</c:v>
                </c:pt>
                <c:pt idx="813">
                  <c:v>-117.97444441108225</c:v>
                </c:pt>
                <c:pt idx="814">
                  <c:v>-118.11986193188308</c:v>
                </c:pt>
                <c:pt idx="815">
                  <c:v>-118.26527945268393</c:v>
                </c:pt>
                <c:pt idx="816">
                  <c:v>-118.41069697348478</c:v>
                </c:pt>
                <c:pt idx="817">
                  <c:v>-118.55611449428562</c:v>
                </c:pt>
                <c:pt idx="818">
                  <c:v>-118.70153201508646</c:v>
                </c:pt>
                <c:pt idx="819">
                  <c:v>-118.8469495358873</c:v>
                </c:pt>
                <c:pt idx="820">
                  <c:v>-118.99236705668815</c:v>
                </c:pt>
                <c:pt idx="821">
                  <c:v>-119.13778457748899</c:v>
                </c:pt>
                <c:pt idx="822">
                  <c:v>-119.28320209828983</c:v>
                </c:pt>
                <c:pt idx="823">
                  <c:v>-119.42861961909068</c:v>
                </c:pt>
                <c:pt idx="824">
                  <c:v>-119.57403713989152</c:v>
                </c:pt>
                <c:pt idx="825">
                  <c:v>-119.71945466069236</c:v>
                </c:pt>
                <c:pt idx="826">
                  <c:v>-119.86487218149321</c:v>
                </c:pt>
                <c:pt idx="827">
                  <c:v>-120.01028970229406</c:v>
                </c:pt>
                <c:pt idx="828">
                  <c:v>-120.15570722309489</c:v>
                </c:pt>
                <c:pt idx="829">
                  <c:v>-120.30112474389574</c:v>
                </c:pt>
                <c:pt idx="830">
                  <c:v>-120.44654226469659</c:v>
                </c:pt>
                <c:pt idx="831">
                  <c:v>-120.59195978549742</c:v>
                </c:pt>
                <c:pt idx="832">
                  <c:v>-120.73737730629827</c:v>
                </c:pt>
                <c:pt idx="833">
                  <c:v>-120.88279482709912</c:v>
                </c:pt>
                <c:pt idx="834">
                  <c:v>-121.02821234789995</c:v>
                </c:pt>
                <c:pt idx="835">
                  <c:v>-121.1736298687008</c:v>
                </c:pt>
                <c:pt idx="836">
                  <c:v>-121.31904738950165</c:v>
                </c:pt>
                <c:pt idx="837">
                  <c:v>-121.4644649103025</c:v>
                </c:pt>
                <c:pt idx="838">
                  <c:v>-121.60988243110333</c:v>
                </c:pt>
                <c:pt idx="839">
                  <c:v>-121.75529995190418</c:v>
                </c:pt>
                <c:pt idx="840">
                  <c:v>-121.90071747270503</c:v>
                </c:pt>
                <c:pt idx="841">
                  <c:v>-122.04613499350586</c:v>
                </c:pt>
                <c:pt idx="842">
                  <c:v>-122.19155251430671</c:v>
                </c:pt>
                <c:pt idx="843">
                  <c:v>-122.33697003510756</c:v>
                </c:pt>
                <c:pt idx="844">
                  <c:v>-122.4823875559084</c:v>
                </c:pt>
                <c:pt idx="845">
                  <c:v>-122.62780507670924</c:v>
                </c:pt>
                <c:pt idx="846">
                  <c:v>-122.77322259751008</c:v>
                </c:pt>
                <c:pt idx="847">
                  <c:v>-122.91864011831093</c:v>
                </c:pt>
                <c:pt idx="848">
                  <c:v>-123.06405763911177</c:v>
                </c:pt>
                <c:pt idx="849">
                  <c:v>-123.20947515991261</c:v>
                </c:pt>
                <c:pt idx="850">
                  <c:v>-123.35489268071346</c:v>
                </c:pt>
                <c:pt idx="851">
                  <c:v>-123.5003102015143</c:v>
                </c:pt>
                <c:pt idx="852">
                  <c:v>-123.64572772231514</c:v>
                </c:pt>
                <c:pt idx="853">
                  <c:v>-123.79114524311599</c:v>
                </c:pt>
                <c:pt idx="854">
                  <c:v>-123.93656276391684</c:v>
                </c:pt>
                <c:pt idx="855">
                  <c:v>-124.08198028471767</c:v>
                </c:pt>
                <c:pt idx="856">
                  <c:v>-124.22739780551852</c:v>
                </c:pt>
                <c:pt idx="857">
                  <c:v>-124.37281532631937</c:v>
                </c:pt>
                <c:pt idx="858">
                  <c:v>-124.5182328471202</c:v>
                </c:pt>
                <c:pt idx="859">
                  <c:v>-124.66365036792105</c:v>
                </c:pt>
                <c:pt idx="860">
                  <c:v>-124.8090678887219</c:v>
                </c:pt>
                <c:pt idx="861">
                  <c:v>-124.95448540952273</c:v>
                </c:pt>
                <c:pt idx="862">
                  <c:v>-125.09990293032358</c:v>
                </c:pt>
                <c:pt idx="863">
                  <c:v>-125.24532045112443</c:v>
                </c:pt>
                <c:pt idx="864">
                  <c:v>-125.39073797192528</c:v>
                </c:pt>
                <c:pt idx="865">
                  <c:v>-125.53615549272611</c:v>
                </c:pt>
                <c:pt idx="866">
                  <c:v>-125.68157301352696</c:v>
                </c:pt>
                <c:pt idx="867">
                  <c:v>-125.82699053432781</c:v>
                </c:pt>
                <c:pt idx="868">
                  <c:v>-125.97240805512864</c:v>
                </c:pt>
                <c:pt idx="869">
                  <c:v>-126.11782557592949</c:v>
                </c:pt>
                <c:pt idx="870">
                  <c:v>-126.26324309673033</c:v>
                </c:pt>
                <c:pt idx="871">
                  <c:v>-126.40866061753117</c:v>
                </c:pt>
                <c:pt idx="872">
                  <c:v>-126.55407813833202</c:v>
                </c:pt>
                <c:pt idx="873">
                  <c:v>-126.69949565913286</c:v>
                </c:pt>
                <c:pt idx="874">
                  <c:v>-126.84491317993371</c:v>
                </c:pt>
                <c:pt idx="875">
                  <c:v>-126.99033070073455</c:v>
                </c:pt>
                <c:pt idx="876">
                  <c:v>-127.13574822153539</c:v>
                </c:pt>
                <c:pt idx="877">
                  <c:v>-127.28116574233624</c:v>
                </c:pt>
                <c:pt idx="878">
                  <c:v>-127.42658326313708</c:v>
                </c:pt>
                <c:pt idx="879">
                  <c:v>-127.57200078393792</c:v>
                </c:pt>
                <c:pt idx="880">
                  <c:v>-127.71741830473877</c:v>
                </c:pt>
                <c:pt idx="881">
                  <c:v>-127.86283582553961</c:v>
                </c:pt>
                <c:pt idx="882">
                  <c:v>-128.00825334634047</c:v>
                </c:pt>
                <c:pt idx="883">
                  <c:v>-128.1536708671413</c:v>
                </c:pt>
                <c:pt idx="884">
                  <c:v>-128.29908838794213</c:v>
                </c:pt>
                <c:pt idx="885">
                  <c:v>-128.444505908743</c:v>
                </c:pt>
                <c:pt idx="886">
                  <c:v>-128.58992342954383</c:v>
                </c:pt>
                <c:pt idx="887">
                  <c:v>-128.73534095034466</c:v>
                </c:pt>
                <c:pt idx="888">
                  <c:v>-128.88075847114553</c:v>
                </c:pt>
                <c:pt idx="889">
                  <c:v>-129.02617599194636</c:v>
                </c:pt>
                <c:pt idx="890">
                  <c:v>-129.17159351274719</c:v>
                </c:pt>
                <c:pt idx="891">
                  <c:v>-129.31701103354806</c:v>
                </c:pt>
                <c:pt idx="892">
                  <c:v>-129.46242855434889</c:v>
                </c:pt>
                <c:pt idx="893">
                  <c:v>-129.60784607514972</c:v>
                </c:pt>
                <c:pt idx="894">
                  <c:v>-129.75326359595059</c:v>
                </c:pt>
                <c:pt idx="895">
                  <c:v>-129.89868111675142</c:v>
                </c:pt>
                <c:pt idx="896">
                  <c:v>-130.04409863755228</c:v>
                </c:pt>
                <c:pt idx="897">
                  <c:v>-130.18951615835311</c:v>
                </c:pt>
                <c:pt idx="898">
                  <c:v>-130.33493367915395</c:v>
                </c:pt>
                <c:pt idx="899">
                  <c:v>-130.48035119995481</c:v>
                </c:pt>
                <c:pt idx="900">
                  <c:v>-130.62576872075564</c:v>
                </c:pt>
                <c:pt idx="901">
                  <c:v>-130.77118624155648</c:v>
                </c:pt>
                <c:pt idx="902">
                  <c:v>-130.91660376235734</c:v>
                </c:pt>
                <c:pt idx="903">
                  <c:v>-131.06202128315817</c:v>
                </c:pt>
                <c:pt idx="904">
                  <c:v>-131.20743880395901</c:v>
                </c:pt>
                <c:pt idx="905">
                  <c:v>-131.35285632475987</c:v>
                </c:pt>
                <c:pt idx="906">
                  <c:v>-131.4982738455607</c:v>
                </c:pt>
                <c:pt idx="907">
                  <c:v>-131.64369136636154</c:v>
                </c:pt>
                <c:pt idx="908">
                  <c:v>-131.7891088871624</c:v>
                </c:pt>
                <c:pt idx="909">
                  <c:v>-131.93452640796323</c:v>
                </c:pt>
                <c:pt idx="910">
                  <c:v>-132.07994392876407</c:v>
                </c:pt>
                <c:pt idx="911">
                  <c:v>-132.22536144956493</c:v>
                </c:pt>
                <c:pt idx="912">
                  <c:v>-132.37077897036576</c:v>
                </c:pt>
                <c:pt idx="913">
                  <c:v>-132.5161964911666</c:v>
                </c:pt>
                <c:pt idx="914">
                  <c:v>-132.66161401196746</c:v>
                </c:pt>
                <c:pt idx="915">
                  <c:v>-132.80703153276829</c:v>
                </c:pt>
                <c:pt idx="916">
                  <c:v>-132.95244905356915</c:v>
                </c:pt>
                <c:pt idx="917">
                  <c:v>-133.09786657436999</c:v>
                </c:pt>
                <c:pt idx="918">
                  <c:v>-133.24328409517082</c:v>
                </c:pt>
                <c:pt idx="919">
                  <c:v>-133.38870161597168</c:v>
                </c:pt>
                <c:pt idx="920">
                  <c:v>-133.53411913677252</c:v>
                </c:pt>
                <c:pt idx="921">
                  <c:v>-133.67953665757335</c:v>
                </c:pt>
                <c:pt idx="922">
                  <c:v>-133.82495417837421</c:v>
                </c:pt>
                <c:pt idx="923">
                  <c:v>-133.97037169917505</c:v>
                </c:pt>
                <c:pt idx="924">
                  <c:v>-134.11578921997588</c:v>
                </c:pt>
                <c:pt idx="925">
                  <c:v>-134.26120674077674</c:v>
                </c:pt>
                <c:pt idx="926">
                  <c:v>-134.40662426157758</c:v>
                </c:pt>
                <c:pt idx="927">
                  <c:v>-134.55204178237841</c:v>
                </c:pt>
                <c:pt idx="928">
                  <c:v>-134.69745930317927</c:v>
                </c:pt>
                <c:pt idx="929">
                  <c:v>-134.84287682398011</c:v>
                </c:pt>
                <c:pt idx="930">
                  <c:v>-134.98829434478094</c:v>
                </c:pt>
                <c:pt idx="931">
                  <c:v>-135.1337118655818</c:v>
                </c:pt>
                <c:pt idx="932">
                  <c:v>-135.27912938638264</c:v>
                </c:pt>
                <c:pt idx="933">
                  <c:v>-135.42454690718347</c:v>
                </c:pt>
                <c:pt idx="934">
                  <c:v>-135.56996442798433</c:v>
                </c:pt>
                <c:pt idx="935">
                  <c:v>-135.71538194878516</c:v>
                </c:pt>
                <c:pt idx="936">
                  <c:v>-135.86079946958603</c:v>
                </c:pt>
                <c:pt idx="937">
                  <c:v>-136.00621699038686</c:v>
                </c:pt>
                <c:pt idx="938">
                  <c:v>-136.15163451118769</c:v>
                </c:pt>
                <c:pt idx="939">
                  <c:v>-136.29705203198856</c:v>
                </c:pt>
                <c:pt idx="940">
                  <c:v>-136.44246955278939</c:v>
                </c:pt>
                <c:pt idx="941">
                  <c:v>-136.58788707359022</c:v>
                </c:pt>
                <c:pt idx="942">
                  <c:v>-136.73330459439109</c:v>
                </c:pt>
                <c:pt idx="943">
                  <c:v>-136.87872211519192</c:v>
                </c:pt>
                <c:pt idx="944">
                  <c:v>-137.02413963599275</c:v>
                </c:pt>
                <c:pt idx="945">
                  <c:v>-137.16955715679362</c:v>
                </c:pt>
                <c:pt idx="946">
                  <c:v>-137.31497467759445</c:v>
                </c:pt>
                <c:pt idx="947">
                  <c:v>-137.46039219839528</c:v>
                </c:pt>
                <c:pt idx="948">
                  <c:v>-137.60580971919615</c:v>
                </c:pt>
                <c:pt idx="949">
                  <c:v>-137.75122723999698</c:v>
                </c:pt>
                <c:pt idx="950">
                  <c:v>-137.89664476079781</c:v>
                </c:pt>
                <c:pt idx="951">
                  <c:v>-138.04206228159867</c:v>
                </c:pt>
                <c:pt idx="952">
                  <c:v>-138.18747980239951</c:v>
                </c:pt>
                <c:pt idx="953">
                  <c:v>-138.33289732320037</c:v>
                </c:pt>
                <c:pt idx="954">
                  <c:v>-138.4783148440012</c:v>
                </c:pt>
                <c:pt idx="955">
                  <c:v>-138.62373236480204</c:v>
                </c:pt>
                <c:pt idx="956">
                  <c:v>-138.7691498856029</c:v>
                </c:pt>
                <c:pt idx="957">
                  <c:v>-138.91456740640373</c:v>
                </c:pt>
                <c:pt idx="958">
                  <c:v>-139.05998492720457</c:v>
                </c:pt>
                <c:pt idx="959">
                  <c:v>-139.20540244800543</c:v>
                </c:pt>
                <c:pt idx="960">
                  <c:v>-139.35081996880626</c:v>
                </c:pt>
                <c:pt idx="961">
                  <c:v>-139.4962374896071</c:v>
                </c:pt>
                <c:pt idx="962">
                  <c:v>-139.64165501040796</c:v>
                </c:pt>
                <c:pt idx="963">
                  <c:v>-139.78707253120879</c:v>
                </c:pt>
                <c:pt idx="964">
                  <c:v>-139.93249005200963</c:v>
                </c:pt>
                <c:pt idx="965">
                  <c:v>-140.07790757281049</c:v>
                </c:pt>
                <c:pt idx="966">
                  <c:v>-140.22332509361132</c:v>
                </c:pt>
                <c:pt idx="967">
                  <c:v>-140.36874261441216</c:v>
                </c:pt>
                <c:pt idx="968">
                  <c:v>-140.51416013521302</c:v>
                </c:pt>
                <c:pt idx="969">
                  <c:v>-140.65957765601385</c:v>
                </c:pt>
                <c:pt idx="970">
                  <c:v>-140.80499517681469</c:v>
                </c:pt>
                <c:pt idx="971">
                  <c:v>-140.95041269761555</c:v>
                </c:pt>
                <c:pt idx="972">
                  <c:v>-141.09583021841638</c:v>
                </c:pt>
                <c:pt idx="973">
                  <c:v>-141.24124773921724</c:v>
                </c:pt>
                <c:pt idx="974">
                  <c:v>-141.38666526001808</c:v>
                </c:pt>
                <c:pt idx="975">
                  <c:v>-141.53208278081891</c:v>
                </c:pt>
                <c:pt idx="976">
                  <c:v>-141.67750030161977</c:v>
                </c:pt>
                <c:pt idx="977">
                  <c:v>-141.82291782242061</c:v>
                </c:pt>
                <c:pt idx="978">
                  <c:v>-141.96833534322144</c:v>
                </c:pt>
                <c:pt idx="979">
                  <c:v>-142.1137528640223</c:v>
                </c:pt>
                <c:pt idx="980">
                  <c:v>-142.25917038482314</c:v>
                </c:pt>
                <c:pt idx="981">
                  <c:v>-142.40458790562397</c:v>
                </c:pt>
                <c:pt idx="982">
                  <c:v>-142.55000542642483</c:v>
                </c:pt>
                <c:pt idx="983">
                  <c:v>-142.69542294722567</c:v>
                </c:pt>
                <c:pt idx="984">
                  <c:v>-142.8408404680265</c:v>
                </c:pt>
                <c:pt idx="985">
                  <c:v>-142.98625798882736</c:v>
                </c:pt>
                <c:pt idx="986">
                  <c:v>-143.1316755096282</c:v>
                </c:pt>
                <c:pt idx="987">
                  <c:v>-143.27709303042903</c:v>
                </c:pt>
                <c:pt idx="988">
                  <c:v>-143.42251055122989</c:v>
                </c:pt>
                <c:pt idx="989">
                  <c:v>-143.56792807203072</c:v>
                </c:pt>
                <c:pt idx="990">
                  <c:v>-143.71334559283159</c:v>
                </c:pt>
                <c:pt idx="991">
                  <c:v>-143.85876311363242</c:v>
                </c:pt>
                <c:pt idx="992">
                  <c:v>-144.00418063443325</c:v>
                </c:pt>
                <c:pt idx="993">
                  <c:v>-144.14959815523412</c:v>
                </c:pt>
                <c:pt idx="994">
                  <c:v>-144.29501567603495</c:v>
                </c:pt>
                <c:pt idx="995">
                  <c:v>-144.44043319683578</c:v>
                </c:pt>
                <c:pt idx="996">
                  <c:v>-144.58585071763665</c:v>
                </c:pt>
                <c:pt idx="997">
                  <c:v>-144.73126823843748</c:v>
                </c:pt>
                <c:pt idx="998">
                  <c:v>-144.87668575923831</c:v>
                </c:pt>
                <c:pt idx="999">
                  <c:v>-145.02210328003918</c:v>
                </c:pt>
                <c:pt idx="1000">
                  <c:v>-145.16752080084001</c:v>
                </c:pt>
                <c:pt idx="1001">
                  <c:v>-145.31293832164084</c:v>
                </c:pt>
                <c:pt idx="1002">
                  <c:v>-145.4583558424417</c:v>
                </c:pt>
                <c:pt idx="1003">
                  <c:v>-145.60377336324254</c:v>
                </c:pt>
                <c:pt idx="1004">
                  <c:v>-145.74919088404337</c:v>
                </c:pt>
                <c:pt idx="1005">
                  <c:v>-145.89460840484423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56-444B-A1B9-9254800A5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4729696"/>
        <c:axId val="801202304"/>
      </c:scatterChart>
      <c:valAx>
        <c:axId val="65472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Risk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202304"/>
        <c:crosses val="autoZero"/>
        <c:crossBetween val="midCat"/>
      </c:valAx>
      <c:valAx>
        <c:axId val="80120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729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OPTIMAL PORTFOLIO WEIGHTS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ANALYSIS!$A$2:$A$5</c:f>
              <c:strCache>
                <c:ptCount val="4"/>
                <c:pt idx="0">
                  <c:v>DATA01 Weight</c:v>
                </c:pt>
                <c:pt idx="1">
                  <c:v>DATA02 Weight</c:v>
                </c:pt>
                <c:pt idx="2">
                  <c:v>DATA03 Weight</c:v>
                </c:pt>
                <c:pt idx="3">
                  <c:v>DATA04 Weight</c:v>
                </c:pt>
              </c:strCache>
            </c:strRef>
          </c:cat>
          <c:val>
            <c:numRef>
              <c:f>ANALYSIS!$B$2:$B$5</c:f>
              <c:numCache>
                <c:formatCode>0.00%</c:formatCode>
                <c:ptCount val="4"/>
                <c:pt idx="0">
                  <c:v>0.22262590090635054</c:v>
                </c:pt>
                <c:pt idx="1">
                  <c:v>0.2038163757963008</c:v>
                </c:pt>
                <c:pt idx="2">
                  <c:v>0.30227005086302949</c:v>
                </c:pt>
                <c:pt idx="3">
                  <c:v>0.27128770990516365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44-4119-8A27-6C660F131BB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14060352"/>
        <c:axId val="414065056"/>
      </c:barChart>
      <c:catAx>
        <c:axId val="41406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065056"/>
        <c:crosses val="autoZero"/>
        <c:auto val="1"/>
        <c:lblAlgn val="ctr"/>
        <c:lblOffset val="100"/>
        <c:noMultiLvlLbl val="0"/>
      </c:catAx>
      <c:valAx>
        <c:axId val="41406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06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7040217D-D7F4-4919-BDF6-2364978245CB}">
          <cx:dataId val="0"/>
          <cx:layoutPr>
            <cx:binning intervalClosed="r">
              <cx:binCount val="5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93736</xdr:colOff>
      <xdr:row>2</xdr:row>
      <xdr:rowOff>28507</xdr:rowOff>
    </xdr:from>
    <xdr:to>
      <xdr:col>42</xdr:col>
      <xdr:colOff>601736</xdr:colOff>
      <xdr:row>19</xdr:row>
      <xdr:rowOff>71278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0A79DA-44EB-4F53-A665-DE34603ED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5953</xdr:colOff>
      <xdr:row>10</xdr:row>
      <xdr:rowOff>39290</xdr:rowOff>
    </xdr:from>
    <xdr:to>
      <xdr:col>18</xdr:col>
      <xdr:colOff>11906</xdr:colOff>
      <xdr:row>26</xdr:row>
      <xdr:rowOff>11906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78A18E8-474A-48C0-B96B-8BCD0A340E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69478" y="2020490"/>
              <a:ext cx="4920853" cy="30968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5</xdr:col>
      <xdr:colOff>142875</xdr:colOff>
      <xdr:row>33</xdr:row>
      <xdr:rowOff>4762</xdr:rowOff>
    </xdr:from>
    <xdr:ext cx="602088" cy="1749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75F9C38-92D0-4806-BCB5-C60748838DDF}"/>
                </a:ext>
              </a:extLst>
            </xdr:cNvPr>
            <xdr:cNvSpPr txBox="1"/>
          </xdr:nvSpPr>
          <xdr:spPr>
            <a:xfrm>
              <a:off x="14144625" y="5148262"/>
              <a:ext cx="602088" cy="1749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h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𝑒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75F9C38-92D0-4806-BCB5-C60748838DDF}"/>
                </a:ext>
              </a:extLst>
            </xdr:cNvPr>
            <xdr:cNvSpPr txBox="1"/>
          </xdr:nvSpPr>
          <xdr:spPr>
            <a:xfrm>
              <a:off x="14144625" y="5148262"/>
              <a:ext cx="602088" cy="1749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ℎ=𝑒𝐶^(−1)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5</xdr:col>
      <xdr:colOff>133350</xdr:colOff>
      <xdr:row>34</xdr:row>
      <xdr:rowOff>23812</xdr:rowOff>
    </xdr:from>
    <xdr:ext cx="607282" cy="1749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1D21B1C-E169-4B5C-AFE0-E523DBE3E96C}"/>
                </a:ext>
              </a:extLst>
            </xdr:cNvPr>
            <xdr:cNvSpPr txBox="1"/>
          </xdr:nvSpPr>
          <xdr:spPr>
            <a:xfrm>
              <a:off x="14135100" y="5357812"/>
              <a:ext cx="607282" cy="1749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𝑔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𝑟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1D21B1C-E169-4B5C-AFE0-E523DBE3E96C}"/>
                </a:ext>
              </a:extLst>
            </xdr:cNvPr>
            <xdr:cNvSpPr txBox="1"/>
          </xdr:nvSpPr>
          <xdr:spPr>
            <a:xfrm>
              <a:off x="14135100" y="5357812"/>
              <a:ext cx="607282" cy="1749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𝑔=𝑟𝐶^(−1)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</xdr:col>
      <xdr:colOff>95250</xdr:colOff>
      <xdr:row>35</xdr:row>
      <xdr:rowOff>23812</xdr:rowOff>
    </xdr:from>
    <xdr:ext cx="530338" cy="1754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A660CAC-8D28-472E-AAC2-FCB517BCB2C4}"/>
                </a:ext>
              </a:extLst>
            </xdr:cNvPr>
            <xdr:cNvSpPr txBox="1"/>
          </xdr:nvSpPr>
          <xdr:spPr>
            <a:xfrm>
              <a:off x="11734800" y="5738812"/>
              <a:ext cx="530338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𝑒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A660CAC-8D28-472E-AAC2-FCB517BCB2C4}"/>
                </a:ext>
              </a:extLst>
            </xdr:cNvPr>
            <xdr:cNvSpPr txBox="1"/>
          </xdr:nvSpPr>
          <xdr:spPr>
            <a:xfrm>
              <a:off x="11734800" y="5738812"/>
              <a:ext cx="530338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GB" sz="1100" b="0" i="0">
                  <a:latin typeface="Cambria Math" panose="02040503050406030204" pitchFamily="18" charset="0"/>
                </a:rPr>
                <a:t>=𝑒ℎ^𝑇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</xdr:col>
      <xdr:colOff>85725</xdr:colOff>
      <xdr:row>36</xdr:row>
      <xdr:rowOff>23812</xdr:rowOff>
    </xdr:from>
    <xdr:ext cx="539315" cy="1754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00B354F-D74A-41E7-B916-7FF0992F1DC7}"/>
                </a:ext>
              </a:extLst>
            </xdr:cNvPr>
            <xdr:cNvSpPr txBox="1"/>
          </xdr:nvSpPr>
          <xdr:spPr>
            <a:xfrm>
              <a:off x="11725275" y="5929312"/>
              <a:ext cx="539315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𝛽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𝑒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00B354F-D74A-41E7-B916-7FF0992F1DC7}"/>
                </a:ext>
              </a:extLst>
            </xdr:cNvPr>
            <xdr:cNvSpPr txBox="1"/>
          </xdr:nvSpPr>
          <xdr:spPr>
            <a:xfrm>
              <a:off x="11725275" y="5929312"/>
              <a:ext cx="539315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</a:t>
              </a:r>
              <a:r>
                <a:rPr lang="en-GB" sz="1100" b="0" i="0">
                  <a:latin typeface="Cambria Math" panose="02040503050406030204" pitchFamily="18" charset="0"/>
                </a:rPr>
                <a:t>=𝑒𝑔^𝑇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</xdr:col>
      <xdr:colOff>85725</xdr:colOff>
      <xdr:row>37</xdr:row>
      <xdr:rowOff>23812</xdr:rowOff>
    </xdr:from>
    <xdr:ext cx="524567" cy="1754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AE53EC4-5634-45B5-8B6A-0895DAF9A097}"/>
                </a:ext>
              </a:extLst>
            </xdr:cNvPr>
            <xdr:cNvSpPr txBox="1"/>
          </xdr:nvSpPr>
          <xdr:spPr>
            <a:xfrm>
              <a:off x="11725275" y="6119812"/>
              <a:ext cx="524567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𝛾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𝑟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AE53EC4-5634-45B5-8B6A-0895DAF9A097}"/>
                </a:ext>
              </a:extLst>
            </xdr:cNvPr>
            <xdr:cNvSpPr txBox="1"/>
          </xdr:nvSpPr>
          <xdr:spPr>
            <a:xfrm>
              <a:off x="11725275" y="6119812"/>
              <a:ext cx="524567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𝛾</a:t>
              </a:r>
              <a:r>
                <a:rPr lang="en-GB" sz="1100" b="0" i="0">
                  <a:latin typeface="Cambria Math" panose="02040503050406030204" pitchFamily="18" charset="0"/>
                </a:rPr>
                <a:t>=𝑟𝑔^𝑇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</xdr:col>
      <xdr:colOff>85725</xdr:colOff>
      <xdr:row>38</xdr:row>
      <xdr:rowOff>23812</xdr:rowOff>
    </xdr:from>
    <xdr:ext cx="808362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E4E31CE-1851-42E2-8D49-D5B5D1E7C181}"/>
                </a:ext>
              </a:extLst>
            </xdr:cNvPr>
            <xdr:cNvSpPr txBox="1"/>
          </xdr:nvSpPr>
          <xdr:spPr>
            <a:xfrm>
              <a:off x="11725275" y="6310312"/>
              <a:ext cx="80836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𝛼𝛾</m:t>
                    </m:r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E4E31CE-1851-42E2-8D49-D5B5D1E7C181}"/>
                </a:ext>
              </a:extLst>
            </xdr:cNvPr>
            <xdr:cNvSpPr txBox="1"/>
          </xdr:nvSpPr>
          <xdr:spPr>
            <a:xfrm>
              <a:off x="11725275" y="6310312"/>
              <a:ext cx="80836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 𝛼𝛾−𝛽^2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4</xdr:col>
      <xdr:colOff>919162</xdr:colOff>
      <xdr:row>43</xdr:row>
      <xdr:rowOff>180975</xdr:rowOff>
    </xdr:from>
    <xdr:ext cx="75354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161942E1-6FF7-40D3-8E05-85501F8EAFA3}"/>
                </a:ext>
              </a:extLst>
            </xdr:cNvPr>
            <xdr:cNvSpPr txBox="1"/>
          </xdr:nvSpPr>
          <xdr:spPr>
            <a:xfrm>
              <a:off x="5669756" y="8574881"/>
              <a:ext cx="75354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𝑀𝑉𝑃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h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161942E1-6FF7-40D3-8E05-85501F8EAFA3}"/>
                </a:ext>
              </a:extLst>
            </xdr:cNvPr>
            <xdr:cNvSpPr txBox="1"/>
          </xdr:nvSpPr>
          <xdr:spPr>
            <a:xfrm>
              <a:off x="5669756" y="8574881"/>
              <a:ext cx="75354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𝑀𝑉𝑃=ℎ/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4</xdr:col>
      <xdr:colOff>847724</xdr:colOff>
      <xdr:row>45</xdr:row>
      <xdr:rowOff>16669</xdr:rowOff>
    </xdr:from>
    <xdr:ext cx="78348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EF3187D-8EB7-411F-83C3-E205A49B5C68}"/>
                </a:ext>
              </a:extLst>
            </xdr:cNvPr>
            <xdr:cNvSpPr txBox="1"/>
          </xdr:nvSpPr>
          <xdr:spPr>
            <a:xfrm>
              <a:off x="5598318" y="8791575"/>
              <a:ext cx="7834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𝑀𝑉𝑃</m:t>
                        </m:r>
                      </m:sub>
                    </m:sSub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𝛽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EF3187D-8EB7-411F-83C3-E205A49B5C68}"/>
                </a:ext>
              </a:extLst>
            </xdr:cNvPr>
            <xdr:cNvSpPr txBox="1"/>
          </xdr:nvSpPr>
          <xdr:spPr>
            <a:xfrm>
              <a:off x="5598318" y="8791575"/>
              <a:ext cx="7834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𝑅_𝑀𝑉𝑃=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</a:t>
              </a:r>
              <a:r>
                <a:rPr lang="en-GB" sz="1100" b="0" i="0">
                  <a:latin typeface="Cambria Math" panose="02040503050406030204" pitchFamily="18" charset="0"/>
                </a:rPr>
                <a:t>/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4</xdr:col>
      <xdr:colOff>916781</xdr:colOff>
      <xdr:row>46</xdr:row>
      <xdr:rowOff>0</xdr:rowOff>
    </xdr:from>
    <xdr:ext cx="757259" cy="1780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22AC43D-457B-43DC-B287-6DF41B66360F}"/>
                </a:ext>
              </a:extLst>
            </xdr:cNvPr>
            <xdr:cNvSpPr txBox="1"/>
          </xdr:nvSpPr>
          <xdr:spPr>
            <a:xfrm>
              <a:off x="5667375" y="8965406"/>
              <a:ext cx="757259" cy="1780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𝑀𝑉𝑃</m:t>
                        </m:r>
                      </m:sub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GB" sz="1100" b="0" i="1">
                        <a:latin typeface="Cambria Math" panose="02040503050406030204" pitchFamily="18" charset="0"/>
                      </a:rPr>
                      <m:t>=1/</m:t>
                    </m:r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22AC43D-457B-43DC-B287-6DF41B66360F}"/>
                </a:ext>
              </a:extLst>
            </xdr:cNvPr>
            <xdr:cNvSpPr txBox="1"/>
          </xdr:nvSpPr>
          <xdr:spPr>
            <a:xfrm>
              <a:off x="5667375" y="8965406"/>
              <a:ext cx="757259" cy="1780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en-GB" sz="1100" b="0" i="0">
                  <a:latin typeface="Cambria Math" panose="02040503050406030204" pitchFamily="18" charset="0"/>
                </a:rPr>
                <a:t>𝑀𝑉𝑃^2=1/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endParaRPr lang="en-GB" sz="1100"/>
            </a:p>
          </xdr:txBody>
        </xdr:sp>
      </mc:Fallback>
    </mc:AlternateContent>
    <xdr:clientData/>
  </xdr:oneCellAnchor>
  <xdr:twoCellAnchor>
    <xdr:from>
      <xdr:col>8</xdr:col>
      <xdr:colOff>713050</xdr:colOff>
      <xdr:row>29</xdr:row>
      <xdr:rowOff>81491</xdr:rowOff>
    </xdr:from>
    <xdr:to>
      <xdr:col>13</xdr:col>
      <xdr:colOff>804862</xdr:colOff>
      <xdr:row>51</xdr:row>
      <xdr:rowOff>28575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3F3F35D-BB6C-4A59-A430-5A25CC5EE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</xdr:col>
      <xdr:colOff>104775</xdr:colOff>
      <xdr:row>38</xdr:row>
      <xdr:rowOff>71437</xdr:rowOff>
    </xdr:from>
    <xdr:ext cx="2229008" cy="3515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2AD4BFC-2B45-436A-8969-4DB634C42C2A}"/>
                </a:ext>
              </a:extLst>
            </xdr:cNvPr>
            <xdr:cNvSpPr txBox="1"/>
          </xdr:nvSpPr>
          <xdr:spPr>
            <a:xfrm>
              <a:off x="3236119" y="7512843"/>
              <a:ext cx="2229008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∗</m:t>
                        </m:r>
                      </m:sup>
                    </m:sSup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𝑡𝑎𝑛𝑔𝑒𝑛𝑐𝑦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𝑟𝑒𝑡𝑢𝑟𝑛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𝛾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∗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𝑟𝑓</m:t>
                        </m:r>
                      </m:num>
                      <m:den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∗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𝑟𝑓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2AD4BFC-2B45-436A-8969-4DB634C42C2A}"/>
                </a:ext>
              </a:extLst>
            </xdr:cNvPr>
            <xdr:cNvSpPr txBox="1"/>
          </xdr:nvSpPr>
          <xdr:spPr>
            <a:xfrm>
              <a:off x="3236119" y="7512843"/>
              <a:ext cx="2229008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𝑅^∗=𝑡𝑎𝑛𝑔𝑒𝑛𝑐𝑦 𝑟𝑒𝑡𝑢𝑟𝑛=(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𝛾−𝛽∗𝑟𝑓)/(𝛽−𝛼∗𝑟𝑓)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</xdr:col>
      <xdr:colOff>204788</xdr:colOff>
      <xdr:row>40</xdr:row>
      <xdr:rowOff>23812</xdr:rowOff>
    </xdr:from>
    <xdr:ext cx="1922769" cy="3515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D092A5DD-C337-41F2-8792-FD1BEABFA58B}"/>
                </a:ext>
              </a:extLst>
            </xdr:cNvPr>
            <xdr:cNvSpPr txBox="1"/>
          </xdr:nvSpPr>
          <xdr:spPr>
            <a:xfrm>
              <a:off x="3336132" y="7846218"/>
              <a:ext cx="1922769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𝑠𝑙𝑜𝑝𝑒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𝑡𝑎𝑛𝑔𝑒𝑛𝑐𝑦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𝑟𝑒𝑡𝑢𝑟𝑛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𝑟𝑓</m:t>
                        </m:r>
                      </m:num>
                      <m:den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𝑡𝑎𝑛𝑔𝑒𝑛𝑐𝑦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𝑟𝑖𝑠𝑘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D092A5DD-C337-41F2-8792-FD1BEABFA58B}"/>
                </a:ext>
              </a:extLst>
            </xdr:cNvPr>
            <xdr:cNvSpPr txBox="1"/>
          </xdr:nvSpPr>
          <xdr:spPr>
            <a:xfrm>
              <a:off x="3336132" y="7846218"/>
              <a:ext cx="1922769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𝑠𝑙𝑜𝑝𝑒=(𝑡𝑎𝑛𝑔𝑒𝑛𝑐𝑦 𝑟𝑒𝑡𝑢𝑟𝑛−𝑟𝑓)/(𝑡𝑎𝑛𝑔𝑒𝑛𝑐𝑦 𝑟𝑖𝑠𝑘)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</xdr:col>
      <xdr:colOff>142875</xdr:colOff>
      <xdr:row>42</xdr:row>
      <xdr:rowOff>14287</xdr:rowOff>
    </xdr:from>
    <xdr:ext cx="776495" cy="32188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3275D735-6AD4-4479-A6BE-B0C265CA12DD}"/>
                </a:ext>
              </a:extLst>
            </xdr:cNvPr>
            <xdr:cNvSpPr txBox="1"/>
          </xdr:nvSpPr>
          <xdr:spPr>
            <a:xfrm>
              <a:off x="24745950" y="9158287"/>
              <a:ext cx="776495" cy="3218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𝜆</m:t>
                    </m:r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𝛾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  <m:sSup>
                          <m:sSupPr>
                            <m:ctrlPr>
                              <a:rPr lang="en-GB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𝑅</m:t>
                            </m:r>
                          </m:e>
                          <m:sup>
                            <m:r>
                              <a:rPr lang="en-GB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∗</m:t>
                            </m:r>
                          </m:sup>
                        </m:sSup>
                      </m:num>
                      <m:den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𝛿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3275D735-6AD4-4479-A6BE-B0C265CA12DD}"/>
                </a:ext>
              </a:extLst>
            </xdr:cNvPr>
            <xdr:cNvSpPr txBox="1"/>
          </xdr:nvSpPr>
          <xdr:spPr>
            <a:xfrm>
              <a:off x="24745950" y="9158287"/>
              <a:ext cx="776495" cy="3218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=(𝛾−𝛽𝑅^∗)/𝛿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3</xdr:col>
      <xdr:colOff>681038</xdr:colOff>
      <xdr:row>42</xdr:row>
      <xdr:rowOff>33337</xdr:rowOff>
    </xdr:from>
    <xdr:ext cx="793102" cy="3229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39321812-47AE-474E-85EE-4D4954BBDA20}"/>
                </a:ext>
              </a:extLst>
            </xdr:cNvPr>
            <xdr:cNvSpPr txBox="1"/>
          </xdr:nvSpPr>
          <xdr:spPr>
            <a:xfrm>
              <a:off x="4419601" y="8236743"/>
              <a:ext cx="793102" cy="3229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sSup>
                          <m:sSupPr>
                            <m:ctrlPr>
                              <a:rPr lang="en-GB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𝑅</m:t>
                            </m:r>
                          </m:e>
                          <m:sup>
                            <m:r>
                              <a:rPr lang="en-GB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∗</m:t>
                            </m:r>
                          </m:sup>
                        </m:sSup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</m:num>
                      <m:den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𝛿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39321812-47AE-474E-85EE-4D4954BBDA20}"/>
                </a:ext>
              </a:extLst>
            </xdr:cNvPr>
            <xdr:cNvSpPr txBox="1"/>
          </xdr:nvSpPr>
          <xdr:spPr>
            <a:xfrm>
              <a:off x="4419601" y="8236743"/>
              <a:ext cx="793102" cy="3229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𝜇=(𝛼𝑅^∗−𝛽)/𝛿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6</xdr:col>
      <xdr:colOff>107156</xdr:colOff>
      <xdr:row>40</xdr:row>
      <xdr:rowOff>178594</xdr:rowOff>
    </xdr:from>
    <xdr:ext cx="1364541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EB3989DC-0168-4891-83B7-A0DA36ED586D}"/>
                </a:ext>
              </a:extLst>
            </xdr:cNvPr>
            <xdr:cNvSpPr txBox="1"/>
          </xdr:nvSpPr>
          <xdr:spPr>
            <a:xfrm>
              <a:off x="6572250" y="8001000"/>
              <a:ext cx="1364541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𝜎</m:t>
                    </m:r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GB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GB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𝛼</m:t>
                            </m:r>
                            <m:sSup>
                              <m:sSupPr>
                                <m:ctrlPr>
                                  <a:rPr lang="en-GB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GB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  <m:sup>
                                <m:r>
                                  <a:rPr lang="en-GB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GB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−2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𝛽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𝑅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𝛾</m:t>
                            </m:r>
                          </m:num>
                          <m:den>
                            <m:r>
                              <a:rPr lang="en-GB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𝛿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EB3989DC-0168-4891-83B7-A0DA36ED586D}"/>
                </a:ext>
              </a:extLst>
            </xdr:cNvPr>
            <xdr:cNvSpPr txBox="1"/>
          </xdr:nvSpPr>
          <xdr:spPr>
            <a:xfrm>
              <a:off x="6572250" y="8001000"/>
              <a:ext cx="1364541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=√((𝛼𝑅^2−2𝛽𝑅+𝛾)/𝛿)</a:t>
              </a:r>
              <a:endParaRPr lang="en-GB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02"/>
  <sheetViews>
    <sheetView topLeftCell="AI1" zoomScale="90" zoomScaleNormal="90" zoomScaleSheetLayoutView="30" workbookViewId="0">
      <pane ySplit="2" topLeftCell="A3" activePane="bottomLeft" state="frozen"/>
      <selection activeCell="U1" sqref="U1"/>
      <selection pane="bottomLeft" activeCell="AK26" sqref="AK26"/>
    </sheetView>
  </sheetViews>
  <sheetFormatPr defaultRowHeight="15" x14ac:dyDescent="0.25"/>
  <cols>
    <col min="1" max="5" width="13.5703125" style="23" customWidth="1"/>
    <col min="6" max="6" width="14.85546875" style="20" customWidth="1"/>
    <col min="7" max="7" width="14.140625" style="20" customWidth="1"/>
    <col min="8" max="8" width="14.28515625" style="20" customWidth="1"/>
    <col min="9" max="9" width="14.42578125" style="20" customWidth="1"/>
    <col min="10" max="10" width="14.5703125" style="20" customWidth="1"/>
    <col min="11" max="15" width="16.140625" style="20" customWidth="1"/>
    <col min="16" max="19" width="18.5703125" style="1" customWidth="1"/>
    <col min="20" max="20" width="18.5703125" style="20" customWidth="1"/>
    <col min="21" max="32" width="17.5703125" style="20" customWidth="1"/>
    <col min="33" max="34" width="18.140625" style="16" bestFit="1" customWidth="1"/>
    <col min="35" max="36" width="18.5703125" style="16" bestFit="1" customWidth="1"/>
    <col min="37" max="37" width="22.140625" style="16" bestFit="1" customWidth="1"/>
    <col min="38" max="38" width="9.140625" style="26"/>
    <col min="39" max="39" width="13.140625" style="26" bestFit="1" customWidth="1"/>
    <col min="40" max="40" width="9.140625" style="26"/>
    <col min="41" max="41" width="19.140625" style="26" bestFit="1" customWidth="1"/>
    <col min="42" max="44" width="19.5703125" style="26" bestFit="1" customWidth="1"/>
    <col min="45" max="45" width="23.140625" style="26" bestFit="1" customWidth="1"/>
    <col min="46" max="16384" width="9.140625" style="26"/>
  </cols>
  <sheetData>
    <row r="1" spans="1:45" x14ac:dyDescent="0.25">
      <c r="A1" s="23">
        <v>0.5</v>
      </c>
      <c r="B1" s="23">
        <v>0.05</v>
      </c>
      <c r="C1" s="23">
        <v>0.05</v>
      </c>
      <c r="D1" s="23">
        <v>0.05</v>
      </c>
      <c r="E1" s="23">
        <v>0.05</v>
      </c>
      <c r="F1" s="23">
        <v>0.05</v>
      </c>
      <c r="G1" s="23">
        <v>0.05</v>
      </c>
      <c r="H1" s="23">
        <v>0.05</v>
      </c>
      <c r="I1" s="23">
        <v>0.05</v>
      </c>
      <c r="J1" s="23">
        <v>0.05</v>
      </c>
      <c r="K1" s="23">
        <v>0.05</v>
      </c>
      <c r="L1" s="23">
        <v>0.05</v>
      </c>
      <c r="M1" s="23">
        <v>0.05</v>
      </c>
      <c r="N1" s="23">
        <v>0.05</v>
      </c>
      <c r="O1" s="23">
        <v>0.05</v>
      </c>
      <c r="P1" s="23">
        <v>0.05</v>
      </c>
      <c r="Q1" s="23">
        <v>0.05</v>
      </c>
      <c r="R1" s="23">
        <v>0.05</v>
      </c>
      <c r="S1" s="23">
        <v>0.05</v>
      </c>
      <c r="T1" s="23">
        <v>0.05</v>
      </c>
      <c r="U1" s="23">
        <v>0.05</v>
      </c>
      <c r="V1" s="23">
        <v>0.05</v>
      </c>
      <c r="W1" s="23">
        <v>0.05</v>
      </c>
      <c r="X1" s="23">
        <v>0.05</v>
      </c>
      <c r="Y1" s="23">
        <v>0.05</v>
      </c>
    </row>
    <row r="2" spans="1:45" x14ac:dyDescent="0.25">
      <c r="A2" s="24" t="s">
        <v>28</v>
      </c>
      <c r="B2" s="24" t="s">
        <v>21</v>
      </c>
      <c r="C2" s="24" t="s">
        <v>20</v>
      </c>
      <c r="D2" s="24" t="s">
        <v>22</v>
      </c>
      <c r="E2" s="24" t="s">
        <v>23</v>
      </c>
      <c r="F2" s="19" t="s">
        <v>29</v>
      </c>
      <c r="G2" s="19" t="s">
        <v>24</v>
      </c>
      <c r="H2" s="19" t="s">
        <v>25</v>
      </c>
      <c r="I2" s="19" t="s">
        <v>26</v>
      </c>
      <c r="J2" s="19" t="s">
        <v>27</v>
      </c>
      <c r="K2" s="21" t="s">
        <v>30</v>
      </c>
      <c r="L2" s="21" t="s">
        <v>31</v>
      </c>
      <c r="M2" s="21" t="s">
        <v>32</v>
      </c>
      <c r="N2" s="21" t="s">
        <v>33</v>
      </c>
      <c r="O2" s="21" t="s">
        <v>34</v>
      </c>
      <c r="P2" s="22" t="s">
        <v>36</v>
      </c>
      <c r="Q2" s="22" t="s">
        <v>37</v>
      </c>
      <c r="R2" s="22" t="s">
        <v>38</v>
      </c>
      <c r="S2" s="22" t="s">
        <v>39</v>
      </c>
      <c r="T2" s="22" t="s">
        <v>35</v>
      </c>
      <c r="U2" s="25" t="s">
        <v>19</v>
      </c>
      <c r="V2" s="25" t="s">
        <v>40</v>
      </c>
      <c r="W2" s="25" t="s">
        <v>41</v>
      </c>
      <c r="X2" s="25" t="s">
        <v>42</v>
      </c>
      <c r="Y2" s="25" t="s">
        <v>43</v>
      </c>
      <c r="Z2" s="26"/>
      <c r="AA2" s="22"/>
      <c r="AB2" s="22"/>
      <c r="AC2" s="22"/>
      <c r="AD2" s="22"/>
      <c r="AE2" s="22"/>
      <c r="AF2" s="23"/>
      <c r="AG2" s="55" t="s">
        <v>76</v>
      </c>
      <c r="AH2" s="55" t="s">
        <v>77</v>
      </c>
      <c r="AI2" s="55" t="s">
        <v>78</v>
      </c>
      <c r="AJ2" s="55" t="s">
        <v>79</v>
      </c>
      <c r="AK2" s="55" t="s">
        <v>80</v>
      </c>
      <c r="AM2" s="56" t="s">
        <v>81</v>
      </c>
      <c r="AO2" s="56" t="s">
        <v>82</v>
      </c>
      <c r="AP2" s="56" t="s">
        <v>83</v>
      </c>
      <c r="AQ2" s="56" t="s">
        <v>84</v>
      </c>
      <c r="AR2" s="56" t="s">
        <v>85</v>
      </c>
      <c r="AS2" s="56" t="s">
        <v>86</v>
      </c>
    </row>
    <row r="3" spans="1:45" x14ac:dyDescent="0.25">
      <c r="A3" s="69">
        <f ca="1">RANDBETWEEN(1500,3000)</f>
        <v>2449</v>
      </c>
      <c r="B3" s="69">
        <f ca="1">RANDBETWEEN(1500,3000)</f>
        <v>2136</v>
      </c>
      <c r="C3" s="69">
        <f t="shared" ref="C3:E18" ca="1" si="0">RANDBETWEEN(1500,3000)</f>
        <v>2234</v>
      </c>
      <c r="D3" s="69">
        <f t="shared" ca="1" si="0"/>
        <v>2911</v>
      </c>
      <c r="E3" s="69">
        <f t="shared" ca="1" si="0"/>
        <v>1931</v>
      </c>
      <c r="F3" s="70">
        <f ca="1">RANDBETWEEN(850,1800)</f>
        <v>1223</v>
      </c>
      <c r="G3" s="70">
        <f ca="1">RANDBETWEEN(850,1800)</f>
        <v>963</v>
      </c>
      <c r="H3" s="70">
        <f t="shared" ref="H3:J3" ca="1" si="1">RANDBETWEEN(850,1800)</f>
        <v>1193</v>
      </c>
      <c r="I3" s="70">
        <f t="shared" ca="1" si="1"/>
        <v>1045</v>
      </c>
      <c r="J3" s="70">
        <f t="shared" ca="1" si="1"/>
        <v>1151</v>
      </c>
      <c r="K3" s="70">
        <f ca="1">RANDBETWEEN(520,1250)</f>
        <v>1182</v>
      </c>
      <c r="L3" s="70">
        <f ca="1">RANDBETWEEN(520,1250)</f>
        <v>955</v>
      </c>
      <c r="M3" s="70">
        <f t="shared" ref="M3:O18" ca="1" si="2">RANDBETWEEN(520,1250)</f>
        <v>986</v>
      </c>
      <c r="N3" s="70">
        <f t="shared" ca="1" si="2"/>
        <v>574</v>
      </c>
      <c r="O3" s="70">
        <f t="shared" ca="1" si="2"/>
        <v>633</v>
      </c>
      <c r="P3" s="70">
        <f ca="1">RANDBETWEEN(500,1000)</f>
        <v>726</v>
      </c>
      <c r="Q3" s="70">
        <f t="shared" ref="Q3:T18" ca="1" si="3">RANDBETWEEN(500,1000)</f>
        <v>954</v>
      </c>
      <c r="R3" s="70">
        <f t="shared" ca="1" si="3"/>
        <v>784</v>
      </c>
      <c r="S3" s="70">
        <f t="shared" ca="1" si="3"/>
        <v>699</v>
      </c>
      <c r="T3" s="70">
        <f ca="1">RANDBETWEEN(500,1000)</f>
        <v>804</v>
      </c>
      <c r="U3" s="70">
        <f ca="1">RANDBETWEEN(1000,2000)</f>
        <v>1695</v>
      </c>
      <c r="V3" s="70">
        <f t="shared" ref="V3:Y18" ca="1" si="4">RANDBETWEEN(1000,2000)</f>
        <v>1914</v>
      </c>
      <c r="W3" s="70">
        <f t="shared" ca="1" si="4"/>
        <v>1178</v>
      </c>
      <c r="X3" s="70">
        <f t="shared" ca="1" si="4"/>
        <v>1488</v>
      </c>
      <c r="Y3" s="70">
        <f t="shared" ca="1" si="4"/>
        <v>1214</v>
      </c>
      <c r="AA3" s="20">
        <f ca="1">A3*B3*C3*D3*E3</f>
        <v>6.5689760955869616E+16</v>
      </c>
      <c r="AB3" s="20">
        <f t="shared" ref="AB3:AB66" ca="1" si="5">F3*G3*H3*I3*J3</f>
        <v>1689992595886815</v>
      </c>
      <c r="AC3" s="20">
        <f t="shared" ref="AC3:AC66" ca="1" si="6">K3*L3*M3*N3*O3</f>
        <v>404402065857720</v>
      </c>
      <c r="AD3" s="20">
        <f t="shared" ref="AD3:AD66" ca="1" si="7">P3*Q3*R3*S3*T3</f>
        <v>305164691225856</v>
      </c>
      <c r="AE3" s="20">
        <f t="shared" ref="AE3:AE66" ca="1" si="8">U3*V3*W3*X3*Y3</f>
        <v>6903646485310080</v>
      </c>
      <c r="AG3" s="16">
        <f ca="1">LN(AA4/AA3)</f>
        <v>-3.2149875946646588E-4</v>
      </c>
      <c r="AH3" s="16">
        <f t="shared" ref="AH3:AK3" ca="1" si="9">LN(AB4/AB3)</f>
        <v>1.1049742458819343E-3</v>
      </c>
      <c r="AI3" s="16">
        <f t="shared" ca="1" si="9"/>
        <v>-3.5569637690202306E-4</v>
      </c>
      <c r="AJ3" s="16">
        <f t="shared" ca="1" si="9"/>
        <v>1.4423634472033166E-3</v>
      </c>
      <c r="AK3" s="16">
        <f t="shared" ca="1" si="9"/>
        <v>-5.5293164088306569E-5</v>
      </c>
      <c r="AM3" s="16">
        <f ca="1">AG3+AH3+AI3+AJ3</f>
        <v>1.8701425567167619E-3</v>
      </c>
      <c r="AO3" s="16">
        <f ca="1">MIN(AG3,0)</f>
        <v>-3.2149875946646588E-4</v>
      </c>
      <c r="AP3" s="16">
        <f t="shared" ref="AP3:AS3" ca="1" si="10">MIN(AH3,0)</f>
        <v>0</v>
      </c>
      <c r="AQ3" s="16">
        <f t="shared" ca="1" si="10"/>
        <v>-3.5569637690202306E-4</v>
      </c>
      <c r="AR3" s="16">
        <f t="shared" ca="1" si="10"/>
        <v>0</v>
      </c>
      <c r="AS3" s="16">
        <f t="shared" ca="1" si="10"/>
        <v>-5.5293164088306569E-5</v>
      </c>
    </row>
    <row r="4" spans="1:45" x14ac:dyDescent="0.25">
      <c r="A4" s="69">
        <f ca="1">A3+ $A$1 * RAND()  * RANDBETWEEN(-1,1)</f>
        <v>2449.0016118539652</v>
      </c>
      <c r="B4" s="69">
        <f t="shared" ref="B4:Y4" ca="1" si="11">B3+ $A$1 * RAND()  * RANDBETWEEN(-1,1)</f>
        <v>2135.504780039651</v>
      </c>
      <c r="C4" s="69">
        <f t="shared" ca="1" si="11"/>
        <v>2234.0264917052286</v>
      </c>
      <c r="D4" s="69">
        <f t="shared" ca="1" si="11"/>
        <v>2911</v>
      </c>
      <c r="E4" s="69">
        <f t="shared" ca="1" si="11"/>
        <v>1930.8027703101752</v>
      </c>
      <c r="F4" s="69">
        <f t="shared" ca="1" si="11"/>
        <v>1222.9862971887617</v>
      </c>
      <c r="G4" s="69">
        <f t="shared" ca="1" si="11"/>
        <v>963.4952479170795</v>
      </c>
      <c r="H4" s="69">
        <f t="shared" ca="1" si="11"/>
        <v>1193.3574902955174</v>
      </c>
      <c r="I4" s="69">
        <f t="shared" ca="1" si="11"/>
        <v>1045.4505839641158</v>
      </c>
      <c r="J4" s="69">
        <f t="shared" ca="1" si="11"/>
        <v>1150.8519161657825</v>
      </c>
      <c r="K4" s="69">
        <f t="shared" ca="1" si="11"/>
        <v>1181.8160435132813</v>
      </c>
      <c r="L4" s="69">
        <f t="shared" ca="1" si="11"/>
        <v>955</v>
      </c>
      <c r="M4" s="69">
        <f t="shared" ca="1" si="11"/>
        <v>986.28320659057283</v>
      </c>
      <c r="N4" s="69">
        <f t="shared" ca="1" si="11"/>
        <v>573.58362507586241</v>
      </c>
      <c r="O4" s="69">
        <f t="shared" ca="1" si="11"/>
        <v>633.15093520650771</v>
      </c>
      <c r="P4" s="69">
        <f t="shared" ca="1" si="11"/>
        <v>726.39773736599955</v>
      </c>
      <c r="Q4" s="69">
        <f t="shared" ca="1" si="11"/>
        <v>954.42103222555124</v>
      </c>
      <c r="R4" s="69">
        <f t="shared" ca="1" si="11"/>
        <v>784</v>
      </c>
      <c r="S4" s="69">
        <f t="shared" ca="1" si="11"/>
        <v>699.37089528543095</v>
      </c>
      <c r="T4" s="69">
        <f t="shared" ca="1" si="11"/>
        <v>803.93806378687111</v>
      </c>
      <c r="U4" s="69">
        <f t="shared" ca="1" si="11"/>
        <v>1695.2129482330745</v>
      </c>
      <c r="V4" s="69">
        <f t="shared" ca="1" si="11"/>
        <v>1914</v>
      </c>
      <c r="W4" s="69">
        <f t="shared" ca="1" si="11"/>
        <v>1177.7868973450463</v>
      </c>
      <c r="X4" s="69">
        <f t="shared" ca="1" si="11"/>
        <v>1488</v>
      </c>
      <c r="Y4" s="69">
        <f t="shared" ca="1" si="11"/>
        <v>1214</v>
      </c>
      <c r="AA4" s="20">
        <f t="shared" ref="AA4:AA66" ca="1" si="12">A4*B4*C4*D4*E4</f>
        <v>6.5668645173743416E+16</v>
      </c>
      <c r="AB4" s="20">
        <f t="shared" ca="1" si="5"/>
        <v>1691861026274622.8</v>
      </c>
      <c r="AC4" s="20">
        <f t="shared" ca="1" si="6"/>
        <v>404258247087506.81</v>
      </c>
      <c r="AD4" s="20">
        <f t="shared" ca="1" si="7"/>
        <v>305605167208721.5</v>
      </c>
      <c r="AE4" s="20">
        <f t="shared" ca="1" si="8"/>
        <v>6903264771405342</v>
      </c>
      <c r="AG4" s="16">
        <f t="shared" ref="AG4:AG67" ca="1" si="13">LN(AA5/AA4)</f>
        <v>-4.070437793570078E-4</v>
      </c>
      <c r="AH4" s="16">
        <f t="shared" ref="AH4:AH67" ca="1" si="14">LN(AB5/AB4)</f>
        <v>3.8079915807844147E-4</v>
      </c>
      <c r="AI4" s="16">
        <f t="shared" ref="AI4:AI67" ca="1" si="15">LN(AC5/AC4)</f>
        <v>-8.9773003390732358E-4</v>
      </c>
      <c r="AJ4" s="16">
        <f t="shared" ref="AJ4:AJ67" ca="1" si="16">LN(AD5/AD4)</f>
        <v>4.8216211844263754E-4</v>
      </c>
      <c r="AK4" s="16">
        <f t="shared" ref="AK4:AK67" ca="1" si="17">LN(AE5/AE4)</f>
        <v>-1.3348752473357731E-4</v>
      </c>
      <c r="AM4" s="16">
        <f t="shared" ref="AM4:AM67" ca="1" si="18">AG4+AH4+AI4+AJ4</f>
        <v>-4.4181253674325231E-4</v>
      </c>
      <c r="AO4" s="16">
        <f t="shared" ref="AO4:AO67" ca="1" si="19">MIN(AG4,0)</f>
        <v>-4.070437793570078E-4</v>
      </c>
      <c r="AP4" s="16">
        <f t="shared" ref="AP4:AP67" ca="1" si="20">MIN(AH4,0)</f>
        <v>0</v>
      </c>
      <c r="AQ4" s="16">
        <f t="shared" ref="AQ4:AQ67" ca="1" si="21">MIN(AI4,0)</f>
        <v>-8.9773003390732358E-4</v>
      </c>
      <c r="AR4" s="16">
        <f t="shared" ref="AR4:AR67" ca="1" si="22">MIN(AJ4,0)</f>
        <v>0</v>
      </c>
      <c r="AS4" s="16">
        <f t="shared" ref="AS4:AS67" ca="1" si="23">MIN(AK4,0)</f>
        <v>-1.3348752473357731E-4</v>
      </c>
    </row>
    <row r="5" spans="1:45" x14ac:dyDescent="0.25">
      <c r="A5" s="69">
        <f t="shared" ref="A5:A68" ca="1" si="24">A4+ $A$1 * RAND()  * RANDBETWEEN(-1,1)</f>
        <v>2448.6641759036688</v>
      </c>
      <c r="B5" s="69">
        <f t="shared" ref="B5:B68" ca="1" si="25">B4+ $A$1 * RAND()  * RANDBETWEEN(-1,1)</f>
        <v>2135.4183072142559</v>
      </c>
      <c r="C5" s="69">
        <f t="shared" ref="C5:C68" ca="1" si="26">C4+ $A$1 * RAND()  * RANDBETWEEN(-1,1)</f>
        <v>2233.9927049104449</v>
      </c>
      <c r="D5" s="69">
        <f t="shared" ref="D5:D68" ca="1" si="27">D4+ $A$1 * RAND()  * RANDBETWEEN(-1,1)</f>
        <v>2911.0163187273147</v>
      </c>
      <c r="E5" s="69">
        <f t="shared" ref="E5:E68" ca="1" si="28">E4+ $A$1 * RAND()  * RANDBETWEEN(-1,1)</f>
        <v>1930.3795123941045</v>
      </c>
      <c r="F5" s="69">
        <f t="shared" ref="F5:F68" ca="1" si="29">F4+ $A$1 * RAND()  * RANDBETWEEN(-1,1)</f>
        <v>1222.9071942982166</v>
      </c>
      <c r="G5" s="69">
        <f t="shared" ref="G5:G68" ca="1" si="30">G4+ $A$1 * RAND()  * RANDBETWEEN(-1,1)</f>
        <v>963.60502031887052</v>
      </c>
      <c r="H5" s="69">
        <f t="shared" ref="H5:H68" ca="1" si="31">H4+ $A$1 * RAND()  * RANDBETWEEN(-1,1)</f>
        <v>1193.3574902955174</v>
      </c>
      <c r="I5" s="69">
        <f t="shared" ref="I5:I68" ca="1" si="32">I4+ $A$1 * RAND()  * RANDBETWEEN(-1,1)</f>
        <v>1045.7972672766832</v>
      </c>
      <c r="J5" s="69">
        <f t="shared" ref="J5:J68" ca="1" si="33">J4+ $A$1 * RAND()  * RANDBETWEEN(-1,1)</f>
        <v>1150.8519161657825</v>
      </c>
      <c r="K5" s="69">
        <f t="shared" ref="K5:K68" ca="1" si="34">K4+ $A$1 * RAND()  * RANDBETWEEN(-1,1)</f>
        <v>1181.5803190350316</v>
      </c>
      <c r="L5" s="69">
        <f t="shared" ref="L5:L68" ca="1" si="35">L4+ $A$1 * RAND()  * RANDBETWEEN(-1,1)</f>
        <v>954.85257318553863</v>
      </c>
      <c r="M5" s="69">
        <f t="shared" ref="M5:M68" ca="1" si="36">M4+ $A$1 * RAND()  * RANDBETWEEN(-1,1)</f>
        <v>985.84751122387331</v>
      </c>
      <c r="N5" s="69">
        <f t="shared" ref="N5:N68" ca="1" si="37">N4+ $A$1 * RAND()  * RANDBETWEEN(-1,1)</f>
        <v>573.58362507586241</v>
      </c>
      <c r="O5" s="69">
        <f t="shared" ref="O5:O68" ca="1" si="38">O4+ $A$1 * RAND()  * RANDBETWEEN(-1,1)</f>
        <v>633.08634910809553</v>
      </c>
      <c r="P5" s="69">
        <f t="shared" ref="P5:P68" ca="1" si="39">P4+ $A$1 * RAND()  * RANDBETWEEN(-1,1)</f>
        <v>726.39773736599955</v>
      </c>
      <c r="Q5" s="69">
        <f t="shared" ref="Q5:Q68" ca="1" si="40">Q4+ $A$1 * RAND()  * RANDBETWEEN(-1,1)</f>
        <v>954.42103222555124</v>
      </c>
      <c r="R5" s="69">
        <f t="shared" ref="R5:R68" ca="1" si="41">R4+ $A$1 * RAND()  * RANDBETWEEN(-1,1)</f>
        <v>784.3120333330603</v>
      </c>
      <c r="S5" s="69">
        <f t="shared" ref="S5:S68" ca="1" si="42">S4+ $A$1 * RAND()  * RANDBETWEEN(-1,1)</f>
        <v>699.22335242358815</v>
      </c>
      <c r="T5" s="69">
        <f t="shared" ref="T5:T68" ca="1" si="43">T4+ $A$1 * RAND()  * RANDBETWEEN(-1,1)</f>
        <v>804.17544302557098</v>
      </c>
      <c r="U5" s="69">
        <f t="shared" ref="U5:U68" ca="1" si="44">U4+ $A$1 * RAND()  * RANDBETWEEN(-1,1)</f>
        <v>1694.7733591524145</v>
      </c>
      <c r="V5" s="69">
        <f t="shared" ref="V5:V68" ca="1" si="45">V4+ $A$1 * RAND()  * RANDBETWEEN(-1,1)</f>
        <v>1914.052793082662</v>
      </c>
      <c r="W5" s="69">
        <f t="shared" ref="W5:W68" ca="1" si="46">W4+ $A$1 * RAND()  * RANDBETWEEN(-1,1)</f>
        <v>1177.902651102766</v>
      </c>
      <c r="X5" s="69">
        <f t="shared" ref="X5:X68" ca="1" si="47">X4+ $A$1 * RAND()  * RANDBETWEEN(-1,1)</f>
        <v>1488</v>
      </c>
      <c r="Y5" s="69">
        <f t="shared" ref="Y5:Y68" ca="1" si="48">Y4+ $A$1 * RAND()  * RANDBETWEEN(-1,1)</f>
        <v>1214</v>
      </c>
      <c r="AA5" s="20">
        <f t="shared" ca="1" si="12"/>
        <v>6.5641920599631456E+16</v>
      </c>
      <c r="AB5" s="20">
        <f t="shared" ca="1" si="5"/>
        <v>1692505408211276.5</v>
      </c>
      <c r="AC5" s="20">
        <f t="shared" ca="1" si="6"/>
        <v>403895495168650.25</v>
      </c>
      <c r="AD5" s="20">
        <f t="shared" ca="1" si="7"/>
        <v>305752553972851.69</v>
      </c>
      <c r="AE5" s="20">
        <f t="shared" ca="1" si="8"/>
        <v>6902343333180049</v>
      </c>
      <c r="AG5" s="16">
        <f t="shared" ca="1" si="13"/>
        <v>1.1195634009746367E-4</v>
      </c>
      <c r="AH5" s="16">
        <f t="shared" ca="1" si="14"/>
        <v>8.0367524592996116E-5</v>
      </c>
      <c r="AI5" s="16">
        <f t="shared" ca="1" si="15"/>
        <v>1.7225322431736932E-4</v>
      </c>
      <c r="AJ5" s="16">
        <f t="shared" ca="1" si="16"/>
        <v>-1.5844002218219023E-4</v>
      </c>
      <c r="AK5" s="16">
        <f t="shared" ca="1" si="17"/>
        <v>-3.1538057352303128E-6</v>
      </c>
      <c r="AM5" s="16">
        <f t="shared" ca="1" si="18"/>
        <v>2.0613706682563892E-4</v>
      </c>
      <c r="AO5" s="16">
        <f t="shared" ca="1" si="19"/>
        <v>0</v>
      </c>
      <c r="AP5" s="16">
        <f t="shared" ca="1" si="20"/>
        <v>0</v>
      </c>
      <c r="AQ5" s="16">
        <f t="shared" ca="1" si="21"/>
        <v>0</v>
      </c>
      <c r="AR5" s="16">
        <f t="shared" ca="1" si="22"/>
        <v>-1.5844002218219023E-4</v>
      </c>
      <c r="AS5" s="16">
        <f t="shared" ca="1" si="23"/>
        <v>-3.1538057352303128E-6</v>
      </c>
    </row>
    <row r="6" spans="1:45" x14ac:dyDescent="0.25">
      <c r="A6" s="69">
        <f t="shared" ca="1" si="24"/>
        <v>2449.0123093875727</v>
      </c>
      <c r="B6" s="69">
        <f t="shared" ca="1" si="25"/>
        <v>2135.6271038351779</v>
      </c>
      <c r="C6" s="69">
        <f t="shared" ca="1" si="26"/>
        <v>2233.5894286996768</v>
      </c>
      <c r="D6" s="69">
        <f t="shared" ca="1" si="27"/>
        <v>2911.058230759631</v>
      </c>
      <c r="E6" s="69">
        <f t="shared" ca="1" si="28"/>
        <v>1930.4531719900101</v>
      </c>
      <c r="F6" s="69">
        <f t="shared" ca="1" si="29"/>
        <v>1222.9071942982166</v>
      </c>
      <c r="G6" s="69">
        <f t="shared" ca="1" si="30"/>
        <v>963.36691595053981</v>
      </c>
      <c r="H6" s="69">
        <f t="shared" ca="1" si="31"/>
        <v>1193.825650692417</v>
      </c>
      <c r="I6" s="69">
        <f t="shared" ca="1" si="32"/>
        <v>1045.7295721090916</v>
      </c>
      <c r="J6" s="69">
        <f t="shared" ca="1" si="33"/>
        <v>1150.8519161657825</v>
      </c>
      <c r="K6" s="69">
        <f t="shared" ca="1" si="34"/>
        <v>1181.4041765149395</v>
      </c>
      <c r="L6" s="69">
        <f t="shared" ca="1" si="35"/>
        <v>955.21346166893682</v>
      </c>
      <c r="M6" s="69">
        <f t="shared" ca="1" si="36"/>
        <v>985.51876904855897</v>
      </c>
      <c r="N6" s="69">
        <f t="shared" ca="1" si="37"/>
        <v>573.83263673410886</v>
      </c>
      <c r="O6" s="69">
        <f t="shared" ca="1" si="38"/>
        <v>632.98692155074252</v>
      </c>
      <c r="P6" s="69">
        <f t="shared" ca="1" si="39"/>
        <v>726.14481024584211</v>
      </c>
      <c r="Q6" s="69">
        <f t="shared" ca="1" si="40"/>
        <v>954.57080189033684</v>
      </c>
      <c r="R6" s="69">
        <f t="shared" ca="1" si="41"/>
        <v>783.8808383941705</v>
      </c>
      <c r="S6" s="69">
        <f t="shared" ca="1" si="42"/>
        <v>699.63099992737853</v>
      </c>
      <c r="T6" s="69">
        <f t="shared" ca="1" si="43"/>
        <v>804.17544302557098</v>
      </c>
      <c r="U6" s="69">
        <f t="shared" ca="1" si="44"/>
        <v>1694.9417903493245</v>
      </c>
      <c r="V6" s="69">
        <f t="shared" ca="1" si="45"/>
        <v>1913.5683442858422</v>
      </c>
      <c r="W6" s="69">
        <f t="shared" ca="1" si="46"/>
        <v>1178.0475328729281</v>
      </c>
      <c r="X6" s="69">
        <f t="shared" ca="1" si="47"/>
        <v>1488.0410831844454</v>
      </c>
      <c r="Y6" s="69">
        <f t="shared" ca="1" si="48"/>
        <v>1214</v>
      </c>
      <c r="AA6" s="20">
        <f t="shared" ca="1" si="12"/>
        <v>6.5649270040219312E+16</v>
      </c>
      <c r="AB6" s="20">
        <f t="shared" ca="1" si="5"/>
        <v>1692641436147335.8</v>
      </c>
      <c r="AC6" s="20">
        <f t="shared" ca="1" si="6"/>
        <v>403965073462351</v>
      </c>
      <c r="AD6" s="20">
        <f t="shared" ca="1" si="7"/>
        <v>305704114368905.25</v>
      </c>
      <c r="AE6" s="20">
        <f t="shared" ca="1" si="8"/>
        <v>6902321564564385</v>
      </c>
      <c r="AG6" s="16">
        <f t="shared" ca="1" si="13"/>
        <v>-2.1120646631281781E-4</v>
      </c>
      <c r="AH6" s="16">
        <f t="shared" ca="1" si="14"/>
        <v>-5.8358549921823702E-4</v>
      </c>
      <c r="AI6" s="16">
        <f t="shared" ca="1" si="15"/>
        <v>6.9581862494501746E-4</v>
      </c>
      <c r="AJ6" s="16">
        <f t="shared" ca="1" si="16"/>
        <v>-2.9463707576367556E-5</v>
      </c>
      <c r="AK6" s="16">
        <f t="shared" ca="1" si="17"/>
        <v>-1.2791877345564025E-4</v>
      </c>
      <c r="AM6" s="16">
        <f t="shared" ca="1" si="18"/>
        <v>-1.2843704816240494E-4</v>
      </c>
      <c r="AO6" s="16">
        <f t="shared" ca="1" si="19"/>
        <v>-2.1120646631281781E-4</v>
      </c>
      <c r="AP6" s="16">
        <f t="shared" ca="1" si="20"/>
        <v>-5.8358549921823702E-4</v>
      </c>
      <c r="AQ6" s="16">
        <f t="shared" ca="1" si="21"/>
        <v>0</v>
      </c>
      <c r="AR6" s="16">
        <f t="shared" ca="1" si="22"/>
        <v>-2.9463707576367556E-5</v>
      </c>
      <c r="AS6" s="16">
        <f t="shared" ca="1" si="23"/>
        <v>-1.2791877345564025E-4</v>
      </c>
    </row>
    <row r="7" spans="1:45" x14ac:dyDescent="0.25">
      <c r="A7" s="69">
        <f t="shared" ca="1" si="24"/>
        <v>2449.0123093875727</v>
      </c>
      <c r="B7" s="69">
        <f t="shared" ca="1" si="25"/>
        <v>2135.7266858635758</v>
      </c>
      <c r="C7" s="69">
        <f t="shared" ca="1" si="26"/>
        <v>2233.4504032290743</v>
      </c>
      <c r="D7" s="69">
        <f t="shared" ca="1" si="27"/>
        <v>2911.058230759631</v>
      </c>
      <c r="E7" s="69">
        <f t="shared" ca="1" si="28"/>
        <v>1930.0756329108378</v>
      </c>
      <c r="F7" s="69">
        <f t="shared" ca="1" si="29"/>
        <v>1222.9071942982166</v>
      </c>
      <c r="G7" s="69">
        <f t="shared" ca="1" si="30"/>
        <v>963.03083974815297</v>
      </c>
      <c r="H7" s="69">
        <f t="shared" ca="1" si="31"/>
        <v>1193.5455299691009</v>
      </c>
      <c r="I7" s="69">
        <f t="shared" ca="1" si="32"/>
        <v>1045.7295721090916</v>
      </c>
      <c r="J7" s="69">
        <f t="shared" ca="1" si="33"/>
        <v>1150.8519161657825</v>
      </c>
      <c r="K7" s="69">
        <f t="shared" ca="1" si="34"/>
        <v>1181.5180937371169</v>
      </c>
      <c r="L7" s="69">
        <f t="shared" ca="1" si="35"/>
        <v>955.46523249141728</v>
      </c>
      <c r="M7" s="69">
        <f t="shared" ca="1" si="36"/>
        <v>985.41355025917073</v>
      </c>
      <c r="N7" s="69">
        <f t="shared" ca="1" si="37"/>
        <v>574.08668726121959</v>
      </c>
      <c r="O7" s="69">
        <f t="shared" ca="1" si="38"/>
        <v>632.98692155074252</v>
      </c>
      <c r="P7" s="69">
        <f t="shared" ca="1" si="39"/>
        <v>725.91461546372989</v>
      </c>
      <c r="Q7" s="69">
        <f t="shared" ca="1" si="40"/>
        <v>954.57080189033684</v>
      </c>
      <c r="R7" s="69">
        <f t="shared" ca="1" si="41"/>
        <v>783.8808383941705</v>
      </c>
      <c r="S7" s="69">
        <f t="shared" ca="1" si="42"/>
        <v>699.83223995598655</v>
      </c>
      <c r="T7" s="69">
        <f t="shared" ca="1" si="43"/>
        <v>804.17544302557098</v>
      </c>
      <c r="U7" s="69">
        <f t="shared" ca="1" si="44"/>
        <v>1694.8611157546122</v>
      </c>
      <c r="V7" s="69">
        <f t="shared" ca="1" si="45"/>
        <v>1913.5560718842548</v>
      </c>
      <c r="W7" s="69">
        <f t="shared" ca="1" si="46"/>
        <v>1177.7810077096442</v>
      </c>
      <c r="X7" s="69">
        <f t="shared" ca="1" si="47"/>
        <v>1488.2678209763085</v>
      </c>
      <c r="Y7" s="69">
        <f t="shared" ca="1" si="48"/>
        <v>1214</v>
      </c>
      <c r="AA7" s="20">
        <f t="shared" ca="1" si="12"/>
        <v>6.5635405954021968E+16</v>
      </c>
      <c r="AB7" s="20">
        <f t="shared" ca="1" si="5"/>
        <v>1691653923326932</v>
      </c>
      <c r="AC7" s="20">
        <f t="shared" ca="1" si="6"/>
        <v>404246257699563.06</v>
      </c>
      <c r="AD7" s="20">
        <f t="shared" ca="1" si="7"/>
        <v>305695107324965.69</v>
      </c>
      <c r="AE7" s="20">
        <f t="shared" ca="1" si="8"/>
        <v>6901438684525519</v>
      </c>
      <c r="AG7" s="16">
        <f t="shared" ca="1" si="13"/>
        <v>-1.3271543329336673E-4</v>
      </c>
      <c r="AH7" s="16">
        <f t="shared" ca="1" si="14"/>
        <v>-1.1670900886578946E-4</v>
      </c>
      <c r="AI7" s="16">
        <f t="shared" ca="1" si="15"/>
        <v>-8.2168571436244198E-4</v>
      </c>
      <c r="AJ7" s="16">
        <f t="shared" ca="1" si="16"/>
        <v>5.7190057952194936E-5</v>
      </c>
      <c r="AK7" s="16">
        <f t="shared" ca="1" si="17"/>
        <v>-6.1724330542707237E-4</v>
      </c>
      <c r="AM7" s="16">
        <f t="shared" ca="1" si="18"/>
        <v>-1.0139200985694033E-3</v>
      </c>
      <c r="AO7" s="16">
        <f t="shared" ca="1" si="19"/>
        <v>-1.3271543329336673E-4</v>
      </c>
      <c r="AP7" s="16">
        <f t="shared" ca="1" si="20"/>
        <v>-1.1670900886578946E-4</v>
      </c>
      <c r="AQ7" s="16">
        <f t="shared" ca="1" si="21"/>
        <v>-8.2168571436244198E-4</v>
      </c>
      <c r="AR7" s="16">
        <f t="shared" ca="1" si="22"/>
        <v>0</v>
      </c>
      <c r="AS7" s="16">
        <f t="shared" ca="1" si="23"/>
        <v>-6.1724330542707237E-4</v>
      </c>
    </row>
    <row r="8" spans="1:45" x14ac:dyDescent="0.25">
      <c r="A8" s="69">
        <f t="shared" ca="1" si="24"/>
        <v>2449.0449611985259</v>
      </c>
      <c r="B8" s="69">
        <f t="shared" ca="1" si="25"/>
        <v>2135.4080815976281</v>
      </c>
      <c r="C8" s="69">
        <f t="shared" ca="1" si="26"/>
        <v>2233.4632755397752</v>
      </c>
      <c r="D8" s="69">
        <f t="shared" ca="1" si="27"/>
        <v>2911.058230759631</v>
      </c>
      <c r="E8" s="69">
        <f t="shared" ca="1" si="28"/>
        <v>1930.0705725012544</v>
      </c>
      <c r="F8" s="69">
        <f t="shared" ca="1" si="29"/>
        <v>1222.9071942982166</v>
      </c>
      <c r="G8" s="69">
        <f t="shared" ca="1" si="30"/>
        <v>963.23210587512096</v>
      </c>
      <c r="H8" s="69">
        <f t="shared" ca="1" si="31"/>
        <v>1193.5455299691009</v>
      </c>
      <c r="I8" s="69">
        <f t="shared" ca="1" si="32"/>
        <v>1045.8340948364694</v>
      </c>
      <c r="J8" s="69">
        <f t="shared" ca="1" si="33"/>
        <v>1150.3621872686931</v>
      </c>
      <c r="K8" s="69">
        <f t="shared" ca="1" si="34"/>
        <v>1181.5180937371169</v>
      </c>
      <c r="L8" s="69">
        <f t="shared" ca="1" si="35"/>
        <v>955.33444129651377</v>
      </c>
      <c r="M8" s="69">
        <f t="shared" ca="1" si="36"/>
        <v>985.41355025917073</v>
      </c>
      <c r="N8" s="69">
        <f t="shared" ca="1" si="37"/>
        <v>573.99025480959392</v>
      </c>
      <c r="O8" s="69">
        <f t="shared" ca="1" si="38"/>
        <v>632.6598788229312</v>
      </c>
      <c r="P8" s="69">
        <f t="shared" ca="1" si="39"/>
        <v>725.91461546372989</v>
      </c>
      <c r="Q8" s="69">
        <f t="shared" ca="1" si="40"/>
        <v>954.27476353490999</v>
      </c>
      <c r="R8" s="69">
        <f t="shared" ca="1" si="41"/>
        <v>783.8808383941705</v>
      </c>
      <c r="S8" s="69">
        <f t="shared" ca="1" si="42"/>
        <v>699.83223995598655</v>
      </c>
      <c r="T8" s="69">
        <f t="shared" ca="1" si="43"/>
        <v>804.47092348360252</v>
      </c>
      <c r="U8" s="69">
        <f t="shared" ca="1" si="44"/>
        <v>1695.2463614025983</v>
      </c>
      <c r="V8" s="69">
        <f t="shared" ca="1" si="45"/>
        <v>1913.5560718842548</v>
      </c>
      <c r="W8" s="69">
        <f t="shared" ca="1" si="46"/>
        <v>1177.299059390906</v>
      </c>
      <c r="X8" s="69">
        <f t="shared" ca="1" si="47"/>
        <v>1488.2067809841637</v>
      </c>
      <c r="Y8" s="69">
        <f t="shared" ca="1" si="48"/>
        <v>1213.5215104111257</v>
      </c>
      <c r="AA8" s="20">
        <f t="shared" ca="1" si="12"/>
        <v>6.5626695700686704E+16</v>
      </c>
      <c r="AB8" s="20">
        <f t="shared" ca="1" si="5"/>
        <v>1691456503594751.3</v>
      </c>
      <c r="AC8" s="20">
        <f t="shared" ca="1" si="6"/>
        <v>403914230754106.94</v>
      </c>
      <c r="AD8" s="20">
        <f t="shared" ca="1" si="7"/>
        <v>305712590545797.75</v>
      </c>
      <c r="AE8" s="20">
        <f t="shared" ca="1" si="8"/>
        <v>6897180132116368</v>
      </c>
      <c r="AG8" s="16">
        <f t="shared" ca="1" si="13"/>
        <v>2.4485975997535911E-4</v>
      </c>
      <c r="AH8" s="16">
        <f t="shared" ca="1" si="14"/>
        <v>-2.2753315683725879E-4</v>
      </c>
      <c r="AI8" s="16">
        <f t="shared" ca="1" si="15"/>
        <v>8.0799388374614561E-4</v>
      </c>
      <c r="AJ8" s="16">
        <f t="shared" ca="1" si="16"/>
        <v>-9.0630524764540802E-4</v>
      </c>
      <c r="AK8" s="16">
        <f t="shared" ca="1" si="17"/>
        <v>7.5469442305485144E-4</v>
      </c>
      <c r="AM8" s="16">
        <f t="shared" ca="1" si="18"/>
        <v>-8.0984760761162056E-5</v>
      </c>
      <c r="AO8" s="16">
        <f t="shared" ca="1" si="19"/>
        <v>0</v>
      </c>
      <c r="AP8" s="16">
        <f t="shared" ca="1" si="20"/>
        <v>-2.2753315683725879E-4</v>
      </c>
      <c r="AQ8" s="16">
        <f t="shared" ca="1" si="21"/>
        <v>0</v>
      </c>
      <c r="AR8" s="16">
        <f t="shared" ca="1" si="22"/>
        <v>-9.0630524764540802E-4</v>
      </c>
      <c r="AS8" s="16">
        <f t="shared" ca="1" si="23"/>
        <v>0</v>
      </c>
    </row>
    <row r="9" spans="1:45" x14ac:dyDescent="0.25">
      <c r="A9" s="69">
        <f t="shared" ca="1" si="24"/>
        <v>2449.0498961864564</v>
      </c>
      <c r="B9" s="69">
        <f t="shared" ca="1" si="25"/>
        <v>2135.4080815976281</v>
      </c>
      <c r="C9" s="69">
        <f t="shared" ca="1" si="26"/>
        <v>2233.9325567883757</v>
      </c>
      <c r="D9" s="69">
        <f t="shared" ca="1" si="27"/>
        <v>2911.4500362553144</v>
      </c>
      <c r="E9" s="69">
        <f t="shared" ca="1" si="28"/>
        <v>1929.8740434157421</v>
      </c>
      <c r="F9" s="69">
        <f t="shared" ca="1" si="29"/>
        <v>1222.9071942982166</v>
      </c>
      <c r="G9" s="69">
        <f t="shared" ca="1" si="30"/>
        <v>963.47592955074163</v>
      </c>
      <c r="H9" s="69">
        <f t="shared" ca="1" si="31"/>
        <v>1193.5455299691009</v>
      </c>
      <c r="I9" s="69">
        <f t="shared" ca="1" si="32"/>
        <v>1045.6789232348724</v>
      </c>
      <c r="J9" s="69">
        <f t="shared" ca="1" si="33"/>
        <v>1149.9800432266056</v>
      </c>
      <c r="K9" s="69">
        <f t="shared" ca="1" si="34"/>
        <v>1181.484129710627</v>
      </c>
      <c r="L9" s="69">
        <f t="shared" ca="1" si="35"/>
        <v>955.2399978806377</v>
      </c>
      <c r="M9" s="69">
        <f t="shared" ca="1" si="36"/>
        <v>985.72217646242837</v>
      </c>
      <c r="N9" s="69">
        <f t="shared" ca="1" si="37"/>
        <v>574.34765126849925</v>
      </c>
      <c r="O9" s="69">
        <f t="shared" ca="1" si="38"/>
        <v>632.6598788229312</v>
      </c>
      <c r="P9" s="69">
        <f t="shared" ca="1" si="39"/>
        <v>725.91461546372989</v>
      </c>
      <c r="Q9" s="69">
        <f t="shared" ca="1" si="40"/>
        <v>953.95584944774987</v>
      </c>
      <c r="R9" s="69">
        <f t="shared" ca="1" si="41"/>
        <v>783.8808383941705</v>
      </c>
      <c r="S9" s="69">
        <f t="shared" ca="1" si="42"/>
        <v>699.43201250682989</v>
      </c>
      <c r="T9" s="69">
        <f t="shared" ca="1" si="43"/>
        <v>804.47092348360252</v>
      </c>
      <c r="U9" s="69">
        <f t="shared" ca="1" si="44"/>
        <v>1695.6419582703363</v>
      </c>
      <c r="V9" s="69">
        <f t="shared" ca="1" si="45"/>
        <v>1913.5434521075099</v>
      </c>
      <c r="W9" s="69">
        <f t="shared" ca="1" si="46"/>
        <v>1177.7394575907947</v>
      </c>
      <c r="X9" s="69">
        <f t="shared" ca="1" si="47"/>
        <v>1488.2067809841637</v>
      </c>
      <c r="Y9" s="69">
        <f t="shared" ca="1" si="48"/>
        <v>1213.7083524248774</v>
      </c>
      <c r="AA9" s="20">
        <f t="shared" ca="1" si="12"/>
        <v>6.5642767005171528E+16</v>
      </c>
      <c r="AB9" s="20">
        <f t="shared" ca="1" si="5"/>
        <v>1691071684937997.5</v>
      </c>
      <c r="AC9" s="20">
        <f t="shared" ca="1" si="6"/>
        <v>404240722866166.44</v>
      </c>
      <c r="AD9" s="20">
        <f t="shared" ca="1" si="7"/>
        <v>305435647137303.56</v>
      </c>
      <c r="AE9" s="20">
        <f t="shared" ca="1" si="8"/>
        <v>6902387360182718</v>
      </c>
      <c r="AG9" s="16">
        <f t="shared" ca="1" si="13"/>
        <v>-3.3940245777002966E-4</v>
      </c>
      <c r="AH9" s="16">
        <f t="shared" ca="1" si="14"/>
        <v>-1.7957485237997763E-4</v>
      </c>
      <c r="AI9" s="16">
        <f t="shared" ca="1" si="15"/>
        <v>8.687802611461762E-5</v>
      </c>
      <c r="AJ9" s="16">
        <f t="shared" ca="1" si="16"/>
        <v>-3.8002651866136602E-4</v>
      </c>
      <c r="AK9" s="16">
        <f t="shared" ca="1" si="17"/>
        <v>3.8798487354791371E-4</v>
      </c>
      <c r="AM9" s="16">
        <f t="shared" ca="1" si="18"/>
        <v>-8.1212580269675576E-4</v>
      </c>
      <c r="AO9" s="16">
        <f t="shared" ca="1" si="19"/>
        <v>-3.3940245777002966E-4</v>
      </c>
      <c r="AP9" s="16">
        <f t="shared" ca="1" si="20"/>
        <v>-1.7957485237997763E-4</v>
      </c>
      <c r="AQ9" s="16">
        <f t="shared" ca="1" si="21"/>
        <v>0</v>
      </c>
      <c r="AR9" s="16">
        <f t="shared" ca="1" si="22"/>
        <v>-3.8002651866136602E-4</v>
      </c>
      <c r="AS9" s="16">
        <f t="shared" ca="1" si="23"/>
        <v>0</v>
      </c>
    </row>
    <row r="10" spans="1:45" x14ac:dyDescent="0.25">
      <c r="A10" s="69">
        <f t="shared" ca="1" si="24"/>
        <v>2449.0498961864564</v>
      </c>
      <c r="B10" s="69">
        <f t="shared" ca="1" si="25"/>
        <v>2135.4080815976281</v>
      </c>
      <c r="C10" s="69">
        <f t="shared" ca="1" si="26"/>
        <v>2233.8231924772635</v>
      </c>
      <c r="D10" s="69">
        <f t="shared" ca="1" si="27"/>
        <v>2911.1763315339222</v>
      </c>
      <c r="E10" s="69">
        <f t="shared" ca="1" si="28"/>
        <v>1929.4949933253386</v>
      </c>
      <c r="F10" s="69">
        <f t="shared" ca="1" si="29"/>
        <v>1222.9071942982166</v>
      </c>
      <c r="G10" s="69">
        <f t="shared" ca="1" si="30"/>
        <v>963.88699431229315</v>
      </c>
      <c r="H10" s="69">
        <f t="shared" ca="1" si="31"/>
        <v>1193.1881813172733</v>
      </c>
      <c r="I10" s="69">
        <f t="shared" ca="1" si="32"/>
        <v>1045.6789232348724</v>
      </c>
      <c r="J10" s="69">
        <f t="shared" ca="1" si="33"/>
        <v>1149.6274147904121</v>
      </c>
      <c r="K10" s="69">
        <f t="shared" ca="1" si="34"/>
        <v>1181.484129710627</v>
      </c>
      <c r="L10" s="69">
        <f t="shared" ca="1" si="35"/>
        <v>955.24944671513811</v>
      </c>
      <c r="M10" s="69">
        <f t="shared" ca="1" si="36"/>
        <v>985.72217646242837</v>
      </c>
      <c r="N10" s="69">
        <f t="shared" ca="1" si="37"/>
        <v>574.34765126849925</v>
      </c>
      <c r="O10" s="69">
        <f t="shared" ca="1" si="38"/>
        <v>632.70858696337439</v>
      </c>
      <c r="P10" s="69">
        <f t="shared" ca="1" si="39"/>
        <v>725.91461546372989</v>
      </c>
      <c r="Q10" s="69">
        <f t="shared" ca="1" si="40"/>
        <v>953.86198144934497</v>
      </c>
      <c r="R10" s="69">
        <f t="shared" ca="1" si="41"/>
        <v>783.8808383941705</v>
      </c>
      <c r="S10" s="69">
        <f t="shared" ca="1" si="42"/>
        <v>699.44320177736813</v>
      </c>
      <c r="T10" s="69">
        <f t="shared" ca="1" si="43"/>
        <v>804.23153205473272</v>
      </c>
      <c r="U10" s="69">
        <f t="shared" ca="1" si="44"/>
        <v>1695.6419582703363</v>
      </c>
      <c r="V10" s="69">
        <f t="shared" ca="1" si="45"/>
        <v>1913.3803206566884</v>
      </c>
      <c r="W10" s="69">
        <f t="shared" ca="1" si="46"/>
        <v>1178.0366613174626</v>
      </c>
      <c r="X10" s="69">
        <f t="shared" ca="1" si="47"/>
        <v>1488.5355924269302</v>
      </c>
      <c r="Y10" s="69">
        <f t="shared" ca="1" si="48"/>
        <v>1213.7083524248774</v>
      </c>
      <c r="AA10" s="20">
        <f t="shared" ca="1" si="12"/>
        <v>6.5620491469114824E+16</v>
      </c>
      <c r="AB10" s="20">
        <f t="shared" ca="1" si="5"/>
        <v>1690768038254281</v>
      </c>
      <c r="AC10" s="20">
        <f t="shared" ca="1" si="6"/>
        <v>404275844027850.69</v>
      </c>
      <c r="AD10" s="20">
        <f t="shared" ca="1" si="7"/>
        <v>305319595544385</v>
      </c>
      <c r="AE10" s="20">
        <f t="shared" ca="1" si="8"/>
        <v>6905065901653024</v>
      </c>
      <c r="AG10" s="16">
        <f t="shared" ca="1" si="13"/>
        <v>5.0861704280283289E-5</v>
      </c>
      <c r="AH10" s="16">
        <f t="shared" ca="1" si="14"/>
        <v>-3.5303616292944032E-4</v>
      </c>
      <c r="AI10" s="16">
        <f t="shared" ca="1" si="15"/>
        <v>-1.1051006524391924E-3</v>
      </c>
      <c r="AJ10" s="16">
        <f t="shared" ca="1" si="16"/>
        <v>-1.9717296984773767E-4</v>
      </c>
      <c r="AK10" s="16">
        <f t="shared" ca="1" si="17"/>
        <v>2.3077083643657824E-4</v>
      </c>
      <c r="AM10" s="16">
        <f t="shared" ca="1" si="18"/>
        <v>-1.6044480809360871E-3</v>
      </c>
      <c r="AO10" s="16">
        <f t="shared" ca="1" si="19"/>
        <v>0</v>
      </c>
      <c r="AP10" s="16">
        <f t="shared" ca="1" si="20"/>
        <v>-3.5303616292944032E-4</v>
      </c>
      <c r="AQ10" s="16">
        <f t="shared" ca="1" si="21"/>
        <v>-1.1051006524391924E-3</v>
      </c>
      <c r="AR10" s="16">
        <f t="shared" ca="1" si="22"/>
        <v>-1.9717296984773767E-4</v>
      </c>
      <c r="AS10" s="16">
        <f t="shared" ca="1" si="23"/>
        <v>0</v>
      </c>
    </row>
    <row r="11" spans="1:45" x14ac:dyDescent="0.25">
      <c r="A11" s="69">
        <f t="shared" ca="1" si="24"/>
        <v>2448.9749834971321</v>
      </c>
      <c r="B11" s="69">
        <f t="shared" ca="1" si="25"/>
        <v>2135.4080815976281</v>
      </c>
      <c r="C11" s="69">
        <f t="shared" ca="1" si="26"/>
        <v>2234.0051462207325</v>
      </c>
      <c r="D11" s="69">
        <f t="shared" ca="1" si="27"/>
        <v>2911.1763315339222</v>
      </c>
      <c r="E11" s="69">
        <f t="shared" ca="1" si="28"/>
        <v>1929.4949933253386</v>
      </c>
      <c r="F11" s="69">
        <f t="shared" ca="1" si="29"/>
        <v>1222.9071942982166</v>
      </c>
      <c r="G11" s="69">
        <f t="shared" ca="1" si="30"/>
        <v>963.61519538018229</v>
      </c>
      <c r="H11" s="69">
        <f t="shared" ca="1" si="31"/>
        <v>1193.1642904653538</v>
      </c>
      <c r="I11" s="69">
        <f t="shared" ca="1" si="32"/>
        <v>1045.6789232348724</v>
      </c>
      <c r="J11" s="69">
        <f t="shared" ca="1" si="33"/>
        <v>1149.5687952422529</v>
      </c>
      <c r="K11" s="69">
        <f t="shared" ca="1" si="34"/>
        <v>1181.1043142448509</v>
      </c>
      <c r="L11" s="69">
        <f t="shared" ca="1" si="35"/>
        <v>954.86959269922318</v>
      </c>
      <c r="M11" s="69">
        <f t="shared" ca="1" si="36"/>
        <v>985.656703373298</v>
      </c>
      <c r="N11" s="69">
        <f t="shared" ca="1" si="37"/>
        <v>574.16422012937051</v>
      </c>
      <c r="O11" s="69">
        <f t="shared" ca="1" si="38"/>
        <v>632.70858696337439</v>
      </c>
      <c r="P11" s="69">
        <f t="shared" ca="1" si="39"/>
        <v>725.91461546372989</v>
      </c>
      <c r="Q11" s="69">
        <f t="shared" ca="1" si="40"/>
        <v>953.86198144934497</v>
      </c>
      <c r="R11" s="69">
        <f t="shared" ca="1" si="41"/>
        <v>783.8808383941705</v>
      </c>
      <c r="S11" s="69">
        <f t="shared" ca="1" si="42"/>
        <v>699.44320177736813</v>
      </c>
      <c r="T11" s="69">
        <f t="shared" ca="1" si="43"/>
        <v>804.07297496721196</v>
      </c>
      <c r="U11" s="69">
        <f t="shared" ca="1" si="44"/>
        <v>1695.5113613472365</v>
      </c>
      <c r="V11" s="69">
        <f t="shared" ca="1" si="45"/>
        <v>1913.3803206566884</v>
      </c>
      <c r="W11" s="69">
        <f t="shared" ca="1" si="46"/>
        <v>1178.4985386342019</v>
      </c>
      <c r="X11" s="69">
        <f t="shared" ca="1" si="47"/>
        <v>1489.0026554193075</v>
      </c>
      <c r="Y11" s="69">
        <f t="shared" ca="1" si="48"/>
        <v>1213.2254796494026</v>
      </c>
      <c r="AA11" s="20">
        <f t="shared" ca="1" si="12"/>
        <v>6.5623829124025336E+16</v>
      </c>
      <c r="AB11" s="20">
        <f t="shared" ca="1" si="5"/>
        <v>1690171241345295.8</v>
      </c>
      <c r="AC11" s="20">
        <f t="shared" ca="1" si="6"/>
        <v>403829325298362.25</v>
      </c>
      <c r="AD11" s="20">
        <f t="shared" ca="1" si="7"/>
        <v>305259400707571.19</v>
      </c>
      <c r="AE11" s="20">
        <f t="shared" ca="1" si="8"/>
        <v>6906659573366203</v>
      </c>
      <c r="AG11" s="16">
        <f t="shared" ca="1" si="13"/>
        <v>9.4501139249776717E-5</v>
      </c>
      <c r="AH11" s="16">
        <f t="shared" ca="1" si="14"/>
        <v>-1.6117340028081245E-4</v>
      </c>
      <c r="AI11" s="16">
        <f t="shared" ca="1" si="15"/>
        <v>-1.0877279555680298E-3</v>
      </c>
      <c r="AJ11" s="16">
        <f t="shared" ca="1" si="16"/>
        <v>4.0723738557163475E-4</v>
      </c>
      <c r="AK11" s="16">
        <f t="shared" ca="1" si="17"/>
        <v>3.6803123832205306E-4</v>
      </c>
      <c r="AM11" s="16">
        <f t="shared" ca="1" si="18"/>
        <v>-7.471628310274309E-4</v>
      </c>
      <c r="AO11" s="16">
        <f t="shared" ca="1" si="19"/>
        <v>0</v>
      </c>
      <c r="AP11" s="16">
        <f t="shared" ca="1" si="20"/>
        <v>-1.6117340028081245E-4</v>
      </c>
      <c r="AQ11" s="16">
        <f t="shared" ca="1" si="21"/>
        <v>-1.0877279555680298E-3</v>
      </c>
      <c r="AR11" s="16">
        <f t="shared" ca="1" si="22"/>
        <v>0</v>
      </c>
      <c r="AS11" s="16">
        <f t="shared" ca="1" si="23"/>
        <v>0</v>
      </c>
    </row>
    <row r="12" spans="1:45" x14ac:dyDescent="0.25">
      <c r="A12" s="69">
        <f t="shared" ca="1" si="24"/>
        <v>2448.7025842498906</v>
      </c>
      <c r="B12" s="69">
        <f t="shared" ca="1" si="25"/>
        <v>2135.4080815976281</v>
      </c>
      <c r="C12" s="69">
        <f t="shared" ca="1" si="26"/>
        <v>2234.0051462207325</v>
      </c>
      <c r="D12" s="69">
        <f t="shared" ca="1" si="27"/>
        <v>2911.1763315339222</v>
      </c>
      <c r="E12" s="69">
        <f t="shared" ca="1" si="28"/>
        <v>1929.8920031145403</v>
      </c>
      <c r="F12" s="69">
        <f t="shared" ca="1" si="29"/>
        <v>1222.8753526612277</v>
      </c>
      <c r="G12" s="69">
        <f t="shared" ca="1" si="30"/>
        <v>963.61519538018229</v>
      </c>
      <c r="H12" s="69">
        <f t="shared" ca="1" si="31"/>
        <v>1192.8822944817562</v>
      </c>
      <c r="I12" s="69">
        <f t="shared" ca="1" si="32"/>
        <v>1045.6789232348724</v>
      </c>
      <c r="J12" s="69">
        <f t="shared" ca="1" si="33"/>
        <v>1149.6851782947297</v>
      </c>
      <c r="K12" s="69">
        <f t="shared" ca="1" si="34"/>
        <v>1181.1043142448509</v>
      </c>
      <c r="L12" s="69">
        <f t="shared" ca="1" si="35"/>
        <v>954.43057653131507</v>
      </c>
      <c r="M12" s="69">
        <f t="shared" ca="1" si="36"/>
        <v>985.656703373298</v>
      </c>
      <c r="N12" s="69">
        <f t="shared" ca="1" si="37"/>
        <v>573.98286229042435</v>
      </c>
      <c r="O12" s="69">
        <f t="shared" ca="1" si="38"/>
        <v>632.51124891623522</v>
      </c>
      <c r="P12" s="69">
        <f t="shared" ca="1" si="39"/>
        <v>725.70311034882945</v>
      </c>
      <c r="Q12" s="69">
        <f t="shared" ca="1" si="40"/>
        <v>953.93882484449898</v>
      </c>
      <c r="R12" s="69">
        <f t="shared" ca="1" si="41"/>
        <v>783.8808383941705</v>
      </c>
      <c r="S12" s="69">
        <f t="shared" ca="1" si="42"/>
        <v>699.87565175694726</v>
      </c>
      <c r="T12" s="69">
        <f t="shared" ca="1" si="43"/>
        <v>804.07297496721196</v>
      </c>
      <c r="U12" s="69">
        <f t="shared" ca="1" si="44"/>
        <v>1695.5113613472365</v>
      </c>
      <c r="V12" s="69">
        <f t="shared" ca="1" si="45"/>
        <v>1913.5026933025345</v>
      </c>
      <c r="W12" s="69">
        <f t="shared" ca="1" si="46"/>
        <v>1178.9662424987116</v>
      </c>
      <c r="X12" s="69">
        <f t="shared" ca="1" si="47"/>
        <v>1488.8646187164227</v>
      </c>
      <c r="Y12" s="69">
        <f t="shared" ca="1" si="48"/>
        <v>1213.2254796494026</v>
      </c>
      <c r="AA12" s="20">
        <f t="shared" ca="1" si="12"/>
        <v>6.5630030943674384E+16</v>
      </c>
      <c r="AB12" s="20">
        <f t="shared" ca="1" si="5"/>
        <v>1689898852650767</v>
      </c>
      <c r="AC12" s="20">
        <f t="shared" ca="1" si="6"/>
        <v>403390307661120.94</v>
      </c>
      <c r="AD12" s="20">
        <f t="shared" ca="1" si="7"/>
        <v>305383739063731.69</v>
      </c>
      <c r="AE12" s="20">
        <f t="shared" ca="1" si="8"/>
        <v>6909201907642178</v>
      </c>
      <c r="AG12" s="16">
        <f t="shared" ca="1" si="13"/>
        <v>2.3311567446522214E-4</v>
      </c>
      <c r="AH12" s="16">
        <f t="shared" ca="1" si="14"/>
        <v>5.5447711163118558E-4</v>
      </c>
      <c r="AI12" s="16">
        <f t="shared" ca="1" si="15"/>
        <v>5.9547956346429703E-4</v>
      </c>
      <c r="AJ12" s="16">
        <f t="shared" ca="1" si="16"/>
        <v>-1.3860033177112796E-3</v>
      </c>
      <c r="AK12" s="16">
        <f t="shared" ca="1" si="17"/>
        <v>1.5279728424817481E-4</v>
      </c>
      <c r="AM12" s="16">
        <f t="shared" ca="1" si="18"/>
        <v>-2.9309681505748468E-6</v>
      </c>
      <c r="AO12" s="16">
        <f t="shared" ca="1" si="19"/>
        <v>0</v>
      </c>
      <c r="AP12" s="16">
        <f t="shared" ca="1" si="20"/>
        <v>0</v>
      </c>
      <c r="AQ12" s="16">
        <f t="shared" ca="1" si="21"/>
        <v>0</v>
      </c>
      <c r="AR12" s="16">
        <f t="shared" ca="1" si="22"/>
        <v>-1.3860033177112796E-3</v>
      </c>
      <c r="AS12" s="16">
        <f t="shared" ca="1" si="23"/>
        <v>0</v>
      </c>
    </row>
    <row r="13" spans="1:45" x14ac:dyDescent="0.25">
      <c r="A13" s="69">
        <f t="shared" ca="1" si="24"/>
        <v>2448.7771938395576</v>
      </c>
      <c r="B13" s="69">
        <f t="shared" ca="1" si="25"/>
        <v>2135.5263351779954</v>
      </c>
      <c r="C13" s="69">
        <f t="shared" ca="1" si="26"/>
        <v>2234.0051462207325</v>
      </c>
      <c r="D13" s="69">
        <f t="shared" ca="1" si="27"/>
        <v>2910.9206321609413</v>
      </c>
      <c r="E13" s="69">
        <f t="shared" ca="1" si="28"/>
        <v>1930.3457908306746</v>
      </c>
      <c r="F13" s="69">
        <f t="shared" ca="1" si="29"/>
        <v>1223.2554366795885</v>
      </c>
      <c r="G13" s="69">
        <f t="shared" ca="1" si="30"/>
        <v>963.85007018794965</v>
      </c>
      <c r="H13" s="69">
        <f t="shared" ca="1" si="31"/>
        <v>1192.8822944817562</v>
      </c>
      <c r="I13" s="69">
        <f t="shared" ca="1" si="32"/>
        <v>1045.6789232348724</v>
      </c>
      <c r="J13" s="69">
        <f t="shared" ca="1" si="33"/>
        <v>1149.6851782947297</v>
      </c>
      <c r="K13" s="69">
        <f t="shared" ca="1" si="34"/>
        <v>1180.7189618910779</v>
      </c>
      <c r="L13" s="69">
        <f t="shared" ca="1" si="35"/>
        <v>954.82233988115706</v>
      </c>
      <c r="M13" s="69">
        <f t="shared" ca="1" si="36"/>
        <v>985.33811514035983</v>
      </c>
      <c r="N13" s="69">
        <f t="shared" ca="1" si="37"/>
        <v>574.46215999816764</v>
      </c>
      <c r="O13" s="69">
        <f t="shared" ca="1" si="38"/>
        <v>632.51124891623522</v>
      </c>
      <c r="P13" s="69">
        <f t="shared" ca="1" si="39"/>
        <v>725.25522324899111</v>
      </c>
      <c r="Q13" s="69">
        <f t="shared" ca="1" si="40"/>
        <v>953.93882484449898</v>
      </c>
      <c r="R13" s="69">
        <f t="shared" ca="1" si="41"/>
        <v>783.51402474433132</v>
      </c>
      <c r="S13" s="69">
        <f t="shared" ca="1" si="42"/>
        <v>699.66531417284227</v>
      </c>
      <c r="T13" s="69">
        <f t="shared" ca="1" si="43"/>
        <v>804.07297496721196</v>
      </c>
      <c r="U13" s="69">
        <f t="shared" ca="1" si="44"/>
        <v>1695.7311122324245</v>
      </c>
      <c r="V13" s="69">
        <f t="shared" ca="1" si="45"/>
        <v>1913.7320142812705</v>
      </c>
      <c r="W13" s="69">
        <f t="shared" ca="1" si="46"/>
        <v>1178.9662424987116</v>
      </c>
      <c r="X13" s="69">
        <f t="shared" ca="1" si="47"/>
        <v>1488.8646187164227</v>
      </c>
      <c r="Y13" s="69">
        <f t="shared" ca="1" si="48"/>
        <v>1213.1082414633502</v>
      </c>
      <c r="AA13" s="20">
        <f t="shared" ca="1" si="12"/>
        <v>6.5645332116005248E+16</v>
      </c>
      <c r="AB13" s="20">
        <f t="shared" ca="1" si="5"/>
        <v>1690836122708917.8</v>
      </c>
      <c r="AC13" s="20">
        <f t="shared" ca="1" si="6"/>
        <v>403630589879907.81</v>
      </c>
      <c r="AD13" s="20">
        <f t="shared" ca="1" si="7"/>
        <v>304960769374621.06</v>
      </c>
      <c r="AE13" s="20">
        <f t="shared" ca="1" si="8"/>
        <v>6910257695588700</v>
      </c>
      <c r="AG13" s="16">
        <f t="shared" ca="1" si="13"/>
        <v>-1.0391823503784008E-4</v>
      </c>
      <c r="AH13" s="16">
        <f t="shared" ca="1" si="14"/>
        <v>5.6402690444340019E-4</v>
      </c>
      <c r="AI13" s="16">
        <f t="shared" ca="1" si="15"/>
        <v>-5.6361229675611644E-4</v>
      </c>
      <c r="AJ13" s="16">
        <f t="shared" ca="1" si="16"/>
        <v>-1.6815819886458193E-4</v>
      </c>
      <c r="AK13" s="16">
        <f t="shared" ca="1" si="17"/>
        <v>2.4978378200318655E-4</v>
      </c>
      <c r="AM13" s="16">
        <f t="shared" ca="1" si="18"/>
        <v>-2.7166182621513827E-4</v>
      </c>
      <c r="AO13" s="16">
        <f t="shared" ca="1" si="19"/>
        <v>-1.0391823503784008E-4</v>
      </c>
      <c r="AP13" s="16">
        <f t="shared" ca="1" si="20"/>
        <v>0</v>
      </c>
      <c r="AQ13" s="16">
        <f t="shared" ca="1" si="21"/>
        <v>-5.6361229675611644E-4</v>
      </c>
      <c r="AR13" s="16">
        <f t="shared" ca="1" si="22"/>
        <v>-1.6815819886458193E-4</v>
      </c>
      <c r="AS13" s="16">
        <f t="shared" ca="1" si="23"/>
        <v>0</v>
      </c>
    </row>
    <row r="14" spans="1:45" x14ac:dyDescent="0.25">
      <c r="A14" s="69">
        <f t="shared" ca="1" si="24"/>
        <v>2449.141637976481</v>
      </c>
      <c r="B14" s="69">
        <f t="shared" ca="1" si="25"/>
        <v>2135.0617968143979</v>
      </c>
      <c r="C14" s="69">
        <f t="shared" ca="1" si="26"/>
        <v>2234.0051462207325</v>
      </c>
      <c r="D14" s="69">
        <f t="shared" ca="1" si="27"/>
        <v>2910.818222701515</v>
      </c>
      <c r="E14" s="69">
        <f t="shared" ca="1" si="28"/>
        <v>1930.3457908306746</v>
      </c>
      <c r="F14" s="69">
        <f t="shared" ca="1" si="29"/>
        <v>1223.2554366795885</v>
      </c>
      <c r="G14" s="69">
        <f t="shared" ca="1" si="30"/>
        <v>963.85007018794965</v>
      </c>
      <c r="H14" s="69">
        <f t="shared" ca="1" si="31"/>
        <v>1192.8937659777109</v>
      </c>
      <c r="I14" s="69">
        <f t="shared" ca="1" si="32"/>
        <v>1045.8821481960063</v>
      </c>
      <c r="J14" s="69">
        <f t="shared" ca="1" si="33"/>
        <v>1150.0992335818091</v>
      </c>
      <c r="K14" s="69">
        <f t="shared" ca="1" si="34"/>
        <v>1180.6693774470689</v>
      </c>
      <c r="L14" s="69">
        <f t="shared" ca="1" si="35"/>
        <v>954.62106792074746</v>
      </c>
      <c r="M14" s="69">
        <f t="shared" ca="1" si="36"/>
        <v>985.32461072195792</v>
      </c>
      <c r="N14" s="69">
        <f t="shared" ca="1" si="37"/>
        <v>574.25212438995879</v>
      </c>
      <c r="O14" s="69">
        <f t="shared" ca="1" si="38"/>
        <v>632.55463735748799</v>
      </c>
      <c r="P14" s="69">
        <f t="shared" ca="1" si="39"/>
        <v>724.85269282550075</v>
      </c>
      <c r="Q14" s="69">
        <f t="shared" ca="1" si="40"/>
        <v>954.0052500705475</v>
      </c>
      <c r="R14" s="69">
        <f t="shared" ca="1" si="41"/>
        <v>783.86183155551555</v>
      </c>
      <c r="S14" s="69">
        <f t="shared" ca="1" si="42"/>
        <v>699.57686591389381</v>
      </c>
      <c r="T14" s="69">
        <f t="shared" ca="1" si="43"/>
        <v>804.07297496721196</v>
      </c>
      <c r="U14" s="69">
        <f t="shared" ca="1" si="44"/>
        <v>1695.7311122324245</v>
      </c>
      <c r="V14" s="69">
        <f t="shared" ca="1" si="45"/>
        <v>1914.0988289796214</v>
      </c>
      <c r="W14" s="69">
        <f t="shared" ca="1" si="46"/>
        <v>1178.9662424987116</v>
      </c>
      <c r="X14" s="69">
        <f t="shared" ca="1" si="47"/>
        <v>1488.8646187164227</v>
      </c>
      <c r="Y14" s="69">
        <f t="shared" ca="1" si="48"/>
        <v>1213.1787579640934</v>
      </c>
      <c r="AA14" s="20">
        <f t="shared" ca="1" si="12"/>
        <v>6.563851072339296E+16</v>
      </c>
      <c r="AB14" s="20">
        <f t="shared" ca="1" si="5"/>
        <v>1691790068773463.8</v>
      </c>
      <c r="AC14" s="20">
        <f t="shared" ca="1" si="6"/>
        <v>403403162812470.81</v>
      </c>
      <c r="AD14" s="20">
        <f t="shared" ca="1" si="7"/>
        <v>304909492032392.25</v>
      </c>
      <c r="AE14" s="20">
        <f t="shared" ca="1" si="8"/>
        <v>6911983981480655</v>
      </c>
      <c r="AG14" s="16">
        <f t="shared" ca="1" si="13"/>
        <v>2.1542958120220634E-4</v>
      </c>
      <c r="AH14" s="16">
        <f t="shared" ca="1" si="14"/>
        <v>3.5108459058694964E-5</v>
      </c>
      <c r="AI14" s="16">
        <f t="shared" ca="1" si="15"/>
        <v>-2.3259233527553707E-4</v>
      </c>
      <c r="AJ14" s="16">
        <f t="shared" ca="1" si="16"/>
        <v>-3.0796693967646523E-4</v>
      </c>
      <c r="AK14" s="16">
        <f t="shared" ca="1" si="17"/>
        <v>1.5856073644838705E-4</v>
      </c>
      <c r="AM14" s="16">
        <f t="shared" ca="1" si="18"/>
        <v>-2.9002123469110098E-4</v>
      </c>
      <c r="AO14" s="16">
        <f t="shared" ca="1" si="19"/>
        <v>0</v>
      </c>
      <c r="AP14" s="16">
        <f t="shared" ca="1" si="20"/>
        <v>0</v>
      </c>
      <c r="AQ14" s="16">
        <f t="shared" ca="1" si="21"/>
        <v>-2.3259233527553707E-4</v>
      </c>
      <c r="AR14" s="16">
        <f t="shared" ca="1" si="22"/>
        <v>-3.0796693967646523E-4</v>
      </c>
      <c r="AS14" s="16">
        <f t="shared" ca="1" si="23"/>
        <v>0</v>
      </c>
    </row>
    <row r="15" spans="1:45" x14ac:dyDescent="0.25">
      <c r="A15" s="69">
        <f t="shared" ca="1" si="24"/>
        <v>2449.2396774336803</v>
      </c>
      <c r="B15" s="69">
        <f t="shared" ca="1" si="25"/>
        <v>2135.0617968143979</v>
      </c>
      <c r="C15" s="69">
        <f t="shared" ca="1" si="26"/>
        <v>2234.4017478230276</v>
      </c>
      <c r="D15" s="69">
        <f t="shared" ca="1" si="27"/>
        <v>2910.5081549683387</v>
      </c>
      <c r="E15" s="69">
        <f t="shared" ca="1" si="28"/>
        <v>1930.5473580488463</v>
      </c>
      <c r="F15" s="69">
        <f t="shared" ca="1" si="29"/>
        <v>1223.4672079990403</v>
      </c>
      <c r="G15" s="69">
        <f t="shared" ca="1" si="30"/>
        <v>964.17571337167817</v>
      </c>
      <c r="H15" s="69">
        <f t="shared" ca="1" si="31"/>
        <v>1192.8937659777109</v>
      </c>
      <c r="I15" s="69">
        <f t="shared" ca="1" si="32"/>
        <v>1045.3846386919272</v>
      </c>
      <c r="J15" s="69">
        <f t="shared" ca="1" si="33"/>
        <v>1150.0992335818091</v>
      </c>
      <c r="K15" s="69">
        <f t="shared" ca="1" si="34"/>
        <v>1180.6693774470689</v>
      </c>
      <c r="L15" s="69">
        <f t="shared" ca="1" si="35"/>
        <v>954.90367970035572</v>
      </c>
      <c r="M15" s="69">
        <f t="shared" ca="1" si="36"/>
        <v>984.87790847254723</v>
      </c>
      <c r="N15" s="69">
        <f t="shared" ca="1" si="37"/>
        <v>574.20897880719315</v>
      </c>
      <c r="O15" s="69">
        <f t="shared" ca="1" si="38"/>
        <v>632.55463735748799</v>
      </c>
      <c r="P15" s="69">
        <f t="shared" ca="1" si="39"/>
        <v>724.85269282550075</v>
      </c>
      <c r="Q15" s="69">
        <f t="shared" ca="1" si="40"/>
        <v>953.53990866779202</v>
      </c>
      <c r="R15" s="69">
        <f t="shared" ca="1" si="41"/>
        <v>784.28609091496355</v>
      </c>
      <c r="S15" s="69">
        <f t="shared" ca="1" si="42"/>
        <v>699.09743539786564</v>
      </c>
      <c r="T15" s="69">
        <f t="shared" ca="1" si="43"/>
        <v>804.33384443465457</v>
      </c>
      <c r="U15" s="69">
        <f t="shared" ca="1" si="44"/>
        <v>1695.7812516368374</v>
      </c>
      <c r="V15" s="69">
        <f t="shared" ca="1" si="45"/>
        <v>1914.0988289796214</v>
      </c>
      <c r="W15" s="69">
        <f t="shared" ca="1" si="46"/>
        <v>1179.4115228222054</v>
      </c>
      <c r="X15" s="69">
        <f t="shared" ca="1" si="47"/>
        <v>1488.8646187164227</v>
      </c>
      <c r="Y15" s="69">
        <f t="shared" ca="1" si="48"/>
        <v>1212.8771717730544</v>
      </c>
      <c r="AA15" s="20">
        <f t="shared" ca="1" si="12"/>
        <v>6.5652652723516728E+16</v>
      </c>
      <c r="AB15" s="20">
        <f t="shared" ca="1" si="5"/>
        <v>1691849465958495</v>
      </c>
      <c r="AC15" s="20">
        <f t="shared" ca="1" si="6"/>
        <v>403309345239821.81</v>
      </c>
      <c r="AD15" s="20">
        <f t="shared" ca="1" si="7"/>
        <v>304815604447130.94</v>
      </c>
      <c r="AE15" s="20">
        <f t="shared" ca="1" si="8"/>
        <v>6913080037644518</v>
      </c>
      <c r="AG15" s="16">
        <f t="shared" ca="1" si="13"/>
        <v>-2.2202051512738589E-4</v>
      </c>
      <c r="AH15" s="16">
        <f t="shared" ca="1" si="14"/>
        <v>1.9706635880851171E-4</v>
      </c>
      <c r="AI15" s="16">
        <f t="shared" ca="1" si="15"/>
        <v>-4.545299193564883E-4</v>
      </c>
      <c r="AJ15" s="16">
        <f t="shared" ca="1" si="16"/>
        <v>-7.7043073663628285E-5</v>
      </c>
      <c r="AK15" s="16">
        <f t="shared" ca="1" si="17"/>
        <v>2.4755052556336415E-5</v>
      </c>
      <c r="AM15" s="16">
        <f t="shared" ca="1" si="18"/>
        <v>-5.5652714933899074E-4</v>
      </c>
      <c r="AO15" s="16">
        <f t="shared" ca="1" si="19"/>
        <v>-2.2202051512738589E-4</v>
      </c>
      <c r="AP15" s="16">
        <f t="shared" ca="1" si="20"/>
        <v>0</v>
      </c>
      <c r="AQ15" s="16">
        <f t="shared" ca="1" si="21"/>
        <v>-4.545299193564883E-4</v>
      </c>
      <c r="AR15" s="16">
        <f t="shared" ca="1" si="22"/>
        <v>-7.7043073663628285E-5</v>
      </c>
      <c r="AS15" s="16">
        <f t="shared" ca="1" si="23"/>
        <v>0</v>
      </c>
    </row>
    <row r="16" spans="1:45" x14ac:dyDescent="0.25">
      <c r="A16" s="69">
        <f t="shared" ca="1" si="24"/>
        <v>2449.2396774336803</v>
      </c>
      <c r="B16" s="69">
        <f t="shared" ca="1" si="25"/>
        <v>2135.1085810586801</v>
      </c>
      <c r="C16" s="69">
        <f t="shared" ca="1" si="26"/>
        <v>2234.4017478230276</v>
      </c>
      <c r="D16" s="69">
        <f t="shared" ca="1" si="27"/>
        <v>2910.1751734118893</v>
      </c>
      <c r="E16" s="69">
        <f t="shared" ca="1" si="28"/>
        <v>1930.2973308720702</v>
      </c>
      <c r="F16" s="69">
        <f t="shared" ca="1" si="29"/>
        <v>1223.1861934435992</v>
      </c>
      <c r="G16" s="69">
        <f t="shared" ca="1" si="30"/>
        <v>964.18859855390269</v>
      </c>
      <c r="H16" s="69">
        <f t="shared" ca="1" si="31"/>
        <v>1193.3870292172276</v>
      </c>
      <c r="I16" s="69">
        <f t="shared" ca="1" si="32"/>
        <v>1045.3846386919272</v>
      </c>
      <c r="J16" s="69">
        <f t="shared" ca="1" si="33"/>
        <v>1150.0992335818091</v>
      </c>
      <c r="K16" s="69">
        <f t="shared" ca="1" si="34"/>
        <v>1180.6202780523085</v>
      </c>
      <c r="L16" s="69">
        <f t="shared" ca="1" si="35"/>
        <v>954.90367970035572</v>
      </c>
      <c r="M16" s="69">
        <f t="shared" ca="1" si="36"/>
        <v>984.92838390492818</v>
      </c>
      <c r="N16" s="69">
        <f t="shared" ca="1" si="37"/>
        <v>574.31750993781532</v>
      </c>
      <c r="O16" s="69">
        <f t="shared" ca="1" si="38"/>
        <v>632.14159765347324</v>
      </c>
      <c r="P16" s="69">
        <f t="shared" ca="1" si="39"/>
        <v>725.30116489779539</v>
      </c>
      <c r="Q16" s="69">
        <f t="shared" ca="1" si="40"/>
        <v>953.53990866779202</v>
      </c>
      <c r="R16" s="69">
        <f t="shared" ca="1" si="41"/>
        <v>784.22631747037201</v>
      </c>
      <c r="S16" s="69">
        <f t="shared" ca="1" si="42"/>
        <v>698.66458841872929</v>
      </c>
      <c r="T16" s="69">
        <f t="shared" ca="1" si="43"/>
        <v>804.33384443465457</v>
      </c>
      <c r="U16" s="69">
        <f t="shared" ca="1" si="44"/>
        <v>1695.7812516368374</v>
      </c>
      <c r="V16" s="69">
        <f t="shared" ca="1" si="45"/>
        <v>1913.8469016201918</v>
      </c>
      <c r="W16" s="69">
        <f t="shared" ca="1" si="46"/>
        <v>1179.4115228222054</v>
      </c>
      <c r="X16" s="69">
        <f t="shared" ca="1" si="47"/>
        <v>1488.5377408686668</v>
      </c>
      <c r="Y16" s="69">
        <f t="shared" ca="1" si="48"/>
        <v>1213.3332422062037</v>
      </c>
      <c r="AA16" s="20">
        <f t="shared" ca="1" si="12"/>
        <v>6.563807810573152E+16</v>
      </c>
      <c r="AB16" s="20">
        <f t="shared" ca="1" si="5"/>
        <v>1692182905426175.5</v>
      </c>
      <c r="AC16" s="20">
        <f t="shared" ca="1" si="6"/>
        <v>403126070730683.5</v>
      </c>
      <c r="AD16" s="20">
        <f t="shared" ca="1" si="7"/>
        <v>304792121420677.56</v>
      </c>
      <c r="AE16" s="20">
        <f t="shared" ca="1" si="8"/>
        <v>6913251173422405</v>
      </c>
      <c r="AG16" s="16">
        <f t="shared" ca="1" si="13"/>
        <v>2.2508562579246692E-4</v>
      </c>
      <c r="AH16" s="16">
        <f t="shared" ca="1" si="14"/>
        <v>-5.5906535436411658E-4</v>
      </c>
      <c r="AI16" s="16">
        <f t="shared" ca="1" si="15"/>
        <v>-1.5723640868404274E-4</v>
      </c>
      <c r="AJ16" s="16">
        <f t="shared" ca="1" si="16"/>
        <v>6.6503556098027961E-4</v>
      </c>
      <c r="AK16" s="16">
        <f t="shared" ca="1" si="17"/>
        <v>-3.5257847091617393E-4</v>
      </c>
      <c r="AM16" s="16">
        <f t="shared" ca="1" si="18"/>
        <v>1.7381942372458718E-4</v>
      </c>
      <c r="AO16" s="16">
        <f t="shared" ca="1" si="19"/>
        <v>0</v>
      </c>
      <c r="AP16" s="16">
        <f t="shared" ca="1" si="20"/>
        <v>-5.5906535436411658E-4</v>
      </c>
      <c r="AQ16" s="16">
        <f t="shared" ca="1" si="21"/>
        <v>-1.5723640868404274E-4</v>
      </c>
      <c r="AR16" s="16">
        <f t="shared" ca="1" si="22"/>
        <v>0</v>
      </c>
      <c r="AS16" s="16">
        <f t="shared" ca="1" si="23"/>
        <v>-3.5257847091617393E-4</v>
      </c>
    </row>
    <row r="17" spans="1:45" x14ac:dyDescent="0.25">
      <c r="A17" s="69">
        <f t="shared" ca="1" si="24"/>
        <v>2449.2396774336803</v>
      </c>
      <c r="B17" s="69">
        <f t="shared" ca="1" si="25"/>
        <v>2135.253824906772</v>
      </c>
      <c r="C17" s="69">
        <f t="shared" ca="1" si="26"/>
        <v>2234.5812760175968</v>
      </c>
      <c r="D17" s="69">
        <f t="shared" ca="1" si="27"/>
        <v>2910.3984430499872</v>
      </c>
      <c r="E17" s="69">
        <f t="shared" ca="1" si="28"/>
        <v>1930.2973308720702</v>
      </c>
      <c r="F17" s="69">
        <f t="shared" ca="1" si="29"/>
        <v>1223.1861934435992</v>
      </c>
      <c r="G17" s="69">
        <f t="shared" ca="1" si="30"/>
        <v>963.92914569517416</v>
      </c>
      <c r="H17" s="69">
        <f t="shared" ca="1" si="31"/>
        <v>1193.0410689544929</v>
      </c>
      <c r="I17" s="69">
        <f t="shared" ca="1" si="32"/>
        <v>1045.3846386919272</v>
      </c>
      <c r="J17" s="69">
        <f t="shared" ca="1" si="33"/>
        <v>1150.0992335818091</v>
      </c>
      <c r="K17" s="69">
        <f t="shared" ca="1" si="34"/>
        <v>1180.7837518169201</v>
      </c>
      <c r="L17" s="69">
        <f t="shared" ca="1" si="35"/>
        <v>955.14921049737029</v>
      </c>
      <c r="M17" s="69">
        <f t="shared" ca="1" si="36"/>
        <v>985.06957160524462</v>
      </c>
      <c r="N17" s="69">
        <f t="shared" ca="1" si="37"/>
        <v>573.91785386949391</v>
      </c>
      <c r="O17" s="69">
        <f t="shared" ca="1" si="38"/>
        <v>632.14159765347324</v>
      </c>
      <c r="P17" s="69">
        <f t="shared" ca="1" si="39"/>
        <v>725.76775224988694</v>
      </c>
      <c r="Q17" s="69">
        <f t="shared" ca="1" si="40"/>
        <v>953.7268333657164</v>
      </c>
      <c r="R17" s="69">
        <f t="shared" ca="1" si="41"/>
        <v>784.25457787002642</v>
      </c>
      <c r="S17" s="69">
        <f t="shared" ca="1" si="42"/>
        <v>698.66458841872929</v>
      </c>
      <c r="T17" s="69">
        <f t="shared" ca="1" si="43"/>
        <v>804.16486546263445</v>
      </c>
      <c r="U17" s="69">
        <f t="shared" ca="1" si="44"/>
        <v>1696.1029779191404</v>
      </c>
      <c r="V17" s="69">
        <f t="shared" ca="1" si="45"/>
        <v>1913.8469016201918</v>
      </c>
      <c r="W17" s="69">
        <f t="shared" ca="1" si="46"/>
        <v>1178.9180363594764</v>
      </c>
      <c r="X17" s="69">
        <f t="shared" ca="1" si="47"/>
        <v>1488.5377408686668</v>
      </c>
      <c r="Y17" s="69">
        <f t="shared" ca="1" si="48"/>
        <v>1213.1830688123255</v>
      </c>
      <c r="AA17" s="20">
        <f t="shared" ca="1" si="12"/>
        <v>6.5652853956471192E+16</v>
      </c>
      <c r="AB17" s="20">
        <f t="shared" ca="1" si="5"/>
        <v>1691237128990557.5</v>
      </c>
      <c r="AC17" s="20">
        <f t="shared" ca="1" si="6"/>
        <v>403062689618114.75</v>
      </c>
      <c r="AD17" s="20">
        <f t="shared" ca="1" si="7"/>
        <v>304994886435628.56</v>
      </c>
      <c r="AE17" s="20">
        <f t="shared" ca="1" si="8"/>
        <v>6910814139542706</v>
      </c>
      <c r="AG17" s="16">
        <f t="shared" ca="1" si="13"/>
        <v>3.5309590809173953E-5</v>
      </c>
      <c r="AH17" s="16">
        <f t="shared" ca="1" si="14"/>
        <v>-3.6685972713026044E-4</v>
      </c>
      <c r="AI17" s="16">
        <f t="shared" ca="1" si="15"/>
        <v>-1.0429347795577963E-3</v>
      </c>
      <c r="AJ17" s="16">
        <f t="shared" ca="1" si="16"/>
        <v>1.1306060420407079E-3</v>
      </c>
      <c r="AK17" s="16">
        <f t="shared" ca="1" si="17"/>
        <v>4.4020607591803743E-4</v>
      </c>
      <c r="AM17" s="16">
        <f t="shared" ca="1" si="18"/>
        <v>-2.4387887383817489E-4</v>
      </c>
      <c r="AO17" s="16">
        <f t="shared" ca="1" si="19"/>
        <v>0</v>
      </c>
      <c r="AP17" s="16">
        <f t="shared" ca="1" si="20"/>
        <v>-3.6685972713026044E-4</v>
      </c>
      <c r="AQ17" s="16">
        <f t="shared" ca="1" si="21"/>
        <v>-1.0429347795577963E-3</v>
      </c>
      <c r="AR17" s="16">
        <f t="shared" ca="1" si="22"/>
        <v>0</v>
      </c>
      <c r="AS17" s="16">
        <f t="shared" ca="1" si="23"/>
        <v>0</v>
      </c>
    </row>
    <row r="18" spans="1:45" x14ac:dyDescent="0.25">
      <c r="A18" s="69">
        <f t="shared" ca="1" si="24"/>
        <v>2449.1101224867575</v>
      </c>
      <c r="B18" s="69">
        <f t="shared" ca="1" si="25"/>
        <v>2135.5873073998232</v>
      </c>
      <c r="C18" s="69">
        <f t="shared" ca="1" si="26"/>
        <v>2234.5812760175968</v>
      </c>
      <c r="D18" s="69">
        <f t="shared" ca="1" si="27"/>
        <v>2910.3270358253549</v>
      </c>
      <c r="E18" s="69">
        <f t="shared" ca="1" si="28"/>
        <v>1930.2135102171683</v>
      </c>
      <c r="F18" s="69">
        <f t="shared" ca="1" si="29"/>
        <v>1223.133211905099</v>
      </c>
      <c r="G18" s="69">
        <f t="shared" ca="1" si="30"/>
        <v>963.92914569517416</v>
      </c>
      <c r="H18" s="69">
        <f t="shared" ca="1" si="31"/>
        <v>1192.893492073526</v>
      </c>
      <c r="I18" s="69">
        <f t="shared" ca="1" si="32"/>
        <v>1045.4334673316612</v>
      </c>
      <c r="J18" s="69">
        <f t="shared" ca="1" si="33"/>
        <v>1149.8157157265762</v>
      </c>
      <c r="K18" s="69">
        <f t="shared" ca="1" si="34"/>
        <v>1180.7837518169201</v>
      </c>
      <c r="L18" s="69">
        <f t="shared" ca="1" si="35"/>
        <v>955.04643962915088</v>
      </c>
      <c r="M18" s="69">
        <f t="shared" ca="1" si="36"/>
        <v>985.41058835555452</v>
      </c>
      <c r="N18" s="69">
        <f t="shared" ca="1" si="37"/>
        <v>573.42698654373146</v>
      </c>
      <c r="O18" s="69">
        <f t="shared" ca="1" si="38"/>
        <v>631.87248909901996</v>
      </c>
      <c r="P18" s="69">
        <f t="shared" ca="1" si="39"/>
        <v>725.50110247586974</v>
      </c>
      <c r="Q18" s="69">
        <f t="shared" ca="1" si="40"/>
        <v>953.7268333657164</v>
      </c>
      <c r="R18" s="69">
        <f t="shared" ca="1" si="41"/>
        <v>784.74897806667423</v>
      </c>
      <c r="S18" s="69">
        <f t="shared" ca="1" si="42"/>
        <v>699.10499726996647</v>
      </c>
      <c r="T18" s="69">
        <f t="shared" ca="1" si="43"/>
        <v>804.35604512293776</v>
      </c>
      <c r="U18" s="69">
        <f t="shared" ca="1" si="44"/>
        <v>1696.1029779191404</v>
      </c>
      <c r="V18" s="69">
        <f t="shared" ca="1" si="45"/>
        <v>1913.9757147557539</v>
      </c>
      <c r="W18" s="69">
        <f t="shared" ca="1" si="46"/>
        <v>1179.156326579498</v>
      </c>
      <c r="X18" s="69">
        <f t="shared" ca="1" si="47"/>
        <v>1488.3098879147135</v>
      </c>
      <c r="Y18" s="69">
        <f t="shared" ca="1" si="48"/>
        <v>1213.5760582783907</v>
      </c>
      <c r="AA18" s="20">
        <f t="shared" ca="1" si="12"/>
        <v>6.5655172172807248E+16</v>
      </c>
      <c r="AB18" s="20">
        <f t="shared" ca="1" si="5"/>
        <v>1690616795993457.8</v>
      </c>
      <c r="AC18" s="20">
        <f t="shared" ca="1" si="6"/>
        <v>402642540652837.63</v>
      </c>
      <c r="AD18" s="20">
        <f t="shared" ca="1" si="7"/>
        <v>305339910503419.25</v>
      </c>
      <c r="AE18" s="20">
        <f t="shared" ca="1" si="8"/>
        <v>6913856991608320</v>
      </c>
      <c r="AG18" s="16">
        <f t="shared" ca="1" si="13"/>
        <v>5.007934924915093E-4</v>
      </c>
      <c r="AH18" s="16">
        <f t="shared" ca="1" si="14"/>
        <v>6.2270469481118121E-4</v>
      </c>
      <c r="AI18" s="16">
        <f t="shared" ca="1" si="15"/>
        <v>9.8936647630747007E-5</v>
      </c>
      <c r="AJ18" s="16">
        <f t="shared" ca="1" si="16"/>
        <v>7.0468214580815969E-4</v>
      </c>
      <c r="AK18" s="16">
        <f t="shared" ca="1" si="17"/>
        <v>6.7779266735097364E-5</v>
      </c>
      <c r="AM18" s="16">
        <f t="shared" ca="1" si="18"/>
        <v>1.9271169807415971E-3</v>
      </c>
      <c r="AO18" s="16">
        <f t="shared" ca="1" si="19"/>
        <v>0</v>
      </c>
      <c r="AP18" s="16">
        <f t="shared" ca="1" si="20"/>
        <v>0</v>
      </c>
      <c r="AQ18" s="16">
        <f t="shared" ca="1" si="21"/>
        <v>0</v>
      </c>
      <c r="AR18" s="16">
        <f t="shared" ca="1" si="22"/>
        <v>0</v>
      </c>
      <c r="AS18" s="16">
        <f t="shared" ca="1" si="23"/>
        <v>0</v>
      </c>
    </row>
    <row r="19" spans="1:45" x14ac:dyDescent="0.25">
      <c r="A19" s="69">
        <f t="shared" ca="1" si="24"/>
        <v>2449.5619090688042</v>
      </c>
      <c r="B19" s="69">
        <f t="shared" ca="1" si="25"/>
        <v>2135.9166949160112</v>
      </c>
      <c r="C19" s="69">
        <f t="shared" ca="1" si="26"/>
        <v>2234.5812760175968</v>
      </c>
      <c r="D19" s="69">
        <f t="shared" ca="1" si="27"/>
        <v>2910.6966765605302</v>
      </c>
      <c r="E19" s="69">
        <f t="shared" ca="1" si="28"/>
        <v>1930.2812875774764</v>
      </c>
      <c r="F19" s="69">
        <f t="shared" ca="1" si="29"/>
        <v>1223.133211905099</v>
      </c>
      <c r="G19" s="69">
        <f t="shared" ca="1" si="30"/>
        <v>964.06481882380433</v>
      </c>
      <c r="H19" s="69">
        <f t="shared" ca="1" si="31"/>
        <v>1193.2593920854238</v>
      </c>
      <c r="I19" s="69">
        <f t="shared" ca="1" si="32"/>
        <v>1045.6167252438713</v>
      </c>
      <c r="J19" s="69">
        <f t="shared" ca="1" si="33"/>
        <v>1149.8157157265762</v>
      </c>
      <c r="K19" s="69">
        <f t="shared" ca="1" si="34"/>
        <v>1180.7837518169201</v>
      </c>
      <c r="L19" s="69">
        <f t="shared" ca="1" si="35"/>
        <v>955.09367634204852</v>
      </c>
      <c r="M19" s="69">
        <f t="shared" ca="1" si="36"/>
        <v>985.41058835555452</v>
      </c>
      <c r="N19" s="69">
        <f t="shared" ca="1" si="37"/>
        <v>573.49129563849806</v>
      </c>
      <c r="O19" s="69">
        <f t="shared" ca="1" si="38"/>
        <v>631.83289425929377</v>
      </c>
      <c r="P19" s="69">
        <f t="shared" ca="1" si="39"/>
        <v>725.85626332430547</v>
      </c>
      <c r="Q19" s="69">
        <f t="shared" ca="1" si="40"/>
        <v>953.93215780757237</v>
      </c>
      <c r="R19" s="69">
        <f t="shared" ca="1" si="41"/>
        <v>784.74897806667423</v>
      </c>
      <c r="S19" s="69">
        <f t="shared" ca="1" si="42"/>
        <v>699.10499726996647</v>
      </c>
      <c r="T19" s="69">
        <f t="shared" ca="1" si="43"/>
        <v>804.35604512293776</v>
      </c>
      <c r="U19" s="69">
        <f t="shared" ca="1" si="44"/>
        <v>1695.9504392993385</v>
      </c>
      <c r="V19" s="69">
        <f t="shared" ca="1" si="45"/>
        <v>1913.9757147557539</v>
      </c>
      <c r="W19" s="69">
        <f t="shared" ca="1" si="46"/>
        <v>1179.1209259134848</v>
      </c>
      <c r="X19" s="69">
        <f t="shared" ca="1" si="47"/>
        <v>1488.3206123160999</v>
      </c>
      <c r="Y19" s="69">
        <f t="shared" ca="1" si="48"/>
        <v>1213.7951707943791</v>
      </c>
      <c r="AA19" s="20">
        <f t="shared" ca="1" si="12"/>
        <v>6.5688060090119944E+16</v>
      </c>
      <c r="AB19" s="20">
        <f t="shared" ca="1" si="5"/>
        <v>1691669878855242</v>
      </c>
      <c r="AC19" s="20">
        <f t="shared" ca="1" si="6"/>
        <v>402682378726693.63</v>
      </c>
      <c r="AD19" s="20">
        <f t="shared" ca="1" si="7"/>
        <v>305555153916941.88</v>
      </c>
      <c r="AE19" s="20">
        <f t="shared" ca="1" si="8"/>
        <v>6914325623647111</v>
      </c>
      <c r="AG19" s="16">
        <f t="shared" ca="1" si="13"/>
        <v>-1.1484809866661006E-4</v>
      </c>
      <c r="AH19" s="16">
        <f t="shared" ca="1" si="14"/>
        <v>-3.8605767998540255E-4</v>
      </c>
      <c r="AI19" s="16">
        <f t="shared" ca="1" si="15"/>
        <v>4.8333656191879075E-4</v>
      </c>
      <c r="AJ19" s="16">
        <f t="shared" ca="1" si="16"/>
        <v>-3.0293238687571382E-4</v>
      </c>
      <c r="AK19" s="16">
        <f t="shared" ca="1" si="17"/>
        <v>4.0554955048706154E-4</v>
      </c>
      <c r="AM19" s="16">
        <f t="shared" ca="1" si="18"/>
        <v>-3.2050160360893567E-4</v>
      </c>
      <c r="AO19" s="16">
        <f t="shared" ca="1" si="19"/>
        <v>-1.1484809866661006E-4</v>
      </c>
      <c r="AP19" s="16">
        <f t="shared" ca="1" si="20"/>
        <v>-3.8605767998540255E-4</v>
      </c>
      <c r="AQ19" s="16">
        <f t="shared" ca="1" si="21"/>
        <v>0</v>
      </c>
      <c r="AR19" s="16">
        <f t="shared" ca="1" si="22"/>
        <v>-3.0293238687571382E-4</v>
      </c>
      <c r="AS19" s="16">
        <f t="shared" ca="1" si="23"/>
        <v>0</v>
      </c>
    </row>
    <row r="20" spans="1:45" x14ac:dyDescent="0.25">
      <c r="A20" s="69">
        <f t="shared" ca="1" si="24"/>
        <v>2449.1798825650417</v>
      </c>
      <c r="B20" s="69">
        <f t="shared" ca="1" si="25"/>
        <v>2135.8629692416116</v>
      </c>
      <c r="C20" s="69">
        <f t="shared" ca="1" si="26"/>
        <v>2234.5812760175968</v>
      </c>
      <c r="D20" s="69">
        <f t="shared" ca="1" si="27"/>
        <v>2910.8895890925364</v>
      </c>
      <c r="E20" s="69">
        <f t="shared" ca="1" si="28"/>
        <v>1930.2812875774764</v>
      </c>
      <c r="F20" s="69">
        <f t="shared" ca="1" si="29"/>
        <v>1223.1993094415209</v>
      </c>
      <c r="G20" s="69">
        <f t="shared" ca="1" si="30"/>
        <v>963.7026056682505</v>
      </c>
      <c r="H20" s="69">
        <f t="shared" ca="1" si="31"/>
        <v>1193.1103622871269</v>
      </c>
      <c r="I20" s="69">
        <f t="shared" ca="1" si="32"/>
        <v>1045.6167252438713</v>
      </c>
      <c r="J20" s="69">
        <f t="shared" ca="1" si="33"/>
        <v>1149.8853854288834</v>
      </c>
      <c r="K20" s="69">
        <f t="shared" ca="1" si="34"/>
        <v>1181.0954137662682</v>
      </c>
      <c r="L20" s="69">
        <f t="shared" ca="1" si="35"/>
        <v>954.91209754949216</v>
      </c>
      <c r="M20" s="69">
        <f t="shared" ca="1" si="36"/>
        <v>985.29302043429482</v>
      </c>
      <c r="N20" s="69">
        <f t="shared" ca="1" si="37"/>
        <v>573.36707766394773</v>
      </c>
      <c r="O20" s="69">
        <f t="shared" ca="1" si="38"/>
        <v>632.30410093261764</v>
      </c>
      <c r="P20" s="69">
        <f t="shared" ca="1" si="39"/>
        <v>725.85626332430547</v>
      </c>
      <c r="Q20" s="69">
        <f t="shared" ca="1" si="40"/>
        <v>953.64322462790869</v>
      </c>
      <c r="R20" s="69">
        <f t="shared" ca="1" si="41"/>
        <v>784.74897806667423</v>
      </c>
      <c r="S20" s="69">
        <f t="shared" ca="1" si="42"/>
        <v>699.10499726996647</v>
      </c>
      <c r="T20" s="69">
        <f t="shared" ca="1" si="43"/>
        <v>804.35604512293776</v>
      </c>
      <c r="U20" s="69">
        <f t="shared" ca="1" si="44"/>
        <v>1695.9874856301817</v>
      </c>
      <c r="V20" s="69">
        <f t="shared" ca="1" si="45"/>
        <v>1914.0614130144961</v>
      </c>
      <c r="W20" s="69">
        <f t="shared" ca="1" si="46"/>
        <v>1179.1209259134848</v>
      </c>
      <c r="X20" s="69">
        <f t="shared" ca="1" si="47"/>
        <v>1488.3206123160999</v>
      </c>
      <c r="Y20" s="69">
        <f t="shared" ca="1" si="48"/>
        <v>1214.2066343011618</v>
      </c>
      <c r="AA20" s="20">
        <f t="shared" ca="1" si="12"/>
        <v>6.5680516374512488E+16</v>
      </c>
      <c r="AB20" s="20">
        <f t="shared" ca="1" si="5"/>
        <v>1691016922753978.5</v>
      </c>
      <c r="AC20" s="20">
        <f t="shared" ca="1" si="6"/>
        <v>402877056886919</v>
      </c>
      <c r="AD20" s="20">
        <f t="shared" ca="1" si="7"/>
        <v>305462605383525.44</v>
      </c>
      <c r="AE20" s="20">
        <f t="shared" ca="1" si="8"/>
        <v>6917130293973657</v>
      </c>
      <c r="AG20" s="16">
        <f t="shared" ca="1" si="13"/>
        <v>-1.5711854879013807E-4</v>
      </c>
      <c r="AH20" s="16">
        <f t="shared" ca="1" si="14"/>
        <v>3.6685998531469151E-5</v>
      </c>
      <c r="AI20" s="16">
        <f t="shared" ca="1" si="15"/>
        <v>-9.9975720608001003E-4</v>
      </c>
      <c r="AJ20" s="16">
        <f t="shared" ca="1" si="16"/>
        <v>3.1172714257495188E-4</v>
      </c>
      <c r="AK20" s="16">
        <f t="shared" ca="1" si="17"/>
        <v>8.4275684372555194E-4</v>
      </c>
      <c r="AM20" s="16">
        <f t="shared" ca="1" si="18"/>
        <v>-8.0846261376372704E-4</v>
      </c>
      <c r="AO20" s="16">
        <f t="shared" ca="1" si="19"/>
        <v>-1.5711854879013807E-4</v>
      </c>
      <c r="AP20" s="16">
        <f t="shared" ca="1" si="20"/>
        <v>0</v>
      </c>
      <c r="AQ20" s="16">
        <f t="shared" ca="1" si="21"/>
        <v>-9.9975720608001003E-4</v>
      </c>
      <c r="AR20" s="16">
        <f t="shared" ca="1" si="22"/>
        <v>0</v>
      </c>
      <c r="AS20" s="16">
        <f t="shared" ca="1" si="23"/>
        <v>0</v>
      </c>
    </row>
    <row r="21" spans="1:45" x14ac:dyDescent="0.25">
      <c r="A21" s="69">
        <f t="shared" ca="1" si="24"/>
        <v>2449.1798825650417</v>
      </c>
      <c r="B21" s="69">
        <f t="shared" ca="1" si="25"/>
        <v>2135.3643828117551</v>
      </c>
      <c r="C21" s="69">
        <f t="shared" ca="1" si="26"/>
        <v>2234.5812760175968</v>
      </c>
      <c r="D21" s="69">
        <f t="shared" ca="1" si="27"/>
        <v>2911.1118273757193</v>
      </c>
      <c r="E21" s="69">
        <f t="shared" ca="1" si="28"/>
        <v>1930.2812875774764</v>
      </c>
      <c r="F21" s="69">
        <f t="shared" ca="1" si="29"/>
        <v>1223.023834863357</v>
      </c>
      <c r="G21" s="69">
        <f t="shared" ca="1" si="30"/>
        <v>963.7026056682505</v>
      </c>
      <c r="H21" s="69">
        <f t="shared" ca="1" si="31"/>
        <v>1193.3253225276583</v>
      </c>
      <c r="I21" s="69">
        <f t="shared" ca="1" si="32"/>
        <v>1045.6167252438713</v>
      </c>
      <c r="J21" s="69">
        <f t="shared" ca="1" si="33"/>
        <v>1149.8853854288834</v>
      </c>
      <c r="K21" s="69">
        <f t="shared" ca="1" si="34"/>
        <v>1181.0954137662682</v>
      </c>
      <c r="L21" s="69">
        <f t="shared" ca="1" si="35"/>
        <v>954.74767644818553</v>
      </c>
      <c r="M21" s="69">
        <f t="shared" ca="1" si="36"/>
        <v>985.04551865683413</v>
      </c>
      <c r="N21" s="69">
        <f t="shared" ca="1" si="37"/>
        <v>573.36707766394773</v>
      </c>
      <c r="O21" s="69">
        <f t="shared" ca="1" si="38"/>
        <v>631.93978999382864</v>
      </c>
      <c r="P21" s="69">
        <f t="shared" ca="1" si="39"/>
        <v>725.61846484205239</v>
      </c>
      <c r="Q21" s="69">
        <f t="shared" ca="1" si="40"/>
        <v>954.09902750959475</v>
      </c>
      <c r="R21" s="69">
        <f t="shared" ca="1" si="41"/>
        <v>784.74897806667423</v>
      </c>
      <c r="S21" s="69">
        <f t="shared" ca="1" si="42"/>
        <v>699.10499726996647</v>
      </c>
      <c r="T21" s="69">
        <f t="shared" ca="1" si="43"/>
        <v>804.48599647545245</v>
      </c>
      <c r="U21" s="69">
        <f t="shared" ca="1" si="44"/>
        <v>1695.9874856301817</v>
      </c>
      <c r="V21" s="69">
        <f t="shared" ca="1" si="45"/>
        <v>1914.4298283075595</v>
      </c>
      <c r="W21" s="69">
        <f t="shared" ca="1" si="46"/>
        <v>1179.5582569941128</v>
      </c>
      <c r="X21" s="69">
        <f t="shared" ca="1" si="47"/>
        <v>1488.7366113417272</v>
      </c>
      <c r="Y21" s="69">
        <f t="shared" ca="1" si="48"/>
        <v>1214.2066343011618</v>
      </c>
      <c r="AA21" s="20">
        <f t="shared" ca="1" si="12"/>
        <v>6.567019755775592E+16</v>
      </c>
      <c r="AB21" s="20">
        <f t="shared" ca="1" si="5"/>
        <v>1691078960536275.5</v>
      </c>
      <c r="AC21" s="20">
        <f t="shared" ca="1" si="6"/>
        <v>402474478919775.69</v>
      </c>
      <c r="AD21" s="20">
        <f t="shared" ca="1" si="7"/>
        <v>305557841211690.25</v>
      </c>
      <c r="AE21" s="20">
        <f t="shared" ca="1" si="8"/>
        <v>6922962209966231</v>
      </c>
      <c r="AG21" s="16">
        <f t="shared" ca="1" si="13"/>
        <v>-9.6940731096341117E-5</v>
      </c>
      <c r="AH21" s="16">
        <f t="shared" ca="1" si="14"/>
        <v>2.4949384985593063E-4</v>
      </c>
      <c r="AI21" s="16">
        <f t="shared" ca="1" si="15"/>
        <v>2.3371120262073009E-5</v>
      </c>
      <c r="AJ21" s="16">
        <f t="shared" ca="1" si="16"/>
        <v>2.8249440958536161E-4</v>
      </c>
      <c r="AK21" s="16">
        <f t="shared" ca="1" si="17"/>
        <v>-6.2188611926609547E-4</v>
      </c>
      <c r="AM21" s="16">
        <f t="shared" ca="1" si="18"/>
        <v>4.5841864860702414E-4</v>
      </c>
      <c r="AO21" s="16">
        <f t="shared" ca="1" si="19"/>
        <v>-9.6940731096341117E-5</v>
      </c>
      <c r="AP21" s="16">
        <f t="shared" ca="1" si="20"/>
        <v>0</v>
      </c>
      <c r="AQ21" s="16">
        <f t="shared" ca="1" si="21"/>
        <v>0</v>
      </c>
      <c r="AR21" s="16">
        <f t="shared" ca="1" si="22"/>
        <v>0</v>
      </c>
      <c r="AS21" s="16">
        <f t="shared" ca="1" si="23"/>
        <v>-6.2188611926609547E-4</v>
      </c>
    </row>
    <row r="22" spans="1:45" x14ac:dyDescent="0.25">
      <c r="A22" s="69">
        <f t="shared" ca="1" si="24"/>
        <v>2449.6270543641344</v>
      </c>
      <c r="B22" s="69">
        <f t="shared" ca="1" si="25"/>
        <v>2135.3643828117551</v>
      </c>
      <c r="C22" s="69">
        <f t="shared" ca="1" si="26"/>
        <v>2234.2970789307201</v>
      </c>
      <c r="D22" s="69">
        <f t="shared" ca="1" si="27"/>
        <v>2911.1118273757193</v>
      </c>
      <c r="E22" s="69">
        <f t="shared" ca="1" si="28"/>
        <v>1929.9872994906227</v>
      </c>
      <c r="F22" s="69">
        <f t="shared" ca="1" si="29"/>
        <v>1222.5335639845039</v>
      </c>
      <c r="G22" s="69">
        <f t="shared" ca="1" si="30"/>
        <v>963.7026056682505</v>
      </c>
      <c r="H22" s="69">
        <f t="shared" ca="1" si="31"/>
        <v>1193.7657658769319</v>
      </c>
      <c r="I22" s="69">
        <f t="shared" ca="1" si="32"/>
        <v>1045.9463353018743</v>
      </c>
      <c r="J22" s="69">
        <f t="shared" ca="1" si="33"/>
        <v>1149.846566443485</v>
      </c>
      <c r="K22" s="69">
        <f t="shared" ca="1" si="34"/>
        <v>1180.6493530944306</v>
      </c>
      <c r="L22" s="69">
        <f t="shared" ca="1" si="35"/>
        <v>954.90750552047757</v>
      </c>
      <c r="M22" s="69">
        <f t="shared" ca="1" si="36"/>
        <v>984.97216348839777</v>
      </c>
      <c r="N22" s="69">
        <f t="shared" ca="1" si="37"/>
        <v>573.36707766394773</v>
      </c>
      <c r="O22" s="69">
        <f t="shared" ca="1" si="38"/>
        <v>632.13457782092848</v>
      </c>
      <c r="P22" s="69">
        <f t="shared" ca="1" si="39"/>
        <v>725.34421134095453</v>
      </c>
      <c r="Q22" s="69">
        <f t="shared" ca="1" si="40"/>
        <v>953.71714757538609</v>
      </c>
      <c r="R22" s="69">
        <f t="shared" ca="1" si="41"/>
        <v>784.90931261896037</v>
      </c>
      <c r="S22" s="69">
        <f t="shared" ca="1" si="42"/>
        <v>699.37950132046387</v>
      </c>
      <c r="T22" s="69">
        <f t="shared" ca="1" si="43"/>
        <v>804.85935672174492</v>
      </c>
      <c r="U22" s="69">
        <f t="shared" ca="1" si="44"/>
        <v>1695.7301116534345</v>
      </c>
      <c r="V22" s="69">
        <f t="shared" ca="1" si="45"/>
        <v>1914.1253714747754</v>
      </c>
      <c r="W22" s="69">
        <f t="shared" ca="1" si="46"/>
        <v>1179.3315562677228</v>
      </c>
      <c r="X22" s="69">
        <f t="shared" ca="1" si="47"/>
        <v>1488.7366113417272</v>
      </c>
      <c r="Y22" s="69">
        <f t="shared" ca="1" si="48"/>
        <v>1214.0623162169177</v>
      </c>
      <c r="AA22" s="20">
        <f t="shared" ca="1" si="12"/>
        <v>6.5663831749351472E+16</v>
      </c>
      <c r="AB22" s="20">
        <f t="shared" ca="1" si="5"/>
        <v>1691500926973376.5</v>
      </c>
      <c r="AC22" s="20">
        <f t="shared" ca="1" si="6"/>
        <v>402483885309143.44</v>
      </c>
      <c r="AD22" s="20">
        <f t="shared" ca="1" si="7"/>
        <v>305644171787015.88</v>
      </c>
      <c r="AE22" s="20">
        <f t="shared" ca="1" si="8"/>
        <v>6918658254287507</v>
      </c>
      <c r="AG22" s="16">
        <f t="shared" ca="1" si="13"/>
        <v>1.9390379793314202E-4</v>
      </c>
      <c r="AH22" s="16">
        <f t="shared" ca="1" si="14"/>
        <v>1.3983515463171021E-4</v>
      </c>
      <c r="AI22" s="16">
        <f t="shared" ca="1" si="15"/>
        <v>3.6203277024883453E-4</v>
      </c>
      <c r="AJ22" s="16">
        <f t="shared" ca="1" si="16"/>
        <v>8.6955691410173686E-4</v>
      </c>
      <c r="AK22" s="16">
        <f t="shared" ca="1" si="17"/>
        <v>4.1305735606637044E-4</v>
      </c>
      <c r="AM22" s="16">
        <f t="shared" ca="1" si="18"/>
        <v>1.5653286369154236E-3</v>
      </c>
      <c r="AO22" s="16">
        <f t="shared" ca="1" si="19"/>
        <v>0</v>
      </c>
      <c r="AP22" s="16">
        <f t="shared" ca="1" si="20"/>
        <v>0</v>
      </c>
      <c r="AQ22" s="16">
        <f t="shared" ca="1" si="21"/>
        <v>0</v>
      </c>
      <c r="AR22" s="16">
        <f t="shared" ca="1" si="22"/>
        <v>0</v>
      </c>
      <c r="AS22" s="16">
        <f t="shared" ca="1" si="23"/>
        <v>0</v>
      </c>
    </row>
    <row r="23" spans="1:45" x14ac:dyDescent="0.25">
      <c r="A23" s="69">
        <f t="shared" ca="1" si="24"/>
        <v>2449.757373108122</v>
      </c>
      <c r="B23" s="69">
        <f t="shared" ca="1" si="25"/>
        <v>2135.3643828117551</v>
      </c>
      <c r="C23" s="69">
        <f t="shared" ca="1" si="26"/>
        <v>2234.2970789307201</v>
      </c>
      <c r="D23" s="69">
        <f t="shared" ca="1" si="27"/>
        <v>2911.5214664859309</v>
      </c>
      <c r="E23" s="69">
        <f t="shared" ca="1" si="28"/>
        <v>1929.9872994906227</v>
      </c>
      <c r="F23" s="69">
        <f t="shared" ca="1" si="29"/>
        <v>1222.3685639536923</v>
      </c>
      <c r="G23" s="69">
        <f t="shared" ca="1" si="30"/>
        <v>963.99439958984397</v>
      </c>
      <c r="H23" s="69">
        <f t="shared" ca="1" si="31"/>
        <v>1193.7657658769319</v>
      </c>
      <c r="I23" s="69">
        <f t="shared" ca="1" si="32"/>
        <v>1045.9463353018743</v>
      </c>
      <c r="J23" s="69">
        <f t="shared" ca="1" si="33"/>
        <v>1149.8144534469131</v>
      </c>
      <c r="K23" s="69">
        <f t="shared" ca="1" si="34"/>
        <v>1180.9673042691527</v>
      </c>
      <c r="L23" s="69">
        <f t="shared" ca="1" si="35"/>
        <v>954.97116747008351</v>
      </c>
      <c r="M23" s="69">
        <f t="shared" ca="1" si="36"/>
        <v>984.97216348839777</v>
      </c>
      <c r="N23" s="69">
        <f t="shared" ca="1" si="37"/>
        <v>573.38204337755883</v>
      </c>
      <c r="O23" s="69">
        <f t="shared" ca="1" si="38"/>
        <v>632.13457782092848</v>
      </c>
      <c r="P23" s="69">
        <f t="shared" ca="1" si="39"/>
        <v>725.44841645580891</v>
      </c>
      <c r="Q23" s="69">
        <f t="shared" ca="1" si="40"/>
        <v>953.88664569634875</v>
      </c>
      <c r="R23" s="69">
        <f t="shared" ca="1" si="41"/>
        <v>785.33971500754501</v>
      </c>
      <c r="S23" s="69">
        <f t="shared" ca="1" si="42"/>
        <v>699.37950132046387</v>
      </c>
      <c r="T23" s="69">
        <f t="shared" ca="1" si="43"/>
        <v>804.85935672174492</v>
      </c>
      <c r="U23" s="69">
        <f t="shared" ca="1" si="44"/>
        <v>1696.2273512720319</v>
      </c>
      <c r="V23" s="69">
        <f t="shared" ca="1" si="45"/>
        <v>1914.1253714747754</v>
      </c>
      <c r="W23" s="69">
        <f t="shared" ca="1" si="46"/>
        <v>1179.6175945011571</v>
      </c>
      <c r="X23" s="69">
        <f t="shared" ca="1" si="47"/>
        <v>1488.554038923605</v>
      </c>
      <c r="Y23" s="69">
        <f t="shared" ca="1" si="48"/>
        <v>1214.0623162169177</v>
      </c>
      <c r="AA23" s="20">
        <f t="shared" ca="1" si="12"/>
        <v>6.5676565450231104E+16</v>
      </c>
      <c r="AB23" s="20">
        <f t="shared" ca="1" si="5"/>
        <v>1691737474805525.3</v>
      </c>
      <c r="AC23" s="20">
        <f t="shared" ca="1" si="6"/>
        <v>402629624044629.69</v>
      </c>
      <c r="AD23" s="20">
        <f t="shared" ca="1" si="7"/>
        <v>305910062376594.5</v>
      </c>
      <c r="AE23" s="20">
        <f t="shared" ca="1" si="8"/>
        <v>6921516647273033</v>
      </c>
      <c r="AG23" s="16">
        <f t="shared" ca="1" si="13"/>
        <v>-2.2646257013417034E-4</v>
      </c>
      <c r="AH23" s="16">
        <f t="shared" ca="1" si="14"/>
        <v>-5.5862845007749473E-4</v>
      </c>
      <c r="AI23" s="16">
        <f t="shared" ca="1" si="15"/>
        <v>1.6366132155144119E-4</v>
      </c>
      <c r="AJ23" s="16">
        <f t="shared" ca="1" si="16"/>
        <v>3.1731199203494044E-4</v>
      </c>
      <c r="AK23" s="16">
        <f t="shared" ca="1" si="17"/>
        <v>2.5336218315208527E-4</v>
      </c>
      <c r="AM23" s="16">
        <f t="shared" ca="1" si="18"/>
        <v>-3.0411770662528337E-4</v>
      </c>
      <c r="AO23" s="16">
        <f t="shared" ca="1" si="19"/>
        <v>-2.2646257013417034E-4</v>
      </c>
      <c r="AP23" s="16">
        <f t="shared" ca="1" si="20"/>
        <v>-5.5862845007749473E-4</v>
      </c>
      <c r="AQ23" s="16">
        <f t="shared" ca="1" si="21"/>
        <v>0</v>
      </c>
      <c r="AR23" s="16">
        <f t="shared" ca="1" si="22"/>
        <v>0</v>
      </c>
      <c r="AS23" s="16">
        <f t="shared" ca="1" si="23"/>
        <v>0</v>
      </c>
    </row>
    <row r="24" spans="1:45" x14ac:dyDescent="0.25">
      <c r="A24" s="69">
        <f t="shared" ca="1" si="24"/>
        <v>2450.1682293396116</v>
      </c>
      <c r="B24" s="69">
        <f t="shared" ca="1" si="25"/>
        <v>2135.3643828117551</v>
      </c>
      <c r="C24" s="69">
        <f t="shared" ca="1" si="26"/>
        <v>2233.8584108616719</v>
      </c>
      <c r="D24" s="69">
        <f t="shared" ca="1" si="27"/>
        <v>2911.5214664859309</v>
      </c>
      <c r="E24" s="69">
        <f t="shared" ca="1" si="28"/>
        <v>1929.6055694563804</v>
      </c>
      <c r="F24" s="69">
        <f t="shared" ca="1" si="29"/>
        <v>1221.8754837595677</v>
      </c>
      <c r="G24" s="69">
        <f t="shared" ca="1" si="30"/>
        <v>963.61722463844717</v>
      </c>
      <c r="H24" s="69">
        <f t="shared" ca="1" si="31"/>
        <v>1193.7657658769319</v>
      </c>
      <c r="I24" s="69">
        <f t="shared" ca="1" si="32"/>
        <v>1045.9463353018743</v>
      </c>
      <c r="J24" s="69">
        <f t="shared" ca="1" si="33"/>
        <v>1150.0860406918528</v>
      </c>
      <c r="K24" s="69">
        <f t="shared" ca="1" si="34"/>
        <v>1180.9673042691527</v>
      </c>
      <c r="L24" s="69">
        <f t="shared" ca="1" si="35"/>
        <v>955.4107217823971</v>
      </c>
      <c r="M24" s="69">
        <f t="shared" ca="1" si="36"/>
        <v>985.44282320432603</v>
      </c>
      <c r="N24" s="69">
        <f t="shared" ca="1" si="37"/>
        <v>573.38204337755883</v>
      </c>
      <c r="O24" s="69">
        <f t="shared" ca="1" si="38"/>
        <v>631.64534369624323</v>
      </c>
      <c r="P24" s="69">
        <f t="shared" ca="1" si="39"/>
        <v>725.49494670015736</v>
      </c>
      <c r="Q24" s="69">
        <f t="shared" ca="1" si="40"/>
        <v>953.88664569634875</v>
      </c>
      <c r="R24" s="69">
        <f t="shared" ca="1" si="41"/>
        <v>785.633895365115</v>
      </c>
      <c r="S24" s="69">
        <f t="shared" ca="1" si="42"/>
        <v>698.95077911150304</v>
      </c>
      <c r="T24" s="69">
        <f t="shared" ca="1" si="43"/>
        <v>805.25532087928161</v>
      </c>
      <c r="U24" s="69">
        <f t="shared" ca="1" si="44"/>
        <v>1696.044933134476</v>
      </c>
      <c r="V24" s="69">
        <f t="shared" ca="1" si="45"/>
        <v>1914.3160466117545</v>
      </c>
      <c r="W24" s="69">
        <f t="shared" ca="1" si="46"/>
        <v>1179.9258707604345</v>
      </c>
      <c r="X24" s="69">
        <f t="shared" ca="1" si="47"/>
        <v>1488.554038923605</v>
      </c>
      <c r="Y24" s="69">
        <f t="shared" ca="1" si="48"/>
        <v>1214.0623162169177</v>
      </c>
      <c r="AA24" s="20">
        <f t="shared" ca="1" si="12"/>
        <v>6.5661693850415576E+16</v>
      </c>
      <c r="AB24" s="20">
        <f t="shared" ca="1" si="5"/>
        <v>1690792686039548.3</v>
      </c>
      <c r="AC24" s="20">
        <f t="shared" ca="1" si="6"/>
        <v>402695524333513.69</v>
      </c>
      <c r="AD24" s="20">
        <f t="shared" ca="1" si="7"/>
        <v>306007146710067.75</v>
      </c>
      <c r="AE24" s="20">
        <f t="shared" ca="1" si="8"/>
        <v>6923270520014641</v>
      </c>
      <c r="AG24" s="16">
        <f t="shared" ca="1" si="13"/>
        <v>-5.5599608625525894E-5</v>
      </c>
      <c r="AH24" s="16">
        <f t="shared" ca="1" si="14"/>
        <v>-3.316898087666071E-4</v>
      </c>
      <c r="AI24" s="16">
        <f t="shared" ca="1" si="15"/>
        <v>5.2327106711344031E-4</v>
      </c>
      <c r="AJ24" s="16">
        <f t="shared" ca="1" si="16"/>
        <v>-1.435350250533908E-3</v>
      </c>
      <c r="AK24" s="16">
        <f t="shared" ca="1" si="17"/>
        <v>-9.0623243768334907E-5</v>
      </c>
      <c r="AM24" s="16">
        <f t="shared" ca="1" si="18"/>
        <v>-1.2993686008126006E-3</v>
      </c>
      <c r="AO24" s="16">
        <f t="shared" ca="1" si="19"/>
        <v>-5.5599608625525894E-5</v>
      </c>
      <c r="AP24" s="16">
        <f t="shared" ca="1" si="20"/>
        <v>-3.316898087666071E-4</v>
      </c>
      <c r="AQ24" s="16">
        <f t="shared" ca="1" si="21"/>
        <v>0</v>
      </c>
      <c r="AR24" s="16">
        <f t="shared" ca="1" si="22"/>
        <v>-1.435350250533908E-3</v>
      </c>
      <c r="AS24" s="16">
        <f t="shared" ca="1" si="23"/>
        <v>-9.0623243768334907E-5</v>
      </c>
    </row>
    <row r="25" spans="1:45" x14ac:dyDescent="0.25">
      <c r="A25" s="69">
        <f t="shared" ca="1" si="24"/>
        <v>2450.1682293396116</v>
      </c>
      <c r="B25" s="69">
        <f t="shared" ca="1" si="25"/>
        <v>2135.4594164414966</v>
      </c>
      <c r="C25" s="69">
        <f t="shared" ca="1" si="26"/>
        <v>2233.8268063598289</v>
      </c>
      <c r="D25" s="69">
        <f t="shared" ca="1" si="27"/>
        <v>2911.696971453915</v>
      </c>
      <c r="E25" s="69">
        <f t="shared" ca="1" si="28"/>
        <v>1929.3234183255363</v>
      </c>
      <c r="F25" s="69">
        <f t="shared" ca="1" si="29"/>
        <v>1221.6710145544801</v>
      </c>
      <c r="G25" s="69">
        <f t="shared" ca="1" si="30"/>
        <v>963.61722463844717</v>
      </c>
      <c r="H25" s="69">
        <f t="shared" ca="1" si="31"/>
        <v>1193.5696040851867</v>
      </c>
      <c r="I25" s="69">
        <f t="shared" ca="1" si="32"/>
        <v>1045.9463353018743</v>
      </c>
      <c r="J25" s="69">
        <f t="shared" ca="1" si="33"/>
        <v>1150.0860406918528</v>
      </c>
      <c r="K25" s="69">
        <f t="shared" ca="1" si="34"/>
        <v>1180.6932305476591</v>
      </c>
      <c r="L25" s="69">
        <f t="shared" ca="1" si="35"/>
        <v>955.81646998790995</v>
      </c>
      <c r="M25" s="69">
        <f t="shared" ca="1" si="36"/>
        <v>985.85459683459521</v>
      </c>
      <c r="N25" s="69">
        <f t="shared" ca="1" si="37"/>
        <v>573.49174595496424</v>
      </c>
      <c r="O25" s="69">
        <f t="shared" ca="1" si="38"/>
        <v>631.46958307347995</v>
      </c>
      <c r="P25" s="69">
        <f t="shared" ca="1" si="39"/>
        <v>725.49494670015736</v>
      </c>
      <c r="Q25" s="69">
        <f t="shared" ca="1" si="40"/>
        <v>953.45473347738596</v>
      </c>
      <c r="R25" s="69">
        <f t="shared" ca="1" si="41"/>
        <v>785.39256474354954</v>
      </c>
      <c r="S25" s="69">
        <f t="shared" ca="1" si="42"/>
        <v>698.52390191377378</v>
      </c>
      <c r="T25" s="69">
        <f t="shared" ca="1" si="43"/>
        <v>805.20354263365164</v>
      </c>
      <c r="U25" s="69">
        <f t="shared" ca="1" si="44"/>
        <v>1696.3232558398097</v>
      </c>
      <c r="V25" s="69">
        <f t="shared" ca="1" si="45"/>
        <v>1914.4018239389097</v>
      </c>
      <c r="W25" s="69">
        <f t="shared" ca="1" si="46"/>
        <v>1179.5722573844043</v>
      </c>
      <c r="X25" s="69">
        <f t="shared" ca="1" si="47"/>
        <v>1488.9119443342222</v>
      </c>
      <c r="Y25" s="69">
        <f t="shared" ca="1" si="48"/>
        <v>1213.7707438490081</v>
      </c>
      <c r="AA25" s="20">
        <f t="shared" ca="1" si="12"/>
        <v>6.5658043187424464E+16</v>
      </c>
      <c r="AB25" s="20">
        <f t="shared" ca="1" si="5"/>
        <v>1690231960335493.5</v>
      </c>
      <c r="AC25" s="20">
        <f t="shared" ca="1" si="6"/>
        <v>402906298391427.25</v>
      </c>
      <c r="AD25" s="20">
        <f t="shared" ca="1" si="7"/>
        <v>305568234347212.31</v>
      </c>
      <c r="AE25" s="20">
        <f t="shared" ca="1" si="8"/>
        <v>6922643139210703</v>
      </c>
      <c r="AG25" s="16">
        <f t="shared" ca="1" si="13"/>
        <v>-1.9488785950372186E-4</v>
      </c>
      <c r="AH25" s="16">
        <f t="shared" ca="1" si="14"/>
        <v>-6.8131226131707898E-5</v>
      </c>
      <c r="AI25" s="16">
        <f t="shared" ca="1" si="15"/>
        <v>6.848600708154456E-5</v>
      </c>
      <c r="AJ25" s="16">
        <f t="shared" ca="1" si="16"/>
        <v>2.0198422887000083E-4</v>
      </c>
      <c r="AK25" s="16">
        <f t="shared" ca="1" si="17"/>
        <v>4.892829127545312E-4</v>
      </c>
      <c r="AM25" s="16">
        <f t="shared" ca="1" si="18"/>
        <v>7.4511503161156273E-6</v>
      </c>
      <c r="AO25" s="16">
        <f t="shared" ca="1" si="19"/>
        <v>-1.9488785950372186E-4</v>
      </c>
      <c r="AP25" s="16">
        <f t="shared" ca="1" si="20"/>
        <v>-6.8131226131707898E-5</v>
      </c>
      <c r="AQ25" s="16">
        <f t="shared" ca="1" si="21"/>
        <v>0</v>
      </c>
      <c r="AR25" s="16">
        <f t="shared" ca="1" si="22"/>
        <v>0</v>
      </c>
      <c r="AS25" s="16">
        <f t="shared" ca="1" si="23"/>
        <v>0</v>
      </c>
    </row>
    <row r="26" spans="1:45" x14ac:dyDescent="0.25">
      <c r="A26" s="69">
        <f t="shared" ca="1" si="24"/>
        <v>2450.255072587353</v>
      </c>
      <c r="B26" s="69">
        <f t="shared" ca="1" si="25"/>
        <v>2135.3211605922061</v>
      </c>
      <c r="C26" s="69">
        <f t="shared" ca="1" si="26"/>
        <v>2233.4569464949009</v>
      </c>
      <c r="D26" s="69">
        <f t="shared" ca="1" si="27"/>
        <v>2911.696971453915</v>
      </c>
      <c r="E26" s="69">
        <f t="shared" ca="1" si="28"/>
        <v>1929.3234183255363</v>
      </c>
      <c r="F26" s="69">
        <f t="shared" ca="1" si="29"/>
        <v>1222.0247676723686</v>
      </c>
      <c r="G26" s="69">
        <f t="shared" ca="1" si="30"/>
        <v>963.71784306480333</v>
      </c>
      <c r="H26" s="69">
        <f t="shared" ca="1" si="31"/>
        <v>1193.2691609781405</v>
      </c>
      <c r="I26" s="69">
        <f t="shared" ca="1" si="32"/>
        <v>1045.9942013827681</v>
      </c>
      <c r="J26" s="69">
        <f t="shared" ca="1" si="33"/>
        <v>1149.7915657467954</v>
      </c>
      <c r="K26" s="69">
        <f t="shared" ca="1" si="34"/>
        <v>1180.4935696390353</v>
      </c>
      <c r="L26" s="69">
        <f t="shared" ca="1" si="35"/>
        <v>956.03422672430042</v>
      </c>
      <c r="M26" s="69">
        <f t="shared" ca="1" si="36"/>
        <v>985.81515463079097</v>
      </c>
      <c r="N26" s="69">
        <f t="shared" ca="1" si="37"/>
        <v>573.49174595496424</v>
      </c>
      <c r="O26" s="69">
        <f t="shared" ca="1" si="38"/>
        <v>631.50104193755533</v>
      </c>
      <c r="P26" s="69">
        <f t="shared" ca="1" si="39"/>
        <v>725.03657987377471</v>
      </c>
      <c r="Q26" s="69">
        <f t="shared" ca="1" si="40"/>
        <v>953.29875897533589</v>
      </c>
      <c r="R26" s="69">
        <f t="shared" ca="1" si="41"/>
        <v>785.7544232421144</v>
      </c>
      <c r="S26" s="69">
        <f t="shared" ca="1" si="42"/>
        <v>698.52390191377378</v>
      </c>
      <c r="T26" s="69">
        <f t="shared" ca="1" si="43"/>
        <v>805.63601690034886</v>
      </c>
      <c r="U26" s="69">
        <f t="shared" ca="1" si="44"/>
        <v>1696.2864414175078</v>
      </c>
      <c r="V26" s="69">
        <f t="shared" ca="1" si="45"/>
        <v>1914.7734085905611</v>
      </c>
      <c r="W26" s="69">
        <f t="shared" ca="1" si="46"/>
        <v>1179.8232654509311</v>
      </c>
      <c r="X26" s="69">
        <f t="shared" ca="1" si="47"/>
        <v>1488.9119443342222</v>
      </c>
      <c r="Y26" s="69">
        <f t="shared" ca="1" si="48"/>
        <v>1213.8971423821633</v>
      </c>
      <c r="AA26" s="20">
        <f t="shared" ca="1" si="12"/>
        <v>6.5645248478735656E+16</v>
      </c>
      <c r="AB26" s="20">
        <f t="shared" ca="1" si="5"/>
        <v>1690116806682413.3</v>
      </c>
      <c r="AC26" s="20">
        <f t="shared" ca="1" si="6"/>
        <v>402933892779936</v>
      </c>
      <c r="AD26" s="20">
        <f t="shared" ca="1" si="7"/>
        <v>305629960545043.5</v>
      </c>
      <c r="AE26" s="20">
        <f t="shared" ca="1" si="8"/>
        <v>6926031098977639</v>
      </c>
      <c r="AG26" s="16">
        <f t="shared" ca="1" si="13"/>
        <v>3.0455423185142837E-4</v>
      </c>
      <c r="AH26" s="16">
        <f t="shared" ca="1" si="14"/>
        <v>1.7774586760418998E-4</v>
      </c>
      <c r="AI26" s="16">
        <f t="shared" ca="1" si="15"/>
        <v>-6.1590483845097978E-5</v>
      </c>
      <c r="AJ26" s="16">
        <f t="shared" ca="1" si="16"/>
        <v>-9.9607150478375978E-4</v>
      </c>
      <c r="AK26" s="16">
        <f t="shared" ca="1" si="17"/>
        <v>1.0297756572787089E-4</v>
      </c>
      <c r="AM26" s="16">
        <f t="shared" ca="1" si="18"/>
        <v>-5.7536188917323941E-4</v>
      </c>
      <c r="AO26" s="16">
        <f t="shared" ca="1" si="19"/>
        <v>0</v>
      </c>
      <c r="AP26" s="16">
        <f t="shared" ca="1" si="20"/>
        <v>0</v>
      </c>
      <c r="AQ26" s="16">
        <f t="shared" ca="1" si="21"/>
        <v>-6.1590483845097978E-5</v>
      </c>
      <c r="AR26" s="16">
        <f t="shared" ca="1" si="22"/>
        <v>-9.9607150478375978E-4</v>
      </c>
      <c r="AS26" s="16">
        <f t="shared" ca="1" si="23"/>
        <v>0</v>
      </c>
    </row>
    <row r="27" spans="1:45" x14ac:dyDescent="0.25">
      <c r="A27" s="69">
        <f t="shared" ca="1" si="24"/>
        <v>2450.255072587353</v>
      </c>
      <c r="B27" s="69">
        <f t="shared" ca="1" si="25"/>
        <v>2135.5536085814783</v>
      </c>
      <c r="C27" s="69">
        <f t="shared" ca="1" si="26"/>
        <v>2233.6914032409768</v>
      </c>
      <c r="D27" s="69">
        <f t="shared" ca="1" si="27"/>
        <v>2911.6488942619112</v>
      </c>
      <c r="E27" s="69">
        <f t="shared" ca="1" si="28"/>
        <v>1929.5303380935727</v>
      </c>
      <c r="F27" s="69">
        <f t="shared" ca="1" si="29"/>
        <v>1222.0247676723686</v>
      </c>
      <c r="G27" s="69">
        <f t="shared" ca="1" si="30"/>
        <v>963.49779739908013</v>
      </c>
      <c r="H27" s="69">
        <f t="shared" ca="1" si="31"/>
        <v>1193.2691609781405</v>
      </c>
      <c r="I27" s="69">
        <f t="shared" ca="1" si="32"/>
        <v>1046.0204711576691</v>
      </c>
      <c r="J27" s="69">
        <f t="shared" ca="1" si="33"/>
        <v>1150.2297055070396</v>
      </c>
      <c r="K27" s="69">
        <f t="shared" ca="1" si="34"/>
        <v>1180.0423202160473</v>
      </c>
      <c r="L27" s="69">
        <f t="shared" ca="1" si="35"/>
        <v>955.693210382335</v>
      </c>
      <c r="M27" s="69">
        <f t="shared" ca="1" si="36"/>
        <v>985.66699870930574</v>
      </c>
      <c r="N27" s="69">
        <f t="shared" ca="1" si="37"/>
        <v>573.9666784020003</v>
      </c>
      <c r="O27" s="69">
        <f t="shared" ca="1" si="38"/>
        <v>631.50104193755533</v>
      </c>
      <c r="P27" s="69">
        <f t="shared" ca="1" si="39"/>
        <v>725.03657987377471</v>
      </c>
      <c r="Q27" s="69">
        <f t="shared" ca="1" si="40"/>
        <v>953.10790647078636</v>
      </c>
      <c r="R27" s="69">
        <f t="shared" ca="1" si="41"/>
        <v>785.88084628808031</v>
      </c>
      <c r="S27" s="69">
        <f t="shared" ca="1" si="42"/>
        <v>698.1506785311077</v>
      </c>
      <c r="T27" s="69">
        <f t="shared" ca="1" si="43"/>
        <v>805.29588118345885</v>
      </c>
      <c r="U27" s="69">
        <f t="shared" ca="1" si="44"/>
        <v>1696.0217758233587</v>
      </c>
      <c r="V27" s="69">
        <f t="shared" ca="1" si="45"/>
        <v>1915.2694301859233</v>
      </c>
      <c r="W27" s="69">
        <f t="shared" ca="1" si="46"/>
        <v>1179.8232654509311</v>
      </c>
      <c r="X27" s="69">
        <f t="shared" ca="1" si="47"/>
        <v>1488.9119443342222</v>
      </c>
      <c r="Y27" s="69">
        <f t="shared" ca="1" si="48"/>
        <v>1213.8971423821633</v>
      </c>
      <c r="AA27" s="20">
        <f t="shared" ca="1" si="12"/>
        <v>6.5665244061675936E+16</v>
      </c>
      <c r="AB27" s="20">
        <f t="shared" ca="1" si="5"/>
        <v>1690417244660583</v>
      </c>
      <c r="AC27" s="20">
        <f t="shared" ca="1" si="6"/>
        <v>402909076650748.63</v>
      </c>
      <c r="AD27" s="20">
        <f t="shared" ca="1" si="7"/>
        <v>305325682816681.44</v>
      </c>
      <c r="AE27" s="20">
        <f t="shared" ca="1" si="8"/>
        <v>6926744361524758</v>
      </c>
      <c r="AG27" s="16">
        <f t="shared" ca="1" si="13"/>
        <v>-3.9499410759887173E-5</v>
      </c>
      <c r="AH27" s="16">
        <f t="shared" ca="1" si="14"/>
        <v>2.7069639539392698E-4</v>
      </c>
      <c r="AI27" s="16">
        <f t="shared" ca="1" si="15"/>
        <v>-2.0410058229975827E-4</v>
      </c>
      <c r="AJ27" s="16">
        <f t="shared" ca="1" si="16"/>
        <v>-4.8580568441195237E-4</v>
      </c>
      <c r="AK27" s="16">
        <f t="shared" ca="1" si="17"/>
        <v>-3.5340584136053435E-4</v>
      </c>
      <c r="AM27" s="16">
        <f t="shared" ca="1" si="18"/>
        <v>-4.5870928207767086E-4</v>
      </c>
      <c r="AO27" s="16">
        <f t="shared" ca="1" si="19"/>
        <v>-3.9499410759887173E-5</v>
      </c>
      <c r="AP27" s="16">
        <f t="shared" ca="1" si="20"/>
        <v>0</v>
      </c>
      <c r="AQ27" s="16">
        <f t="shared" ca="1" si="21"/>
        <v>-2.0410058229975827E-4</v>
      </c>
      <c r="AR27" s="16">
        <f t="shared" ca="1" si="22"/>
        <v>-4.8580568441195237E-4</v>
      </c>
      <c r="AS27" s="16">
        <f t="shared" ca="1" si="23"/>
        <v>-3.5340584136053435E-4</v>
      </c>
    </row>
    <row r="28" spans="1:45" x14ac:dyDescent="0.25">
      <c r="A28" s="69">
        <f t="shared" ca="1" si="24"/>
        <v>2450.255072587353</v>
      </c>
      <c r="B28" s="69">
        <f t="shared" ca="1" si="25"/>
        <v>2135.432208764847</v>
      </c>
      <c r="C28" s="69">
        <f t="shared" ca="1" si="26"/>
        <v>2233.6914032409768</v>
      </c>
      <c r="D28" s="69">
        <f t="shared" ca="1" si="27"/>
        <v>2911.7254059431484</v>
      </c>
      <c r="E28" s="69">
        <f t="shared" ca="1" si="28"/>
        <v>1929.5131108730222</v>
      </c>
      <c r="F28" s="69">
        <f t="shared" ca="1" si="29"/>
        <v>1222.4462360628304</v>
      </c>
      <c r="G28" s="69">
        <f t="shared" ca="1" si="30"/>
        <v>963.38185175317653</v>
      </c>
      <c r="H28" s="69">
        <f t="shared" ca="1" si="31"/>
        <v>1193.4497220739242</v>
      </c>
      <c r="I28" s="69">
        <f t="shared" ca="1" si="32"/>
        <v>1046.075194924977</v>
      </c>
      <c r="J28" s="69">
        <f t="shared" ca="1" si="33"/>
        <v>1150.048660037113</v>
      </c>
      <c r="K28" s="69">
        <f t="shared" ca="1" si="34"/>
        <v>1180.2690344916941</v>
      </c>
      <c r="L28" s="69">
        <f t="shared" ca="1" si="35"/>
        <v>955.693210382335</v>
      </c>
      <c r="M28" s="69">
        <f t="shared" ca="1" si="36"/>
        <v>985.2765489040105</v>
      </c>
      <c r="N28" s="69">
        <f t="shared" ca="1" si="37"/>
        <v>573.9666784020003</v>
      </c>
      <c r="O28" s="69">
        <f t="shared" ca="1" si="38"/>
        <v>631.50104193755533</v>
      </c>
      <c r="P28" s="69">
        <f t="shared" ca="1" si="39"/>
        <v>725.05771291593499</v>
      </c>
      <c r="Q28" s="69">
        <f t="shared" ca="1" si="40"/>
        <v>953.10790647078636</v>
      </c>
      <c r="R28" s="69">
        <f t="shared" ca="1" si="41"/>
        <v>785.88084628808031</v>
      </c>
      <c r="S28" s="69">
        <f t="shared" ca="1" si="42"/>
        <v>698.00299417269991</v>
      </c>
      <c r="T28" s="69">
        <f t="shared" ca="1" si="43"/>
        <v>805.05159636437168</v>
      </c>
      <c r="U28" s="69">
        <f t="shared" ca="1" si="44"/>
        <v>1695.8204812885631</v>
      </c>
      <c r="V28" s="69">
        <f t="shared" ca="1" si="45"/>
        <v>1915.4318255948915</v>
      </c>
      <c r="W28" s="69">
        <f t="shared" ca="1" si="46"/>
        <v>1179.8232654509311</v>
      </c>
      <c r="X28" s="69">
        <f t="shared" ca="1" si="47"/>
        <v>1488.4363147963429</v>
      </c>
      <c r="Y28" s="69">
        <f t="shared" ca="1" si="48"/>
        <v>1213.8971423821633</v>
      </c>
      <c r="AA28" s="20">
        <f t="shared" ca="1" si="12"/>
        <v>6.5662650374452992E+16</v>
      </c>
      <c r="AB28" s="20">
        <f t="shared" ca="1" si="5"/>
        <v>1690874896454975.3</v>
      </c>
      <c r="AC28" s="20">
        <f t="shared" ca="1" si="6"/>
        <v>402826851065020.75</v>
      </c>
      <c r="AD28" s="20">
        <f t="shared" ca="1" si="7"/>
        <v>305177389888062.5</v>
      </c>
      <c r="AE28" s="20">
        <f t="shared" ca="1" si="8"/>
        <v>6924296842115086</v>
      </c>
      <c r="AG28" s="16">
        <f t="shared" ca="1" si="13"/>
        <v>1.401294653764573E-4</v>
      </c>
      <c r="AH28" s="16">
        <f t="shared" ca="1" si="14"/>
        <v>-6.9231775785052546E-5</v>
      </c>
      <c r="AI28" s="16">
        <f t="shared" ca="1" si="15"/>
        <v>1.3427640223758492E-3</v>
      </c>
      <c r="AJ28" s="16">
        <f t="shared" ca="1" si="16"/>
        <v>-4.5026765675632084E-4</v>
      </c>
      <c r="AK28" s="16">
        <f t="shared" ca="1" si="17"/>
        <v>-1.2819768716092241E-5</v>
      </c>
      <c r="AM28" s="16">
        <f t="shared" ca="1" si="18"/>
        <v>9.6339405521093306E-4</v>
      </c>
      <c r="AO28" s="16">
        <f t="shared" ca="1" si="19"/>
        <v>0</v>
      </c>
      <c r="AP28" s="16">
        <f t="shared" ca="1" si="20"/>
        <v>-6.9231775785052546E-5</v>
      </c>
      <c r="AQ28" s="16">
        <f t="shared" ca="1" si="21"/>
        <v>0</v>
      </c>
      <c r="AR28" s="16">
        <f t="shared" ca="1" si="22"/>
        <v>-4.5026765675632084E-4</v>
      </c>
      <c r="AS28" s="16">
        <f t="shared" ca="1" si="23"/>
        <v>-1.2819768716092241E-5</v>
      </c>
    </row>
    <row r="29" spans="1:45" x14ac:dyDescent="0.25">
      <c r="A29" s="69">
        <f t="shared" ca="1" si="24"/>
        <v>2450.6624320201477</v>
      </c>
      <c r="B29" s="69">
        <f t="shared" ca="1" si="25"/>
        <v>2135.3764564244443</v>
      </c>
      <c r="C29" s="69">
        <f t="shared" ca="1" si="26"/>
        <v>2233.6914032409768</v>
      </c>
      <c r="D29" s="69">
        <f t="shared" ca="1" si="27"/>
        <v>2911.7254059431484</v>
      </c>
      <c r="E29" s="69">
        <f t="shared" ca="1" si="28"/>
        <v>1929.5131108730222</v>
      </c>
      <c r="F29" s="69">
        <f t="shared" ca="1" si="29"/>
        <v>1222.4462360628304</v>
      </c>
      <c r="G29" s="69">
        <f t="shared" ca="1" si="30"/>
        <v>963.38185175317653</v>
      </c>
      <c r="H29" s="69">
        <f t="shared" ca="1" si="31"/>
        <v>1193.3671002904143</v>
      </c>
      <c r="I29" s="69">
        <f t="shared" ca="1" si="32"/>
        <v>1046.075194924977</v>
      </c>
      <c r="J29" s="69">
        <f t="shared" ca="1" si="33"/>
        <v>1150.048660037113</v>
      </c>
      <c r="K29" s="69">
        <f t="shared" ca="1" si="34"/>
        <v>1180.2690344916941</v>
      </c>
      <c r="L29" s="69">
        <f t="shared" ca="1" si="35"/>
        <v>956.17245282172541</v>
      </c>
      <c r="M29" s="69">
        <f t="shared" ca="1" si="36"/>
        <v>985.59583217964996</v>
      </c>
      <c r="N29" s="69">
        <f t="shared" ca="1" si="37"/>
        <v>574.26193709919323</v>
      </c>
      <c r="O29" s="69">
        <f t="shared" ca="1" si="38"/>
        <v>631.50302587341218</v>
      </c>
      <c r="P29" s="69">
        <f t="shared" ca="1" si="39"/>
        <v>725.05771291593499</v>
      </c>
      <c r="Q29" s="69">
        <f t="shared" ca="1" si="40"/>
        <v>953.10790647078636</v>
      </c>
      <c r="R29" s="69">
        <f t="shared" ca="1" si="41"/>
        <v>785.97807569496217</v>
      </c>
      <c r="S29" s="69">
        <f t="shared" ca="1" si="42"/>
        <v>698.00299417269991</v>
      </c>
      <c r="T29" s="69">
        <f t="shared" ca="1" si="43"/>
        <v>804.58964519980452</v>
      </c>
      <c r="U29" s="69">
        <f t="shared" ca="1" si="44"/>
        <v>1695.8204812885631</v>
      </c>
      <c r="V29" s="69">
        <f t="shared" ca="1" si="45"/>
        <v>1915.3983319373174</v>
      </c>
      <c r="W29" s="69">
        <f t="shared" ca="1" si="46"/>
        <v>1179.4221018156004</v>
      </c>
      <c r="X29" s="69">
        <f t="shared" ca="1" si="47"/>
        <v>1488.5563217469185</v>
      </c>
      <c r="Y29" s="69">
        <f t="shared" ca="1" si="48"/>
        <v>1214.2178011698484</v>
      </c>
      <c r="AA29" s="20">
        <f t="shared" ca="1" si="12"/>
        <v>6.5671852291259952E+16</v>
      </c>
      <c r="AB29" s="20">
        <f t="shared" ca="1" si="5"/>
        <v>1690757838235384.3</v>
      </c>
      <c r="AC29" s="20">
        <f t="shared" ca="1" si="6"/>
        <v>403368115781946.38</v>
      </c>
      <c r="AD29" s="20">
        <f t="shared" ca="1" si="7"/>
        <v>305040009311158.88</v>
      </c>
      <c r="AE29" s="20">
        <f t="shared" ca="1" si="8"/>
        <v>6924208074800038</v>
      </c>
      <c r="AG29" s="16">
        <f t="shared" ca="1" si="13"/>
        <v>3.9682096110670452E-5</v>
      </c>
      <c r="AH29" s="16">
        <f t="shared" ca="1" si="14"/>
        <v>-4.2699711038336105E-5</v>
      </c>
      <c r="AI29" s="16">
        <f t="shared" ca="1" si="15"/>
        <v>8.6051842449929715E-4</v>
      </c>
      <c r="AJ29" s="16">
        <f t="shared" ca="1" si="16"/>
        <v>-2.7211152938804746E-4</v>
      </c>
      <c r="AK29" s="16">
        <f t="shared" ca="1" si="17"/>
        <v>-2.7334249900591101E-4</v>
      </c>
      <c r="AM29" s="16">
        <f t="shared" ca="1" si="18"/>
        <v>5.8538928018358398E-4</v>
      </c>
      <c r="AO29" s="16">
        <f t="shared" ca="1" si="19"/>
        <v>0</v>
      </c>
      <c r="AP29" s="16">
        <f t="shared" ca="1" si="20"/>
        <v>-4.2699711038336105E-5</v>
      </c>
      <c r="AQ29" s="16">
        <f t="shared" ca="1" si="21"/>
        <v>0</v>
      </c>
      <c r="AR29" s="16">
        <f t="shared" ca="1" si="22"/>
        <v>-2.7211152938804746E-4</v>
      </c>
      <c r="AS29" s="16">
        <f t="shared" ca="1" si="23"/>
        <v>-2.7334249900591101E-4</v>
      </c>
    </row>
    <row r="30" spans="1:45" x14ac:dyDescent="0.25">
      <c r="A30" s="69">
        <f t="shared" ca="1" si="24"/>
        <v>2450.6211721615628</v>
      </c>
      <c r="B30" s="69">
        <f t="shared" ca="1" si="25"/>
        <v>2135.3764564244443</v>
      </c>
      <c r="C30" s="69">
        <f t="shared" ca="1" si="26"/>
        <v>2233.6197416539112</v>
      </c>
      <c r="D30" s="69">
        <f t="shared" ca="1" si="27"/>
        <v>2911.7203371304786</v>
      </c>
      <c r="E30" s="69">
        <f t="shared" ca="1" si="28"/>
        <v>1929.6874346708937</v>
      </c>
      <c r="F30" s="69">
        <f t="shared" ca="1" si="29"/>
        <v>1222.4462360628304</v>
      </c>
      <c r="G30" s="69">
        <f t="shared" ca="1" si="30"/>
        <v>963.78422945661737</v>
      </c>
      <c r="H30" s="69">
        <f t="shared" ca="1" si="31"/>
        <v>1193.3452785536765</v>
      </c>
      <c r="I30" s="69">
        <f t="shared" ca="1" si="32"/>
        <v>1045.7656967183163</v>
      </c>
      <c r="J30" s="69">
        <f t="shared" ca="1" si="33"/>
        <v>1149.8806632225344</v>
      </c>
      <c r="K30" s="69">
        <f t="shared" ca="1" si="34"/>
        <v>1180.2690344916941</v>
      </c>
      <c r="L30" s="69">
        <f t="shared" ca="1" si="35"/>
        <v>955.87648737947904</v>
      </c>
      <c r="M30" s="69">
        <f t="shared" ca="1" si="36"/>
        <v>986.05370952681005</v>
      </c>
      <c r="N30" s="69">
        <f t="shared" ca="1" si="37"/>
        <v>574.26193709919323</v>
      </c>
      <c r="O30" s="69">
        <f t="shared" ca="1" si="38"/>
        <v>631.94879476971221</v>
      </c>
      <c r="P30" s="69">
        <f t="shared" ca="1" si="39"/>
        <v>725.05771291593499</v>
      </c>
      <c r="Q30" s="69">
        <f t="shared" ca="1" si="40"/>
        <v>953.10790647078636</v>
      </c>
      <c r="R30" s="69">
        <f t="shared" ca="1" si="41"/>
        <v>785.62916781045794</v>
      </c>
      <c r="S30" s="69">
        <f t="shared" ca="1" si="42"/>
        <v>698.16972591804381</v>
      </c>
      <c r="T30" s="69">
        <f t="shared" ca="1" si="43"/>
        <v>804.53578892025712</v>
      </c>
      <c r="U30" s="69">
        <f t="shared" ca="1" si="44"/>
        <v>1695.8204812885631</v>
      </c>
      <c r="V30" s="69">
        <f t="shared" ca="1" si="45"/>
        <v>1915.6707691187496</v>
      </c>
      <c r="W30" s="69">
        <f t="shared" ca="1" si="46"/>
        <v>1179.296172229589</v>
      </c>
      <c r="X30" s="69">
        <f t="shared" ca="1" si="47"/>
        <v>1488.0967418985167</v>
      </c>
      <c r="Y30" s="69">
        <f t="shared" ca="1" si="48"/>
        <v>1214.2178011698484</v>
      </c>
      <c r="AA30" s="20">
        <f t="shared" ca="1" si="12"/>
        <v>6.5674458339720736E+16</v>
      </c>
      <c r="AB30" s="20">
        <f t="shared" ca="1" si="5"/>
        <v>1690685644905584</v>
      </c>
      <c r="AC30" s="20">
        <f t="shared" ca="1" si="6"/>
        <v>403715370865702.81</v>
      </c>
      <c r="AD30" s="20">
        <f t="shared" ca="1" si="7"/>
        <v>304957015699972</v>
      </c>
      <c r="AE30" s="20">
        <f t="shared" ca="1" si="8"/>
        <v>6922315653112655</v>
      </c>
      <c r="AG30" s="16">
        <f t="shared" ca="1" si="13"/>
        <v>4.9763798485354996E-5</v>
      </c>
      <c r="AH30" s="16">
        <f t="shared" ca="1" si="14"/>
        <v>-2.0026282333243184E-4</v>
      </c>
      <c r="AI30" s="16">
        <f t="shared" ca="1" si="15"/>
        <v>7.5453289694881809E-4</v>
      </c>
      <c r="AJ30" s="16">
        <f t="shared" ca="1" si="16"/>
        <v>9.7688244908913642E-4</v>
      </c>
      <c r="AK30" s="16">
        <f t="shared" ca="1" si="17"/>
        <v>5.3949899126404168E-4</v>
      </c>
      <c r="AM30" s="16">
        <f t="shared" ca="1" si="18"/>
        <v>1.5809163211908776E-3</v>
      </c>
      <c r="AO30" s="16">
        <f t="shared" ca="1" si="19"/>
        <v>0</v>
      </c>
      <c r="AP30" s="16">
        <f t="shared" ca="1" si="20"/>
        <v>-2.0026282333243184E-4</v>
      </c>
      <c r="AQ30" s="16">
        <f t="shared" ca="1" si="21"/>
        <v>0</v>
      </c>
      <c r="AR30" s="16">
        <f t="shared" ca="1" si="22"/>
        <v>0</v>
      </c>
      <c r="AS30" s="16">
        <f t="shared" ca="1" si="23"/>
        <v>0</v>
      </c>
    </row>
    <row r="31" spans="1:45" x14ac:dyDescent="0.25">
      <c r="A31" s="69">
        <f t="shared" ca="1" si="24"/>
        <v>2450.4506996696523</v>
      </c>
      <c r="B31" s="69">
        <f t="shared" ca="1" si="25"/>
        <v>2135.5053057583791</v>
      </c>
      <c r="C31" s="69">
        <f t="shared" ca="1" si="26"/>
        <v>2233.6197416539112</v>
      </c>
      <c r="D31" s="69">
        <f t="shared" ca="1" si="27"/>
        <v>2911.2989124063365</v>
      </c>
      <c r="E31" s="69">
        <f t="shared" ca="1" si="28"/>
        <v>1930.080619741972</v>
      </c>
      <c r="F31" s="69">
        <f t="shared" ca="1" si="29"/>
        <v>1222.4230340418494</v>
      </c>
      <c r="G31" s="69">
        <f t="shared" ca="1" si="30"/>
        <v>963.30476965716559</v>
      </c>
      <c r="H31" s="69">
        <f t="shared" ca="1" si="31"/>
        <v>1193.6210724007785</v>
      </c>
      <c r="I31" s="69">
        <f t="shared" ca="1" si="32"/>
        <v>1045.7049447131185</v>
      </c>
      <c r="J31" s="69">
        <f t="shared" ca="1" si="33"/>
        <v>1150.0454866048922</v>
      </c>
      <c r="K31" s="69">
        <f t="shared" ca="1" si="34"/>
        <v>1180.2690344916941</v>
      </c>
      <c r="L31" s="69">
        <f t="shared" ca="1" si="35"/>
        <v>955.87648737947904</v>
      </c>
      <c r="M31" s="69">
        <f t="shared" ca="1" si="36"/>
        <v>986.05370952681005</v>
      </c>
      <c r="N31" s="69">
        <f t="shared" ca="1" si="37"/>
        <v>574.43192170563066</v>
      </c>
      <c r="O31" s="69">
        <f t="shared" ca="1" si="38"/>
        <v>632.23865483517716</v>
      </c>
      <c r="P31" s="69">
        <f t="shared" ca="1" si="39"/>
        <v>725.05771291593499</v>
      </c>
      <c r="Q31" s="69">
        <f t="shared" ca="1" si="40"/>
        <v>953.21228031604198</v>
      </c>
      <c r="R31" s="69">
        <f t="shared" ca="1" si="41"/>
        <v>785.93659427361956</v>
      </c>
      <c r="S31" s="69">
        <f t="shared" ca="1" si="42"/>
        <v>698.23314035767692</v>
      </c>
      <c r="T31" s="69">
        <f t="shared" ca="1" si="43"/>
        <v>804.8458509193465</v>
      </c>
      <c r="U31" s="69">
        <f t="shared" ca="1" si="44"/>
        <v>1696.0395899382449</v>
      </c>
      <c r="V31" s="69">
        <f t="shared" ca="1" si="45"/>
        <v>1915.9022369985782</v>
      </c>
      <c r="W31" s="69">
        <f t="shared" ca="1" si="46"/>
        <v>1179.2751858762249</v>
      </c>
      <c r="X31" s="69">
        <f t="shared" ca="1" si="47"/>
        <v>1488.5540696514386</v>
      </c>
      <c r="Y31" s="69">
        <f t="shared" ca="1" si="48"/>
        <v>1214.2178011698484</v>
      </c>
      <c r="AA31" s="20">
        <f t="shared" ca="1" si="12"/>
        <v>6.5677726631551824E+16</v>
      </c>
      <c r="AB31" s="20">
        <f t="shared" ca="1" si="5"/>
        <v>1690347097325346.3</v>
      </c>
      <c r="AC31" s="20">
        <f t="shared" ca="1" si="6"/>
        <v>404020102344530.13</v>
      </c>
      <c r="AD31" s="20">
        <f t="shared" ca="1" si="7"/>
        <v>305255068413865.81</v>
      </c>
      <c r="AE31" s="20">
        <f t="shared" ca="1" si="8"/>
        <v>6926051243007604</v>
      </c>
      <c r="AG31" s="16">
        <f t="shared" ca="1" si="13"/>
        <v>-1.8936725317079617E-4</v>
      </c>
      <c r="AH31" s="16">
        <f t="shared" ca="1" si="14"/>
        <v>-6.0479007100112351E-4</v>
      </c>
      <c r="AI31" s="16">
        <f t="shared" ca="1" si="15"/>
        <v>-1.2936218740549669E-3</v>
      </c>
      <c r="AJ31" s="16">
        <f t="shared" ca="1" si="16"/>
        <v>4.1932315699333715E-4</v>
      </c>
      <c r="AK31" s="16">
        <f t="shared" ca="1" si="17"/>
        <v>-1.1300989625051947E-4</v>
      </c>
      <c r="AM31" s="16">
        <f t="shared" ca="1" si="18"/>
        <v>-1.6684560412335491E-3</v>
      </c>
      <c r="AO31" s="16">
        <f t="shared" ca="1" si="19"/>
        <v>-1.8936725317079617E-4</v>
      </c>
      <c r="AP31" s="16">
        <f t="shared" ca="1" si="20"/>
        <v>-6.0479007100112351E-4</v>
      </c>
      <c r="AQ31" s="16">
        <f t="shared" ca="1" si="21"/>
        <v>-1.2936218740549669E-3</v>
      </c>
      <c r="AR31" s="16">
        <f t="shared" ca="1" si="22"/>
        <v>0</v>
      </c>
      <c r="AS31" s="16">
        <f t="shared" ca="1" si="23"/>
        <v>-1.1300989625051947E-4</v>
      </c>
    </row>
    <row r="32" spans="1:45" x14ac:dyDescent="0.25">
      <c r="A32" s="69">
        <f t="shared" ca="1" si="24"/>
        <v>2450.632897096632</v>
      </c>
      <c r="B32" s="69">
        <f t="shared" ca="1" si="25"/>
        <v>2135.0581061439339</v>
      </c>
      <c r="C32" s="69">
        <f t="shared" ca="1" si="26"/>
        <v>2233.8406050097019</v>
      </c>
      <c r="D32" s="69">
        <f t="shared" ca="1" si="27"/>
        <v>2911.2989124063365</v>
      </c>
      <c r="E32" s="69">
        <f t="shared" ca="1" si="28"/>
        <v>1929.7850311648824</v>
      </c>
      <c r="F32" s="69">
        <f t="shared" ca="1" si="29"/>
        <v>1222.2894816357266</v>
      </c>
      <c r="G32" s="69">
        <f t="shared" ca="1" si="30"/>
        <v>963.07989980532659</v>
      </c>
      <c r="H32" s="69">
        <f t="shared" ca="1" si="31"/>
        <v>1193.2313972550794</v>
      </c>
      <c r="I32" s="69">
        <f t="shared" ca="1" si="32"/>
        <v>1046.1496213899229</v>
      </c>
      <c r="J32" s="69">
        <f t="shared" ca="1" si="33"/>
        <v>1149.6307382944121</v>
      </c>
      <c r="K32" s="69">
        <f t="shared" ca="1" si="34"/>
        <v>1180.3400189358415</v>
      </c>
      <c r="L32" s="69">
        <f t="shared" ca="1" si="35"/>
        <v>955.87648737947904</v>
      </c>
      <c r="M32" s="69">
        <f t="shared" ca="1" si="36"/>
        <v>985.85875586145039</v>
      </c>
      <c r="N32" s="69">
        <f t="shared" ca="1" si="37"/>
        <v>574.04081015880558</v>
      </c>
      <c r="O32" s="69">
        <f t="shared" ca="1" si="38"/>
        <v>631.93845477696868</v>
      </c>
      <c r="P32" s="69">
        <f t="shared" ca="1" si="39"/>
        <v>725.17720501896599</v>
      </c>
      <c r="Q32" s="69">
        <f t="shared" ca="1" si="40"/>
        <v>952.74766917107172</v>
      </c>
      <c r="R32" s="69">
        <f t="shared" ca="1" si="41"/>
        <v>786.24048563804081</v>
      </c>
      <c r="S32" s="69">
        <f t="shared" ca="1" si="42"/>
        <v>698.68781182188764</v>
      </c>
      <c r="T32" s="69">
        <f t="shared" ca="1" si="43"/>
        <v>804.60806953384395</v>
      </c>
      <c r="U32" s="69">
        <f t="shared" ca="1" si="44"/>
        <v>1696.2318803692456</v>
      </c>
      <c r="V32" s="69">
        <f t="shared" ca="1" si="45"/>
        <v>1915.9022369985782</v>
      </c>
      <c r="W32" s="69">
        <f t="shared" ca="1" si="46"/>
        <v>1178.8797058228731</v>
      </c>
      <c r="X32" s="69">
        <f t="shared" ca="1" si="47"/>
        <v>1488.5251887775114</v>
      </c>
      <c r="Y32" s="69">
        <f t="shared" ca="1" si="48"/>
        <v>1214.3737621199616</v>
      </c>
      <c r="AA32" s="20">
        <f t="shared" ca="1" si="12"/>
        <v>6.5665290598390984E+16</v>
      </c>
      <c r="AB32" s="20">
        <f t="shared" ca="1" si="5"/>
        <v>1689325101262025.5</v>
      </c>
      <c r="AC32" s="20">
        <f t="shared" ca="1" si="6"/>
        <v>403497791012100.5</v>
      </c>
      <c r="AD32" s="20">
        <f t="shared" ca="1" si="7"/>
        <v>305383095773383.69</v>
      </c>
      <c r="AE32" s="20">
        <f t="shared" ca="1" si="8"/>
        <v>6925268574900660</v>
      </c>
      <c r="AG32" s="16">
        <f t="shared" ca="1" si="13"/>
        <v>1.4836854438324784E-5</v>
      </c>
      <c r="AH32" s="16">
        <f t="shared" ca="1" si="14"/>
        <v>3.7317342084559554E-4</v>
      </c>
      <c r="AI32" s="16">
        <f t="shared" ca="1" si="15"/>
        <v>-4.1445448945610924E-4</v>
      </c>
      <c r="AJ32" s="16">
        <f t="shared" ca="1" si="16"/>
        <v>-3.0408382656961979E-4</v>
      </c>
      <c r="AK32" s="16">
        <f t="shared" ca="1" si="17"/>
        <v>-9.4854437642210199E-4</v>
      </c>
      <c r="AM32" s="16">
        <f t="shared" ca="1" si="18"/>
        <v>-3.3052804074180871E-4</v>
      </c>
      <c r="AO32" s="16">
        <f t="shared" ca="1" si="19"/>
        <v>0</v>
      </c>
      <c r="AP32" s="16">
        <f t="shared" ca="1" si="20"/>
        <v>0</v>
      </c>
      <c r="AQ32" s="16">
        <f t="shared" ca="1" si="21"/>
        <v>-4.1445448945610924E-4</v>
      </c>
      <c r="AR32" s="16">
        <f t="shared" ca="1" si="22"/>
        <v>-3.0408382656961979E-4</v>
      </c>
      <c r="AS32" s="16">
        <f t="shared" ca="1" si="23"/>
        <v>-9.4854437642210199E-4</v>
      </c>
    </row>
    <row r="33" spans="1:45" x14ac:dyDescent="0.25">
      <c r="A33" s="69">
        <f t="shared" ca="1" si="24"/>
        <v>2451.020972216973</v>
      </c>
      <c r="B33" s="69">
        <f t="shared" ca="1" si="25"/>
        <v>2134.8269124961162</v>
      </c>
      <c r="C33" s="69">
        <f t="shared" ca="1" si="26"/>
        <v>2233.8406050097019</v>
      </c>
      <c r="D33" s="69">
        <f t="shared" ca="1" si="27"/>
        <v>2911.1204663920871</v>
      </c>
      <c r="E33" s="69">
        <f t="shared" ca="1" si="28"/>
        <v>1929.8353583056717</v>
      </c>
      <c r="F33" s="69">
        <f t="shared" ca="1" si="29"/>
        <v>1222.2096044105945</v>
      </c>
      <c r="G33" s="69">
        <f t="shared" ca="1" si="30"/>
        <v>963.2793428236057</v>
      </c>
      <c r="H33" s="69">
        <f t="shared" ca="1" si="31"/>
        <v>1193.6555986522733</v>
      </c>
      <c r="I33" s="69">
        <f t="shared" ca="1" si="32"/>
        <v>1046.3003002237542</v>
      </c>
      <c r="J33" s="69">
        <f t="shared" ca="1" si="33"/>
        <v>1149.32267172002</v>
      </c>
      <c r="K33" s="69">
        <f t="shared" ca="1" si="34"/>
        <v>1180.3334644448332</v>
      </c>
      <c r="L33" s="69">
        <f t="shared" ca="1" si="35"/>
        <v>956.27172625767116</v>
      </c>
      <c r="M33" s="69">
        <f t="shared" ca="1" si="36"/>
        <v>985.85875586145039</v>
      </c>
      <c r="N33" s="69">
        <f t="shared" ca="1" si="37"/>
        <v>573.70596247062383</v>
      </c>
      <c r="O33" s="69">
        <f t="shared" ca="1" si="38"/>
        <v>631.78755824285895</v>
      </c>
      <c r="P33" s="69">
        <f t="shared" ca="1" si="39"/>
        <v>725.17720501896599</v>
      </c>
      <c r="Q33" s="69">
        <f t="shared" ca="1" si="40"/>
        <v>952.88232124974274</v>
      </c>
      <c r="R33" s="69">
        <f t="shared" ca="1" si="41"/>
        <v>785.89036887698444</v>
      </c>
      <c r="S33" s="69">
        <f t="shared" ca="1" si="42"/>
        <v>698.68781182188764</v>
      </c>
      <c r="T33" s="69">
        <f t="shared" ca="1" si="43"/>
        <v>804.60806953384395</v>
      </c>
      <c r="U33" s="69">
        <f t="shared" ca="1" si="44"/>
        <v>1696.5355600966595</v>
      </c>
      <c r="V33" s="69">
        <f t="shared" ca="1" si="45"/>
        <v>1915.5122562882104</v>
      </c>
      <c r="W33" s="69">
        <f t="shared" ca="1" si="46"/>
        <v>1178.4143170476436</v>
      </c>
      <c r="X33" s="69">
        <f t="shared" ca="1" si="47"/>
        <v>1488.1717732865386</v>
      </c>
      <c r="Y33" s="69">
        <f t="shared" ca="1" si="48"/>
        <v>1214.0195986646661</v>
      </c>
      <c r="AA33" s="20">
        <f t="shared" ca="1" si="12"/>
        <v>6.5666264871976808E+16</v>
      </c>
      <c r="AB33" s="20">
        <f t="shared" ca="1" si="5"/>
        <v>1689955630129973.8</v>
      </c>
      <c r="AC33" s="20">
        <f t="shared" ca="1" si="6"/>
        <v>403330594191259.75</v>
      </c>
      <c r="AD33" s="20">
        <f t="shared" ca="1" si="7"/>
        <v>305290247830545.56</v>
      </c>
      <c r="AE33" s="20">
        <f t="shared" ca="1" si="8"/>
        <v>6918702764812135</v>
      </c>
      <c r="AG33" s="16">
        <f t="shared" ca="1" si="13"/>
        <v>1.5871806896143332E-4</v>
      </c>
      <c r="AH33" s="16">
        <f t="shared" ca="1" si="14"/>
        <v>6.1523287644485371E-4</v>
      </c>
      <c r="AI33" s="16">
        <f t="shared" ca="1" si="15"/>
        <v>-2.4841877230554708E-4</v>
      </c>
      <c r="AJ33" s="16">
        <f t="shared" ca="1" si="16"/>
        <v>1.0449405540772767E-3</v>
      </c>
      <c r="AK33" s="16">
        <f t="shared" ca="1" si="17"/>
        <v>1.5322987987447171E-4</v>
      </c>
      <c r="AM33" s="16">
        <f t="shared" ca="1" si="18"/>
        <v>1.5704727271780166E-3</v>
      </c>
      <c r="AO33" s="16">
        <f t="shared" ca="1" si="19"/>
        <v>0</v>
      </c>
      <c r="AP33" s="16">
        <f t="shared" ca="1" si="20"/>
        <v>0</v>
      </c>
      <c r="AQ33" s="16">
        <f t="shared" ca="1" si="21"/>
        <v>-2.4841877230554708E-4</v>
      </c>
      <c r="AR33" s="16">
        <f t="shared" ca="1" si="22"/>
        <v>0</v>
      </c>
      <c r="AS33" s="16">
        <f t="shared" ca="1" si="23"/>
        <v>0</v>
      </c>
    </row>
    <row r="34" spans="1:45" x14ac:dyDescent="0.25">
      <c r="A34" s="69">
        <f t="shared" ca="1" si="24"/>
        <v>2451.020972216973</v>
      </c>
      <c r="B34" s="69">
        <f t="shared" ca="1" si="25"/>
        <v>2134.7516530322587</v>
      </c>
      <c r="C34" s="69">
        <f t="shared" ca="1" si="26"/>
        <v>2233.8406050097019</v>
      </c>
      <c r="D34" s="69">
        <f t="shared" ca="1" si="27"/>
        <v>2910.9536958303179</v>
      </c>
      <c r="E34" s="69">
        <f t="shared" ca="1" si="28"/>
        <v>1930.3203114687742</v>
      </c>
      <c r="F34" s="69">
        <f t="shared" ca="1" si="29"/>
        <v>1222.2096044105945</v>
      </c>
      <c r="G34" s="69">
        <f t="shared" ca="1" si="30"/>
        <v>963.77112697851067</v>
      </c>
      <c r="H34" s="69">
        <f t="shared" ca="1" si="31"/>
        <v>1193.6555986522733</v>
      </c>
      <c r="I34" s="69">
        <f t="shared" ca="1" si="32"/>
        <v>1046.1275810947891</v>
      </c>
      <c r="J34" s="69">
        <f t="shared" ca="1" si="33"/>
        <v>1149.6329406546856</v>
      </c>
      <c r="K34" s="69">
        <f t="shared" ca="1" si="34"/>
        <v>1180.7198158296612</v>
      </c>
      <c r="L34" s="69">
        <f t="shared" ca="1" si="35"/>
        <v>956.27172625767116</v>
      </c>
      <c r="M34" s="69">
        <f t="shared" ca="1" si="36"/>
        <v>985.71101153590428</v>
      </c>
      <c r="N34" s="69">
        <f t="shared" ca="1" si="37"/>
        <v>573.46172225658586</v>
      </c>
      <c r="O34" s="69">
        <f t="shared" ca="1" si="38"/>
        <v>631.78755824285895</v>
      </c>
      <c r="P34" s="69">
        <f t="shared" ca="1" si="39"/>
        <v>725.50939278527107</v>
      </c>
      <c r="Q34" s="69">
        <f t="shared" ca="1" si="40"/>
        <v>952.88232124974274</v>
      </c>
      <c r="R34" s="69">
        <f t="shared" ca="1" si="41"/>
        <v>785.89036887698444</v>
      </c>
      <c r="S34" s="69">
        <f t="shared" ca="1" si="42"/>
        <v>698.68781182188764</v>
      </c>
      <c r="T34" s="69">
        <f t="shared" ca="1" si="43"/>
        <v>805.08048685842959</v>
      </c>
      <c r="U34" s="69">
        <f t="shared" ca="1" si="44"/>
        <v>1696.5355600966595</v>
      </c>
      <c r="V34" s="69">
        <f t="shared" ca="1" si="45"/>
        <v>1915.3692967927711</v>
      </c>
      <c r="W34" s="69">
        <f t="shared" ca="1" si="46"/>
        <v>1178.3091696513025</v>
      </c>
      <c r="X34" s="69">
        <f t="shared" ca="1" si="47"/>
        <v>1488.3770973970795</v>
      </c>
      <c r="Y34" s="69">
        <f t="shared" ca="1" si="48"/>
        <v>1214.2370925631194</v>
      </c>
      <c r="AA34" s="20">
        <f t="shared" ca="1" si="12"/>
        <v>6.5676688121890368E+16</v>
      </c>
      <c r="AB34" s="20">
        <f t="shared" ca="1" si="5"/>
        <v>1690995666292777.5</v>
      </c>
      <c r="AC34" s="20">
        <f t="shared" ca="1" si="6"/>
        <v>403230411744332.94</v>
      </c>
      <c r="AD34" s="20">
        <f t="shared" ca="1" si="7"/>
        <v>305609424722664.81</v>
      </c>
      <c r="AE34" s="20">
        <f t="shared" ca="1" si="8"/>
        <v>6919762998033305</v>
      </c>
      <c r="AG34" s="16">
        <f t="shared" ca="1" si="13"/>
        <v>-7.3736650488040077E-4</v>
      </c>
      <c r="AH34" s="16">
        <f t="shared" ca="1" si="14"/>
        <v>8.4553319732630112E-4</v>
      </c>
      <c r="AI34" s="16">
        <f t="shared" ca="1" si="15"/>
        <v>-6.8979946192318281E-4</v>
      </c>
      <c r="AJ34" s="16">
        <f t="shared" ca="1" si="16"/>
        <v>-2.8656779594685676E-4</v>
      </c>
      <c r="AK34" s="16">
        <f t="shared" ca="1" si="17"/>
        <v>-2.1145863208868522E-4</v>
      </c>
      <c r="AM34" s="16">
        <f t="shared" ca="1" si="18"/>
        <v>-8.6820056542413922E-4</v>
      </c>
      <c r="AO34" s="16">
        <f t="shared" ca="1" si="19"/>
        <v>-7.3736650488040077E-4</v>
      </c>
      <c r="AP34" s="16">
        <f t="shared" ca="1" si="20"/>
        <v>0</v>
      </c>
      <c r="AQ34" s="16">
        <f t="shared" ca="1" si="21"/>
        <v>-6.8979946192318281E-4</v>
      </c>
      <c r="AR34" s="16">
        <f t="shared" ca="1" si="22"/>
        <v>-2.8656779594685676E-4</v>
      </c>
      <c r="AS34" s="16">
        <f t="shared" ca="1" si="23"/>
        <v>-2.1145863208868522E-4</v>
      </c>
    </row>
    <row r="35" spans="1:45" x14ac:dyDescent="0.25">
      <c r="A35" s="69">
        <f t="shared" ca="1" si="24"/>
        <v>2450.8482802250478</v>
      </c>
      <c r="B35" s="69">
        <f t="shared" ca="1" si="25"/>
        <v>2134.2733685315775</v>
      </c>
      <c r="C35" s="69">
        <f t="shared" ca="1" si="26"/>
        <v>2233.3723059302574</v>
      </c>
      <c r="D35" s="69">
        <f t="shared" ca="1" si="27"/>
        <v>2910.9536958303179</v>
      </c>
      <c r="E35" s="69">
        <f t="shared" ca="1" si="28"/>
        <v>1929.870262788332</v>
      </c>
      <c r="F35" s="69">
        <f t="shared" ca="1" si="29"/>
        <v>1222.5526599715702</v>
      </c>
      <c r="G35" s="69">
        <f t="shared" ca="1" si="30"/>
        <v>964.04621044927899</v>
      </c>
      <c r="H35" s="69">
        <f t="shared" ca="1" si="31"/>
        <v>1193.6555986522733</v>
      </c>
      <c r="I35" s="69">
        <f t="shared" ca="1" si="32"/>
        <v>1046.4200193538086</v>
      </c>
      <c r="J35" s="69">
        <f t="shared" ca="1" si="33"/>
        <v>1149.6329406546856</v>
      </c>
      <c r="K35" s="69">
        <f t="shared" ca="1" si="34"/>
        <v>1181.0508482465152</v>
      </c>
      <c r="L35" s="69">
        <f t="shared" ca="1" si="35"/>
        <v>956.27172625767116</v>
      </c>
      <c r="M35" s="69">
        <f t="shared" ca="1" si="36"/>
        <v>986.19531131062615</v>
      </c>
      <c r="N35" s="69">
        <f t="shared" ca="1" si="37"/>
        <v>572.97098560661493</v>
      </c>
      <c r="O35" s="69">
        <f t="shared" ca="1" si="38"/>
        <v>631.40530729675118</v>
      </c>
      <c r="P35" s="69">
        <f t="shared" ca="1" si="39"/>
        <v>725.21173257138491</v>
      </c>
      <c r="Q35" s="69">
        <f t="shared" ca="1" si="40"/>
        <v>953.35309536399564</v>
      </c>
      <c r="R35" s="69">
        <f t="shared" ca="1" si="41"/>
        <v>786.19948213060923</v>
      </c>
      <c r="S35" s="69">
        <f t="shared" ca="1" si="42"/>
        <v>698.23959815433261</v>
      </c>
      <c r="T35" s="69">
        <f t="shared" ca="1" si="43"/>
        <v>804.98253501717977</v>
      </c>
      <c r="U35" s="69">
        <f t="shared" ca="1" si="44"/>
        <v>1696.9225368002833</v>
      </c>
      <c r="V35" s="69">
        <f t="shared" ca="1" si="45"/>
        <v>1915.1116559058214</v>
      </c>
      <c r="W35" s="69">
        <f t="shared" ca="1" si="46"/>
        <v>1177.8401110681248</v>
      </c>
      <c r="X35" s="69">
        <f t="shared" ca="1" si="47"/>
        <v>1488.3770973970795</v>
      </c>
      <c r="Y35" s="69">
        <f t="shared" ca="1" si="48"/>
        <v>1214.3502010371105</v>
      </c>
      <c r="AA35" s="20">
        <f t="shared" ca="1" si="12"/>
        <v>6.5628278182045296E+16</v>
      </c>
      <c r="AB35" s="20">
        <f t="shared" ca="1" si="5"/>
        <v>1692426063904276.8</v>
      </c>
      <c r="AC35" s="20">
        <f t="shared" ca="1" si="6"/>
        <v>402952359534438.31</v>
      </c>
      <c r="AD35" s="20">
        <f t="shared" ca="1" si="7"/>
        <v>305521859450694.19</v>
      </c>
      <c r="AE35" s="20">
        <f t="shared" ca="1" si="8"/>
        <v>6918299909112206</v>
      </c>
      <c r="AG35" s="16">
        <f t="shared" ca="1" si="13"/>
        <v>8.181451696953745E-5</v>
      </c>
      <c r="AH35" s="16">
        <f t="shared" ca="1" si="14"/>
        <v>-2.0525144986640456E-4</v>
      </c>
      <c r="AI35" s="16">
        <f t="shared" ca="1" si="15"/>
        <v>-4.2304438742731698E-4</v>
      </c>
      <c r="AJ35" s="16">
        <f t="shared" ca="1" si="16"/>
        <v>-5.0427508381742359E-4</v>
      </c>
      <c r="AK35" s="16">
        <f t="shared" ca="1" si="17"/>
        <v>-5.7701401648432641E-5</v>
      </c>
      <c r="AM35" s="16">
        <f t="shared" ca="1" si="18"/>
        <v>-1.0507564041416077E-3</v>
      </c>
      <c r="AO35" s="16">
        <f t="shared" ca="1" si="19"/>
        <v>0</v>
      </c>
      <c r="AP35" s="16">
        <f t="shared" ca="1" si="20"/>
        <v>-2.0525144986640456E-4</v>
      </c>
      <c r="AQ35" s="16">
        <f t="shared" ca="1" si="21"/>
        <v>-4.2304438742731698E-4</v>
      </c>
      <c r="AR35" s="16">
        <f t="shared" ca="1" si="22"/>
        <v>-5.0427508381742359E-4</v>
      </c>
      <c r="AS35" s="16">
        <f t="shared" ca="1" si="23"/>
        <v>-5.7701401648432641E-5</v>
      </c>
    </row>
    <row r="36" spans="1:45" x14ac:dyDescent="0.25">
      <c r="A36" s="69">
        <f t="shared" ca="1" si="24"/>
        <v>2450.8482802250478</v>
      </c>
      <c r="B36" s="69">
        <f t="shared" ca="1" si="25"/>
        <v>2134.4188726801626</v>
      </c>
      <c r="C36" s="69">
        <f t="shared" ca="1" si="26"/>
        <v>2233.4027733829257</v>
      </c>
      <c r="D36" s="69">
        <f t="shared" ca="1" si="27"/>
        <v>2910.9536958303179</v>
      </c>
      <c r="E36" s="69">
        <f t="shared" ca="1" si="28"/>
        <v>1929.870262788332</v>
      </c>
      <c r="F36" s="69">
        <f t="shared" ca="1" si="29"/>
        <v>1222.9820001201172</v>
      </c>
      <c r="G36" s="69">
        <f t="shared" ca="1" si="30"/>
        <v>963.844611325198</v>
      </c>
      <c r="H36" s="69">
        <f t="shared" ca="1" si="31"/>
        <v>1193.5819531472143</v>
      </c>
      <c r="I36" s="69">
        <f t="shared" ca="1" si="32"/>
        <v>1046.2916631829517</v>
      </c>
      <c r="J36" s="69">
        <f t="shared" ca="1" si="33"/>
        <v>1149.4457214765532</v>
      </c>
      <c r="K36" s="69">
        <f t="shared" ca="1" si="34"/>
        <v>1181.0508482465152</v>
      </c>
      <c r="L36" s="69">
        <f t="shared" ca="1" si="35"/>
        <v>956.27172625767116</v>
      </c>
      <c r="M36" s="69">
        <f t="shared" ca="1" si="36"/>
        <v>986.59606148580792</v>
      </c>
      <c r="N36" s="69">
        <f t="shared" ca="1" si="37"/>
        <v>572.62655250770558</v>
      </c>
      <c r="O36" s="69">
        <f t="shared" ca="1" si="38"/>
        <v>631.2613597530318</v>
      </c>
      <c r="P36" s="69">
        <f t="shared" ca="1" si="39"/>
        <v>725.08506319120477</v>
      </c>
      <c r="Q36" s="69">
        <f t="shared" ca="1" si="40"/>
        <v>953.35309536399564</v>
      </c>
      <c r="R36" s="69">
        <f t="shared" ca="1" si="41"/>
        <v>786.19948213060923</v>
      </c>
      <c r="S36" s="69">
        <f t="shared" ca="1" si="42"/>
        <v>698.31338287173332</v>
      </c>
      <c r="T36" s="69">
        <f t="shared" ca="1" si="43"/>
        <v>804.63223346657264</v>
      </c>
      <c r="U36" s="69">
        <f t="shared" ca="1" si="44"/>
        <v>1696.9225368002833</v>
      </c>
      <c r="V36" s="69">
        <f t="shared" ca="1" si="45"/>
        <v>1915.1116559058214</v>
      </c>
      <c r="W36" s="69">
        <f t="shared" ca="1" si="46"/>
        <v>1177.7721500035416</v>
      </c>
      <c r="X36" s="69">
        <f t="shared" ca="1" si="47"/>
        <v>1488.3770973970795</v>
      </c>
      <c r="Y36" s="69">
        <f t="shared" ca="1" si="48"/>
        <v>1214.3502010371105</v>
      </c>
      <c r="AA36" s="20">
        <f t="shared" ca="1" si="12"/>
        <v>6.5633647747575512E+16</v>
      </c>
      <c r="AB36" s="20">
        <f t="shared" ca="1" si="5"/>
        <v>1692078726647825.8</v>
      </c>
      <c r="AC36" s="20">
        <f t="shared" ca="1" si="6"/>
        <v>402781928852750.13</v>
      </c>
      <c r="AD36" s="20">
        <f t="shared" ca="1" si="7"/>
        <v>305367831228972.88</v>
      </c>
      <c r="AE36" s="20">
        <f t="shared" ca="1" si="8"/>
        <v>6917900725027277</v>
      </c>
      <c r="AG36" s="16">
        <f t="shared" ca="1" si="13"/>
        <v>2.3643398051749226E-4</v>
      </c>
      <c r="AH36" s="16">
        <f t="shared" ca="1" si="14"/>
        <v>-5.4226783239733263E-4</v>
      </c>
      <c r="AI36" s="16">
        <f t="shared" ca="1" si="15"/>
        <v>6.0574778230807315E-4</v>
      </c>
      <c r="AJ36" s="16">
        <f t="shared" ca="1" si="16"/>
        <v>-2.7062886914400359E-4</v>
      </c>
      <c r="AK36" s="16">
        <f t="shared" ca="1" si="17"/>
        <v>1.9524273176823429E-4</v>
      </c>
      <c r="AM36" s="16">
        <f t="shared" ca="1" si="18"/>
        <v>2.9285061284229199E-5</v>
      </c>
      <c r="AO36" s="16">
        <f t="shared" ca="1" si="19"/>
        <v>0</v>
      </c>
      <c r="AP36" s="16">
        <f t="shared" ca="1" si="20"/>
        <v>-5.4226783239733263E-4</v>
      </c>
      <c r="AQ36" s="16">
        <f t="shared" ca="1" si="21"/>
        <v>0</v>
      </c>
      <c r="AR36" s="16">
        <f t="shared" ca="1" si="22"/>
        <v>-2.7062886914400359E-4</v>
      </c>
      <c r="AS36" s="16">
        <f t="shared" ca="1" si="23"/>
        <v>0</v>
      </c>
    </row>
    <row r="37" spans="1:45" x14ac:dyDescent="0.25">
      <c r="A37" s="69">
        <f t="shared" ca="1" si="24"/>
        <v>2450.9414122726575</v>
      </c>
      <c r="B37" s="69">
        <f t="shared" ca="1" si="25"/>
        <v>2134.4548469140923</v>
      </c>
      <c r="C37" s="69">
        <f t="shared" ca="1" si="26"/>
        <v>2233.4133591448012</v>
      </c>
      <c r="D37" s="69">
        <f t="shared" ca="1" si="27"/>
        <v>2911.0638541016183</v>
      </c>
      <c r="E37" s="69">
        <f t="shared" ca="1" si="28"/>
        <v>1930.1385312420346</v>
      </c>
      <c r="F37" s="69">
        <f t="shared" ca="1" si="29"/>
        <v>1222.8071721474205</v>
      </c>
      <c r="G37" s="69">
        <f t="shared" ca="1" si="30"/>
        <v>963.844611325198</v>
      </c>
      <c r="H37" s="69">
        <f t="shared" ca="1" si="31"/>
        <v>1193.5819531472143</v>
      </c>
      <c r="I37" s="69">
        <f t="shared" ca="1" si="32"/>
        <v>1045.9231332816639</v>
      </c>
      <c r="J37" s="69">
        <f t="shared" ca="1" si="33"/>
        <v>1149.3916774925474</v>
      </c>
      <c r="K37" s="69">
        <f t="shared" ca="1" si="34"/>
        <v>1181.0508482465152</v>
      </c>
      <c r="L37" s="69">
        <f t="shared" ca="1" si="35"/>
        <v>956.02496121751767</v>
      </c>
      <c r="M37" s="69">
        <f t="shared" ca="1" si="36"/>
        <v>986.85680219665664</v>
      </c>
      <c r="N37" s="69">
        <f t="shared" ca="1" si="37"/>
        <v>572.96999199354809</v>
      </c>
      <c r="O37" s="69">
        <f t="shared" ca="1" si="38"/>
        <v>631.2613597530318</v>
      </c>
      <c r="P37" s="69">
        <f t="shared" ca="1" si="39"/>
        <v>725.08506319120477</v>
      </c>
      <c r="Q37" s="69">
        <f t="shared" ca="1" si="40"/>
        <v>953.22512585470417</v>
      </c>
      <c r="R37" s="69">
        <f t="shared" ca="1" si="41"/>
        <v>785.71344802946692</v>
      </c>
      <c r="S37" s="69">
        <f t="shared" ca="1" si="42"/>
        <v>698.65005760402676</v>
      </c>
      <c r="T37" s="69">
        <f t="shared" ca="1" si="43"/>
        <v>804.63223346657264</v>
      </c>
      <c r="U37" s="69">
        <f t="shared" ca="1" si="44"/>
        <v>1697.2538809371817</v>
      </c>
      <c r="V37" s="69">
        <f t="shared" ca="1" si="45"/>
        <v>1915.1116559058214</v>
      </c>
      <c r="W37" s="69">
        <f t="shared" ca="1" si="46"/>
        <v>1177.7721500035416</v>
      </c>
      <c r="X37" s="69">
        <f t="shared" ca="1" si="47"/>
        <v>1488.3770973970795</v>
      </c>
      <c r="Y37" s="69">
        <f t="shared" ca="1" si="48"/>
        <v>1214.3502010371105</v>
      </c>
      <c r="AA37" s="20">
        <f t="shared" ca="1" si="12"/>
        <v>6.5649167606807104E+16</v>
      </c>
      <c r="AB37" s="20">
        <f t="shared" ca="1" si="5"/>
        <v>1691161415521117.3</v>
      </c>
      <c r="AC37" s="20">
        <f t="shared" ca="1" si="6"/>
        <v>403025987024291.88</v>
      </c>
      <c r="AD37" s="20">
        <f t="shared" ca="1" si="7"/>
        <v>305285201059693.38</v>
      </c>
      <c r="AE37" s="20">
        <f t="shared" ca="1" si="8"/>
        <v>6919251526725748</v>
      </c>
      <c r="AG37" s="16">
        <f t="shared" ca="1" si="13"/>
        <v>3.6666207057152781E-4</v>
      </c>
      <c r="AH37" s="16">
        <f t="shared" ca="1" si="14"/>
        <v>-7.2702869834931642E-4</v>
      </c>
      <c r="AI37" s="16">
        <f t="shared" ca="1" si="15"/>
        <v>2.5739317235128236E-4</v>
      </c>
      <c r="AJ37" s="16">
        <f t="shared" ca="1" si="16"/>
        <v>7.98279979873598E-4</v>
      </c>
      <c r="AK37" s="16">
        <f t="shared" ca="1" si="17"/>
        <v>-5.6976034450049712E-6</v>
      </c>
      <c r="AM37" s="16">
        <f t="shared" ca="1" si="18"/>
        <v>6.9530652444709179E-4</v>
      </c>
      <c r="AO37" s="16">
        <f t="shared" ca="1" si="19"/>
        <v>0</v>
      </c>
      <c r="AP37" s="16">
        <f t="shared" ca="1" si="20"/>
        <v>-7.2702869834931642E-4</v>
      </c>
      <c r="AQ37" s="16">
        <f t="shared" ca="1" si="21"/>
        <v>0</v>
      </c>
      <c r="AR37" s="16">
        <f t="shared" ca="1" si="22"/>
        <v>0</v>
      </c>
      <c r="AS37" s="16">
        <f t="shared" ca="1" si="23"/>
        <v>-5.6976034450049712E-6</v>
      </c>
    </row>
    <row r="38" spans="1:45" x14ac:dyDescent="0.25">
      <c r="A38" s="69">
        <f t="shared" ca="1" si="24"/>
        <v>2450.9847048283546</v>
      </c>
      <c r="B38" s="69">
        <f t="shared" ca="1" si="25"/>
        <v>2134.7629298059419</v>
      </c>
      <c r="C38" s="69">
        <f t="shared" ca="1" si="26"/>
        <v>2233.4133591448012</v>
      </c>
      <c r="D38" s="69">
        <f t="shared" ca="1" si="27"/>
        <v>2911.0360211849679</v>
      </c>
      <c r="E38" s="69">
        <f t="shared" ca="1" si="28"/>
        <v>1930.5520732636849</v>
      </c>
      <c r="F38" s="69">
        <f t="shared" ca="1" si="29"/>
        <v>1222.8071721474205</v>
      </c>
      <c r="G38" s="69">
        <f t="shared" ca="1" si="30"/>
        <v>963.59498067605421</v>
      </c>
      <c r="H38" s="69">
        <f t="shared" ca="1" si="31"/>
        <v>1193.4536827093832</v>
      </c>
      <c r="I38" s="69">
        <f t="shared" ca="1" si="32"/>
        <v>1045.6669878443222</v>
      </c>
      <c r="J38" s="69">
        <f t="shared" ca="1" si="33"/>
        <v>1149.2588166819166</v>
      </c>
      <c r="K38" s="69">
        <f t="shared" ca="1" si="34"/>
        <v>1181.4896204325705</v>
      </c>
      <c r="L38" s="69">
        <f t="shared" ca="1" si="35"/>
        <v>955.98713162494846</v>
      </c>
      <c r="M38" s="69">
        <f t="shared" ca="1" si="36"/>
        <v>986.85680219665664</v>
      </c>
      <c r="N38" s="69">
        <f t="shared" ca="1" si="37"/>
        <v>572.92732028491446</v>
      </c>
      <c r="O38" s="69">
        <f t="shared" ca="1" si="38"/>
        <v>631.2613597530318</v>
      </c>
      <c r="P38" s="69">
        <f t="shared" ca="1" si="39"/>
        <v>725.08506319120477</v>
      </c>
      <c r="Q38" s="69">
        <f t="shared" ca="1" si="40"/>
        <v>953.22512585470417</v>
      </c>
      <c r="R38" s="69">
        <f t="shared" ca="1" si="41"/>
        <v>786.08214833741283</v>
      </c>
      <c r="S38" s="69">
        <f t="shared" ca="1" si="42"/>
        <v>698.78320468598531</v>
      </c>
      <c r="T38" s="69">
        <f t="shared" ca="1" si="43"/>
        <v>804.74374320231436</v>
      </c>
      <c r="U38" s="69">
        <f t="shared" ca="1" si="44"/>
        <v>1697.2538809371817</v>
      </c>
      <c r="V38" s="69">
        <f t="shared" ca="1" si="45"/>
        <v>1915.2873831212453</v>
      </c>
      <c r="W38" s="69">
        <f t="shared" ca="1" si="46"/>
        <v>1177.5103977668703</v>
      </c>
      <c r="X38" s="69">
        <f t="shared" ca="1" si="47"/>
        <v>1488.5628831958936</v>
      </c>
      <c r="Y38" s="69">
        <f t="shared" ca="1" si="48"/>
        <v>1214.3502010371105</v>
      </c>
      <c r="AA38" s="20">
        <f t="shared" ca="1" si="12"/>
        <v>6.5673243080044816E+16</v>
      </c>
      <c r="AB38" s="20">
        <f t="shared" ca="1" si="5"/>
        <v>1689932339479407.5</v>
      </c>
      <c r="AC38" s="20">
        <f t="shared" ca="1" si="6"/>
        <v>403129736513264.31</v>
      </c>
      <c r="AD38" s="20">
        <f t="shared" ca="1" si="7"/>
        <v>305529001421378.06</v>
      </c>
      <c r="AE38" s="20">
        <f t="shared" ca="1" si="8"/>
        <v>6919212103686721</v>
      </c>
      <c r="AG38" s="16">
        <f t="shared" ca="1" si="13"/>
        <v>7.3658114460916609E-6</v>
      </c>
      <c r="AH38" s="16">
        <f t="shared" ca="1" si="14"/>
        <v>8.3007728531205103E-4</v>
      </c>
      <c r="AI38" s="16">
        <f t="shared" ca="1" si="15"/>
        <v>-3.6174426455503982E-4</v>
      </c>
      <c r="AJ38" s="16">
        <f t="shared" ca="1" si="16"/>
        <v>7.4299391130292619E-4</v>
      </c>
      <c r="AK38" s="16">
        <f t="shared" ca="1" si="17"/>
        <v>-5.2833666282826695E-5</v>
      </c>
      <c r="AM38" s="16">
        <f t="shared" ca="1" si="18"/>
        <v>1.218692743506029E-3</v>
      </c>
      <c r="AO38" s="16">
        <f t="shared" ca="1" si="19"/>
        <v>0</v>
      </c>
      <c r="AP38" s="16">
        <f t="shared" ca="1" si="20"/>
        <v>0</v>
      </c>
      <c r="AQ38" s="16">
        <f t="shared" ca="1" si="21"/>
        <v>-3.6174426455503982E-4</v>
      </c>
      <c r="AR38" s="16">
        <f t="shared" ca="1" si="22"/>
        <v>0</v>
      </c>
      <c r="AS38" s="16">
        <f t="shared" ca="1" si="23"/>
        <v>-5.2833666282826695E-5</v>
      </c>
    </row>
    <row r="39" spans="1:45" x14ac:dyDescent="0.25">
      <c r="A39" s="69">
        <f t="shared" ca="1" si="24"/>
        <v>2450.9847048283546</v>
      </c>
      <c r="B39" s="69">
        <f t="shared" ca="1" si="25"/>
        <v>2134.7786541250757</v>
      </c>
      <c r="C39" s="69">
        <f t="shared" ca="1" si="26"/>
        <v>2233.4133591448012</v>
      </c>
      <c r="D39" s="69">
        <f t="shared" ca="1" si="27"/>
        <v>2911.0360211849679</v>
      </c>
      <c r="E39" s="69">
        <f t="shared" ca="1" si="28"/>
        <v>1930.5520732636849</v>
      </c>
      <c r="F39" s="69">
        <f t="shared" ca="1" si="29"/>
        <v>1222.8071721474205</v>
      </c>
      <c r="G39" s="69">
        <f t="shared" ca="1" si="30"/>
        <v>964.0399376269437</v>
      </c>
      <c r="H39" s="69">
        <f t="shared" ca="1" si="31"/>
        <v>1193.4536827093832</v>
      </c>
      <c r="I39" s="69">
        <f t="shared" ca="1" si="32"/>
        <v>1045.9980130629026</v>
      </c>
      <c r="J39" s="69">
        <f t="shared" ca="1" si="33"/>
        <v>1149.3184623091647</v>
      </c>
      <c r="K39" s="69">
        <f t="shared" ca="1" si="34"/>
        <v>1181.3919452308253</v>
      </c>
      <c r="L39" s="69">
        <f t="shared" ca="1" si="35"/>
        <v>955.98713162494846</v>
      </c>
      <c r="M39" s="69">
        <f t="shared" ca="1" si="36"/>
        <v>986.75451179692141</v>
      </c>
      <c r="N39" s="69">
        <f t="shared" ca="1" si="37"/>
        <v>572.49791182924071</v>
      </c>
      <c r="O39" s="69">
        <f t="shared" ca="1" si="38"/>
        <v>631.62404054146191</v>
      </c>
      <c r="P39" s="69">
        <f t="shared" ca="1" si="39"/>
        <v>725.08506319120477</v>
      </c>
      <c r="Q39" s="69">
        <f t="shared" ca="1" si="40"/>
        <v>953.22512585470417</v>
      </c>
      <c r="R39" s="69">
        <f t="shared" ca="1" si="41"/>
        <v>786.41625449246726</v>
      </c>
      <c r="S39" s="69">
        <f t="shared" ca="1" si="42"/>
        <v>698.84529541736231</v>
      </c>
      <c r="T39" s="69">
        <f t="shared" ca="1" si="43"/>
        <v>804.92821614249931</v>
      </c>
      <c r="U39" s="69">
        <f t="shared" ca="1" si="44"/>
        <v>1696.9518812850401</v>
      </c>
      <c r="V39" s="69">
        <f t="shared" ca="1" si="45"/>
        <v>1915.2873831212453</v>
      </c>
      <c r="W39" s="69">
        <f t="shared" ca="1" si="46"/>
        <v>1177.7104485339078</v>
      </c>
      <c r="X39" s="69">
        <f t="shared" ca="1" si="47"/>
        <v>1488.5628831958936</v>
      </c>
      <c r="Y39" s="69">
        <f t="shared" ca="1" si="48"/>
        <v>1214.2958453701413</v>
      </c>
      <c r="AA39" s="20">
        <f t="shared" ca="1" si="12"/>
        <v>6.567372681855196E+16</v>
      </c>
      <c r="AB39" s="20">
        <f t="shared" ca="1" si="5"/>
        <v>1691335696294852.3</v>
      </c>
      <c r="AC39" s="20">
        <f t="shared" ca="1" si="6"/>
        <v>402983933016588.38</v>
      </c>
      <c r="AD39" s="20">
        <f t="shared" ca="1" si="7"/>
        <v>305756091962158.25</v>
      </c>
      <c r="AE39" s="20">
        <f t="shared" ca="1" si="8"/>
        <v>6918846546000456</v>
      </c>
      <c r="AG39" s="16">
        <f t="shared" ca="1" si="13"/>
        <v>6.800478254274933E-6</v>
      </c>
      <c r="AH39" s="16">
        <f t="shared" ca="1" si="14"/>
        <v>6.0227646173740136E-4</v>
      </c>
      <c r="AI39" s="16">
        <f t="shared" ca="1" si="15"/>
        <v>1.6029048432350838E-4</v>
      </c>
      <c r="AJ39" s="16">
        <f t="shared" ca="1" si="16"/>
        <v>-8.1148706337427561E-4</v>
      </c>
      <c r="AK39" s="16">
        <f t="shared" ca="1" si="17"/>
        <v>-4.5847832879111159E-4</v>
      </c>
      <c r="AM39" s="16">
        <f t="shared" ca="1" si="18"/>
        <v>-4.2119639059090986E-5</v>
      </c>
      <c r="AO39" s="16">
        <f t="shared" ca="1" si="19"/>
        <v>0</v>
      </c>
      <c r="AP39" s="16">
        <f t="shared" ca="1" si="20"/>
        <v>0</v>
      </c>
      <c r="AQ39" s="16">
        <f t="shared" ca="1" si="21"/>
        <v>0</v>
      </c>
      <c r="AR39" s="16">
        <f t="shared" ca="1" si="22"/>
        <v>-8.1148706337427561E-4</v>
      </c>
      <c r="AS39" s="16">
        <f t="shared" ca="1" si="23"/>
        <v>-4.5847832879111159E-4</v>
      </c>
    </row>
    <row r="40" spans="1:45" x14ac:dyDescent="0.25">
      <c r="A40" s="69">
        <f t="shared" ca="1" si="24"/>
        <v>2451.2048223417482</v>
      </c>
      <c r="B40" s="69">
        <f t="shared" ca="1" si="25"/>
        <v>2134.7786541250757</v>
      </c>
      <c r="C40" s="69">
        <f t="shared" ca="1" si="26"/>
        <v>2233.3676498381951</v>
      </c>
      <c r="D40" s="69">
        <f t="shared" ca="1" si="27"/>
        <v>2911.1674384286271</v>
      </c>
      <c r="E40" s="69">
        <f t="shared" ca="1" si="28"/>
        <v>1930.3442017969082</v>
      </c>
      <c r="F40" s="69">
        <f t="shared" ca="1" si="29"/>
        <v>1222.6365593059188</v>
      </c>
      <c r="G40" s="69">
        <f t="shared" ca="1" si="30"/>
        <v>964.5163146751205</v>
      </c>
      <c r="H40" s="69">
        <f t="shared" ca="1" si="31"/>
        <v>1193.3198392181043</v>
      </c>
      <c r="I40" s="69">
        <f t="shared" ca="1" si="32"/>
        <v>1045.9980130629026</v>
      </c>
      <c r="J40" s="69">
        <f t="shared" ca="1" si="33"/>
        <v>1149.7322242198363</v>
      </c>
      <c r="K40" s="69">
        <f t="shared" ca="1" si="34"/>
        <v>1181.2642125471666</v>
      </c>
      <c r="L40" s="69">
        <f t="shared" ca="1" si="35"/>
        <v>955.90508959162935</v>
      </c>
      <c r="M40" s="69">
        <f t="shared" ca="1" si="36"/>
        <v>986.75451179692141</v>
      </c>
      <c r="N40" s="69">
        <f t="shared" ca="1" si="37"/>
        <v>572.70074923679988</v>
      </c>
      <c r="O40" s="69">
        <f t="shared" ca="1" si="38"/>
        <v>631.62404054146191</v>
      </c>
      <c r="P40" s="69">
        <f t="shared" ca="1" si="39"/>
        <v>724.67625857764699</v>
      </c>
      <c r="Q40" s="69">
        <f t="shared" ca="1" si="40"/>
        <v>953.20765608873307</v>
      </c>
      <c r="R40" s="69">
        <f t="shared" ca="1" si="41"/>
        <v>786.30260071510054</v>
      </c>
      <c r="S40" s="69">
        <f t="shared" ca="1" si="42"/>
        <v>698.84529541736231</v>
      </c>
      <c r="T40" s="69">
        <f t="shared" ca="1" si="43"/>
        <v>804.86006815550013</v>
      </c>
      <c r="U40" s="69">
        <f t="shared" ca="1" si="44"/>
        <v>1696.5323975909166</v>
      </c>
      <c r="V40" s="69">
        <f t="shared" ca="1" si="45"/>
        <v>1914.8828224926949</v>
      </c>
      <c r="W40" s="69">
        <f t="shared" ca="1" si="46"/>
        <v>1177.7104485339078</v>
      </c>
      <c r="X40" s="69">
        <f t="shared" ca="1" si="47"/>
        <v>1488.5628831958936</v>
      </c>
      <c r="Y40" s="69">
        <f t="shared" ca="1" si="48"/>
        <v>1214.2958453701413</v>
      </c>
      <c r="AA40" s="20">
        <f t="shared" ca="1" si="12"/>
        <v>6.5674173432821656E+16</v>
      </c>
      <c r="AB40" s="20">
        <f t="shared" ca="1" si="5"/>
        <v>1692354654790184.3</v>
      </c>
      <c r="AC40" s="20">
        <f t="shared" ca="1" si="6"/>
        <v>403048532683603.81</v>
      </c>
      <c r="AD40" s="20">
        <f t="shared" ca="1" si="7"/>
        <v>305508075493671.06</v>
      </c>
      <c r="AE40" s="20">
        <f t="shared" ca="1" si="8"/>
        <v>6915675131866763</v>
      </c>
      <c r="AG40" s="16">
        <f t="shared" ca="1" si="13"/>
        <v>2.2599100051280894E-4</v>
      </c>
      <c r="AH40" s="16">
        <f t="shared" ca="1" si="14"/>
        <v>4.2002323280820885E-4</v>
      </c>
      <c r="AI40" s="16">
        <f t="shared" ca="1" si="15"/>
        <v>-5.1976251284369579E-4</v>
      </c>
      <c r="AJ40" s="16">
        <f t="shared" ca="1" si="16"/>
        <v>-2.2167675614699465E-4</v>
      </c>
      <c r="AK40" s="16">
        <f t="shared" ca="1" si="17"/>
        <v>-6.0108262250869866E-5</v>
      </c>
      <c r="AM40" s="16">
        <f t="shared" ca="1" si="18"/>
        <v>-9.5425035669672675E-5</v>
      </c>
      <c r="AO40" s="16">
        <f t="shared" ca="1" si="19"/>
        <v>0</v>
      </c>
      <c r="AP40" s="16">
        <f t="shared" ca="1" si="20"/>
        <v>0</v>
      </c>
      <c r="AQ40" s="16">
        <f t="shared" ca="1" si="21"/>
        <v>-5.1976251284369579E-4</v>
      </c>
      <c r="AR40" s="16">
        <f t="shared" ca="1" si="22"/>
        <v>-2.2167675614699465E-4</v>
      </c>
      <c r="AS40" s="16">
        <f t="shared" ca="1" si="23"/>
        <v>-6.0108262250869866E-5</v>
      </c>
    </row>
    <row r="41" spans="1:45" x14ac:dyDescent="0.25">
      <c r="A41" s="69">
        <f t="shared" ca="1" si="24"/>
        <v>2451.4622825195579</v>
      </c>
      <c r="B41" s="69">
        <f t="shared" ca="1" si="25"/>
        <v>2134.7786541250757</v>
      </c>
      <c r="C41" s="69">
        <f t="shared" ca="1" si="26"/>
        <v>2233.2605022987259</v>
      </c>
      <c r="D41" s="69">
        <f t="shared" ca="1" si="27"/>
        <v>2911.1674384286271</v>
      </c>
      <c r="E41" s="69">
        <f t="shared" ca="1" si="28"/>
        <v>1930.6703403533604</v>
      </c>
      <c r="F41" s="69">
        <f t="shared" ca="1" si="29"/>
        <v>1222.7189079799809</v>
      </c>
      <c r="G41" s="69">
        <f t="shared" ca="1" si="30"/>
        <v>964.98660061949352</v>
      </c>
      <c r="H41" s="69">
        <f t="shared" ca="1" si="31"/>
        <v>1193.1589948859719</v>
      </c>
      <c r="I41" s="69">
        <f t="shared" ca="1" si="32"/>
        <v>1045.9980130629026</v>
      </c>
      <c r="J41" s="69">
        <f t="shared" ca="1" si="33"/>
        <v>1149.7322242198363</v>
      </c>
      <c r="K41" s="69">
        <f t="shared" ca="1" si="34"/>
        <v>1181.5939368511351</v>
      </c>
      <c r="L41" s="69">
        <f t="shared" ca="1" si="35"/>
        <v>955.90508959162935</v>
      </c>
      <c r="M41" s="69">
        <f t="shared" ca="1" si="36"/>
        <v>986.90657483245866</v>
      </c>
      <c r="N41" s="69">
        <f t="shared" ca="1" si="37"/>
        <v>572.59293156337958</v>
      </c>
      <c r="O41" s="69">
        <f t="shared" ca="1" si="38"/>
        <v>631.14124453531474</v>
      </c>
      <c r="P41" s="69">
        <f t="shared" ca="1" si="39"/>
        <v>724.67625857764699</v>
      </c>
      <c r="Q41" s="69">
        <f t="shared" ca="1" si="40"/>
        <v>953.07853330651187</v>
      </c>
      <c r="R41" s="69">
        <f t="shared" ca="1" si="41"/>
        <v>786.11100696554161</v>
      </c>
      <c r="S41" s="69">
        <f t="shared" ca="1" si="42"/>
        <v>699.24930200854567</v>
      </c>
      <c r="T41" s="69">
        <f t="shared" ca="1" si="43"/>
        <v>804.52173484445086</v>
      </c>
      <c r="U41" s="69">
        <f t="shared" ca="1" si="44"/>
        <v>1696.4429518061502</v>
      </c>
      <c r="V41" s="69">
        <f t="shared" ca="1" si="45"/>
        <v>1914.8828224926949</v>
      </c>
      <c r="W41" s="69">
        <f t="shared" ca="1" si="46"/>
        <v>1177.6526843504487</v>
      </c>
      <c r="X41" s="69">
        <f t="shared" ca="1" si="47"/>
        <v>1488.5628831958936</v>
      </c>
      <c r="Y41" s="69">
        <f t="shared" ca="1" si="48"/>
        <v>1214.3464399456034</v>
      </c>
      <c r="AA41" s="20">
        <f t="shared" ca="1" si="12"/>
        <v>6.56890168821634E+16</v>
      </c>
      <c r="AB41" s="20">
        <f t="shared" ca="1" si="5"/>
        <v>1693065632366444.8</v>
      </c>
      <c r="AC41" s="20">
        <f t="shared" ca="1" si="6"/>
        <v>402839097598426.25</v>
      </c>
      <c r="AD41" s="20">
        <f t="shared" ca="1" si="7"/>
        <v>305440358960386.94</v>
      </c>
      <c r="AE41" s="20">
        <f t="shared" ca="1" si="8"/>
        <v>6915259455145223</v>
      </c>
      <c r="AG41" s="16">
        <f t="shared" ca="1" si="13"/>
        <v>-1.5933284149796223E-4</v>
      </c>
      <c r="AH41" s="16">
        <f t="shared" ca="1" si="14"/>
        <v>-6.5987720104369743E-4</v>
      </c>
      <c r="AI41" s="16">
        <f t="shared" ca="1" si="15"/>
        <v>-3.5789035976637384E-4</v>
      </c>
      <c r="AJ41" s="16">
        <f t="shared" ca="1" si="16"/>
        <v>4.990881074310214E-4</v>
      </c>
      <c r="AK41" s="16">
        <f t="shared" ca="1" si="17"/>
        <v>-1.8483150636240821E-4</v>
      </c>
      <c r="AM41" s="16">
        <f t="shared" ca="1" si="18"/>
        <v>-6.7801229487701221E-4</v>
      </c>
      <c r="AO41" s="16">
        <f t="shared" ca="1" si="19"/>
        <v>-1.5933284149796223E-4</v>
      </c>
      <c r="AP41" s="16">
        <f t="shared" ca="1" si="20"/>
        <v>-6.5987720104369743E-4</v>
      </c>
      <c r="AQ41" s="16">
        <f t="shared" ca="1" si="21"/>
        <v>-3.5789035976637384E-4</v>
      </c>
      <c r="AR41" s="16">
        <f t="shared" ca="1" si="22"/>
        <v>0</v>
      </c>
      <c r="AS41" s="16">
        <f t="shared" ca="1" si="23"/>
        <v>-1.8483150636240821E-4</v>
      </c>
    </row>
    <row r="42" spans="1:45" x14ac:dyDescent="0.25">
      <c r="A42" s="69">
        <f t="shared" ca="1" si="24"/>
        <v>2451.0698559734728</v>
      </c>
      <c r="B42" s="69">
        <f t="shared" ca="1" si="25"/>
        <v>2134.7786541250757</v>
      </c>
      <c r="C42" s="69">
        <f t="shared" ca="1" si="26"/>
        <v>2233.2605022987259</v>
      </c>
      <c r="D42" s="69">
        <f t="shared" ca="1" si="27"/>
        <v>2911.169646637291</v>
      </c>
      <c r="E42" s="69">
        <f t="shared" ca="1" si="28"/>
        <v>1930.6703403533604</v>
      </c>
      <c r="F42" s="69">
        <f t="shared" ca="1" si="29"/>
        <v>1222.7189079799809</v>
      </c>
      <c r="G42" s="69">
        <f t="shared" ca="1" si="30"/>
        <v>964.6354676497516</v>
      </c>
      <c r="H42" s="69">
        <f t="shared" ca="1" si="31"/>
        <v>1192.8025522201831</v>
      </c>
      <c r="I42" s="69">
        <f t="shared" ca="1" si="32"/>
        <v>1045.6481061136369</v>
      </c>
      <c r="J42" s="69">
        <f t="shared" ca="1" si="33"/>
        <v>1150.1202338766568</v>
      </c>
      <c r="K42" s="69">
        <f t="shared" ca="1" si="34"/>
        <v>1181.5939368511351</v>
      </c>
      <c r="L42" s="69">
        <f t="shared" ca="1" si="35"/>
        <v>955.90508959162935</v>
      </c>
      <c r="M42" s="69">
        <f t="shared" ca="1" si="36"/>
        <v>986.55343368001229</v>
      </c>
      <c r="N42" s="69">
        <f t="shared" ca="1" si="37"/>
        <v>572.59293156337958</v>
      </c>
      <c r="O42" s="69">
        <f t="shared" ca="1" si="38"/>
        <v>631.14124453531474</v>
      </c>
      <c r="P42" s="69">
        <f t="shared" ca="1" si="39"/>
        <v>725.15859051378186</v>
      </c>
      <c r="Q42" s="69">
        <f t="shared" ca="1" si="40"/>
        <v>952.72967400927701</v>
      </c>
      <c r="R42" s="69">
        <f t="shared" ca="1" si="41"/>
        <v>786.36871075569684</v>
      </c>
      <c r="S42" s="69">
        <f t="shared" ca="1" si="42"/>
        <v>699.15984622078372</v>
      </c>
      <c r="T42" s="69">
        <f t="shared" ca="1" si="43"/>
        <v>804.52173484445086</v>
      </c>
      <c r="U42" s="69">
        <f t="shared" ca="1" si="44"/>
        <v>1696.3401198049933</v>
      </c>
      <c r="V42" s="69">
        <f t="shared" ca="1" si="45"/>
        <v>1915.0527113769438</v>
      </c>
      <c r="W42" s="69">
        <f t="shared" ca="1" si="46"/>
        <v>1177.6932230432403</v>
      </c>
      <c r="X42" s="69">
        <f t="shared" ca="1" si="47"/>
        <v>1488.5628831958936</v>
      </c>
      <c r="Y42" s="69">
        <f t="shared" ca="1" si="48"/>
        <v>1214.0461055263966</v>
      </c>
      <c r="AA42" s="20">
        <f t="shared" ca="1" si="12"/>
        <v>6.5678551298226112E+16</v>
      </c>
      <c r="AB42" s="20">
        <f t="shared" ca="1" si="5"/>
        <v>1691948785487198.3</v>
      </c>
      <c r="AC42" s="20">
        <f t="shared" ca="1" si="6"/>
        <v>402694951164706.88</v>
      </c>
      <c r="AD42" s="20">
        <f t="shared" ca="1" si="7"/>
        <v>305592838658310.38</v>
      </c>
      <c r="AE42" s="20">
        <f t="shared" ca="1" si="8"/>
        <v>6913981415437882</v>
      </c>
      <c r="AG42" s="16">
        <f t="shared" ca="1" si="13"/>
        <v>2.6612648560492524E-4</v>
      </c>
      <c r="AH42" s="16">
        <f t="shared" ca="1" si="14"/>
        <v>-5.5025513509253735E-4</v>
      </c>
      <c r="AI42" s="16">
        <f t="shared" ca="1" si="15"/>
        <v>-1.0092061398487454E-4</v>
      </c>
      <c r="AJ42" s="16">
        <f t="shared" ca="1" si="16"/>
        <v>5.7535541992349013E-4</v>
      </c>
      <c r="AK42" s="16">
        <f t="shared" ca="1" si="17"/>
        <v>1.4805284360233436E-4</v>
      </c>
      <c r="AM42" s="16">
        <f t="shared" ca="1" si="18"/>
        <v>1.9030615645100347E-4</v>
      </c>
      <c r="AO42" s="16">
        <f t="shared" ca="1" si="19"/>
        <v>0</v>
      </c>
      <c r="AP42" s="16">
        <f t="shared" ca="1" si="20"/>
        <v>-5.5025513509253735E-4</v>
      </c>
      <c r="AQ42" s="16">
        <f t="shared" ca="1" si="21"/>
        <v>-1.0092061398487454E-4</v>
      </c>
      <c r="AR42" s="16">
        <f t="shared" ca="1" si="22"/>
        <v>0</v>
      </c>
      <c r="AS42" s="16">
        <f t="shared" ca="1" si="23"/>
        <v>0</v>
      </c>
    </row>
    <row r="43" spans="1:45" x14ac:dyDescent="0.25">
      <c r="A43" s="69">
        <f t="shared" ca="1" si="24"/>
        <v>2451.0698559734728</v>
      </c>
      <c r="B43" s="69">
        <f t="shared" ca="1" si="25"/>
        <v>2134.7786541250757</v>
      </c>
      <c r="C43" s="69">
        <f t="shared" ca="1" si="26"/>
        <v>2233.2605022987259</v>
      </c>
      <c r="D43" s="69">
        <f t="shared" ca="1" si="27"/>
        <v>2911.4601232086052</v>
      </c>
      <c r="E43" s="69">
        <f t="shared" ca="1" si="28"/>
        <v>1930.9915368622126</v>
      </c>
      <c r="F43" s="69">
        <f t="shared" ca="1" si="29"/>
        <v>1222.7189079799809</v>
      </c>
      <c r="G43" s="69">
        <f t="shared" ca="1" si="30"/>
        <v>964.31626303366852</v>
      </c>
      <c r="H43" s="69">
        <f t="shared" ca="1" si="31"/>
        <v>1192.5410071878352</v>
      </c>
      <c r="I43" s="69">
        <f t="shared" ca="1" si="32"/>
        <v>1045.6481061136369</v>
      </c>
      <c r="J43" s="69">
        <f t="shared" ca="1" si="33"/>
        <v>1150.1202338766568</v>
      </c>
      <c r="K43" s="69">
        <f t="shared" ca="1" si="34"/>
        <v>1181.5939368511351</v>
      </c>
      <c r="L43" s="69">
        <f t="shared" ca="1" si="35"/>
        <v>956.1042221601823</v>
      </c>
      <c r="M43" s="69">
        <f t="shared" ca="1" si="36"/>
        <v>986.99183158130495</v>
      </c>
      <c r="N43" s="69">
        <f t="shared" ca="1" si="37"/>
        <v>572.2563368276567</v>
      </c>
      <c r="O43" s="69">
        <f t="shared" ca="1" si="38"/>
        <v>631.03681449259159</v>
      </c>
      <c r="P43" s="69">
        <f t="shared" ca="1" si="39"/>
        <v>725.46279008480462</v>
      </c>
      <c r="Q43" s="69">
        <f t="shared" ca="1" si="40"/>
        <v>952.72464306921074</v>
      </c>
      <c r="R43" s="69">
        <f t="shared" ca="1" si="41"/>
        <v>786.36871075569684</v>
      </c>
      <c r="S43" s="69">
        <f t="shared" ca="1" si="42"/>
        <v>699.15984622078372</v>
      </c>
      <c r="T43" s="69">
        <f t="shared" ca="1" si="43"/>
        <v>804.65145841964897</v>
      </c>
      <c r="U43" s="69">
        <f t="shared" ca="1" si="44"/>
        <v>1696.3401198049933</v>
      </c>
      <c r="V43" s="69">
        <f t="shared" ca="1" si="45"/>
        <v>1915.4348750082797</v>
      </c>
      <c r="W43" s="69">
        <f t="shared" ca="1" si="46"/>
        <v>1177.7380154662824</v>
      </c>
      <c r="X43" s="69">
        <f t="shared" ca="1" si="47"/>
        <v>1488.4296355141043</v>
      </c>
      <c r="Y43" s="69">
        <f t="shared" ca="1" si="48"/>
        <v>1214.0461055263966</v>
      </c>
      <c r="AA43" s="20">
        <f t="shared" ca="1" si="12"/>
        <v>6.5696032426255144E+16</v>
      </c>
      <c r="AB43" s="20">
        <f t="shared" ca="1" si="5"/>
        <v>1691018038077425.5</v>
      </c>
      <c r="AC43" s="20">
        <f t="shared" ca="1" si="6"/>
        <v>402654312993635.81</v>
      </c>
      <c r="AD43" s="20">
        <f t="shared" ca="1" si="7"/>
        <v>305768713744812.63</v>
      </c>
      <c r="AE43" s="20">
        <f t="shared" ca="1" si="8"/>
        <v>6915005125826799</v>
      </c>
      <c r="AG43" s="16">
        <f t="shared" ca="1" si="13"/>
        <v>-1.2064204692625853E-4</v>
      </c>
      <c r="AH43" s="16">
        <f t="shared" ca="1" si="14"/>
        <v>-5.1195614545761616E-4</v>
      </c>
      <c r="AI43" s="16">
        <f t="shared" ca="1" si="15"/>
        <v>-1.6452173605808614E-4</v>
      </c>
      <c r="AJ43" s="16">
        <f t="shared" ca="1" si="16"/>
        <v>1.2493724591897829E-3</v>
      </c>
      <c r="AK43" s="16">
        <f t="shared" ca="1" si="17"/>
        <v>-1.4108598707059027E-4</v>
      </c>
      <c r="AM43" s="16">
        <f t="shared" ca="1" si="18"/>
        <v>4.5225253074782199E-4</v>
      </c>
      <c r="AO43" s="16">
        <f t="shared" ca="1" si="19"/>
        <v>-1.2064204692625853E-4</v>
      </c>
      <c r="AP43" s="16">
        <f t="shared" ca="1" si="20"/>
        <v>-5.1195614545761616E-4</v>
      </c>
      <c r="AQ43" s="16">
        <f t="shared" ca="1" si="21"/>
        <v>-1.6452173605808614E-4</v>
      </c>
      <c r="AR43" s="16">
        <f t="shared" ca="1" si="22"/>
        <v>0</v>
      </c>
      <c r="AS43" s="16">
        <f t="shared" ca="1" si="23"/>
        <v>-1.4108598707059027E-4</v>
      </c>
    </row>
    <row r="44" spans="1:45" x14ac:dyDescent="0.25">
      <c r="A44" s="69">
        <f t="shared" ca="1" si="24"/>
        <v>2451.0698559734728</v>
      </c>
      <c r="B44" s="69">
        <f t="shared" ca="1" si="25"/>
        <v>2134.5211255932049</v>
      </c>
      <c r="C44" s="69">
        <f t="shared" ca="1" si="26"/>
        <v>2233.2605022987259</v>
      </c>
      <c r="D44" s="69">
        <f t="shared" ca="1" si="27"/>
        <v>2911.4601232086052</v>
      </c>
      <c r="E44" s="69">
        <f t="shared" ca="1" si="28"/>
        <v>1930.9915368622126</v>
      </c>
      <c r="F44" s="69">
        <f t="shared" ca="1" si="29"/>
        <v>1222.7039862626636</v>
      </c>
      <c r="G44" s="69">
        <f t="shared" ca="1" si="30"/>
        <v>963.83446411273906</v>
      </c>
      <c r="H44" s="69">
        <f t="shared" ca="1" si="31"/>
        <v>1192.5410071878352</v>
      </c>
      <c r="I44" s="69">
        <f t="shared" ca="1" si="32"/>
        <v>1045.6481061136369</v>
      </c>
      <c r="J44" s="69">
        <f t="shared" ca="1" si="33"/>
        <v>1150.1202338766568</v>
      </c>
      <c r="K44" s="69">
        <f t="shared" ca="1" si="34"/>
        <v>1181.5939368511351</v>
      </c>
      <c r="L44" s="69">
        <f t="shared" ca="1" si="35"/>
        <v>955.91612654227151</v>
      </c>
      <c r="M44" s="69">
        <f t="shared" ca="1" si="36"/>
        <v>986.99183158130495</v>
      </c>
      <c r="N44" s="69">
        <f t="shared" ca="1" si="37"/>
        <v>572.2563368276567</v>
      </c>
      <c r="O44" s="69">
        <f t="shared" ca="1" si="38"/>
        <v>631.05715244841576</v>
      </c>
      <c r="P44" s="69">
        <f t="shared" ca="1" si="39"/>
        <v>725.46279008480462</v>
      </c>
      <c r="Q44" s="69">
        <f t="shared" ca="1" si="40"/>
        <v>952.72464306921074</v>
      </c>
      <c r="R44" s="69">
        <f t="shared" ca="1" si="41"/>
        <v>786.48378502262324</v>
      </c>
      <c r="S44" s="69">
        <f t="shared" ca="1" si="42"/>
        <v>699.55954038840684</v>
      </c>
      <c r="T44" s="69">
        <f t="shared" ca="1" si="43"/>
        <v>805.07927045260908</v>
      </c>
      <c r="U44" s="69">
        <f t="shared" ca="1" si="44"/>
        <v>1696.3401198049933</v>
      </c>
      <c r="V44" s="69">
        <f t="shared" ca="1" si="45"/>
        <v>1915.4348750082797</v>
      </c>
      <c r="W44" s="69">
        <f t="shared" ca="1" si="46"/>
        <v>1177.7380154662824</v>
      </c>
      <c r="X44" s="69">
        <f t="shared" ca="1" si="47"/>
        <v>1488.7575707670067</v>
      </c>
      <c r="Y44" s="69">
        <f t="shared" ca="1" si="48"/>
        <v>1213.6074471062636</v>
      </c>
      <c r="AA44" s="20">
        <f t="shared" ca="1" si="12"/>
        <v>6.5688107200495648E+16</v>
      </c>
      <c r="AB44" s="20">
        <f t="shared" ca="1" si="5"/>
        <v>1690152532570087.8</v>
      </c>
      <c r="AC44" s="20">
        <f t="shared" ca="1" si="6"/>
        <v>402588073056135</v>
      </c>
      <c r="AD44" s="20">
        <f t="shared" ca="1" si="7"/>
        <v>306150971496077.44</v>
      </c>
      <c r="AE44" s="20">
        <f t="shared" ca="1" si="8"/>
        <v>6914029584322260</v>
      </c>
      <c r="AG44" s="16">
        <f t="shared" ca="1" si="13"/>
        <v>1.8529191945756789E-4</v>
      </c>
      <c r="AH44" s="16">
        <f t="shared" ca="1" si="14"/>
        <v>-6.4015451907496388E-4</v>
      </c>
      <c r="AI44" s="16">
        <f t="shared" ca="1" si="15"/>
        <v>-5.0075808832540788E-4</v>
      </c>
      <c r="AJ44" s="16">
        <f t="shared" ca="1" si="16"/>
        <v>5.3346949262074981E-4</v>
      </c>
      <c r="AK44" s="16">
        <f t="shared" ca="1" si="17"/>
        <v>-3.9905980821776198E-4</v>
      </c>
      <c r="AM44" s="16">
        <f t="shared" ca="1" si="18"/>
        <v>-4.2215119532205405E-4</v>
      </c>
      <c r="AO44" s="16">
        <f t="shared" ca="1" si="19"/>
        <v>0</v>
      </c>
      <c r="AP44" s="16">
        <f t="shared" ca="1" si="20"/>
        <v>-6.4015451907496388E-4</v>
      </c>
      <c r="AQ44" s="16">
        <f t="shared" ca="1" si="21"/>
        <v>-5.0075808832540788E-4</v>
      </c>
      <c r="AR44" s="16">
        <f t="shared" ca="1" si="22"/>
        <v>0</v>
      </c>
      <c r="AS44" s="16">
        <f t="shared" ca="1" si="23"/>
        <v>-3.9905980821776198E-4</v>
      </c>
    </row>
    <row r="45" spans="1:45" x14ac:dyDescent="0.25">
      <c r="A45" s="69">
        <f t="shared" ca="1" si="24"/>
        <v>2451.4853978844917</v>
      </c>
      <c r="B45" s="69">
        <f t="shared" ca="1" si="25"/>
        <v>2134.5211255932049</v>
      </c>
      <c r="C45" s="69">
        <f t="shared" ca="1" si="26"/>
        <v>2233.2605022987259</v>
      </c>
      <c r="D45" s="69">
        <f t="shared" ca="1" si="27"/>
        <v>2911.4601232086052</v>
      </c>
      <c r="E45" s="69">
        <f t="shared" ca="1" si="28"/>
        <v>1931.0219914986801</v>
      </c>
      <c r="F45" s="69">
        <f t="shared" ca="1" si="29"/>
        <v>1222.5530874827111</v>
      </c>
      <c r="G45" s="69">
        <f t="shared" ca="1" si="30"/>
        <v>963.84848106348375</v>
      </c>
      <c r="H45" s="69">
        <f t="shared" ca="1" si="31"/>
        <v>1192.0579340950919</v>
      </c>
      <c r="I45" s="69">
        <f t="shared" ca="1" si="32"/>
        <v>1045.6353999812884</v>
      </c>
      <c r="J45" s="69">
        <f t="shared" ca="1" si="33"/>
        <v>1149.9891698307583</v>
      </c>
      <c r="K45" s="69">
        <f t="shared" ca="1" si="34"/>
        <v>1181.3570521198087</v>
      </c>
      <c r="L45" s="69">
        <f t="shared" ca="1" si="35"/>
        <v>955.91612654227151</v>
      </c>
      <c r="M45" s="69">
        <f t="shared" ca="1" si="36"/>
        <v>986.99183158130495</v>
      </c>
      <c r="N45" s="69">
        <f t="shared" ca="1" si="37"/>
        <v>572.40755432960873</v>
      </c>
      <c r="O45" s="69">
        <f t="shared" ca="1" si="38"/>
        <v>630.70103889968777</v>
      </c>
      <c r="P45" s="69">
        <f t="shared" ca="1" si="39"/>
        <v>725.77523016889404</v>
      </c>
      <c r="Q45" s="69">
        <f t="shared" ca="1" si="40"/>
        <v>953.03989536840038</v>
      </c>
      <c r="R45" s="69">
        <f t="shared" ca="1" si="41"/>
        <v>786.89456139007871</v>
      </c>
      <c r="S45" s="69">
        <f t="shared" ca="1" si="42"/>
        <v>699.2299986542464</v>
      </c>
      <c r="T45" s="69">
        <f t="shared" ca="1" si="43"/>
        <v>804.85473891216793</v>
      </c>
      <c r="U45" s="69">
        <f t="shared" ca="1" si="44"/>
        <v>1695.9272118043323</v>
      </c>
      <c r="V45" s="69">
        <f t="shared" ca="1" si="45"/>
        <v>1915.4067319575183</v>
      </c>
      <c r="W45" s="69">
        <f t="shared" ca="1" si="46"/>
        <v>1177.7380154662824</v>
      </c>
      <c r="X45" s="69">
        <f t="shared" ca="1" si="47"/>
        <v>1488.7575707670067</v>
      </c>
      <c r="Y45" s="69">
        <f t="shared" ca="1" si="48"/>
        <v>1213.4364300642383</v>
      </c>
      <c r="AA45" s="20">
        <f t="shared" ca="1" si="12"/>
        <v>6.570027980367204E+16</v>
      </c>
      <c r="AB45" s="20">
        <f t="shared" ca="1" si="5"/>
        <v>1689070920024953.3</v>
      </c>
      <c r="AC45" s="20">
        <f t="shared" ca="1" si="6"/>
        <v>402386524290087.88</v>
      </c>
      <c r="AD45" s="20">
        <f t="shared" ca="1" si="7"/>
        <v>306314337270961</v>
      </c>
      <c r="AE45" s="20">
        <f t="shared" ca="1" si="8"/>
        <v>6911271023454322</v>
      </c>
      <c r="AG45" s="16">
        <f t="shared" ca="1" si="13"/>
        <v>-4.6376658808672998E-4</v>
      </c>
      <c r="AH45" s="16">
        <f t="shared" ca="1" si="14"/>
        <v>-8.4746608991337886E-5</v>
      </c>
      <c r="AI45" s="16">
        <f t="shared" ca="1" si="15"/>
        <v>1.1339762074831089E-3</v>
      </c>
      <c r="AJ45" s="16">
        <f t="shared" ca="1" si="16"/>
        <v>5.7325427463776114E-4</v>
      </c>
      <c r="AK45" s="16">
        <f t="shared" ca="1" si="17"/>
        <v>8.462163989145806E-5</v>
      </c>
      <c r="AM45" s="16">
        <f t="shared" ca="1" si="18"/>
        <v>1.1587172850428022E-3</v>
      </c>
      <c r="AO45" s="16">
        <f t="shared" ca="1" si="19"/>
        <v>-4.6376658808672998E-4</v>
      </c>
      <c r="AP45" s="16">
        <f t="shared" ca="1" si="20"/>
        <v>-8.4746608991337886E-5</v>
      </c>
      <c r="AQ45" s="16">
        <f t="shared" ca="1" si="21"/>
        <v>0</v>
      </c>
      <c r="AR45" s="16">
        <f t="shared" ca="1" si="22"/>
        <v>0</v>
      </c>
      <c r="AS45" s="16">
        <f t="shared" ca="1" si="23"/>
        <v>0</v>
      </c>
    </row>
    <row r="46" spans="1:45" x14ac:dyDescent="0.25">
      <c r="A46" s="69">
        <f t="shared" ca="1" si="24"/>
        <v>2451.0703582338838</v>
      </c>
      <c r="B46" s="69">
        <f t="shared" ca="1" si="25"/>
        <v>2134.2590520662857</v>
      </c>
      <c r="C46" s="69">
        <f t="shared" ca="1" si="26"/>
        <v>2233.0052831053968</v>
      </c>
      <c r="D46" s="69">
        <f t="shared" ca="1" si="27"/>
        <v>2911.2751129254611</v>
      </c>
      <c r="E46" s="69">
        <f t="shared" ca="1" si="28"/>
        <v>1931.0339064083403</v>
      </c>
      <c r="F46" s="69">
        <f t="shared" ca="1" si="29"/>
        <v>1222.6555647816895</v>
      </c>
      <c r="G46" s="69">
        <f t="shared" ca="1" si="30"/>
        <v>963.85516884306094</v>
      </c>
      <c r="H46" s="69">
        <f t="shared" ca="1" si="31"/>
        <v>1191.6850593216782</v>
      </c>
      <c r="I46" s="69">
        <f t="shared" ca="1" si="32"/>
        <v>1045.7790216670835</v>
      </c>
      <c r="J46" s="69">
        <f t="shared" ca="1" si="33"/>
        <v>1149.9891698307583</v>
      </c>
      <c r="K46" s="69">
        <f t="shared" ca="1" si="34"/>
        <v>1181.0645441242498</v>
      </c>
      <c r="L46" s="69">
        <f t="shared" ca="1" si="35"/>
        <v>956.41403936641348</v>
      </c>
      <c r="M46" s="69">
        <f t="shared" ca="1" si="36"/>
        <v>987.05315906177839</v>
      </c>
      <c r="N46" s="69">
        <f t="shared" ca="1" si="37"/>
        <v>572.52066618370259</v>
      </c>
      <c r="O46" s="69">
        <f t="shared" ca="1" si="38"/>
        <v>631.08029839640585</v>
      </c>
      <c r="P46" s="69">
        <f t="shared" ca="1" si="39"/>
        <v>725.77523016889404</v>
      </c>
      <c r="Q46" s="69">
        <f t="shared" ca="1" si="40"/>
        <v>953.03989536840038</v>
      </c>
      <c r="R46" s="69">
        <f t="shared" ca="1" si="41"/>
        <v>786.89456139007871</v>
      </c>
      <c r="S46" s="69">
        <f t="shared" ca="1" si="42"/>
        <v>699.50266524707411</v>
      </c>
      <c r="T46" s="69">
        <f t="shared" ca="1" si="43"/>
        <v>805.00234480306278</v>
      </c>
      <c r="U46" s="69">
        <f t="shared" ca="1" si="44"/>
        <v>1695.9272118043323</v>
      </c>
      <c r="V46" s="69">
        <f t="shared" ca="1" si="45"/>
        <v>1915.0604067728714</v>
      </c>
      <c r="W46" s="69">
        <f t="shared" ca="1" si="46"/>
        <v>1177.5855267436921</v>
      </c>
      <c r="X46" s="69">
        <f t="shared" ca="1" si="47"/>
        <v>1488.7575707670067</v>
      </c>
      <c r="Y46" s="69">
        <f t="shared" ca="1" si="48"/>
        <v>1213.9157502590199</v>
      </c>
      <c r="AA46" s="20">
        <f t="shared" ca="1" si="12"/>
        <v>6.5669817273369008E+16</v>
      </c>
      <c r="AB46" s="20">
        <f t="shared" ca="1" si="5"/>
        <v>1688927783057407.3</v>
      </c>
      <c r="AC46" s="20">
        <f t="shared" ca="1" si="6"/>
        <v>402843079847490.63</v>
      </c>
      <c r="AD46" s="20">
        <f t="shared" ca="1" si="7"/>
        <v>306489983614382.94</v>
      </c>
      <c r="AE46" s="20">
        <f t="shared" ca="1" si="8"/>
        <v>6911855891287950</v>
      </c>
      <c r="AG46" s="16">
        <f t="shared" ca="1" si="13"/>
        <v>4.0617957827996023E-5</v>
      </c>
      <c r="AH46" s="16">
        <f t="shared" ca="1" si="14"/>
        <v>2.1870483960400463E-4</v>
      </c>
      <c r="AI46" s="16">
        <f t="shared" ca="1" si="15"/>
        <v>-2.5894616908767656E-4</v>
      </c>
      <c r="AJ46" s="16">
        <f t="shared" ca="1" si="16"/>
        <v>-2.5282399705952311E-4</v>
      </c>
      <c r="AK46" s="16">
        <f t="shared" ca="1" si="17"/>
        <v>-4.4705505299528234E-4</v>
      </c>
      <c r="AM46" s="16">
        <f t="shared" ca="1" si="18"/>
        <v>-2.5244736871519899E-4</v>
      </c>
      <c r="AO46" s="16">
        <f t="shared" ca="1" si="19"/>
        <v>0</v>
      </c>
      <c r="AP46" s="16">
        <f t="shared" ca="1" si="20"/>
        <v>0</v>
      </c>
      <c r="AQ46" s="16">
        <f t="shared" ca="1" si="21"/>
        <v>-2.5894616908767656E-4</v>
      </c>
      <c r="AR46" s="16">
        <f t="shared" ca="1" si="22"/>
        <v>-2.5282399705952311E-4</v>
      </c>
      <c r="AS46" s="16">
        <f t="shared" ca="1" si="23"/>
        <v>-4.4705505299528234E-4</v>
      </c>
    </row>
    <row r="47" spans="1:45" x14ac:dyDescent="0.25">
      <c r="A47" s="69">
        <f t="shared" ca="1" si="24"/>
        <v>2451.0703582338838</v>
      </c>
      <c r="B47" s="69">
        <f t="shared" ca="1" si="25"/>
        <v>2134.3402223474181</v>
      </c>
      <c r="C47" s="69">
        <f t="shared" ca="1" si="26"/>
        <v>2233.0052831053968</v>
      </c>
      <c r="D47" s="69">
        <f t="shared" ca="1" si="27"/>
        <v>2911.2826432831557</v>
      </c>
      <c r="E47" s="69">
        <f t="shared" ca="1" si="28"/>
        <v>1931.0339064083403</v>
      </c>
      <c r="F47" s="69">
        <f t="shared" ca="1" si="29"/>
        <v>1222.4968772541467</v>
      </c>
      <c r="G47" s="69">
        <f t="shared" ca="1" si="30"/>
        <v>963.85516884306094</v>
      </c>
      <c r="H47" s="69">
        <f t="shared" ca="1" si="31"/>
        <v>1191.5988756438567</v>
      </c>
      <c r="I47" s="69">
        <f t="shared" ca="1" si="32"/>
        <v>1046.2192052438145</v>
      </c>
      <c r="J47" s="69">
        <f t="shared" ca="1" si="33"/>
        <v>1149.9891698307583</v>
      </c>
      <c r="K47" s="69">
        <f t="shared" ca="1" si="34"/>
        <v>1180.6008147951677</v>
      </c>
      <c r="L47" s="69">
        <f t="shared" ca="1" si="35"/>
        <v>956.84632600860641</v>
      </c>
      <c r="M47" s="69">
        <f t="shared" ca="1" si="36"/>
        <v>987.52175433967602</v>
      </c>
      <c r="N47" s="69">
        <f t="shared" ca="1" si="37"/>
        <v>572.06698247017619</v>
      </c>
      <c r="O47" s="69">
        <f t="shared" ca="1" si="38"/>
        <v>631.08029839640585</v>
      </c>
      <c r="P47" s="69">
        <f t="shared" ca="1" si="39"/>
        <v>725.79481642953226</v>
      </c>
      <c r="Q47" s="69">
        <f t="shared" ca="1" si="40"/>
        <v>952.64233302297453</v>
      </c>
      <c r="R47" s="69">
        <f t="shared" ca="1" si="41"/>
        <v>786.9748976915364</v>
      </c>
      <c r="S47" s="69">
        <f t="shared" ca="1" si="42"/>
        <v>699.52738676074455</v>
      </c>
      <c r="T47" s="69">
        <f t="shared" ca="1" si="43"/>
        <v>805.00234480306278</v>
      </c>
      <c r="U47" s="69">
        <f t="shared" ca="1" si="44"/>
        <v>1695.5921708837066</v>
      </c>
      <c r="V47" s="69">
        <f t="shared" ca="1" si="45"/>
        <v>1915.0604067728714</v>
      </c>
      <c r="W47" s="69">
        <f t="shared" ca="1" si="46"/>
        <v>1177.8354460264229</v>
      </c>
      <c r="X47" s="69">
        <f t="shared" ca="1" si="47"/>
        <v>1488.3737116740087</v>
      </c>
      <c r="Y47" s="69">
        <f t="shared" ca="1" si="48"/>
        <v>1213.6683608780961</v>
      </c>
      <c r="AA47" s="20">
        <f t="shared" ca="1" si="12"/>
        <v>6.5672484701409968E+16</v>
      </c>
      <c r="AB47" s="20">
        <f t="shared" ca="1" si="5"/>
        <v>1689297200132482</v>
      </c>
      <c r="AC47" s="20">
        <f t="shared" ca="1" si="6"/>
        <v>402738778679997.31</v>
      </c>
      <c r="AD47" s="20">
        <f t="shared" ca="1" si="7"/>
        <v>306412505386257.19</v>
      </c>
      <c r="AE47" s="20">
        <f t="shared" ca="1" si="8"/>
        <v>6908766601778869</v>
      </c>
      <c r="AG47" s="16">
        <f t="shared" ca="1" si="13"/>
        <v>5.2054881475453729E-4</v>
      </c>
      <c r="AH47" s="16">
        <f t="shared" ca="1" si="14"/>
        <v>-2.9871846560147416E-4</v>
      </c>
      <c r="AI47" s="16">
        <f t="shared" ca="1" si="15"/>
        <v>8.9048547196030959E-4</v>
      </c>
      <c r="AJ47" s="16">
        <f t="shared" ca="1" si="16"/>
        <v>3.3223590200745929E-4</v>
      </c>
      <c r="AK47" s="16">
        <f t="shared" ca="1" si="17"/>
        <v>-1.7231312830002292E-4</v>
      </c>
      <c r="AM47" s="16">
        <f t="shared" ca="1" si="18"/>
        <v>1.444551723120832E-3</v>
      </c>
      <c r="AO47" s="16">
        <f t="shared" ca="1" si="19"/>
        <v>0</v>
      </c>
      <c r="AP47" s="16">
        <f t="shared" ca="1" si="20"/>
        <v>-2.9871846560147416E-4</v>
      </c>
      <c r="AQ47" s="16">
        <f t="shared" ca="1" si="21"/>
        <v>0</v>
      </c>
      <c r="AR47" s="16">
        <f t="shared" ca="1" si="22"/>
        <v>0</v>
      </c>
      <c r="AS47" s="16">
        <f t="shared" ca="1" si="23"/>
        <v>-1.7231312830002292E-4</v>
      </c>
    </row>
    <row r="48" spans="1:45" x14ac:dyDescent="0.25">
      <c r="A48" s="69">
        <f t="shared" ca="1" si="24"/>
        <v>2451.4697322211914</v>
      </c>
      <c r="B48" s="69">
        <f t="shared" ca="1" si="25"/>
        <v>2134.4919126561654</v>
      </c>
      <c r="C48" s="69">
        <f t="shared" ca="1" si="26"/>
        <v>2233.4852630642386</v>
      </c>
      <c r="D48" s="69">
        <f t="shared" ca="1" si="27"/>
        <v>2911.4598212859696</v>
      </c>
      <c r="E48" s="69">
        <f t="shared" ca="1" si="28"/>
        <v>1931.0547087947309</v>
      </c>
      <c r="F48" s="69">
        <f t="shared" ca="1" si="29"/>
        <v>1222.3723110268468</v>
      </c>
      <c r="G48" s="69">
        <f t="shared" ca="1" si="30"/>
        <v>963.82008808100682</v>
      </c>
      <c r="H48" s="69">
        <f t="shared" ca="1" si="31"/>
        <v>1191.468766945462</v>
      </c>
      <c r="I48" s="69">
        <f t="shared" ca="1" si="32"/>
        <v>1046.1656118519759</v>
      </c>
      <c r="J48" s="69">
        <f t="shared" ca="1" si="33"/>
        <v>1149.9891698307583</v>
      </c>
      <c r="K48" s="69">
        <f t="shared" ca="1" si="34"/>
        <v>1180.4482246137534</v>
      </c>
      <c r="L48" s="69">
        <f t="shared" ca="1" si="35"/>
        <v>956.84632600860641</v>
      </c>
      <c r="M48" s="69">
        <f t="shared" ca="1" si="36"/>
        <v>987.52175433967602</v>
      </c>
      <c r="N48" s="69">
        <f t="shared" ca="1" si="37"/>
        <v>572.29336126162207</v>
      </c>
      <c r="O48" s="69">
        <f t="shared" ca="1" si="38"/>
        <v>631.47427805211805</v>
      </c>
      <c r="P48" s="69">
        <f t="shared" ca="1" si="39"/>
        <v>725.79481642953226</v>
      </c>
      <c r="Q48" s="69">
        <f t="shared" ca="1" si="40"/>
        <v>953.01291066500187</v>
      </c>
      <c r="R48" s="69">
        <f t="shared" ca="1" si="41"/>
        <v>786.57832998474612</v>
      </c>
      <c r="S48" s="69">
        <f t="shared" ca="1" si="42"/>
        <v>699.52738676074455</v>
      </c>
      <c r="T48" s="69">
        <f t="shared" ca="1" si="43"/>
        <v>805.36254544690973</v>
      </c>
      <c r="U48" s="69">
        <f t="shared" ca="1" si="44"/>
        <v>1695.2434080815256</v>
      </c>
      <c r="V48" s="69">
        <f t="shared" ca="1" si="45"/>
        <v>1915.0604067728714</v>
      </c>
      <c r="W48" s="69">
        <f t="shared" ca="1" si="46"/>
        <v>1177.7705379468582</v>
      </c>
      <c r="X48" s="69">
        <f t="shared" ca="1" si="47"/>
        <v>1488.3737116740087</v>
      </c>
      <c r="Y48" s="69">
        <f t="shared" ca="1" si="48"/>
        <v>1213.7757818204479</v>
      </c>
      <c r="AA48" s="20">
        <f t="shared" ca="1" si="12"/>
        <v>6.570667933469904E+16</v>
      </c>
      <c r="AB48" s="20">
        <f t="shared" ca="1" si="5"/>
        <v>1688792651227702.8</v>
      </c>
      <c r="AC48" s="20">
        <f t="shared" ca="1" si="6"/>
        <v>403097571437566.75</v>
      </c>
      <c r="AD48" s="20">
        <f t="shared" ca="1" si="7"/>
        <v>306514323534256.13</v>
      </c>
      <c r="AE48" s="20">
        <f t="shared" ca="1" si="8"/>
        <v>6907576233154038</v>
      </c>
      <c r="AG48" s="16">
        <f t="shared" ca="1" si="13"/>
        <v>-2.2557053739452287E-4</v>
      </c>
      <c r="AH48" s="16">
        <f t="shared" ca="1" si="14"/>
        <v>-2.6031915240475419E-4</v>
      </c>
      <c r="AI48" s="16">
        <f t="shared" ca="1" si="15"/>
        <v>-5.8915524820808847E-4</v>
      </c>
      <c r="AJ48" s="16">
        <f t="shared" ca="1" si="16"/>
        <v>1.9860735441740694E-4</v>
      </c>
      <c r="AK48" s="16">
        <f t="shared" ca="1" si="17"/>
        <v>5.5428554534065941E-4</v>
      </c>
      <c r="AM48" s="16">
        <f t="shared" ca="1" si="18"/>
        <v>-8.7643758358995868E-4</v>
      </c>
      <c r="AO48" s="16">
        <f t="shared" ca="1" si="19"/>
        <v>-2.2557053739452287E-4</v>
      </c>
      <c r="AP48" s="16">
        <f t="shared" ca="1" si="20"/>
        <v>-2.6031915240475419E-4</v>
      </c>
      <c r="AQ48" s="16">
        <f t="shared" ca="1" si="21"/>
        <v>-5.8915524820808847E-4</v>
      </c>
      <c r="AR48" s="16">
        <f t="shared" ca="1" si="22"/>
        <v>0</v>
      </c>
      <c r="AS48" s="16">
        <f t="shared" ca="1" si="23"/>
        <v>0</v>
      </c>
    </row>
    <row r="49" spans="1:45" x14ac:dyDescent="0.25">
      <c r="A49" s="69">
        <f t="shared" ca="1" si="24"/>
        <v>2451.4697322211914</v>
      </c>
      <c r="B49" s="69">
        <f t="shared" ca="1" si="25"/>
        <v>2134.5202255858685</v>
      </c>
      <c r="C49" s="69">
        <f t="shared" ca="1" si="26"/>
        <v>2233.1900708235084</v>
      </c>
      <c r="D49" s="69">
        <f t="shared" ca="1" si="27"/>
        <v>2911.5856147735963</v>
      </c>
      <c r="E49" s="69">
        <f t="shared" ca="1" si="28"/>
        <v>1930.7653330574694</v>
      </c>
      <c r="F49" s="69">
        <f t="shared" ca="1" si="29"/>
        <v>1222.3723110268468</v>
      </c>
      <c r="G49" s="69">
        <f t="shared" ca="1" si="30"/>
        <v>963.82008808100682</v>
      </c>
      <c r="H49" s="69">
        <f t="shared" ca="1" si="31"/>
        <v>1191.6127442626898</v>
      </c>
      <c r="I49" s="69">
        <f t="shared" ca="1" si="32"/>
        <v>1045.8606169608011</v>
      </c>
      <c r="J49" s="69">
        <f t="shared" ca="1" si="33"/>
        <v>1149.8861657905074</v>
      </c>
      <c r="K49" s="69">
        <f t="shared" ca="1" si="34"/>
        <v>1180.3922156070553</v>
      </c>
      <c r="L49" s="69">
        <f t="shared" ca="1" si="35"/>
        <v>956.94275818460665</v>
      </c>
      <c r="M49" s="69">
        <f t="shared" ca="1" si="36"/>
        <v>987.14358825507918</v>
      </c>
      <c r="N49" s="69">
        <f t="shared" ca="1" si="37"/>
        <v>572.14489033423229</v>
      </c>
      <c r="O49" s="69">
        <f t="shared" ca="1" si="38"/>
        <v>631.47427805211805</v>
      </c>
      <c r="P49" s="69">
        <f t="shared" ca="1" si="39"/>
        <v>725.93897893326618</v>
      </c>
      <c r="Q49" s="69">
        <f t="shared" ca="1" si="40"/>
        <v>953.01291066500187</v>
      </c>
      <c r="R49" s="69">
        <f t="shared" ca="1" si="41"/>
        <v>786.57832998474612</v>
      </c>
      <c r="S49" s="69">
        <f t="shared" ca="1" si="42"/>
        <v>699.52738676074455</v>
      </c>
      <c r="T49" s="69">
        <f t="shared" ca="1" si="43"/>
        <v>805.36254544690973</v>
      </c>
      <c r="U49" s="69">
        <f t="shared" ca="1" si="44"/>
        <v>1695.491187286477</v>
      </c>
      <c r="V49" s="69">
        <f t="shared" ca="1" si="45"/>
        <v>1914.9167789296346</v>
      </c>
      <c r="W49" s="69">
        <f t="shared" ca="1" si="46"/>
        <v>1178.2330054791246</v>
      </c>
      <c r="X49" s="69">
        <f t="shared" ca="1" si="47"/>
        <v>1488.177346106419</v>
      </c>
      <c r="Y49" s="69">
        <f t="shared" ca="1" si="48"/>
        <v>1214.0458672024122</v>
      </c>
      <c r="AA49" s="20">
        <f t="shared" ca="1" si="12"/>
        <v>6.5691859515251256E+16</v>
      </c>
      <c r="AB49" s="20">
        <f t="shared" ca="1" si="5"/>
        <v>1688353083372595.8</v>
      </c>
      <c r="AC49" s="20">
        <f t="shared" ca="1" si="6"/>
        <v>402860154332448.5</v>
      </c>
      <c r="AD49" s="20">
        <f t="shared" ca="1" si="7"/>
        <v>306575205578755.06</v>
      </c>
      <c r="AE49" s="20">
        <f t="shared" ca="1" si="8"/>
        <v>6911406064125334</v>
      </c>
      <c r="AG49" s="16">
        <f t="shared" ca="1" si="13"/>
        <v>1.4842151969870977E-4</v>
      </c>
      <c r="AH49" s="16">
        <f t="shared" ca="1" si="14"/>
        <v>1.4359465933010753E-4</v>
      </c>
      <c r="AI49" s="16">
        <f t="shared" ca="1" si="15"/>
        <v>1.0326118171757955E-4</v>
      </c>
      <c r="AJ49" s="16">
        <f t="shared" ca="1" si="16"/>
        <v>-2.6699844144528398E-4</v>
      </c>
      <c r="AK49" s="16">
        <f t="shared" ca="1" si="17"/>
        <v>2.9425621949789E-5</v>
      </c>
      <c r="AM49" s="16">
        <f t="shared" ca="1" si="18"/>
        <v>1.2827891930111289E-4</v>
      </c>
      <c r="AO49" s="16">
        <f t="shared" ca="1" si="19"/>
        <v>0</v>
      </c>
      <c r="AP49" s="16">
        <f t="shared" ca="1" si="20"/>
        <v>0</v>
      </c>
      <c r="AQ49" s="16">
        <f t="shared" ca="1" si="21"/>
        <v>0</v>
      </c>
      <c r="AR49" s="16">
        <f t="shared" ca="1" si="22"/>
        <v>-2.6699844144528398E-4</v>
      </c>
      <c r="AS49" s="16">
        <f t="shared" ca="1" si="23"/>
        <v>0</v>
      </c>
    </row>
    <row r="50" spans="1:45" x14ac:dyDescent="0.25">
      <c r="A50" s="69">
        <f t="shared" ca="1" si="24"/>
        <v>2451.4697322211914</v>
      </c>
      <c r="B50" s="69">
        <f t="shared" ca="1" si="25"/>
        <v>2134.1444100429576</v>
      </c>
      <c r="C50" s="69">
        <f t="shared" ca="1" si="26"/>
        <v>2233.5350879360167</v>
      </c>
      <c r="D50" s="69">
        <f t="shared" ca="1" si="27"/>
        <v>2911.5293303154463</v>
      </c>
      <c r="E50" s="69">
        <f t="shared" ca="1" si="28"/>
        <v>1931.1309595204527</v>
      </c>
      <c r="F50" s="69">
        <f t="shared" ca="1" si="29"/>
        <v>1222.3723110268468</v>
      </c>
      <c r="G50" s="69">
        <f t="shared" ca="1" si="30"/>
        <v>963.72487694867107</v>
      </c>
      <c r="H50" s="69">
        <f t="shared" ca="1" si="31"/>
        <v>1192.0535402059852</v>
      </c>
      <c r="I50" s="69">
        <f t="shared" ca="1" si="32"/>
        <v>1046.0699150061409</v>
      </c>
      <c r="J50" s="69">
        <f t="shared" ca="1" si="33"/>
        <v>1149.5095676573751</v>
      </c>
      <c r="K50" s="69">
        <f t="shared" ca="1" si="34"/>
        <v>1180.3922156070553</v>
      </c>
      <c r="L50" s="69">
        <f t="shared" ca="1" si="35"/>
        <v>957.35616214836364</v>
      </c>
      <c r="M50" s="69">
        <f t="shared" ca="1" si="36"/>
        <v>986.68538067314557</v>
      </c>
      <c r="N50" s="69">
        <f t="shared" ca="1" si="37"/>
        <v>572.03906445409336</v>
      </c>
      <c r="O50" s="69">
        <f t="shared" ca="1" si="38"/>
        <v>631.67676942020933</v>
      </c>
      <c r="P50" s="69">
        <f t="shared" ca="1" si="39"/>
        <v>725.93897893326618</v>
      </c>
      <c r="Q50" s="69">
        <f t="shared" ca="1" si="40"/>
        <v>953.27842013616191</v>
      </c>
      <c r="R50" s="69">
        <f t="shared" ca="1" si="41"/>
        <v>786.11280237631058</v>
      </c>
      <c r="S50" s="69">
        <f t="shared" ca="1" si="42"/>
        <v>699.8765106084968</v>
      </c>
      <c r="T50" s="69">
        <f t="shared" ca="1" si="43"/>
        <v>804.9981961138991</v>
      </c>
      <c r="U50" s="69">
        <f t="shared" ca="1" si="44"/>
        <v>1695.7075428642052</v>
      </c>
      <c r="V50" s="69">
        <f t="shared" ca="1" si="45"/>
        <v>1914.9167789296346</v>
      </c>
      <c r="W50" s="69">
        <f t="shared" ca="1" si="46"/>
        <v>1178.2330054791246</v>
      </c>
      <c r="X50" s="69">
        <f t="shared" ca="1" si="47"/>
        <v>1488.0312549383223</v>
      </c>
      <c r="Y50" s="69">
        <f t="shared" ca="1" si="48"/>
        <v>1214.0458672024122</v>
      </c>
      <c r="AA50" s="20">
        <f t="shared" ca="1" si="12"/>
        <v>6.5701610324469408E+16</v>
      </c>
      <c r="AB50" s="20">
        <f t="shared" ca="1" si="5"/>
        <v>1688595539265700.8</v>
      </c>
      <c r="AC50" s="20">
        <f t="shared" ca="1" si="6"/>
        <v>402901756295948.75</v>
      </c>
      <c r="AD50" s="20">
        <f t="shared" ca="1" si="7"/>
        <v>306493361403299.63</v>
      </c>
      <c r="AE50" s="20">
        <f t="shared" ca="1" si="8"/>
        <v>6911609439539528</v>
      </c>
      <c r="AG50" s="16">
        <f t="shared" ca="1" si="13"/>
        <v>-6.281190858082812E-5</v>
      </c>
      <c r="AH50" s="16">
        <f t="shared" ca="1" si="14"/>
        <v>-7.10262033248272E-4</v>
      </c>
      <c r="AI50" s="16">
        <f t="shared" ca="1" si="15"/>
        <v>3.9639808504290811E-4</v>
      </c>
      <c r="AJ50" s="16">
        <f t="shared" ca="1" si="16"/>
        <v>-3.4475324768110718E-4</v>
      </c>
      <c r="AK50" s="16">
        <f t="shared" ca="1" si="17"/>
        <v>3.2303126790977199E-4</v>
      </c>
      <c r="AM50" s="16">
        <f t="shared" ca="1" si="18"/>
        <v>-7.2142910446729917E-4</v>
      </c>
      <c r="AO50" s="16">
        <f t="shared" ca="1" si="19"/>
        <v>-6.281190858082812E-5</v>
      </c>
      <c r="AP50" s="16">
        <f t="shared" ca="1" si="20"/>
        <v>-7.10262033248272E-4</v>
      </c>
      <c r="AQ50" s="16">
        <f t="shared" ca="1" si="21"/>
        <v>0</v>
      </c>
      <c r="AR50" s="16">
        <f t="shared" ca="1" si="22"/>
        <v>-3.4475324768110718E-4</v>
      </c>
      <c r="AS50" s="16">
        <f t="shared" ca="1" si="23"/>
        <v>0</v>
      </c>
    </row>
    <row r="51" spans="1:45" x14ac:dyDescent="0.25">
      <c r="A51" s="69">
        <f t="shared" ca="1" si="24"/>
        <v>2451.236511078213</v>
      </c>
      <c r="B51" s="69">
        <f t="shared" ca="1" si="25"/>
        <v>2134.4631170684256</v>
      </c>
      <c r="C51" s="69">
        <f t="shared" ca="1" si="26"/>
        <v>2233.5350879360167</v>
      </c>
      <c r="D51" s="69">
        <f t="shared" ca="1" si="27"/>
        <v>2911.3110301486449</v>
      </c>
      <c r="E51" s="69">
        <f t="shared" ca="1" si="28"/>
        <v>1931.0498199381932</v>
      </c>
      <c r="F51" s="69">
        <f t="shared" ca="1" si="29"/>
        <v>1222.7292481505756</v>
      </c>
      <c r="G51" s="69">
        <f t="shared" ca="1" si="30"/>
        <v>963.30158182859645</v>
      </c>
      <c r="H51" s="69">
        <f t="shared" ca="1" si="31"/>
        <v>1191.8148437363041</v>
      </c>
      <c r="I51" s="69">
        <f t="shared" ca="1" si="32"/>
        <v>1046.0320949035504</v>
      </c>
      <c r="J51" s="69">
        <f t="shared" ca="1" si="33"/>
        <v>1149.1343330600002</v>
      </c>
      <c r="K51" s="69">
        <f t="shared" ca="1" si="34"/>
        <v>1180.7118422390047</v>
      </c>
      <c r="L51" s="69">
        <f t="shared" ca="1" si="35"/>
        <v>957.35616214836364</v>
      </c>
      <c r="M51" s="69">
        <f t="shared" ca="1" si="36"/>
        <v>987.06115247296907</v>
      </c>
      <c r="N51" s="69">
        <f t="shared" ca="1" si="37"/>
        <v>572.03906445409336</v>
      </c>
      <c r="O51" s="69">
        <f t="shared" ca="1" si="38"/>
        <v>631.51563953064954</v>
      </c>
      <c r="P51" s="69">
        <f t="shared" ca="1" si="39"/>
        <v>725.85753184890257</v>
      </c>
      <c r="Q51" s="69">
        <f t="shared" ca="1" si="40"/>
        <v>953.39962263569157</v>
      </c>
      <c r="R51" s="69">
        <f t="shared" ca="1" si="41"/>
        <v>785.96176880434473</v>
      </c>
      <c r="S51" s="69">
        <f t="shared" ca="1" si="42"/>
        <v>699.74086604819718</v>
      </c>
      <c r="T51" s="69">
        <f t="shared" ca="1" si="43"/>
        <v>805.01936002703394</v>
      </c>
      <c r="U51" s="69">
        <f t="shared" ca="1" si="44"/>
        <v>1696.126741755495</v>
      </c>
      <c r="V51" s="69">
        <f t="shared" ca="1" si="45"/>
        <v>1914.5170806330316</v>
      </c>
      <c r="W51" s="69">
        <f t="shared" ca="1" si="46"/>
        <v>1178.3621500274605</v>
      </c>
      <c r="X51" s="69">
        <f t="shared" ca="1" si="47"/>
        <v>1488.2916801708241</v>
      </c>
      <c r="Y51" s="69">
        <f t="shared" ca="1" si="48"/>
        <v>1214.0458672024122</v>
      </c>
      <c r="AA51" s="20">
        <f t="shared" ca="1" si="12"/>
        <v>6.569748361053284E+16</v>
      </c>
      <c r="AB51" s="20">
        <f t="shared" ca="1" si="5"/>
        <v>1687396619788542.5</v>
      </c>
      <c r="AC51" s="20">
        <f t="shared" ca="1" si="6"/>
        <v>403061497439054.81</v>
      </c>
      <c r="AD51" s="20">
        <f t="shared" ca="1" si="7"/>
        <v>306387715033574.06</v>
      </c>
      <c r="AE51" s="20">
        <f t="shared" ca="1" si="8"/>
        <v>6913842466149371</v>
      </c>
      <c r="AG51" s="16">
        <f t="shared" ca="1" si="13"/>
        <v>1.5134993334401529E-5</v>
      </c>
      <c r="AH51" s="16">
        <f t="shared" ca="1" si="14"/>
        <v>-5.0069967248234201E-4</v>
      </c>
      <c r="AI51" s="16">
        <f t="shared" ca="1" si="15"/>
        <v>-1.1039498304186051E-3</v>
      </c>
      <c r="AJ51" s="16">
        <f t="shared" ca="1" si="16"/>
        <v>-9.0215896119666492E-4</v>
      </c>
      <c r="AK51" s="16">
        <f t="shared" ca="1" si="17"/>
        <v>3.1907994522851303E-4</v>
      </c>
      <c r="AM51" s="16">
        <f t="shared" ca="1" si="18"/>
        <v>-2.4916734707632103E-3</v>
      </c>
      <c r="AO51" s="16">
        <f t="shared" ca="1" si="19"/>
        <v>0</v>
      </c>
      <c r="AP51" s="16">
        <f t="shared" ca="1" si="20"/>
        <v>-5.0069967248234201E-4</v>
      </c>
      <c r="AQ51" s="16">
        <f t="shared" ca="1" si="21"/>
        <v>-1.1039498304186051E-3</v>
      </c>
      <c r="AR51" s="16">
        <f t="shared" ca="1" si="22"/>
        <v>-9.0215896119666492E-4</v>
      </c>
      <c r="AS51" s="16">
        <f t="shared" ca="1" si="23"/>
        <v>0</v>
      </c>
    </row>
    <row r="52" spans="1:45" x14ac:dyDescent="0.25">
      <c r="A52" s="69">
        <f t="shared" ca="1" si="24"/>
        <v>2451.6812982079423</v>
      </c>
      <c r="B52" s="69">
        <f t="shared" ca="1" si="25"/>
        <v>2134.4480873819725</v>
      </c>
      <c r="C52" s="69">
        <f t="shared" ca="1" si="26"/>
        <v>2233.2892633028491</v>
      </c>
      <c r="D52" s="69">
        <f t="shared" ca="1" si="27"/>
        <v>2911.1678133951141</v>
      </c>
      <c r="E52" s="69">
        <f t="shared" ca="1" si="28"/>
        <v>1931.0498199381932</v>
      </c>
      <c r="F52" s="69">
        <f t="shared" ca="1" si="29"/>
        <v>1222.5347186563654</v>
      </c>
      <c r="G52" s="69">
        <f t="shared" ca="1" si="30"/>
        <v>963.45823783435424</v>
      </c>
      <c r="H52" s="69">
        <f t="shared" ca="1" si="31"/>
        <v>1191.7153559973369</v>
      </c>
      <c r="I52" s="69">
        <f t="shared" ca="1" si="32"/>
        <v>1045.7038565183022</v>
      </c>
      <c r="J52" s="69">
        <f t="shared" ca="1" si="33"/>
        <v>1149.0115190123297</v>
      </c>
      <c r="K52" s="69">
        <f t="shared" ca="1" si="34"/>
        <v>1180.7118422390047</v>
      </c>
      <c r="L52" s="69">
        <f t="shared" ca="1" si="35"/>
        <v>957.09143688126619</v>
      </c>
      <c r="M52" s="69">
        <f t="shared" ca="1" si="36"/>
        <v>986.94568320343069</v>
      </c>
      <c r="N52" s="69">
        <f t="shared" ca="1" si="37"/>
        <v>572.03906445409336</v>
      </c>
      <c r="O52" s="69">
        <f t="shared" ca="1" si="38"/>
        <v>631.06716707966768</v>
      </c>
      <c r="P52" s="69">
        <f t="shared" ca="1" si="39"/>
        <v>725.54916469672366</v>
      </c>
      <c r="Q52" s="69">
        <f t="shared" ca="1" si="40"/>
        <v>953.7167721700223</v>
      </c>
      <c r="R52" s="69">
        <f t="shared" ca="1" si="41"/>
        <v>785.73802813531825</v>
      </c>
      <c r="S52" s="69">
        <f t="shared" ca="1" si="42"/>
        <v>699.74086604819718</v>
      </c>
      <c r="T52" s="69">
        <f t="shared" ca="1" si="43"/>
        <v>804.59673813890299</v>
      </c>
      <c r="U52" s="69">
        <f t="shared" ca="1" si="44"/>
        <v>1695.9250953728097</v>
      </c>
      <c r="V52" s="69">
        <f t="shared" ca="1" si="45"/>
        <v>1914.1307560758924</v>
      </c>
      <c r="W52" s="69">
        <f t="shared" ca="1" si="46"/>
        <v>1178.3621500274605</v>
      </c>
      <c r="X52" s="69">
        <f t="shared" ca="1" si="47"/>
        <v>1488.7728455588124</v>
      </c>
      <c r="Y52" s="69">
        <f t="shared" ca="1" si="48"/>
        <v>1214.4302129996795</v>
      </c>
      <c r="AA52" s="20">
        <f t="shared" ca="1" si="12"/>
        <v>6.5698477949034E+16</v>
      </c>
      <c r="AB52" s="20">
        <f t="shared" ca="1" si="5"/>
        <v>1686551952333672</v>
      </c>
      <c r="AC52" s="20">
        <f t="shared" ca="1" si="6"/>
        <v>402616783283531.63</v>
      </c>
      <c r="AD52" s="20">
        <f t="shared" ca="1" si="7"/>
        <v>306111429256439.69</v>
      </c>
      <c r="AE52" s="20">
        <f t="shared" ca="1" si="8"/>
        <v>6916048886618329</v>
      </c>
      <c r="AG52" s="16">
        <f t="shared" ca="1" si="13"/>
        <v>8.4724280658903342E-5</v>
      </c>
      <c r="AH52" s="16">
        <f t="shared" ca="1" si="14"/>
        <v>-3.5988648916351678E-4</v>
      </c>
      <c r="AI52" s="16">
        <f t="shared" ca="1" si="15"/>
        <v>-1.9421280844621319E-4</v>
      </c>
      <c r="AJ52" s="16">
        <f t="shared" ca="1" si="16"/>
        <v>4.1758476126610992E-4</v>
      </c>
      <c r="AK52" s="16">
        <f t="shared" ca="1" si="17"/>
        <v>2.8708693246770614E-5</v>
      </c>
      <c r="AM52" s="16">
        <f t="shared" ca="1" si="18"/>
        <v>-5.1790255684716743E-5</v>
      </c>
      <c r="AO52" s="16">
        <f t="shared" ca="1" si="19"/>
        <v>0</v>
      </c>
      <c r="AP52" s="16">
        <f t="shared" ca="1" si="20"/>
        <v>-3.5988648916351678E-4</v>
      </c>
      <c r="AQ52" s="16">
        <f t="shared" ca="1" si="21"/>
        <v>-1.9421280844621319E-4</v>
      </c>
      <c r="AR52" s="16">
        <f t="shared" ca="1" si="22"/>
        <v>0</v>
      </c>
      <c r="AS52" s="16">
        <f t="shared" ca="1" si="23"/>
        <v>0</v>
      </c>
    </row>
    <row r="53" spans="1:45" x14ac:dyDescent="0.25">
      <c r="A53" s="69">
        <f t="shared" ca="1" si="24"/>
        <v>2451.7256081137421</v>
      </c>
      <c r="B53" s="69">
        <f t="shared" ca="1" si="25"/>
        <v>2134.4480873819725</v>
      </c>
      <c r="C53" s="69">
        <f t="shared" ca="1" si="26"/>
        <v>2233.2892633028491</v>
      </c>
      <c r="D53" s="69">
        <f t="shared" ca="1" si="27"/>
        <v>2911.3618526047289</v>
      </c>
      <c r="E53" s="69">
        <f t="shared" ca="1" si="28"/>
        <v>1931.0498199381932</v>
      </c>
      <c r="F53" s="69">
        <f t="shared" ca="1" si="29"/>
        <v>1222.9160312119925</v>
      </c>
      <c r="G53" s="69">
        <f t="shared" ca="1" si="30"/>
        <v>963.23642686232972</v>
      </c>
      <c r="H53" s="69">
        <f t="shared" ca="1" si="31"/>
        <v>1191.4594187492044</v>
      </c>
      <c r="I53" s="69">
        <f t="shared" ca="1" si="32"/>
        <v>1045.7038565183022</v>
      </c>
      <c r="J53" s="69">
        <f t="shared" ca="1" si="33"/>
        <v>1148.7510629774299</v>
      </c>
      <c r="K53" s="69">
        <f t="shared" ca="1" si="34"/>
        <v>1180.7118422390047</v>
      </c>
      <c r="L53" s="69">
        <f t="shared" ca="1" si="35"/>
        <v>957.11293345518561</v>
      </c>
      <c r="M53" s="69">
        <f t="shared" ca="1" si="36"/>
        <v>986.57108771408684</v>
      </c>
      <c r="N53" s="69">
        <f t="shared" ca="1" si="37"/>
        <v>572.13228549206258</v>
      </c>
      <c r="O53" s="69">
        <f t="shared" ca="1" si="38"/>
        <v>631.06716707966768</v>
      </c>
      <c r="P53" s="69">
        <f t="shared" ca="1" si="39"/>
        <v>725.76534198081413</v>
      </c>
      <c r="Q53" s="69">
        <f t="shared" ca="1" si="40"/>
        <v>953.7167721700223</v>
      </c>
      <c r="R53" s="69">
        <f t="shared" ca="1" si="41"/>
        <v>786.03062142368094</v>
      </c>
      <c r="S53" s="69">
        <f t="shared" ca="1" si="42"/>
        <v>699.74001602669955</v>
      </c>
      <c r="T53" s="69">
        <f t="shared" ca="1" si="43"/>
        <v>804.39447438124409</v>
      </c>
      <c r="U53" s="69">
        <f t="shared" ca="1" si="44"/>
        <v>1696.3780188887067</v>
      </c>
      <c r="V53" s="69">
        <f t="shared" ca="1" si="45"/>
        <v>1913.8937608398423</v>
      </c>
      <c r="W53" s="69">
        <f t="shared" ca="1" si="46"/>
        <v>1178.2655119621136</v>
      </c>
      <c r="X53" s="69">
        <f t="shared" ca="1" si="47"/>
        <v>1488.7244815091051</v>
      </c>
      <c r="Y53" s="69">
        <f t="shared" ca="1" si="48"/>
        <v>1214.4302129996795</v>
      </c>
      <c r="AA53" s="20">
        <f t="shared" ca="1" si="12"/>
        <v>6.57040444411238E+16</v>
      </c>
      <c r="AB53" s="20">
        <f t="shared" ca="1" si="5"/>
        <v>1685945094279312</v>
      </c>
      <c r="AC53" s="20">
        <f t="shared" ca="1" si="6"/>
        <v>402538597539904.75</v>
      </c>
      <c r="AD53" s="20">
        <f t="shared" ca="1" si="7"/>
        <v>306239283417663.38</v>
      </c>
      <c r="AE53" s="20">
        <f t="shared" ca="1" si="8"/>
        <v>6916247440194388</v>
      </c>
      <c r="AG53" s="16">
        <f t="shared" ca="1" si="13"/>
        <v>2.5127658637447435E-4</v>
      </c>
      <c r="AH53" s="16">
        <f t="shared" ca="1" si="14"/>
        <v>-9.4057539112029894E-4</v>
      </c>
      <c r="AI53" s="16">
        <f t="shared" ca="1" si="15"/>
        <v>6.3004797042400188E-5</v>
      </c>
      <c r="AJ53" s="16">
        <f t="shared" ca="1" si="16"/>
        <v>5.4044163091046819E-4</v>
      </c>
      <c r="AK53" s="16">
        <f t="shared" ca="1" si="17"/>
        <v>4.7263799485505621E-5</v>
      </c>
      <c r="AM53" s="16">
        <f t="shared" ca="1" si="18"/>
        <v>-8.5852376792956188E-5</v>
      </c>
      <c r="AO53" s="16">
        <f t="shared" ca="1" si="19"/>
        <v>0</v>
      </c>
      <c r="AP53" s="16">
        <f t="shared" ca="1" si="20"/>
        <v>-9.4057539112029894E-4</v>
      </c>
      <c r="AQ53" s="16">
        <f t="shared" ca="1" si="21"/>
        <v>0</v>
      </c>
      <c r="AR53" s="16">
        <f t="shared" ca="1" si="22"/>
        <v>0</v>
      </c>
      <c r="AS53" s="16">
        <f t="shared" ca="1" si="23"/>
        <v>0</v>
      </c>
    </row>
    <row r="54" spans="1:45" x14ac:dyDescent="0.25">
      <c r="A54" s="69">
        <f t="shared" ca="1" si="24"/>
        <v>2452.0362640002368</v>
      </c>
      <c r="B54" s="69">
        <f t="shared" ca="1" si="25"/>
        <v>2134.516374535774</v>
      </c>
      <c r="C54" s="69">
        <f t="shared" ca="1" si="26"/>
        <v>2233.5923296470933</v>
      </c>
      <c r="D54" s="69">
        <f t="shared" ca="1" si="27"/>
        <v>2911.2363416802268</v>
      </c>
      <c r="E54" s="69">
        <f t="shared" ca="1" si="28"/>
        <v>1931.0498199381932</v>
      </c>
      <c r="F54" s="69">
        <f t="shared" ca="1" si="29"/>
        <v>1222.4301417982449</v>
      </c>
      <c r="G54" s="69">
        <f t="shared" ca="1" si="30"/>
        <v>962.84602200308586</v>
      </c>
      <c r="H54" s="69">
        <f t="shared" ca="1" si="31"/>
        <v>1191.4594187492044</v>
      </c>
      <c r="I54" s="69">
        <f t="shared" ca="1" si="32"/>
        <v>1045.2449763917166</v>
      </c>
      <c r="J54" s="69">
        <f t="shared" ca="1" si="33"/>
        <v>1149.0970406263782</v>
      </c>
      <c r="K54" s="69">
        <f t="shared" ca="1" si="34"/>
        <v>1180.7118422390047</v>
      </c>
      <c r="L54" s="69">
        <f t="shared" ca="1" si="35"/>
        <v>957.35111483475293</v>
      </c>
      <c r="M54" s="69">
        <f t="shared" ca="1" si="36"/>
        <v>986.54437943635276</v>
      </c>
      <c r="N54" s="69">
        <f t="shared" ca="1" si="37"/>
        <v>572.47574553991535</v>
      </c>
      <c r="O54" s="69">
        <f t="shared" ca="1" si="38"/>
        <v>630.58844340661403</v>
      </c>
      <c r="P54" s="69">
        <f t="shared" ca="1" si="39"/>
        <v>725.85595406873756</v>
      </c>
      <c r="Q54" s="69">
        <f t="shared" ca="1" si="40"/>
        <v>954.1521842506221</v>
      </c>
      <c r="R54" s="69">
        <f t="shared" ca="1" si="41"/>
        <v>785.99852128164025</v>
      </c>
      <c r="S54" s="69">
        <f t="shared" ca="1" si="42"/>
        <v>699.74001602669955</v>
      </c>
      <c r="T54" s="69">
        <f t="shared" ca="1" si="43"/>
        <v>804.39447438124409</v>
      </c>
      <c r="U54" s="69">
        <f t="shared" ca="1" si="44"/>
        <v>1696.7890272398117</v>
      </c>
      <c r="V54" s="69">
        <f t="shared" ca="1" si="45"/>
        <v>1914.1807044641391</v>
      </c>
      <c r="W54" s="69">
        <f t="shared" ca="1" si="46"/>
        <v>1178.6126748675449</v>
      </c>
      <c r="X54" s="69">
        <f t="shared" ca="1" si="47"/>
        <v>1488.3518542182233</v>
      </c>
      <c r="Y54" s="69">
        <f t="shared" ca="1" si="48"/>
        <v>1213.9576820147543</v>
      </c>
      <c r="AA54" s="20">
        <f t="shared" ca="1" si="12"/>
        <v>6.5720556403569864E+16</v>
      </c>
      <c r="AB54" s="20">
        <f t="shared" ca="1" si="5"/>
        <v>1684360081341787.5</v>
      </c>
      <c r="AC54" s="20">
        <f t="shared" ca="1" si="6"/>
        <v>402563960201520.75</v>
      </c>
      <c r="AD54" s="20">
        <f t="shared" ca="1" si="7"/>
        <v>306404832606249.75</v>
      </c>
      <c r="AE54" s="20">
        <f t="shared" ca="1" si="8"/>
        <v>6916574336051703</v>
      </c>
      <c r="AG54" s="16">
        <f t="shared" ca="1" si="13"/>
        <v>-1.5912049163759786E-4</v>
      </c>
      <c r="AH54" s="16">
        <f t="shared" ca="1" si="14"/>
        <v>-4.7690132497568835E-4</v>
      </c>
      <c r="AI54" s="16">
        <f t="shared" ca="1" si="15"/>
        <v>7.7459469120026955E-5</v>
      </c>
      <c r="AJ54" s="16">
        <f t="shared" ca="1" si="16"/>
        <v>4.4704448392252576E-4</v>
      </c>
      <c r="AK54" s="16">
        <f t="shared" ca="1" si="17"/>
        <v>-7.0977227257568957E-4</v>
      </c>
      <c r="AM54" s="16">
        <f t="shared" ca="1" si="18"/>
        <v>-1.1151786357073342E-4</v>
      </c>
      <c r="AO54" s="16">
        <f t="shared" ca="1" si="19"/>
        <v>-1.5912049163759786E-4</v>
      </c>
      <c r="AP54" s="16">
        <f t="shared" ca="1" si="20"/>
        <v>-4.7690132497568835E-4</v>
      </c>
      <c r="AQ54" s="16">
        <f t="shared" ca="1" si="21"/>
        <v>0</v>
      </c>
      <c r="AR54" s="16">
        <f t="shared" ca="1" si="22"/>
        <v>0</v>
      </c>
      <c r="AS54" s="16">
        <f t="shared" ca="1" si="23"/>
        <v>-7.0977227257568957E-4</v>
      </c>
    </row>
    <row r="55" spans="1:45" x14ac:dyDescent="0.25">
      <c r="A55" s="69">
        <f t="shared" ca="1" si="24"/>
        <v>2452.1424054561094</v>
      </c>
      <c r="B55" s="69">
        <f t="shared" ca="1" si="25"/>
        <v>2134.5109285561057</v>
      </c>
      <c r="C55" s="69">
        <f t="shared" ca="1" si="26"/>
        <v>2233.5923296470933</v>
      </c>
      <c r="D55" s="69">
        <f t="shared" ca="1" si="27"/>
        <v>2911.2953810266304</v>
      </c>
      <c r="E55" s="69">
        <f t="shared" ca="1" si="28"/>
        <v>1930.6247753744879</v>
      </c>
      <c r="F55" s="69">
        <f t="shared" ca="1" si="29"/>
        <v>1222.4301417982449</v>
      </c>
      <c r="G55" s="69">
        <f t="shared" ca="1" si="30"/>
        <v>962.73284367559609</v>
      </c>
      <c r="H55" s="69">
        <f t="shared" ca="1" si="31"/>
        <v>1191.0104349391372</v>
      </c>
      <c r="I55" s="69">
        <f t="shared" ca="1" si="32"/>
        <v>1045.2633283231742</v>
      </c>
      <c r="J55" s="69">
        <f t="shared" ca="1" si="33"/>
        <v>1149.0970406263782</v>
      </c>
      <c r="K55" s="69">
        <f t="shared" ca="1" si="34"/>
        <v>1180.7089762225712</v>
      </c>
      <c r="L55" s="69">
        <f t="shared" ca="1" si="35"/>
        <v>957.32671315407117</v>
      </c>
      <c r="M55" s="69">
        <f t="shared" ca="1" si="36"/>
        <v>986.47829234967878</v>
      </c>
      <c r="N55" s="69">
        <f t="shared" ca="1" si="37"/>
        <v>572.19812611213194</v>
      </c>
      <c r="O55" s="69">
        <f t="shared" ca="1" si="38"/>
        <v>631.00314718311051</v>
      </c>
      <c r="P55" s="69">
        <f t="shared" ca="1" si="39"/>
        <v>726.28459175913713</v>
      </c>
      <c r="Q55" s="69">
        <f t="shared" ca="1" si="40"/>
        <v>954.1521842506221</v>
      </c>
      <c r="R55" s="69">
        <f t="shared" ca="1" si="41"/>
        <v>785.95476463785758</v>
      </c>
      <c r="S55" s="69">
        <f t="shared" ca="1" si="42"/>
        <v>699.87323956482146</v>
      </c>
      <c r="T55" s="69">
        <f t="shared" ca="1" si="43"/>
        <v>804.17087681954456</v>
      </c>
      <c r="U55" s="69">
        <f t="shared" ca="1" si="44"/>
        <v>1696.295473863473</v>
      </c>
      <c r="V55" s="69">
        <f t="shared" ca="1" si="45"/>
        <v>1914.2066395937745</v>
      </c>
      <c r="W55" s="69">
        <f t="shared" ca="1" si="46"/>
        <v>1178.4913162717185</v>
      </c>
      <c r="X55" s="69">
        <f t="shared" ca="1" si="47"/>
        <v>1488.1391362331415</v>
      </c>
      <c r="Y55" s="69">
        <f t="shared" ca="1" si="48"/>
        <v>1213.7313009769218</v>
      </c>
      <c r="AA55" s="20">
        <f t="shared" ca="1" si="12"/>
        <v>6.571009974828036E+16</v>
      </c>
      <c r="AB55" s="20">
        <f t="shared" ca="1" si="5"/>
        <v>1683556999297925.5</v>
      </c>
      <c r="AC55" s="20">
        <f t="shared" ca="1" si="6"/>
        <v>402595143799881.75</v>
      </c>
      <c r="AD55" s="20">
        <f t="shared" ca="1" si="7"/>
        <v>306541839818391.06</v>
      </c>
      <c r="AE55" s="20">
        <f t="shared" ca="1" si="8"/>
        <v>6911666885159073</v>
      </c>
      <c r="AG55" s="16">
        <f t="shared" ca="1" si="13"/>
        <v>-4.9805157620360837E-5</v>
      </c>
      <c r="AH55" s="16">
        <f t="shared" ca="1" si="14"/>
        <v>4.2098497904311942E-4</v>
      </c>
      <c r="AI55" s="16">
        <f t="shared" ca="1" si="15"/>
        <v>-9.6535143830518008E-5</v>
      </c>
      <c r="AJ55" s="16">
        <f t="shared" ca="1" si="16"/>
        <v>-1.7520421583084558E-3</v>
      </c>
      <c r="AK55" s="16">
        <f t="shared" ca="1" si="17"/>
        <v>-7.1031014849528738E-4</v>
      </c>
      <c r="AM55" s="16">
        <f t="shared" ca="1" si="18"/>
        <v>-1.4773974807162152E-3</v>
      </c>
      <c r="AO55" s="16">
        <f t="shared" ca="1" si="19"/>
        <v>-4.9805157620360837E-5</v>
      </c>
      <c r="AP55" s="16">
        <f t="shared" ca="1" si="20"/>
        <v>0</v>
      </c>
      <c r="AQ55" s="16">
        <f t="shared" ca="1" si="21"/>
        <v>-9.6535143830518008E-5</v>
      </c>
      <c r="AR55" s="16">
        <f t="shared" ca="1" si="22"/>
        <v>-1.7520421583084558E-3</v>
      </c>
      <c r="AS55" s="16">
        <f t="shared" ca="1" si="23"/>
        <v>-7.1031014849528738E-4</v>
      </c>
    </row>
    <row r="56" spans="1:45" x14ac:dyDescent="0.25">
      <c r="A56" s="69">
        <f t="shared" ca="1" si="24"/>
        <v>2451.8006214599668</v>
      </c>
      <c r="B56" s="69">
        <f t="shared" ca="1" si="25"/>
        <v>2134.5109285561057</v>
      </c>
      <c r="C56" s="69">
        <f t="shared" ca="1" si="26"/>
        <v>2233.5923296470933</v>
      </c>
      <c r="D56" s="69">
        <f t="shared" ca="1" si="27"/>
        <v>2911.5562050256171</v>
      </c>
      <c r="E56" s="69">
        <f t="shared" ca="1" si="28"/>
        <v>1930.6247753744879</v>
      </c>
      <c r="F56" s="69">
        <f t="shared" ca="1" si="29"/>
        <v>1222.7626372651989</v>
      </c>
      <c r="G56" s="69">
        <f t="shared" ca="1" si="30"/>
        <v>962.91539081486565</v>
      </c>
      <c r="H56" s="69">
        <f t="shared" ca="1" si="31"/>
        <v>1191.0104349391372</v>
      </c>
      <c r="I56" s="69">
        <f t="shared" ca="1" si="32"/>
        <v>1044.8945096518385</v>
      </c>
      <c r="J56" s="69">
        <f t="shared" ca="1" si="33"/>
        <v>1149.4560066261076</v>
      </c>
      <c r="K56" s="69">
        <f t="shared" ca="1" si="34"/>
        <v>1180.3461961124988</v>
      </c>
      <c r="L56" s="69">
        <f t="shared" ca="1" si="35"/>
        <v>957.32671315407117</v>
      </c>
      <c r="M56" s="69">
        <f t="shared" ca="1" si="36"/>
        <v>986.27933623560523</v>
      </c>
      <c r="N56" s="69">
        <f t="shared" ca="1" si="37"/>
        <v>572.18434080589418</v>
      </c>
      <c r="O56" s="69">
        <f t="shared" ca="1" si="38"/>
        <v>631.27868053007512</v>
      </c>
      <c r="P56" s="69">
        <f t="shared" ca="1" si="39"/>
        <v>725.81215420157446</v>
      </c>
      <c r="Q56" s="69">
        <f t="shared" ca="1" si="40"/>
        <v>953.68784312848686</v>
      </c>
      <c r="R56" s="69">
        <f t="shared" ca="1" si="41"/>
        <v>785.47188606824182</v>
      </c>
      <c r="S56" s="69">
        <f t="shared" ca="1" si="42"/>
        <v>699.87323956482146</v>
      </c>
      <c r="T56" s="69">
        <f t="shared" ca="1" si="43"/>
        <v>804.17087681954456</v>
      </c>
      <c r="U56" s="69">
        <f t="shared" ca="1" si="44"/>
        <v>1695.8648595047086</v>
      </c>
      <c r="V56" s="69">
        <f t="shared" ca="1" si="45"/>
        <v>1914.2975151167886</v>
      </c>
      <c r="W56" s="69">
        <f t="shared" ca="1" si="46"/>
        <v>1178.0600117708932</v>
      </c>
      <c r="X56" s="69">
        <f t="shared" ca="1" si="47"/>
        <v>1487.9340132244592</v>
      </c>
      <c r="Y56" s="69">
        <f t="shared" ca="1" si="48"/>
        <v>1213.7313009769218</v>
      </c>
      <c r="AA56" s="20">
        <f t="shared" ca="1" si="12"/>
        <v>6.5706827127902512E+16</v>
      </c>
      <c r="AB56" s="20">
        <f t="shared" ca="1" si="5"/>
        <v>1684265900713947</v>
      </c>
      <c r="AC56" s="20">
        <f t="shared" ca="1" si="6"/>
        <v>402556281095608.13</v>
      </c>
      <c r="AD56" s="20">
        <f t="shared" ca="1" si="7"/>
        <v>306005235805435.94</v>
      </c>
      <c r="AE56" s="20">
        <f t="shared" ca="1" si="8"/>
        <v>6906759201222722</v>
      </c>
      <c r="AG56" s="16">
        <f t="shared" ca="1" si="13"/>
        <v>-7.2553668052210239E-5</v>
      </c>
      <c r="AH56" s="16">
        <f t="shared" ca="1" si="14"/>
        <v>-1.7284845413540791E-5</v>
      </c>
      <c r="AI56" s="16">
        <f t="shared" ca="1" si="15"/>
        <v>1.8844908318503057E-4</v>
      </c>
      <c r="AJ56" s="16">
        <f t="shared" ca="1" si="16"/>
        <v>-4.2319300949229208E-4</v>
      </c>
      <c r="AK56" s="16">
        <f t="shared" ca="1" si="17"/>
        <v>-4.0397481788453498E-4</v>
      </c>
      <c r="AM56" s="16">
        <f t="shared" ca="1" si="18"/>
        <v>-3.2458243977301251E-4</v>
      </c>
      <c r="AO56" s="16">
        <f t="shared" ca="1" si="19"/>
        <v>-7.2553668052210239E-5</v>
      </c>
      <c r="AP56" s="16">
        <f t="shared" ca="1" si="20"/>
        <v>-1.7284845413540791E-5</v>
      </c>
      <c r="AQ56" s="16">
        <f t="shared" ca="1" si="21"/>
        <v>0</v>
      </c>
      <c r="AR56" s="16">
        <f t="shared" ca="1" si="22"/>
        <v>-4.2319300949229208E-4</v>
      </c>
      <c r="AS56" s="16">
        <f t="shared" ca="1" si="23"/>
        <v>-4.0397481788453498E-4</v>
      </c>
    </row>
    <row r="57" spans="1:45" x14ac:dyDescent="0.25">
      <c r="A57" s="69">
        <f t="shared" ca="1" si="24"/>
        <v>2451.8006214599668</v>
      </c>
      <c r="B57" s="69">
        <f t="shared" ca="1" si="25"/>
        <v>2134.5109285561057</v>
      </c>
      <c r="C57" s="69">
        <f t="shared" ca="1" si="26"/>
        <v>2233.5923296470933</v>
      </c>
      <c r="D57" s="69">
        <f t="shared" ca="1" si="27"/>
        <v>2911.3449686062836</v>
      </c>
      <c r="E57" s="69">
        <f t="shared" ca="1" si="28"/>
        <v>1930.6247753744879</v>
      </c>
      <c r="F57" s="69">
        <f t="shared" ca="1" si="29"/>
        <v>1222.7626372651989</v>
      </c>
      <c r="G57" s="69">
        <f t="shared" ca="1" si="30"/>
        <v>962.91539081486565</v>
      </c>
      <c r="H57" s="69">
        <f t="shared" ca="1" si="31"/>
        <v>1190.989848685799</v>
      </c>
      <c r="I57" s="69">
        <f t="shared" ca="1" si="32"/>
        <v>1044.8945096518385</v>
      </c>
      <c r="J57" s="69">
        <f t="shared" ca="1" si="33"/>
        <v>1149.4560066261076</v>
      </c>
      <c r="K57" s="69">
        <f t="shared" ca="1" si="34"/>
        <v>1180.2392277253707</v>
      </c>
      <c r="L57" s="69">
        <f t="shared" ca="1" si="35"/>
        <v>957.64928215388318</v>
      </c>
      <c r="M57" s="69">
        <f t="shared" ca="1" si="36"/>
        <v>986.22231798569715</v>
      </c>
      <c r="N57" s="69">
        <f t="shared" ca="1" si="37"/>
        <v>572.18434080589418</v>
      </c>
      <c r="O57" s="69">
        <f t="shared" ca="1" si="38"/>
        <v>631.27868053007512</v>
      </c>
      <c r="P57" s="69">
        <f t="shared" ca="1" si="39"/>
        <v>725.77870079416425</v>
      </c>
      <c r="Q57" s="69">
        <f t="shared" ca="1" si="40"/>
        <v>953.68784312848686</v>
      </c>
      <c r="R57" s="69">
        <f t="shared" ca="1" si="41"/>
        <v>785.69315262104999</v>
      </c>
      <c r="S57" s="69">
        <f t="shared" ca="1" si="42"/>
        <v>699.56609344599326</v>
      </c>
      <c r="T57" s="69">
        <f t="shared" ca="1" si="43"/>
        <v>803.99413611387604</v>
      </c>
      <c r="U57" s="69">
        <f t="shared" ca="1" si="44"/>
        <v>1695.3664945177886</v>
      </c>
      <c r="V57" s="69">
        <f t="shared" ca="1" si="45"/>
        <v>1914.2975151167886</v>
      </c>
      <c r="W57" s="69">
        <f t="shared" ca="1" si="46"/>
        <v>1178.2849711649349</v>
      </c>
      <c r="X57" s="69">
        <f t="shared" ca="1" si="47"/>
        <v>1487.4862121824876</v>
      </c>
      <c r="Y57" s="69">
        <f t="shared" ca="1" si="48"/>
        <v>1213.7313009769218</v>
      </c>
      <c r="AA57" s="20">
        <f t="shared" ca="1" si="12"/>
        <v>6.570206002951564E+16</v>
      </c>
      <c r="AB57" s="20">
        <f t="shared" ca="1" si="5"/>
        <v>1684236788689817</v>
      </c>
      <c r="AC57" s="20">
        <f t="shared" ca="1" si="6"/>
        <v>402632149606162.06</v>
      </c>
      <c r="AD57" s="20">
        <f t="shared" ca="1" si="7"/>
        <v>305875763926504.38</v>
      </c>
      <c r="AE57" s="20">
        <f t="shared" ca="1" si="8"/>
        <v>6903969607932894</v>
      </c>
      <c r="AG57" s="16">
        <f t="shared" ca="1" si="13"/>
        <v>2.3744187832037026E-4</v>
      </c>
      <c r="AH57" s="16">
        <f t="shared" ca="1" si="14"/>
        <v>9.0128199857802049E-4</v>
      </c>
      <c r="AI57" s="16">
        <f t="shared" ca="1" si="15"/>
        <v>-6.0860835931041189E-4</v>
      </c>
      <c r="AJ57" s="16">
        <f t="shared" ca="1" si="16"/>
        <v>-7.9164506534255992E-4</v>
      </c>
      <c r="AK57" s="16">
        <f t="shared" ca="1" si="17"/>
        <v>-1.1790519670779583E-4</v>
      </c>
      <c r="AM57" s="16">
        <f t="shared" ca="1" si="18"/>
        <v>-2.6152954775458099E-4</v>
      </c>
      <c r="AO57" s="16">
        <f t="shared" ca="1" si="19"/>
        <v>0</v>
      </c>
      <c r="AP57" s="16">
        <f t="shared" ca="1" si="20"/>
        <v>0</v>
      </c>
      <c r="AQ57" s="16">
        <f t="shared" ca="1" si="21"/>
        <v>-6.0860835931041189E-4</v>
      </c>
      <c r="AR57" s="16">
        <f t="shared" ca="1" si="22"/>
        <v>-7.9164506534255992E-4</v>
      </c>
      <c r="AS57" s="16">
        <f t="shared" ca="1" si="23"/>
        <v>-1.1790519670779583E-4</v>
      </c>
    </row>
    <row r="58" spans="1:45" x14ac:dyDescent="0.25">
      <c r="A58" s="69">
        <f t="shared" ca="1" si="24"/>
        <v>2451.857277713184</v>
      </c>
      <c r="B58" s="69">
        <f t="shared" ca="1" si="25"/>
        <v>2134.5053925251245</v>
      </c>
      <c r="C58" s="69">
        <f t="shared" ca="1" si="26"/>
        <v>2233.5429814287982</v>
      </c>
      <c r="D58" s="69">
        <f t="shared" ca="1" si="27"/>
        <v>2911.3499496552718</v>
      </c>
      <c r="E58" s="69">
        <f t="shared" ca="1" si="28"/>
        <v>1931.0829876662801</v>
      </c>
      <c r="F58" s="69">
        <f t="shared" ca="1" si="29"/>
        <v>1222.8422387465132</v>
      </c>
      <c r="G58" s="69">
        <f t="shared" ca="1" si="30"/>
        <v>963.25366290191857</v>
      </c>
      <c r="H58" s="69">
        <f t="shared" ca="1" si="31"/>
        <v>1191.0484592598564</v>
      </c>
      <c r="I58" s="69">
        <f t="shared" ca="1" si="32"/>
        <v>1045.3694256116082</v>
      </c>
      <c r="J58" s="69">
        <f t="shared" ca="1" si="33"/>
        <v>1149.4345443074794</v>
      </c>
      <c r="K58" s="69">
        <f t="shared" ca="1" si="34"/>
        <v>1180.2392277253707</v>
      </c>
      <c r="L58" s="69">
        <f t="shared" ca="1" si="35"/>
        <v>957.51288881258131</v>
      </c>
      <c r="M58" s="69">
        <f t="shared" ca="1" si="36"/>
        <v>986.21671360206926</v>
      </c>
      <c r="N58" s="69">
        <f t="shared" ca="1" si="37"/>
        <v>572.18434080589418</v>
      </c>
      <c r="O58" s="69">
        <f t="shared" ca="1" si="38"/>
        <v>630.98804969624427</v>
      </c>
      <c r="P58" s="69">
        <f t="shared" ca="1" si="39"/>
        <v>725.56535853774767</v>
      </c>
      <c r="Q58" s="69">
        <f t="shared" ca="1" si="40"/>
        <v>953.53660683358976</v>
      </c>
      <c r="R58" s="69">
        <f t="shared" ca="1" si="41"/>
        <v>785.69315262104999</v>
      </c>
      <c r="S58" s="69">
        <f t="shared" ca="1" si="42"/>
        <v>699.32893924922075</v>
      </c>
      <c r="T58" s="69">
        <f t="shared" ca="1" si="43"/>
        <v>803.99413611387604</v>
      </c>
      <c r="U58" s="69">
        <f t="shared" ca="1" si="44"/>
        <v>1695.3664945177886</v>
      </c>
      <c r="V58" s="69">
        <f t="shared" ca="1" si="45"/>
        <v>1914.3434923295349</v>
      </c>
      <c r="W58" s="69">
        <f t="shared" ca="1" si="46"/>
        <v>1178.2849711649349</v>
      </c>
      <c r="X58" s="69">
        <f t="shared" ca="1" si="47"/>
        <v>1487.2751190921647</v>
      </c>
      <c r="Y58" s="69">
        <f t="shared" ca="1" si="48"/>
        <v>1213.7313009769218</v>
      </c>
      <c r="AA58" s="20">
        <f t="shared" ca="1" si="12"/>
        <v>6.5717662302301744E+16</v>
      </c>
      <c r="AB58" s="20">
        <f t="shared" ca="1" si="5"/>
        <v>1685755445254916.5</v>
      </c>
      <c r="AC58" s="20">
        <f t="shared" ca="1" si="6"/>
        <v>402387178867365.88</v>
      </c>
      <c r="AD58" s="20">
        <f t="shared" ca="1" si="7"/>
        <v>305633714708559.63</v>
      </c>
      <c r="AE58" s="20">
        <f t="shared" ca="1" si="8"/>
        <v>6903155642024554</v>
      </c>
      <c r="AG58" s="16">
        <f t="shared" ca="1" si="13"/>
        <v>-1.2931625593464428E-4</v>
      </c>
      <c r="AH58" s="16">
        <f t="shared" ca="1" si="14"/>
        <v>-1.1325655244141035E-4</v>
      </c>
      <c r="AI58" s="16">
        <f t="shared" ca="1" si="15"/>
        <v>-1.4486254163695418E-3</v>
      </c>
      <c r="AJ58" s="16">
        <f t="shared" ca="1" si="16"/>
        <v>3.0305423262519193E-4</v>
      </c>
      <c r="AK58" s="16">
        <f t="shared" ca="1" si="17"/>
        <v>-5.1001391295179112E-4</v>
      </c>
      <c r="AM58" s="16">
        <f t="shared" ca="1" si="18"/>
        <v>-1.3881439921204044E-3</v>
      </c>
      <c r="AO58" s="16">
        <f t="shared" ca="1" si="19"/>
        <v>-1.2931625593464428E-4</v>
      </c>
      <c r="AP58" s="16">
        <f t="shared" ca="1" si="20"/>
        <v>-1.1325655244141035E-4</v>
      </c>
      <c r="AQ58" s="16">
        <f t="shared" ca="1" si="21"/>
        <v>-1.4486254163695418E-3</v>
      </c>
      <c r="AR58" s="16">
        <f t="shared" ca="1" si="22"/>
        <v>0</v>
      </c>
      <c r="AS58" s="16">
        <f t="shared" ca="1" si="23"/>
        <v>-5.1001391295179112E-4</v>
      </c>
    </row>
    <row r="59" spans="1:45" x14ac:dyDescent="0.25">
      <c r="A59" s="69">
        <f t="shared" ca="1" si="24"/>
        <v>2451.857277713184</v>
      </c>
      <c r="B59" s="69">
        <f t="shared" ca="1" si="25"/>
        <v>2134.5053925251245</v>
      </c>
      <c r="C59" s="69">
        <f t="shared" ca="1" si="26"/>
        <v>2233.5056416261377</v>
      </c>
      <c r="D59" s="69">
        <f t="shared" ca="1" si="27"/>
        <v>2911.0202804480132</v>
      </c>
      <c r="E59" s="69">
        <f t="shared" ca="1" si="28"/>
        <v>1931.0842310871496</v>
      </c>
      <c r="F59" s="69">
        <f t="shared" ca="1" si="29"/>
        <v>1222.7200108218576</v>
      </c>
      <c r="G59" s="69">
        <f t="shared" ca="1" si="30"/>
        <v>962.89868744236696</v>
      </c>
      <c r="H59" s="69">
        <f t="shared" ca="1" si="31"/>
        <v>1191.2513172890319</v>
      </c>
      <c r="I59" s="69">
        <f t="shared" ca="1" si="32"/>
        <v>1045.5180227183753</v>
      </c>
      <c r="J59" s="69">
        <f t="shared" ca="1" si="33"/>
        <v>1149.4837931537213</v>
      </c>
      <c r="K59" s="69">
        <f t="shared" ca="1" si="34"/>
        <v>1180.0470850138188</v>
      </c>
      <c r="L59" s="69">
        <f t="shared" ca="1" si="35"/>
        <v>957.02156423082431</v>
      </c>
      <c r="M59" s="69">
        <f t="shared" ca="1" si="36"/>
        <v>985.79098404917306</v>
      </c>
      <c r="N59" s="69">
        <f t="shared" ca="1" si="37"/>
        <v>571.86004781886413</v>
      </c>
      <c r="O59" s="69">
        <f t="shared" ca="1" si="38"/>
        <v>631.13075851846645</v>
      </c>
      <c r="P59" s="69">
        <f t="shared" ca="1" si="39"/>
        <v>725.30189311234119</v>
      </c>
      <c r="Q59" s="69">
        <f t="shared" ca="1" si="40"/>
        <v>953.53660683358976</v>
      </c>
      <c r="R59" s="69">
        <f t="shared" ca="1" si="41"/>
        <v>785.69315262104999</v>
      </c>
      <c r="S59" s="69">
        <f t="shared" ca="1" si="42"/>
        <v>699.79501372547043</v>
      </c>
      <c r="T59" s="69">
        <f t="shared" ca="1" si="43"/>
        <v>803.99413611387604</v>
      </c>
      <c r="U59" s="69">
        <f t="shared" ca="1" si="44"/>
        <v>1695.4542550777724</v>
      </c>
      <c r="V59" s="69">
        <f t="shared" ca="1" si="45"/>
        <v>1914.2295863978884</v>
      </c>
      <c r="W59" s="69">
        <f t="shared" ca="1" si="46"/>
        <v>1178.2849711649349</v>
      </c>
      <c r="X59" s="69">
        <f t="shared" ca="1" si="47"/>
        <v>1486.9642382485283</v>
      </c>
      <c r="Y59" s="69">
        <f t="shared" ca="1" si="48"/>
        <v>1213.375456214862</v>
      </c>
      <c r="AA59" s="20">
        <f t="shared" ca="1" si="12"/>
        <v>6.5709164489728528E+16</v>
      </c>
      <c r="AB59" s="20">
        <f t="shared" ca="1" si="5"/>
        <v>1685564533216151.3</v>
      </c>
      <c r="AC59" s="20">
        <f t="shared" ca="1" si="6"/>
        <v>401804692576922.94</v>
      </c>
      <c r="AD59" s="20">
        <f t="shared" ca="1" si="7"/>
        <v>305726352335838.56</v>
      </c>
      <c r="AE59" s="20">
        <f t="shared" ca="1" si="8"/>
        <v>6899635834255612</v>
      </c>
      <c r="AG59" s="16">
        <f t="shared" ca="1" si="13"/>
        <v>-2.6929740361769791E-4</v>
      </c>
      <c r="AH59" s="16">
        <f t="shared" ca="1" si="14"/>
        <v>7.7303876807972055E-5</v>
      </c>
      <c r="AI59" s="16">
        <f t="shared" ca="1" si="15"/>
        <v>-2.7788857873393172E-4</v>
      </c>
      <c r="AJ59" s="16">
        <f t="shared" ca="1" si="16"/>
        <v>3.9608093726020208E-5</v>
      </c>
      <c r="AK59" s="16">
        <f t="shared" ca="1" si="17"/>
        <v>-9.6051593734994037E-5</v>
      </c>
      <c r="AM59" s="16">
        <f t="shared" ca="1" si="18"/>
        <v>-4.3027401181763733E-4</v>
      </c>
      <c r="AO59" s="16">
        <f t="shared" ca="1" si="19"/>
        <v>-2.6929740361769791E-4</v>
      </c>
      <c r="AP59" s="16">
        <f t="shared" ca="1" si="20"/>
        <v>0</v>
      </c>
      <c r="AQ59" s="16">
        <f t="shared" ca="1" si="21"/>
        <v>-2.7788857873393172E-4</v>
      </c>
      <c r="AR59" s="16">
        <f t="shared" ca="1" si="22"/>
        <v>0</v>
      </c>
      <c r="AS59" s="16">
        <f t="shared" ca="1" si="23"/>
        <v>-9.6051593734994037E-5</v>
      </c>
    </row>
    <row r="60" spans="1:45" x14ac:dyDescent="0.25">
      <c r="A60" s="69">
        <f t="shared" ca="1" si="24"/>
        <v>2451.857277713184</v>
      </c>
      <c r="B60" s="69">
        <f t="shared" ca="1" si="25"/>
        <v>2134.0915216193598</v>
      </c>
      <c r="C60" s="69">
        <f t="shared" ca="1" si="26"/>
        <v>2233.5344149223906</v>
      </c>
      <c r="D60" s="69">
        <f t="shared" ca="1" si="27"/>
        <v>2910.7633487434646</v>
      </c>
      <c r="E60" s="69">
        <f t="shared" ca="1" si="28"/>
        <v>1931.0842310871496</v>
      </c>
      <c r="F60" s="69">
        <f t="shared" ca="1" si="29"/>
        <v>1223.05200958149</v>
      </c>
      <c r="G60" s="69">
        <f t="shared" ca="1" si="30"/>
        <v>962.70214107220534</v>
      </c>
      <c r="H60" s="69">
        <f t="shared" ca="1" si="31"/>
        <v>1191.2513172890319</v>
      </c>
      <c r="I60" s="69">
        <f t="shared" ca="1" si="32"/>
        <v>1045.136951117476</v>
      </c>
      <c r="J60" s="69">
        <f t="shared" ca="1" si="33"/>
        <v>1149.914359886495</v>
      </c>
      <c r="K60" s="69">
        <f t="shared" ca="1" si="34"/>
        <v>1180.0470850138188</v>
      </c>
      <c r="L60" s="69">
        <f t="shared" ca="1" si="35"/>
        <v>957.02156423082431</v>
      </c>
      <c r="M60" s="69">
        <f t="shared" ca="1" si="36"/>
        <v>985.51708205256796</v>
      </c>
      <c r="N60" s="69">
        <f t="shared" ca="1" si="37"/>
        <v>571.86004781886413</v>
      </c>
      <c r="O60" s="69">
        <f t="shared" ca="1" si="38"/>
        <v>631.13075851846645</v>
      </c>
      <c r="P60" s="69">
        <f t="shared" ca="1" si="39"/>
        <v>725.34154680275935</v>
      </c>
      <c r="Q60" s="69">
        <f t="shared" ca="1" si="40"/>
        <v>953.25096531307872</v>
      </c>
      <c r="R60" s="69">
        <f t="shared" ca="1" si="41"/>
        <v>785.91674759110822</v>
      </c>
      <c r="S60" s="69">
        <f t="shared" ca="1" si="42"/>
        <v>699.79501372547043</v>
      </c>
      <c r="T60" s="69">
        <f t="shared" ca="1" si="43"/>
        <v>803.99413611387604</v>
      </c>
      <c r="U60" s="69">
        <f t="shared" ca="1" si="44"/>
        <v>1695.4542550777724</v>
      </c>
      <c r="V60" s="69">
        <f t="shared" ca="1" si="45"/>
        <v>1913.8940561103773</v>
      </c>
      <c r="W60" s="69">
        <f t="shared" ca="1" si="46"/>
        <v>1178.2432947633722</v>
      </c>
      <c r="X60" s="69">
        <f t="shared" ca="1" si="47"/>
        <v>1486.9642382485283</v>
      </c>
      <c r="Y60" s="69">
        <f t="shared" ca="1" si="48"/>
        <v>1213.5145375707082</v>
      </c>
      <c r="AA60" s="20">
        <f t="shared" ca="1" si="12"/>
        <v>6.5691471564773856E+16</v>
      </c>
      <c r="AB60" s="20">
        <f t="shared" ca="1" si="5"/>
        <v>1685694838925682.3</v>
      </c>
      <c r="AC60" s="20">
        <f t="shared" ca="1" si="6"/>
        <v>401693051154630.63</v>
      </c>
      <c r="AD60" s="20">
        <f t="shared" ca="1" si="7"/>
        <v>305738461813671.5</v>
      </c>
      <c r="AE60" s="20">
        <f t="shared" ca="1" si="8"/>
        <v>6898973145064227</v>
      </c>
      <c r="AG60" s="16">
        <f t="shared" ca="1" si="13"/>
        <v>1.0727988820664235E-4</v>
      </c>
      <c r="AH60" s="16">
        <f t="shared" ca="1" si="14"/>
        <v>2.218601669032123E-4</v>
      </c>
      <c r="AI60" s="16">
        <f t="shared" ca="1" si="15"/>
        <v>-4.1905487515440183E-4</v>
      </c>
      <c r="AJ60" s="16">
        <f t="shared" ca="1" si="16"/>
        <v>8.4165185250994698E-4</v>
      </c>
      <c r="AK60" s="16">
        <f t="shared" ca="1" si="17"/>
        <v>8.827335330681478E-4</v>
      </c>
      <c r="AM60" s="16">
        <f t="shared" ca="1" si="18"/>
        <v>7.5173703246539977E-4</v>
      </c>
      <c r="AO60" s="16">
        <f t="shared" ca="1" si="19"/>
        <v>0</v>
      </c>
      <c r="AP60" s="16">
        <f t="shared" ca="1" si="20"/>
        <v>0</v>
      </c>
      <c r="AQ60" s="16">
        <f t="shared" ca="1" si="21"/>
        <v>-4.1905487515440183E-4</v>
      </c>
      <c r="AR60" s="16">
        <f t="shared" ca="1" si="22"/>
        <v>0</v>
      </c>
      <c r="AS60" s="16">
        <f t="shared" ca="1" si="23"/>
        <v>0</v>
      </c>
    </row>
    <row r="61" spans="1:45" x14ac:dyDescent="0.25">
      <c r="A61" s="69">
        <f t="shared" ca="1" si="24"/>
        <v>2451.8423243339025</v>
      </c>
      <c r="B61" s="69">
        <f t="shared" ca="1" si="25"/>
        <v>2134.0915216193598</v>
      </c>
      <c r="C61" s="69">
        <f t="shared" ca="1" si="26"/>
        <v>2233.5344149223906</v>
      </c>
      <c r="D61" s="69">
        <f t="shared" ca="1" si="27"/>
        <v>2911.0933860276455</v>
      </c>
      <c r="E61" s="69">
        <f t="shared" ca="1" si="28"/>
        <v>1931.0842310871496</v>
      </c>
      <c r="F61" s="69">
        <f t="shared" ca="1" si="29"/>
        <v>1223.05200958149</v>
      </c>
      <c r="G61" s="69">
        <f t="shared" ca="1" si="30"/>
        <v>962.91575002468437</v>
      </c>
      <c r="H61" s="69">
        <f t="shared" ca="1" si="31"/>
        <v>1191.2513172890319</v>
      </c>
      <c r="I61" s="69">
        <f t="shared" ca="1" si="32"/>
        <v>1045.136951117476</v>
      </c>
      <c r="J61" s="69">
        <f t="shared" ca="1" si="33"/>
        <v>1149.914359886495</v>
      </c>
      <c r="K61" s="69">
        <f t="shared" ca="1" si="34"/>
        <v>1180.03594448628</v>
      </c>
      <c r="L61" s="69">
        <f t="shared" ca="1" si="35"/>
        <v>957.02156423082431</v>
      </c>
      <c r="M61" s="69">
        <f t="shared" ca="1" si="36"/>
        <v>985.25970579042928</v>
      </c>
      <c r="N61" s="69">
        <f t="shared" ca="1" si="37"/>
        <v>572.05492775131574</v>
      </c>
      <c r="O61" s="69">
        <f t="shared" ca="1" si="38"/>
        <v>630.82211899736569</v>
      </c>
      <c r="P61" s="69">
        <f t="shared" ca="1" si="39"/>
        <v>725.22809729672304</v>
      </c>
      <c r="Q61" s="69">
        <f t="shared" ca="1" si="40"/>
        <v>953.25096531307872</v>
      </c>
      <c r="R61" s="69">
        <f t="shared" ca="1" si="41"/>
        <v>785.99393339888468</v>
      </c>
      <c r="S61" s="69">
        <f t="shared" ca="1" si="42"/>
        <v>699.99328857476303</v>
      </c>
      <c r="T61" s="69">
        <f t="shared" ca="1" si="43"/>
        <v>804.49001044951422</v>
      </c>
      <c r="U61" s="69">
        <f t="shared" ca="1" si="44"/>
        <v>1695.8513673761372</v>
      </c>
      <c r="V61" s="69">
        <f t="shared" ca="1" si="45"/>
        <v>1914.2289282838142</v>
      </c>
      <c r="W61" s="69">
        <f t="shared" ca="1" si="46"/>
        <v>1178.4237294047443</v>
      </c>
      <c r="X61" s="69">
        <f t="shared" ca="1" si="47"/>
        <v>1487.3803617263468</v>
      </c>
      <c r="Y61" s="69">
        <f t="shared" ca="1" si="48"/>
        <v>1213.56386791311</v>
      </c>
      <c r="AA61" s="20">
        <f t="shared" ca="1" si="12"/>
        <v>6.5698519316533712E+16</v>
      </c>
      <c r="AB61" s="20">
        <f t="shared" ca="1" si="5"/>
        <v>1686068868953642.3</v>
      </c>
      <c r="AC61" s="20">
        <f t="shared" ca="1" si="6"/>
        <v>401524754988355.94</v>
      </c>
      <c r="AD61" s="20">
        <f t="shared" ca="1" si="7"/>
        <v>305995895476003.25</v>
      </c>
      <c r="AE61" s="20">
        <f t="shared" ca="1" si="8"/>
        <v>6905065788697907</v>
      </c>
      <c r="AG61" s="16">
        <f t="shared" ca="1" si="13"/>
        <v>1.2411064031999121E-4</v>
      </c>
      <c r="AH61" s="16">
        <f t="shared" ca="1" si="14"/>
        <v>-7.1640572366495775E-4</v>
      </c>
      <c r="AI61" s="16">
        <f t="shared" ca="1" si="15"/>
        <v>7.3282746517083095E-8</v>
      </c>
      <c r="AJ61" s="16">
        <f t="shared" ca="1" si="16"/>
        <v>1.9605037785460026E-5</v>
      </c>
      <c r="AK61" s="16">
        <f t="shared" ca="1" si="17"/>
        <v>0</v>
      </c>
      <c r="AM61" s="16">
        <f t="shared" ca="1" si="18"/>
        <v>-5.7261676281298939E-4</v>
      </c>
      <c r="AO61" s="16">
        <f t="shared" ca="1" si="19"/>
        <v>0</v>
      </c>
      <c r="AP61" s="16">
        <f t="shared" ca="1" si="20"/>
        <v>-7.1640572366495775E-4</v>
      </c>
      <c r="AQ61" s="16">
        <f t="shared" ca="1" si="21"/>
        <v>0</v>
      </c>
      <c r="AR61" s="16">
        <f t="shared" ca="1" si="22"/>
        <v>0</v>
      </c>
      <c r="AS61" s="16">
        <f t="shared" ca="1" si="23"/>
        <v>0</v>
      </c>
    </row>
    <row r="62" spans="1:45" x14ac:dyDescent="0.25">
      <c r="A62" s="69">
        <f t="shared" ca="1" si="24"/>
        <v>2451.8423243339025</v>
      </c>
      <c r="B62" s="69">
        <f t="shared" ca="1" si="25"/>
        <v>2134.0915216193598</v>
      </c>
      <c r="C62" s="69">
        <f t="shared" ca="1" si="26"/>
        <v>2233.5344149223906</v>
      </c>
      <c r="D62" s="69">
        <f t="shared" ca="1" si="27"/>
        <v>2911.4547061131861</v>
      </c>
      <c r="E62" s="69">
        <f t="shared" ca="1" si="28"/>
        <v>1931.0842310871496</v>
      </c>
      <c r="F62" s="69">
        <f t="shared" ca="1" si="29"/>
        <v>1223.05200958149</v>
      </c>
      <c r="G62" s="69">
        <f t="shared" ca="1" si="30"/>
        <v>962.68458046450007</v>
      </c>
      <c r="H62" s="69">
        <f t="shared" ca="1" si="31"/>
        <v>1191.2513172890319</v>
      </c>
      <c r="I62" s="69">
        <f t="shared" ca="1" si="32"/>
        <v>1044.6392662876001</v>
      </c>
      <c r="J62" s="69">
        <f t="shared" ca="1" si="33"/>
        <v>1149.914359886495</v>
      </c>
      <c r="K62" s="69">
        <f t="shared" ca="1" si="34"/>
        <v>1180.3388362384892</v>
      </c>
      <c r="L62" s="69">
        <f t="shared" ca="1" si="35"/>
        <v>957.02156423082431</v>
      </c>
      <c r="M62" s="69">
        <f t="shared" ca="1" si="36"/>
        <v>985.00694630483417</v>
      </c>
      <c r="N62" s="69">
        <f t="shared" ca="1" si="37"/>
        <v>572.05492775131574</v>
      </c>
      <c r="O62" s="69">
        <f t="shared" ca="1" si="38"/>
        <v>630.82211899736569</v>
      </c>
      <c r="P62" s="69">
        <f t="shared" ca="1" si="39"/>
        <v>725.22809729672304</v>
      </c>
      <c r="Q62" s="69">
        <f t="shared" ca="1" si="40"/>
        <v>953.25096531307872</v>
      </c>
      <c r="R62" s="69">
        <f t="shared" ca="1" si="41"/>
        <v>785.99393339888468</v>
      </c>
      <c r="S62" s="69">
        <f t="shared" ca="1" si="42"/>
        <v>699.8185024497451</v>
      </c>
      <c r="T62" s="69">
        <f t="shared" ca="1" si="43"/>
        <v>804.70671539989644</v>
      </c>
      <c r="U62" s="69">
        <f t="shared" ca="1" si="44"/>
        <v>1695.8513673761372</v>
      </c>
      <c r="V62" s="69">
        <f t="shared" ca="1" si="45"/>
        <v>1914.2289282838142</v>
      </c>
      <c r="W62" s="69">
        <f t="shared" ca="1" si="46"/>
        <v>1178.4237294047443</v>
      </c>
      <c r="X62" s="69">
        <f t="shared" ca="1" si="47"/>
        <v>1487.3803617263468</v>
      </c>
      <c r="Y62" s="69">
        <f t="shared" ca="1" si="48"/>
        <v>1213.56386791311</v>
      </c>
      <c r="AA62" s="20">
        <f t="shared" ca="1" si="12"/>
        <v>6.5706673707847056E+16</v>
      </c>
      <c r="AB62" s="20">
        <f t="shared" ca="1" si="5"/>
        <v>1684861392138724.8</v>
      </c>
      <c r="AC62" s="20">
        <f t="shared" ca="1" si="6"/>
        <v>401524784413193.88</v>
      </c>
      <c r="AD62" s="20">
        <f t="shared" ca="1" si="7"/>
        <v>306001894595902.56</v>
      </c>
      <c r="AE62" s="20">
        <f t="shared" ca="1" si="8"/>
        <v>6905065788697907</v>
      </c>
      <c r="AG62" s="16">
        <f t="shared" ca="1" si="13"/>
        <v>2.962642297008333E-4</v>
      </c>
      <c r="AH62" s="16">
        <f t="shared" ca="1" si="14"/>
        <v>2.9109248247986256E-5</v>
      </c>
      <c r="AI62" s="16">
        <f t="shared" ca="1" si="15"/>
        <v>-8.33789067893916E-4</v>
      </c>
      <c r="AJ62" s="16">
        <f t="shared" ca="1" si="16"/>
        <v>6.2346144125080354E-4</v>
      </c>
      <c r="AK62" s="16">
        <f t="shared" ca="1" si="17"/>
        <v>-5.2715351349236087E-4</v>
      </c>
      <c r="AM62" s="16">
        <f t="shared" ca="1" si="18"/>
        <v>1.1504585130570717E-4</v>
      </c>
      <c r="AO62" s="16">
        <f t="shared" ca="1" si="19"/>
        <v>0</v>
      </c>
      <c r="AP62" s="16">
        <f t="shared" ca="1" si="20"/>
        <v>0</v>
      </c>
      <c r="AQ62" s="16">
        <f t="shared" ca="1" si="21"/>
        <v>-8.33789067893916E-4</v>
      </c>
      <c r="AR62" s="16">
        <f t="shared" ca="1" si="22"/>
        <v>0</v>
      </c>
      <c r="AS62" s="16">
        <f t="shared" ca="1" si="23"/>
        <v>-5.2715351349236087E-4</v>
      </c>
    </row>
    <row r="63" spans="1:45" x14ac:dyDescent="0.25">
      <c r="A63" s="69">
        <f t="shared" ca="1" si="24"/>
        <v>2452.2312179548467</v>
      </c>
      <c r="B63" s="69">
        <f t="shared" ca="1" si="25"/>
        <v>2134.0915216193598</v>
      </c>
      <c r="C63" s="69">
        <f t="shared" ca="1" si="26"/>
        <v>2233.5344149223906</v>
      </c>
      <c r="D63" s="69">
        <f t="shared" ca="1" si="27"/>
        <v>2911.8555361715403</v>
      </c>
      <c r="E63" s="69">
        <f t="shared" ca="1" si="28"/>
        <v>1931.0842310871496</v>
      </c>
      <c r="F63" s="69">
        <f t="shared" ca="1" si="29"/>
        <v>1222.8949630110958</v>
      </c>
      <c r="G63" s="69">
        <f t="shared" ca="1" si="30"/>
        <v>962.92132981820362</v>
      </c>
      <c r="H63" s="69">
        <f t="shared" ca="1" si="31"/>
        <v>1191.2513172890319</v>
      </c>
      <c r="I63" s="69">
        <f t="shared" ca="1" si="32"/>
        <v>1044.8979503958578</v>
      </c>
      <c r="J63" s="69">
        <f t="shared" ca="1" si="33"/>
        <v>1149.5280852676747</v>
      </c>
      <c r="K63" s="69">
        <f t="shared" ca="1" si="34"/>
        <v>1180.3388362384892</v>
      </c>
      <c r="L63" s="69">
        <f t="shared" ca="1" si="35"/>
        <v>957.09413047287683</v>
      </c>
      <c r="M63" s="69">
        <f t="shared" ca="1" si="36"/>
        <v>985.00694630483417</v>
      </c>
      <c r="N63" s="69">
        <f t="shared" ca="1" si="37"/>
        <v>571.94112288014696</v>
      </c>
      <c r="O63" s="69">
        <f t="shared" ca="1" si="38"/>
        <v>630.37398386370182</v>
      </c>
      <c r="P63" s="69">
        <f t="shared" ca="1" si="39"/>
        <v>725.40835767378269</v>
      </c>
      <c r="Q63" s="69">
        <f t="shared" ca="1" si="40"/>
        <v>952.99848111238407</v>
      </c>
      <c r="R63" s="69">
        <f t="shared" ca="1" si="41"/>
        <v>786.26053971577426</v>
      </c>
      <c r="S63" s="69">
        <f t="shared" ca="1" si="42"/>
        <v>700.02896823265417</v>
      </c>
      <c r="T63" s="69">
        <f t="shared" ca="1" si="43"/>
        <v>804.70671539989644</v>
      </c>
      <c r="U63" s="69">
        <f t="shared" ca="1" si="44"/>
        <v>1695.4526634817287</v>
      </c>
      <c r="V63" s="69">
        <f t="shared" ca="1" si="45"/>
        <v>1914.2259254046762</v>
      </c>
      <c r="W63" s="69">
        <f t="shared" ca="1" si="46"/>
        <v>1178.4237294047443</v>
      </c>
      <c r="X63" s="69">
        <f t="shared" ca="1" si="47"/>
        <v>1487.1076732786191</v>
      </c>
      <c r="Y63" s="69">
        <f t="shared" ca="1" si="48"/>
        <v>1213.433901951654</v>
      </c>
      <c r="AA63" s="20">
        <f t="shared" ca="1" si="12"/>
        <v>6.5726143128823416E+16</v>
      </c>
      <c r="AB63" s="20">
        <f t="shared" ca="1" si="5"/>
        <v>1684910437901091.3</v>
      </c>
      <c r="AC63" s="20">
        <f t="shared" ca="1" si="6"/>
        <v>401190136969539.13</v>
      </c>
      <c r="AD63" s="20">
        <f t="shared" ca="1" si="7"/>
        <v>306192734462600.31</v>
      </c>
      <c r="AE63" s="20">
        <f t="shared" ca="1" si="8"/>
        <v>6901426718265153</v>
      </c>
      <c r="AG63" s="16">
        <f t="shared" ca="1" si="13"/>
        <v>1.1830745419412298E-4</v>
      </c>
      <c r="AH63" s="16">
        <f t="shared" ca="1" si="14"/>
        <v>1.0749510184716547E-3</v>
      </c>
      <c r="AI63" s="16">
        <f t="shared" ca="1" si="15"/>
        <v>8.0862008137408804E-4</v>
      </c>
      <c r="AJ63" s="16">
        <f t="shared" ca="1" si="16"/>
        <v>-2.3017996159454274E-4</v>
      </c>
      <c r="AK63" s="16">
        <f t="shared" ca="1" si="17"/>
        <v>-6.876129338467536E-4</v>
      </c>
      <c r="AM63" s="16">
        <f t="shared" ca="1" si="18"/>
        <v>1.7716985924453232E-3</v>
      </c>
      <c r="AO63" s="16">
        <f t="shared" ca="1" si="19"/>
        <v>0</v>
      </c>
      <c r="AP63" s="16">
        <f t="shared" ca="1" si="20"/>
        <v>0</v>
      </c>
      <c r="AQ63" s="16">
        <f t="shared" ca="1" si="21"/>
        <v>0</v>
      </c>
      <c r="AR63" s="16">
        <f t="shared" ca="1" si="22"/>
        <v>-2.3017996159454274E-4</v>
      </c>
      <c r="AS63" s="16">
        <f t="shared" ca="1" si="23"/>
        <v>-6.876129338467536E-4</v>
      </c>
    </row>
    <row r="64" spans="1:45" x14ac:dyDescent="0.25">
      <c r="A64" s="69">
        <f t="shared" ca="1" si="24"/>
        <v>2452.0285327557972</v>
      </c>
      <c r="B64" s="69">
        <f t="shared" ca="1" si="25"/>
        <v>2134.5287927474828</v>
      </c>
      <c r="C64" s="69">
        <f t="shared" ca="1" si="26"/>
        <v>2233.8678448243554</v>
      </c>
      <c r="D64" s="69">
        <f t="shared" ca="1" si="27"/>
        <v>2911.7587810869768</v>
      </c>
      <c r="E64" s="69">
        <f t="shared" ca="1" si="28"/>
        <v>1930.8525986136087</v>
      </c>
      <c r="F64" s="69">
        <f t="shared" ca="1" si="29"/>
        <v>1222.8949630110958</v>
      </c>
      <c r="G64" s="69">
        <f t="shared" ca="1" si="30"/>
        <v>963.41964651573892</v>
      </c>
      <c r="H64" s="69">
        <f t="shared" ca="1" si="31"/>
        <v>1191.4358075177547</v>
      </c>
      <c r="I64" s="69">
        <f t="shared" ca="1" si="32"/>
        <v>1045.3188372956492</v>
      </c>
      <c r="J64" s="69">
        <f t="shared" ca="1" si="33"/>
        <v>1149.5280852676747</v>
      </c>
      <c r="K64" s="69">
        <f t="shared" ca="1" si="34"/>
        <v>1180.6169738140459</v>
      </c>
      <c r="L64" s="69">
        <f t="shared" ca="1" si="35"/>
        <v>957.09413047287683</v>
      </c>
      <c r="M64" s="69">
        <f t="shared" ca="1" si="36"/>
        <v>985.00694630483417</v>
      </c>
      <c r="N64" s="69">
        <f t="shared" ca="1" si="37"/>
        <v>572.34892078475207</v>
      </c>
      <c r="O64" s="69">
        <f t="shared" ca="1" si="38"/>
        <v>630.28589712863572</v>
      </c>
      <c r="P64" s="69">
        <f t="shared" ca="1" si="39"/>
        <v>725.2414024214869</v>
      </c>
      <c r="Q64" s="69">
        <f t="shared" ca="1" si="40"/>
        <v>952.99848111238407</v>
      </c>
      <c r="R64" s="69">
        <f t="shared" ca="1" si="41"/>
        <v>786.26053971577426</v>
      </c>
      <c r="S64" s="69">
        <f t="shared" ca="1" si="42"/>
        <v>700.02896823265417</v>
      </c>
      <c r="T64" s="69">
        <f t="shared" ca="1" si="43"/>
        <v>804.70671539989644</v>
      </c>
      <c r="U64" s="69">
        <f t="shared" ca="1" si="44"/>
        <v>1695.0896606360245</v>
      </c>
      <c r="V64" s="69">
        <f t="shared" ca="1" si="45"/>
        <v>1914.2259254046762</v>
      </c>
      <c r="W64" s="69">
        <f t="shared" ca="1" si="46"/>
        <v>1178.2371181396377</v>
      </c>
      <c r="X64" s="69">
        <f t="shared" ca="1" si="47"/>
        <v>1487.115177920215</v>
      </c>
      <c r="Y64" s="69">
        <f t="shared" ca="1" si="48"/>
        <v>1213.0454669434446</v>
      </c>
      <c r="AA64" s="20">
        <f t="shared" ca="1" si="12"/>
        <v>6.573391948148216E+16</v>
      </c>
      <c r="AB64" s="20">
        <f t="shared" ca="1" si="5"/>
        <v>1686722607914847.5</v>
      </c>
      <c r="AC64" s="20">
        <f t="shared" ca="1" si="6"/>
        <v>401514678568485.06</v>
      </c>
      <c r="AD64" s="20">
        <f t="shared" ca="1" si="7"/>
        <v>306122263141595.31</v>
      </c>
      <c r="AE64" s="20">
        <f t="shared" ca="1" si="8"/>
        <v>6896682839154908</v>
      </c>
      <c r="AG64" s="16">
        <f t="shared" ca="1" si="13"/>
        <v>6.4924393358174365E-5</v>
      </c>
      <c r="AH64" s="16">
        <f t="shared" ca="1" si="14"/>
        <v>-2.9829649937515991E-4</v>
      </c>
      <c r="AI64" s="16">
        <f t="shared" ca="1" si="15"/>
        <v>-1.0390769366985752E-4</v>
      </c>
      <c r="AJ64" s="16">
        <f t="shared" ca="1" si="16"/>
        <v>1.2887379494063003E-4</v>
      </c>
      <c r="AK64" s="16">
        <f t="shared" ca="1" si="17"/>
        <v>1.1545856091340256E-5</v>
      </c>
      <c r="AM64" s="16">
        <f t="shared" ca="1" si="18"/>
        <v>-2.0840600474621304E-4</v>
      </c>
      <c r="AO64" s="16">
        <f t="shared" ca="1" si="19"/>
        <v>0</v>
      </c>
      <c r="AP64" s="16">
        <f t="shared" ca="1" si="20"/>
        <v>-2.9829649937515991E-4</v>
      </c>
      <c r="AQ64" s="16">
        <f t="shared" ca="1" si="21"/>
        <v>-1.0390769366985752E-4</v>
      </c>
      <c r="AR64" s="16">
        <f t="shared" ca="1" si="22"/>
        <v>0</v>
      </c>
      <c r="AS64" s="16">
        <f t="shared" ca="1" si="23"/>
        <v>0</v>
      </c>
    </row>
    <row r="65" spans="1:45" x14ac:dyDescent="0.25">
      <c r="A65" s="69">
        <f t="shared" ca="1" si="24"/>
        <v>2452.0285327557972</v>
      </c>
      <c r="B65" s="69">
        <f t="shared" ca="1" si="25"/>
        <v>2134.5287927474828</v>
      </c>
      <c r="C65" s="69">
        <f t="shared" ca="1" si="26"/>
        <v>2234.3388345674766</v>
      </c>
      <c r="D65" s="69">
        <f t="shared" ca="1" si="27"/>
        <v>2911.8464964780101</v>
      </c>
      <c r="E65" s="69">
        <f t="shared" ca="1" si="28"/>
        <v>1930.5127638323759</v>
      </c>
      <c r="F65" s="69">
        <f t="shared" ca="1" si="29"/>
        <v>1222.5515242159588</v>
      </c>
      <c r="G65" s="69">
        <f t="shared" ca="1" si="30"/>
        <v>963.46046744710986</v>
      </c>
      <c r="H65" s="69">
        <f t="shared" ca="1" si="31"/>
        <v>1191.1529442672504</v>
      </c>
      <c r="I65" s="69">
        <f t="shared" ca="1" si="32"/>
        <v>1045.7568207514453</v>
      </c>
      <c r="J65" s="69">
        <f t="shared" ca="1" si="33"/>
        <v>1149.2507932007395</v>
      </c>
      <c r="K65" s="69">
        <f t="shared" ca="1" si="34"/>
        <v>1180.9731825320841</v>
      </c>
      <c r="L65" s="69">
        <f t="shared" ca="1" si="35"/>
        <v>956.60901025926364</v>
      </c>
      <c r="M65" s="69">
        <f t="shared" ca="1" si="36"/>
        <v>984.65484854221506</v>
      </c>
      <c r="N65" s="69">
        <f t="shared" ca="1" si="37"/>
        <v>572.74385393870932</v>
      </c>
      <c r="O65" s="69">
        <f t="shared" ca="1" si="38"/>
        <v>630.14041710026038</v>
      </c>
      <c r="P65" s="69">
        <f t="shared" ca="1" si="39"/>
        <v>725.47439539123252</v>
      </c>
      <c r="Q65" s="69">
        <f t="shared" ca="1" si="40"/>
        <v>952.81665432408863</v>
      </c>
      <c r="R65" s="69">
        <f t="shared" ca="1" si="41"/>
        <v>786.26053971577426</v>
      </c>
      <c r="S65" s="69">
        <f t="shared" ca="1" si="42"/>
        <v>700.39678747339917</v>
      </c>
      <c r="T65" s="69">
        <f t="shared" ca="1" si="43"/>
        <v>804.28289068778372</v>
      </c>
      <c r="U65" s="69">
        <f t="shared" ca="1" si="44"/>
        <v>1695.0095272886992</v>
      </c>
      <c r="V65" s="69">
        <f t="shared" ca="1" si="45"/>
        <v>1914.2259254046762</v>
      </c>
      <c r="W65" s="69">
        <f t="shared" ca="1" si="46"/>
        <v>1178.0613120901876</v>
      </c>
      <c r="X65" s="69">
        <f t="shared" ca="1" si="47"/>
        <v>1487.4245940245326</v>
      </c>
      <c r="Y65" s="69">
        <f t="shared" ca="1" si="48"/>
        <v>1213.0454669434446</v>
      </c>
      <c r="AA65" s="20">
        <f t="shared" ca="1" si="12"/>
        <v>6.57381873548706E+16</v>
      </c>
      <c r="AB65" s="20">
        <f t="shared" ca="1" si="5"/>
        <v>1686219539500993.3</v>
      </c>
      <c r="AC65" s="20">
        <f t="shared" ca="1" si="6"/>
        <v>401472960271723.94</v>
      </c>
      <c r="AD65" s="20">
        <f t="shared" ca="1" si="7"/>
        <v>306161716821580.31</v>
      </c>
      <c r="AE65" s="20">
        <f t="shared" ca="1" si="8"/>
        <v>6896762467722165</v>
      </c>
      <c r="AG65" s="16">
        <f t="shared" ca="1" si="13"/>
        <v>-4.1415427871339575E-4</v>
      </c>
      <c r="AH65" s="16">
        <f t="shared" ca="1" si="14"/>
        <v>4.7981606433260314E-4</v>
      </c>
      <c r="AI65" s="16">
        <f t="shared" ca="1" si="15"/>
        <v>-1.2362793640318238E-3</v>
      </c>
      <c r="AJ65" s="16">
        <f t="shared" ca="1" si="16"/>
        <v>-1.0348832647416378E-3</v>
      </c>
      <c r="AK65" s="16">
        <f t="shared" ca="1" si="17"/>
        <v>4.4691700514964901E-4</v>
      </c>
      <c r="AM65" s="16">
        <f t="shared" ca="1" si="18"/>
        <v>-2.2055008431542543E-3</v>
      </c>
      <c r="AO65" s="16">
        <f t="shared" ca="1" si="19"/>
        <v>-4.1415427871339575E-4</v>
      </c>
      <c r="AP65" s="16">
        <f t="shared" ca="1" si="20"/>
        <v>0</v>
      </c>
      <c r="AQ65" s="16">
        <f t="shared" ca="1" si="21"/>
        <v>-1.2362793640318238E-3</v>
      </c>
      <c r="AR65" s="16">
        <f t="shared" ca="1" si="22"/>
        <v>-1.0348832647416378E-3</v>
      </c>
      <c r="AS65" s="16">
        <f t="shared" ca="1" si="23"/>
        <v>0</v>
      </c>
    </row>
    <row r="66" spans="1:45" x14ac:dyDescent="0.25">
      <c r="A66" s="69">
        <f t="shared" ca="1" si="24"/>
        <v>2451.7040349318272</v>
      </c>
      <c r="B66" s="69">
        <f t="shared" ca="1" si="25"/>
        <v>2134.627620786865</v>
      </c>
      <c r="C66" s="69">
        <f t="shared" ca="1" si="26"/>
        <v>2234.3388345674766</v>
      </c>
      <c r="D66" s="69">
        <f t="shared" ca="1" si="27"/>
        <v>2911.5736890574453</v>
      </c>
      <c r="E66" s="69">
        <f t="shared" ca="1" si="28"/>
        <v>1930.0602806718225</v>
      </c>
      <c r="F66" s="69">
        <f t="shared" ca="1" si="29"/>
        <v>1222.993552423186</v>
      </c>
      <c r="G66" s="69">
        <f t="shared" ca="1" si="30"/>
        <v>963.77791461523736</v>
      </c>
      <c r="H66" s="69">
        <f t="shared" ca="1" si="31"/>
        <v>1190.8572786265272</v>
      </c>
      <c r="I66" s="69">
        <f t="shared" ca="1" si="32"/>
        <v>1045.7568207514453</v>
      </c>
      <c r="J66" s="69">
        <f t="shared" ca="1" si="33"/>
        <v>1149.2934726269848</v>
      </c>
      <c r="K66" s="69">
        <f t="shared" ca="1" si="34"/>
        <v>1180.9731825320841</v>
      </c>
      <c r="L66" s="69">
        <f t="shared" ca="1" si="35"/>
        <v>956.13498624841429</v>
      </c>
      <c r="M66" s="69">
        <f t="shared" ca="1" si="36"/>
        <v>984.45684279158479</v>
      </c>
      <c r="N66" s="69">
        <f t="shared" ca="1" si="37"/>
        <v>572.43493083072724</v>
      </c>
      <c r="O66" s="69">
        <f t="shared" ca="1" si="38"/>
        <v>630.14041710026038</v>
      </c>
      <c r="P66" s="69">
        <f t="shared" ca="1" si="39"/>
        <v>725.07556597562279</v>
      </c>
      <c r="Q66" s="69">
        <f t="shared" ca="1" si="40"/>
        <v>952.84940428001448</v>
      </c>
      <c r="R66" s="69">
        <f t="shared" ca="1" si="41"/>
        <v>785.85229863612824</v>
      </c>
      <c r="S66" s="69">
        <f t="shared" ca="1" si="42"/>
        <v>700.39678747339917</v>
      </c>
      <c r="T66" s="69">
        <f t="shared" ca="1" si="43"/>
        <v>804.28289068778372</v>
      </c>
      <c r="U66" s="69">
        <f t="shared" ca="1" si="44"/>
        <v>1695.0095272886992</v>
      </c>
      <c r="V66" s="69">
        <f t="shared" ca="1" si="45"/>
        <v>1914.2838539326262</v>
      </c>
      <c r="W66" s="69">
        <f t="shared" ca="1" si="46"/>
        <v>1177.9951215797098</v>
      </c>
      <c r="X66" s="69">
        <f t="shared" ca="1" si="47"/>
        <v>1487.6575594293438</v>
      </c>
      <c r="Y66" s="69">
        <f t="shared" ca="1" si="48"/>
        <v>1213.4291311736956</v>
      </c>
      <c r="AA66" s="20">
        <f t="shared" ca="1" si="12"/>
        <v>6.571096724035524E+16</v>
      </c>
      <c r="AB66" s="20">
        <f t="shared" ca="1" si="5"/>
        <v>1687028808858730.5</v>
      </c>
      <c r="AC66" s="20">
        <f t="shared" ca="1" si="6"/>
        <v>400976934212290.5</v>
      </c>
      <c r="AD66" s="20">
        <f t="shared" ca="1" si="7"/>
        <v>305845039075050.25</v>
      </c>
      <c r="AE66" s="20">
        <f t="shared" ca="1" si="8"/>
        <v>6899845437013855</v>
      </c>
      <c r="AG66" s="16">
        <f t="shared" ca="1" si="13"/>
        <v>-3.8115464697949784E-4</v>
      </c>
      <c r="AH66" s="16">
        <f t="shared" ca="1" si="14"/>
        <v>-5.7866436870502799E-4</v>
      </c>
      <c r="AI66" s="16">
        <f t="shared" ca="1" si="15"/>
        <v>9.3024427983649024E-4</v>
      </c>
      <c r="AJ66" s="16">
        <f t="shared" ca="1" si="16"/>
        <v>-4.9919437577047822E-4</v>
      </c>
      <c r="AK66" s="16">
        <f t="shared" ca="1" si="17"/>
        <v>1.6397626527600632E-4</v>
      </c>
      <c r="AM66" s="16">
        <f t="shared" ca="1" si="18"/>
        <v>-5.2876911161851381E-4</v>
      </c>
      <c r="AO66" s="16">
        <f t="shared" ca="1" si="19"/>
        <v>-3.8115464697949784E-4</v>
      </c>
      <c r="AP66" s="16">
        <f t="shared" ca="1" si="20"/>
        <v>-5.7866436870502799E-4</v>
      </c>
      <c r="AQ66" s="16">
        <f t="shared" ca="1" si="21"/>
        <v>0</v>
      </c>
      <c r="AR66" s="16">
        <f t="shared" ca="1" si="22"/>
        <v>-4.9919437577047822E-4</v>
      </c>
      <c r="AS66" s="16">
        <f t="shared" ca="1" si="23"/>
        <v>0</v>
      </c>
    </row>
    <row r="67" spans="1:45" x14ac:dyDescent="0.25">
      <c r="A67" s="69">
        <f t="shared" ca="1" si="24"/>
        <v>2451.9725384267417</v>
      </c>
      <c r="B67" s="69">
        <f t="shared" ca="1" si="25"/>
        <v>2134.4918994049413</v>
      </c>
      <c r="C67" s="69">
        <f t="shared" ca="1" si="26"/>
        <v>2233.9246494390113</v>
      </c>
      <c r="D67" s="69">
        <f t="shared" ca="1" si="27"/>
        <v>2911.1802330256291</v>
      </c>
      <c r="E67" s="69">
        <f t="shared" ca="1" si="28"/>
        <v>1929.8546459539518</v>
      </c>
      <c r="F67" s="69">
        <f t="shared" ca="1" si="29"/>
        <v>1222.9348079926863</v>
      </c>
      <c r="G67" s="69">
        <f t="shared" ca="1" si="30"/>
        <v>963.77791461523736</v>
      </c>
      <c r="H67" s="69">
        <f t="shared" ca="1" si="31"/>
        <v>1190.3709227359568</v>
      </c>
      <c r="I67" s="69">
        <f t="shared" ca="1" si="32"/>
        <v>1045.8862569436242</v>
      </c>
      <c r="J67" s="69">
        <f t="shared" ca="1" si="33"/>
        <v>1149.0108922492509</v>
      </c>
      <c r="K67" s="69">
        <f t="shared" ca="1" si="34"/>
        <v>1180.8154193359926</v>
      </c>
      <c r="L67" s="69">
        <f t="shared" ca="1" si="35"/>
        <v>956.59914135911094</v>
      </c>
      <c r="M67" s="69">
        <f t="shared" ca="1" si="36"/>
        <v>984.86035758294918</v>
      </c>
      <c r="N67" s="69">
        <f t="shared" ca="1" si="37"/>
        <v>572.43493083072724</v>
      </c>
      <c r="O67" s="69">
        <f t="shared" ca="1" si="38"/>
        <v>630.24673539676223</v>
      </c>
      <c r="P67" s="69">
        <f t="shared" ca="1" si="39"/>
        <v>724.64302909359071</v>
      </c>
      <c r="Q67" s="69">
        <f t="shared" ca="1" si="40"/>
        <v>952.84940428001448</v>
      </c>
      <c r="R67" s="69">
        <f t="shared" ca="1" si="41"/>
        <v>785.85229863612824</v>
      </c>
      <c r="S67" s="69">
        <f t="shared" ca="1" si="42"/>
        <v>700.46509633161838</v>
      </c>
      <c r="T67" s="69">
        <f t="shared" ca="1" si="43"/>
        <v>804.28289068778372</v>
      </c>
      <c r="U67" s="69">
        <f t="shared" ca="1" si="44"/>
        <v>1695.4866050338187</v>
      </c>
      <c r="V67" s="69">
        <f t="shared" ca="1" si="45"/>
        <v>1914.2838539326262</v>
      </c>
      <c r="W67" s="69">
        <f t="shared" ca="1" si="46"/>
        <v>1178.0375424673955</v>
      </c>
      <c r="X67" s="69">
        <f t="shared" ca="1" si="47"/>
        <v>1487.6575594293438</v>
      </c>
      <c r="Y67" s="69">
        <f t="shared" ca="1" si="48"/>
        <v>1213.2429389502936</v>
      </c>
      <c r="AA67" s="20">
        <f t="shared" ref="AA67:AA130" ca="1" si="49">A67*B67*C67*D67*E67</f>
        <v>6.568592597243504E+16</v>
      </c>
      <c r="AB67" s="20">
        <f t="shared" ref="AB67:AB130" ca="1" si="50">F67*G67*H67*I67*J67</f>
        <v>1686052867796457.5</v>
      </c>
      <c r="AC67" s="20">
        <f t="shared" ref="AC67:AC130" ca="1" si="51">K67*L67*M67*N67*O67</f>
        <v>401350114259078.75</v>
      </c>
      <c r="AD67" s="20">
        <f t="shared" ref="AD67:AD130" ca="1" si="52">P67*Q67*R67*S67*T67</f>
        <v>305692401052877.5</v>
      </c>
      <c r="AE67" s="20">
        <f t="shared" ref="AE67:AE130" ca="1" si="53">U67*V67*W67*X67*Y67</f>
        <v>6900976940666934</v>
      </c>
      <c r="AG67" s="16">
        <f t="shared" ca="1" si="13"/>
        <v>9.2816582026188611E-6</v>
      </c>
      <c r="AH67" s="16">
        <f t="shared" ca="1" si="14"/>
        <v>-1.1566039344951478E-4</v>
      </c>
      <c r="AI67" s="16">
        <f t="shared" ca="1" si="15"/>
        <v>4.2850759281811772E-5</v>
      </c>
      <c r="AJ67" s="16">
        <f t="shared" ca="1" si="16"/>
        <v>4.86312764439375E-4</v>
      </c>
      <c r="AK67" s="16">
        <f t="shared" ca="1" si="17"/>
        <v>-8.047103994742945E-4</v>
      </c>
      <c r="AM67" s="16">
        <f t="shared" ca="1" si="18"/>
        <v>4.227847884742909E-4</v>
      </c>
      <c r="AO67" s="16">
        <f t="shared" ca="1" si="19"/>
        <v>0</v>
      </c>
      <c r="AP67" s="16">
        <f t="shared" ca="1" si="20"/>
        <v>-1.1566039344951478E-4</v>
      </c>
      <c r="AQ67" s="16">
        <f t="shared" ca="1" si="21"/>
        <v>0</v>
      </c>
      <c r="AR67" s="16">
        <f t="shared" ca="1" si="22"/>
        <v>0</v>
      </c>
      <c r="AS67" s="16">
        <f t="shared" ca="1" si="23"/>
        <v>-8.047103994742945E-4</v>
      </c>
    </row>
    <row r="68" spans="1:45" x14ac:dyDescent="0.25">
      <c r="A68" s="69">
        <f t="shared" ca="1" si="24"/>
        <v>2451.6757035264191</v>
      </c>
      <c r="B68" s="69">
        <f t="shared" ca="1" si="25"/>
        <v>2134.7701456155855</v>
      </c>
      <c r="C68" s="69">
        <f t="shared" ca="1" si="26"/>
        <v>2233.9246494390113</v>
      </c>
      <c r="D68" s="69">
        <f t="shared" ca="1" si="27"/>
        <v>2911.1802330256291</v>
      </c>
      <c r="E68" s="69">
        <f t="shared" ca="1" si="28"/>
        <v>1929.8546459539518</v>
      </c>
      <c r="F68" s="69">
        <f t="shared" ca="1" si="29"/>
        <v>1222.9348079926863</v>
      </c>
      <c r="G68" s="69">
        <f t="shared" ca="1" si="30"/>
        <v>964.05341170410202</v>
      </c>
      <c r="H68" s="69">
        <f t="shared" ca="1" si="31"/>
        <v>1190.3709227359568</v>
      </c>
      <c r="I68" s="69">
        <f t="shared" ca="1" si="32"/>
        <v>1045.8862569436242</v>
      </c>
      <c r="J68" s="69">
        <f t="shared" ca="1" si="33"/>
        <v>1148.5496905567229</v>
      </c>
      <c r="K68" s="69">
        <f t="shared" ca="1" si="34"/>
        <v>1180.6314124060043</v>
      </c>
      <c r="L68" s="69">
        <f t="shared" ca="1" si="35"/>
        <v>956.10548169153469</v>
      </c>
      <c r="M68" s="69">
        <f t="shared" ca="1" si="36"/>
        <v>984.86035758294918</v>
      </c>
      <c r="N68" s="69">
        <f t="shared" ca="1" si="37"/>
        <v>572.71072226385729</v>
      </c>
      <c r="O68" s="69">
        <f t="shared" ca="1" si="38"/>
        <v>630.39373425859037</v>
      </c>
      <c r="P68" s="69">
        <f t="shared" ca="1" si="39"/>
        <v>724.99897762163209</v>
      </c>
      <c r="Q68" s="69">
        <f t="shared" ca="1" si="40"/>
        <v>952.8448573151968</v>
      </c>
      <c r="R68" s="69">
        <f t="shared" ca="1" si="41"/>
        <v>785.85229863612824</v>
      </c>
      <c r="S68" s="69">
        <f t="shared" ca="1" si="42"/>
        <v>700.46509633161838</v>
      </c>
      <c r="T68" s="69">
        <f t="shared" ca="1" si="43"/>
        <v>804.28289068778372</v>
      </c>
      <c r="U68" s="69">
        <f t="shared" ca="1" si="44"/>
        <v>1695.5467502708473</v>
      </c>
      <c r="V68" s="69">
        <f t="shared" ca="1" si="45"/>
        <v>1914.1450837489986</v>
      </c>
      <c r="W68" s="69">
        <f t="shared" ca="1" si="46"/>
        <v>1177.5845228065994</v>
      </c>
      <c r="X68" s="69">
        <f t="shared" ca="1" si="47"/>
        <v>1487.6575594293438</v>
      </c>
      <c r="Y68" s="69">
        <f t="shared" ca="1" si="48"/>
        <v>1212.7782825805152</v>
      </c>
      <c r="AA68" s="20">
        <f t="shared" ca="1" si="49"/>
        <v>6.5686535649578048E+16</v>
      </c>
      <c r="AB68" s="20">
        <f t="shared" ca="1" si="50"/>
        <v>1685857869535396.8</v>
      </c>
      <c r="AC68" s="20">
        <f t="shared" ca="1" si="51"/>
        <v>401367312784694.88</v>
      </c>
      <c r="AD68" s="20">
        <f t="shared" ca="1" si="52"/>
        <v>305841099323504.56</v>
      </c>
      <c r="AE68" s="20">
        <f t="shared" ca="1" si="53"/>
        <v>6895425886551287</v>
      </c>
      <c r="AG68" s="16">
        <f t="shared" ref="AG68:AG131" ca="1" si="54">LN(AA69/AA68)</f>
        <v>-8.7415925522871263E-5</v>
      </c>
      <c r="AH68" s="16">
        <f t="shared" ref="AH68:AH131" ca="1" si="55">LN(AB69/AB68)</f>
        <v>4.313282351865783E-4</v>
      </c>
      <c r="AI68" s="16">
        <f t="shared" ref="AI68:AI131" ca="1" si="56">LN(AC69/AC68)</f>
        <v>6.5303347722557448E-5</v>
      </c>
      <c r="AJ68" s="16">
        <f t="shared" ref="AJ68:AJ131" ca="1" si="57">LN(AD69/AD68)</f>
        <v>6.1653054499459503E-4</v>
      </c>
      <c r="AK68" s="16">
        <f t="shared" ref="AK68:AK131" ca="1" si="58">LN(AE69/AE68)</f>
        <v>-6.1342763131555096E-5</v>
      </c>
      <c r="AM68" s="16">
        <f t="shared" ref="AM68:AM131" ca="1" si="59">AG68+AH68+AI68+AJ68</f>
        <v>1.0257462023808596E-3</v>
      </c>
      <c r="AO68" s="16">
        <f t="shared" ref="AO68:AO131" ca="1" si="60">MIN(AG68,0)</f>
        <v>-8.7415925522871263E-5</v>
      </c>
      <c r="AP68" s="16">
        <f t="shared" ref="AP68:AP131" ca="1" si="61">MIN(AH68,0)</f>
        <v>0</v>
      </c>
      <c r="AQ68" s="16">
        <f t="shared" ref="AQ68:AQ131" ca="1" si="62">MIN(AI68,0)</f>
        <v>0</v>
      </c>
      <c r="AR68" s="16">
        <f t="shared" ref="AR68:AR131" ca="1" si="63">MIN(AJ68,0)</f>
        <v>0</v>
      </c>
      <c r="AS68" s="16">
        <f t="shared" ref="AS68:AS131" ca="1" si="64">MIN(AK68,0)</f>
        <v>-6.1342763131555096E-5</v>
      </c>
    </row>
    <row r="69" spans="1:45" x14ac:dyDescent="0.25">
      <c r="A69" s="69">
        <f t="shared" ref="A69:A132" ca="1" si="65">A68+ $A$1 * RAND()  * RANDBETWEEN(-1,1)</f>
        <v>2451.7431169560405</v>
      </c>
      <c r="B69" s="69">
        <f t="shared" ref="B69:B132" ca="1" si="66">B68+ $A$1 * RAND()  * RANDBETWEEN(-1,1)</f>
        <v>2134.7703994567223</v>
      </c>
      <c r="C69" s="69">
        <f t="shared" ref="C69:C132" ca="1" si="67">C68+ $A$1 * RAND()  * RANDBETWEEN(-1,1)</f>
        <v>2233.9246494390113</v>
      </c>
      <c r="D69" s="69">
        <f t="shared" ref="D69:D132" ca="1" si="68">D68+ $A$1 * RAND()  * RANDBETWEEN(-1,1)</f>
        <v>2911.0284606451596</v>
      </c>
      <c r="E69" s="69">
        <f t="shared" ref="E69:E132" ca="1" si="69">E68+ $A$1 * RAND()  * RANDBETWEEN(-1,1)</f>
        <v>1929.7332702844863</v>
      </c>
      <c r="F69" s="69">
        <f t="shared" ref="F69:F132" ca="1" si="70">F68+ $A$1 * RAND()  * RANDBETWEEN(-1,1)</f>
        <v>1222.9895824939508</v>
      </c>
      <c r="G69" s="69">
        <f t="shared" ref="G69:G132" ca="1" si="71">G68+ $A$1 * RAND()  * RANDBETWEEN(-1,1)</f>
        <v>964.21127183081114</v>
      </c>
      <c r="H69" s="69">
        <f t="shared" ref="H69:H132" ca="1" si="72">H68+ $A$1 * RAND()  * RANDBETWEEN(-1,1)</f>
        <v>1190.1517612390426</v>
      </c>
      <c r="I69" s="69">
        <f t="shared" ref="I69:I132" ca="1" si="73">I68+ $A$1 * RAND()  * RANDBETWEEN(-1,1)</f>
        <v>1045.8862569436242</v>
      </c>
      <c r="J69" s="69">
        <f t="shared" ref="J69:J132" ca="1" si="74">J68+ $A$1 * RAND()  * RANDBETWEEN(-1,1)</f>
        <v>1149.0171717674707</v>
      </c>
      <c r="K69" s="69">
        <f t="shared" ref="K69:K132" ca="1" si="75">K68+ $A$1 * RAND()  * RANDBETWEEN(-1,1)</f>
        <v>1180.8724902275078</v>
      </c>
      <c r="L69" s="69">
        <f t="shared" ref="L69:L132" ca="1" si="76">L68+ $A$1 * RAND()  * RANDBETWEEN(-1,1)</f>
        <v>956.24010516584008</v>
      </c>
      <c r="M69" s="69">
        <f t="shared" ref="M69:M132" ca="1" si="77">M68+ $A$1 * RAND()  * RANDBETWEEN(-1,1)</f>
        <v>984.86035758294918</v>
      </c>
      <c r="N69" s="69">
        <f t="shared" ref="N69:N132" ca="1" si="78">N68+ $A$1 * RAND()  * RANDBETWEEN(-1,1)</f>
        <v>572.99909393921484</v>
      </c>
      <c r="O69" s="69">
        <f t="shared" ref="O69:O132" ca="1" si="79">O68+ $A$1 * RAND()  * RANDBETWEEN(-1,1)</f>
        <v>629.90029275270649</v>
      </c>
      <c r="P69" s="69">
        <f t="shared" ref="P69:P132" ca="1" si="80">P68+ $A$1 * RAND()  * RANDBETWEEN(-1,1)</f>
        <v>724.99897762163209</v>
      </c>
      <c r="Q69" s="69">
        <f t="shared" ref="Q69:Q132" ca="1" si="81">Q68+ $A$1 * RAND()  * RANDBETWEEN(-1,1)</f>
        <v>953.01568995334389</v>
      </c>
      <c r="R69" s="69">
        <f t="shared" ref="R69:R132" ca="1" si="82">R68+ $A$1 * RAND()  * RANDBETWEEN(-1,1)</f>
        <v>785.75843154745075</v>
      </c>
      <c r="S69" s="69">
        <f t="shared" ref="S69:S132" ca="1" si="83">S68+ $A$1 * RAND()  * RANDBETWEEN(-1,1)</f>
        <v>700.46509633161838</v>
      </c>
      <c r="T69" s="69">
        <f t="shared" ref="T69:T132" ca="1" si="84">T68+ $A$1 * RAND()  * RANDBETWEEN(-1,1)</f>
        <v>804.7307701135145</v>
      </c>
      <c r="U69" s="69">
        <f t="shared" ref="U69:U132" ca="1" si="85">U68+ $A$1 * RAND()  * RANDBETWEEN(-1,1)</f>
        <v>1695.5467502708473</v>
      </c>
      <c r="V69" s="69">
        <f t="shared" ref="V69:V132" ca="1" si="86">V68+ $A$1 * RAND()  * RANDBETWEEN(-1,1)</f>
        <v>1914.3593007873758</v>
      </c>
      <c r="W69" s="69">
        <f t="shared" ref="W69:W132" ca="1" si="87">W68+ $A$1 * RAND()  * RANDBETWEEN(-1,1)</f>
        <v>1177.2098885873113</v>
      </c>
      <c r="X69" s="69">
        <f t="shared" ref="X69:X132" ca="1" si="88">X68+ $A$1 * RAND()  * RANDBETWEEN(-1,1)</f>
        <v>1487.6035552658454</v>
      </c>
      <c r="Y69" s="69">
        <f t="shared" ref="Y69:Y132" ca="1" si="89">Y68+ $A$1 * RAND()  * RANDBETWEEN(-1,1)</f>
        <v>1212.9981082118495</v>
      </c>
      <c r="AA69" s="20">
        <f t="shared" ca="1" si="49"/>
        <v>6.5680793851235816E+16</v>
      </c>
      <c r="AB69" s="20">
        <f t="shared" ca="1" si="50"/>
        <v>1686585184479498.5</v>
      </c>
      <c r="AC69" s="20">
        <f t="shared" ca="1" si="51"/>
        <v>401393524269725.69</v>
      </c>
      <c r="AD69" s="20">
        <f t="shared" ca="1" si="52"/>
        <v>306029717841716.5</v>
      </c>
      <c r="AE69" s="20">
        <f t="shared" ca="1" si="53"/>
        <v>6895002915047690</v>
      </c>
      <c r="AG69" s="16">
        <f t="shared" ca="1" si="54"/>
        <v>-1.1251663027992614E-4</v>
      </c>
      <c r="AH69" s="16">
        <f t="shared" ca="1" si="55"/>
        <v>-1.1633764336815708E-4</v>
      </c>
      <c r="AI69" s="16">
        <f t="shared" ca="1" si="56"/>
        <v>4.0491491993003219E-4</v>
      </c>
      <c r="AJ69" s="16">
        <f t="shared" ca="1" si="57"/>
        <v>-7.0924821600137596E-4</v>
      </c>
      <c r="AK69" s="16">
        <f t="shared" ca="1" si="58"/>
        <v>4.7295317602232241E-5</v>
      </c>
      <c r="AM69" s="16">
        <f t="shared" ca="1" si="59"/>
        <v>-5.3318756971942698E-4</v>
      </c>
      <c r="AO69" s="16">
        <f t="shared" ca="1" si="60"/>
        <v>-1.1251663027992614E-4</v>
      </c>
      <c r="AP69" s="16">
        <f t="shared" ca="1" si="61"/>
        <v>-1.1633764336815708E-4</v>
      </c>
      <c r="AQ69" s="16">
        <f t="shared" ca="1" si="62"/>
        <v>0</v>
      </c>
      <c r="AR69" s="16">
        <f t="shared" ca="1" si="63"/>
        <v>-7.0924821600137596E-4</v>
      </c>
      <c r="AS69" s="16">
        <f t="shared" ca="1" si="64"/>
        <v>0</v>
      </c>
    </row>
    <row r="70" spans="1:45" x14ac:dyDescent="0.25">
      <c r="A70" s="69">
        <f t="shared" ca="1" si="65"/>
        <v>2451.7431169560405</v>
      </c>
      <c r="B70" s="69">
        <f t="shared" ca="1" si="66"/>
        <v>2134.5339763010143</v>
      </c>
      <c r="C70" s="69">
        <f t="shared" ca="1" si="67"/>
        <v>2234.3271292327031</v>
      </c>
      <c r="D70" s="69">
        <f t="shared" ca="1" si="68"/>
        <v>2911.2443362248132</v>
      </c>
      <c r="E70" s="69">
        <f t="shared" ca="1" si="69"/>
        <v>1929.2391911131961</v>
      </c>
      <c r="F70" s="69">
        <f t="shared" ca="1" si="70"/>
        <v>1222.5521039031207</v>
      </c>
      <c r="G70" s="69">
        <f t="shared" ca="1" si="71"/>
        <v>964.38067772325621</v>
      </c>
      <c r="H70" s="69">
        <f t="shared" ca="1" si="72"/>
        <v>1190.1517612390426</v>
      </c>
      <c r="I70" s="69">
        <f t="shared" ca="1" si="73"/>
        <v>1045.8862569436242</v>
      </c>
      <c r="J70" s="69">
        <f t="shared" ca="1" si="74"/>
        <v>1149.0927341700399</v>
      </c>
      <c r="K70" s="69">
        <f t="shared" ca="1" si="75"/>
        <v>1180.8724902275078</v>
      </c>
      <c r="L70" s="69">
        <f t="shared" ca="1" si="76"/>
        <v>956.35182994927732</v>
      </c>
      <c r="M70" s="69">
        <f t="shared" ca="1" si="77"/>
        <v>984.51351514591784</v>
      </c>
      <c r="N70" s="69">
        <f t="shared" ca="1" si="78"/>
        <v>573.49115335931083</v>
      </c>
      <c r="O70" s="69">
        <f t="shared" ca="1" si="79"/>
        <v>629.76295489792892</v>
      </c>
      <c r="P70" s="69">
        <f t="shared" ca="1" si="80"/>
        <v>724.9540106603589</v>
      </c>
      <c r="Q70" s="69">
        <f t="shared" ca="1" si="81"/>
        <v>953.17839424767146</v>
      </c>
      <c r="R70" s="69">
        <f t="shared" ca="1" si="82"/>
        <v>785.75843154745075</v>
      </c>
      <c r="S70" s="69">
        <f t="shared" ca="1" si="83"/>
        <v>700.32515267067015</v>
      </c>
      <c r="T70" s="69">
        <f t="shared" ca="1" si="84"/>
        <v>804.23349781614172</v>
      </c>
      <c r="U70" s="69">
        <f t="shared" ca="1" si="85"/>
        <v>1695.3285981737222</v>
      </c>
      <c r="V70" s="69">
        <f t="shared" ca="1" si="86"/>
        <v>1914.536528153822</v>
      </c>
      <c r="W70" s="69">
        <f t="shared" ca="1" si="87"/>
        <v>1177.5949103660328</v>
      </c>
      <c r="X70" s="69">
        <f t="shared" ca="1" si="88"/>
        <v>1487.6035552658454</v>
      </c>
      <c r="Y70" s="69">
        <f t="shared" ca="1" si="89"/>
        <v>1212.7026363572973</v>
      </c>
      <c r="AA70" s="20">
        <f t="shared" ca="1" si="49"/>
        <v>6.5673404085381136E+16</v>
      </c>
      <c r="AB70" s="20">
        <f t="shared" ca="1" si="50"/>
        <v>1686388982546853</v>
      </c>
      <c r="AC70" s="20">
        <f t="shared" ca="1" si="51"/>
        <v>401556087406364.44</v>
      </c>
      <c r="AD70" s="20">
        <f t="shared" ca="1" si="52"/>
        <v>305812743763628.19</v>
      </c>
      <c r="AE70" s="20">
        <f t="shared" ca="1" si="53"/>
        <v>6895329024112081</v>
      </c>
      <c r="AG70" s="16">
        <f t="shared" ca="1" si="54"/>
        <v>-3.3130983436712824E-4</v>
      </c>
      <c r="AH70" s="16">
        <f t="shared" ca="1" si="55"/>
        <v>-1.6702942277719044E-4</v>
      </c>
      <c r="AI70" s="16">
        <f t="shared" ca="1" si="56"/>
        <v>-3.7009429732758623E-4</v>
      </c>
      <c r="AJ70" s="16">
        <f t="shared" ca="1" si="57"/>
        <v>-5.6070111689617247E-4</v>
      </c>
      <c r="AK70" s="16">
        <f t="shared" ca="1" si="58"/>
        <v>-4.1091486107190671E-5</v>
      </c>
      <c r="AM70" s="16">
        <f t="shared" ca="1" si="59"/>
        <v>-1.4291346713680773E-3</v>
      </c>
      <c r="AO70" s="16">
        <f t="shared" ca="1" si="60"/>
        <v>-3.3130983436712824E-4</v>
      </c>
      <c r="AP70" s="16">
        <f t="shared" ca="1" si="61"/>
        <v>-1.6702942277719044E-4</v>
      </c>
      <c r="AQ70" s="16">
        <f t="shared" ca="1" si="62"/>
        <v>-3.7009429732758623E-4</v>
      </c>
      <c r="AR70" s="16">
        <f t="shared" ca="1" si="63"/>
        <v>-5.6070111689617247E-4</v>
      </c>
      <c r="AS70" s="16">
        <f t="shared" ca="1" si="64"/>
        <v>-4.1091486107190671E-5</v>
      </c>
    </row>
    <row r="71" spans="1:45" x14ac:dyDescent="0.25">
      <c r="A71" s="69">
        <f t="shared" ca="1" si="65"/>
        <v>2451.9736697070766</v>
      </c>
      <c r="B71" s="69">
        <f t="shared" ca="1" si="66"/>
        <v>2134.5339763010143</v>
      </c>
      <c r="C71" s="69">
        <f t="shared" ca="1" si="67"/>
        <v>2234.2234642451704</v>
      </c>
      <c r="D71" s="69">
        <f t="shared" ca="1" si="68"/>
        <v>2910.7543814945443</v>
      </c>
      <c r="E71" s="69">
        <f t="shared" ca="1" si="69"/>
        <v>1928.8328733140277</v>
      </c>
      <c r="F71" s="69">
        <f t="shared" ca="1" si="70"/>
        <v>1222.5521039031207</v>
      </c>
      <c r="G71" s="69">
        <f t="shared" ca="1" si="71"/>
        <v>964.23352039852591</v>
      </c>
      <c r="H71" s="69">
        <f t="shared" ca="1" si="72"/>
        <v>1189.7074702755951</v>
      </c>
      <c r="I71" s="69">
        <f t="shared" ca="1" si="73"/>
        <v>1045.8862569436242</v>
      </c>
      <c r="J71" s="69">
        <f t="shared" ca="1" si="74"/>
        <v>1149.5052757654798</v>
      </c>
      <c r="K71" s="69">
        <f t="shared" ca="1" si="75"/>
        <v>1180.4680696844439</v>
      </c>
      <c r="L71" s="69">
        <f t="shared" ca="1" si="76"/>
        <v>956.6730013457402</v>
      </c>
      <c r="M71" s="69">
        <f t="shared" ca="1" si="77"/>
        <v>984.15587390788096</v>
      </c>
      <c r="N71" s="69">
        <f t="shared" ca="1" si="78"/>
        <v>573.49115335931083</v>
      </c>
      <c r="O71" s="69">
        <f t="shared" ca="1" si="79"/>
        <v>629.76295489792892</v>
      </c>
      <c r="P71" s="69">
        <f t="shared" ca="1" si="80"/>
        <v>724.7763673703754</v>
      </c>
      <c r="Q71" s="69">
        <f t="shared" ca="1" si="81"/>
        <v>953.28712761039185</v>
      </c>
      <c r="R71" s="69">
        <f t="shared" ca="1" si="82"/>
        <v>785.75843154745075</v>
      </c>
      <c r="S71" s="69">
        <f t="shared" ca="1" si="83"/>
        <v>700.32515267067015</v>
      </c>
      <c r="T71" s="69">
        <f t="shared" ca="1" si="84"/>
        <v>803.88799426424191</v>
      </c>
      <c r="U71" s="69">
        <f t="shared" ca="1" si="85"/>
        <v>1695.3285981737222</v>
      </c>
      <c r="V71" s="69">
        <f t="shared" ca="1" si="86"/>
        <v>1914.6003228522177</v>
      </c>
      <c r="W71" s="69">
        <f t="shared" ca="1" si="87"/>
        <v>1177.1292700489628</v>
      </c>
      <c r="X71" s="69">
        <f t="shared" ca="1" si="88"/>
        <v>1488.0812753113271</v>
      </c>
      <c r="Y71" s="69">
        <f t="shared" ca="1" si="89"/>
        <v>1212.7026363572973</v>
      </c>
      <c r="AA71" s="20">
        <f t="shared" ca="1" si="49"/>
        <v>6.5651649444713472E+16</v>
      </c>
      <c r="AB71" s="20">
        <f t="shared" ca="1" si="50"/>
        <v>1686107329491348.8</v>
      </c>
      <c r="AC71" s="20">
        <f t="shared" ca="1" si="51"/>
        <v>401407501285492.13</v>
      </c>
      <c r="AD71" s="20">
        <f t="shared" ca="1" si="52"/>
        <v>305641322279238.75</v>
      </c>
      <c r="AE71" s="20">
        <f t="shared" ca="1" si="53"/>
        <v>6895045690616619</v>
      </c>
      <c r="AG71" s="16">
        <f t="shared" ca="1" si="54"/>
        <v>-4.3255651124139461E-5</v>
      </c>
      <c r="AH71" s="16">
        <f t="shared" ca="1" si="55"/>
        <v>-4.1326816004657636E-4</v>
      </c>
      <c r="AI71" s="16">
        <f t="shared" ca="1" si="56"/>
        <v>4.4857848158997172E-4</v>
      </c>
      <c r="AJ71" s="16">
        <f t="shared" ca="1" si="57"/>
        <v>3.8594209948971368E-4</v>
      </c>
      <c r="AK71" s="16">
        <f t="shared" ca="1" si="58"/>
        <v>8.7471176484174229E-5</v>
      </c>
      <c r="AM71" s="16">
        <f t="shared" ca="1" si="59"/>
        <v>3.779967699089696E-4</v>
      </c>
      <c r="AO71" s="16">
        <f t="shared" ca="1" si="60"/>
        <v>-4.3255651124139461E-5</v>
      </c>
      <c r="AP71" s="16">
        <f t="shared" ca="1" si="61"/>
        <v>-4.1326816004657636E-4</v>
      </c>
      <c r="AQ71" s="16">
        <f t="shared" ca="1" si="62"/>
        <v>0</v>
      </c>
      <c r="AR71" s="16">
        <f t="shared" ca="1" si="63"/>
        <v>0</v>
      </c>
      <c r="AS71" s="16">
        <f t="shared" ca="1" si="64"/>
        <v>0</v>
      </c>
    </row>
    <row r="72" spans="1:45" x14ac:dyDescent="0.25">
      <c r="A72" s="69">
        <f t="shared" ca="1" si="65"/>
        <v>2451.7375708235045</v>
      </c>
      <c r="B72" s="69">
        <f t="shared" ca="1" si="66"/>
        <v>2135.0311238938439</v>
      </c>
      <c r="C72" s="69">
        <f t="shared" ca="1" si="67"/>
        <v>2233.7938337030942</v>
      </c>
      <c r="D72" s="69">
        <f t="shared" ca="1" si="68"/>
        <v>2910.3160795468602</v>
      </c>
      <c r="E72" s="69">
        <f t="shared" ca="1" si="69"/>
        <v>1929.1474218422336</v>
      </c>
      <c r="F72" s="69">
        <f t="shared" ca="1" si="70"/>
        <v>1222.5511871213764</v>
      </c>
      <c r="G72" s="69">
        <f t="shared" ca="1" si="71"/>
        <v>963.8662484312357</v>
      </c>
      <c r="H72" s="69">
        <f t="shared" ca="1" si="72"/>
        <v>1189.7074702755951</v>
      </c>
      <c r="I72" s="69">
        <f t="shared" ca="1" si="73"/>
        <v>1045.4385275161553</v>
      </c>
      <c r="J72" s="69">
        <f t="shared" ca="1" si="74"/>
        <v>1149.9612914268489</v>
      </c>
      <c r="K72" s="69">
        <f t="shared" ca="1" si="75"/>
        <v>1180.9651689115249</v>
      </c>
      <c r="L72" s="69">
        <f t="shared" ca="1" si="76"/>
        <v>956.6730013457402</v>
      </c>
      <c r="M72" s="69">
        <f t="shared" ca="1" si="77"/>
        <v>984.15587390788096</v>
      </c>
      <c r="N72" s="69">
        <f t="shared" ca="1" si="78"/>
        <v>573.49115335931083</v>
      </c>
      <c r="O72" s="69">
        <f t="shared" ca="1" si="79"/>
        <v>629.78031368907716</v>
      </c>
      <c r="P72" s="69">
        <f t="shared" ca="1" si="80"/>
        <v>724.64863568578289</v>
      </c>
      <c r="Q72" s="69">
        <f t="shared" ca="1" si="81"/>
        <v>953.59382703057156</v>
      </c>
      <c r="R72" s="69">
        <f t="shared" ca="1" si="82"/>
        <v>785.94744261433914</v>
      </c>
      <c r="S72" s="69">
        <f t="shared" ca="1" si="83"/>
        <v>700.32515267067015</v>
      </c>
      <c r="T72" s="69">
        <f t="shared" ca="1" si="84"/>
        <v>803.88799426424191</v>
      </c>
      <c r="U72" s="69">
        <f t="shared" ca="1" si="85"/>
        <v>1695.7967684941366</v>
      </c>
      <c r="V72" s="69">
        <f t="shared" ca="1" si="86"/>
        <v>1914.1997726260201</v>
      </c>
      <c r="W72" s="69">
        <f t="shared" ca="1" si="87"/>
        <v>1177.2525518572947</v>
      </c>
      <c r="X72" s="69">
        <f t="shared" ca="1" si="88"/>
        <v>1487.5865300142245</v>
      </c>
      <c r="Y72" s="69">
        <f t="shared" ca="1" si="89"/>
        <v>1213.0038947229991</v>
      </c>
      <c r="AA72" s="20">
        <f t="shared" ca="1" si="49"/>
        <v>6.5648809701287288E+16</v>
      </c>
      <c r="AB72" s="20">
        <f t="shared" ca="1" si="50"/>
        <v>1685410658983433.8</v>
      </c>
      <c r="AC72" s="20">
        <f t="shared" ca="1" si="51"/>
        <v>401587604445098.44</v>
      </c>
      <c r="AD72" s="20">
        <f t="shared" ca="1" si="52"/>
        <v>305759304898615.44</v>
      </c>
      <c r="AE72" s="20">
        <f t="shared" ca="1" si="53"/>
        <v>6895648834753569</v>
      </c>
      <c r="AG72" s="16">
        <f t="shared" ca="1" si="54"/>
        <v>-2.9977156506232625E-4</v>
      </c>
      <c r="AH72" s="16">
        <f t="shared" ca="1" si="55"/>
        <v>4.2592963258119448E-4</v>
      </c>
      <c r="AI72" s="16">
        <f t="shared" ca="1" si="56"/>
        <v>8.8784849784072912E-5</v>
      </c>
      <c r="AJ72" s="16">
        <f t="shared" ca="1" si="57"/>
        <v>-1.0086240426988443E-3</v>
      </c>
      <c r="AK72" s="16">
        <f t="shared" ca="1" si="58"/>
        <v>-2.3909340660997731E-4</v>
      </c>
      <c r="AM72" s="16">
        <f t="shared" ca="1" si="59"/>
        <v>-7.9368112539590315E-4</v>
      </c>
      <c r="AO72" s="16">
        <f t="shared" ca="1" si="60"/>
        <v>-2.9977156506232625E-4</v>
      </c>
      <c r="AP72" s="16">
        <f t="shared" ca="1" si="61"/>
        <v>0</v>
      </c>
      <c r="AQ72" s="16">
        <f t="shared" ca="1" si="62"/>
        <v>0</v>
      </c>
      <c r="AR72" s="16">
        <f t="shared" ca="1" si="63"/>
        <v>-1.0086240426988443E-3</v>
      </c>
      <c r="AS72" s="16">
        <f t="shared" ca="1" si="64"/>
        <v>-2.3909340660997731E-4</v>
      </c>
    </row>
    <row r="73" spans="1:45" x14ac:dyDescent="0.25">
      <c r="A73" s="69">
        <f t="shared" ca="1" si="65"/>
        <v>2451.6577409815063</v>
      </c>
      <c r="B73" s="69">
        <f t="shared" ca="1" si="66"/>
        <v>2135.0311238938439</v>
      </c>
      <c r="C73" s="69">
        <f t="shared" ca="1" si="67"/>
        <v>2233.439332785646</v>
      </c>
      <c r="D73" s="69">
        <f t="shared" ca="1" si="68"/>
        <v>2910.6046303038734</v>
      </c>
      <c r="E73" s="69">
        <f t="shared" ca="1" si="69"/>
        <v>1928.7468922763001</v>
      </c>
      <c r="F73" s="69">
        <f t="shared" ca="1" si="70"/>
        <v>1222.6608111374896</v>
      </c>
      <c r="G73" s="69">
        <f t="shared" ca="1" si="71"/>
        <v>964.10169281970127</v>
      </c>
      <c r="H73" s="69">
        <f t="shared" ca="1" si="72"/>
        <v>1189.7074702755951</v>
      </c>
      <c r="I73" s="69">
        <f t="shared" ca="1" si="73"/>
        <v>1045.4385275161553</v>
      </c>
      <c r="J73" s="69">
        <f t="shared" ca="1" si="74"/>
        <v>1150.0671208288832</v>
      </c>
      <c r="K73" s="69">
        <f t="shared" ca="1" si="75"/>
        <v>1180.9147192042681</v>
      </c>
      <c r="L73" s="69">
        <f t="shared" ca="1" si="76"/>
        <v>956.22280642178714</v>
      </c>
      <c r="M73" s="69">
        <f t="shared" ca="1" si="77"/>
        <v>984.21023653784118</v>
      </c>
      <c r="N73" s="69">
        <f t="shared" ca="1" si="78"/>
        <v>573.94737584351617</v>
      </c>
      <c r="O73" s="69">
        <f t="shared" ca="1" si="79"/>
        <v>629.62399738901388</v>
      </c>
      <c r="P73" s="69">
        <f t="shared" ca="1" si="80"/>
        <v>724.64863568578289</v>
      </c>
      <c r="Q73" s="69">
        <f t="shared" ca="1" si="81"/>
        <v>953.33571068024116</v>
      </c>
      <c r="R73" s="69">
        <f t="shared" ca="1" si="82"/>
        <v>785.74586301267948</v>
      </c>
      <c r="S73" s="69">
        <f t="shared" ca="1" si="83"/>
        <v>699.98809916528114</v>
      </c>
      <c r="T73" s="69">
        <f t="shared" ca="1" si="84"/>
        <v>803.88799426424191</v>
      </c>
      <c r="U73" s="69">
        <f t="shared" ca="1" si="85"/>
        <v>1695.7967684941366</v>
      </c>
      <c r="V73" s="69">
        <f t="shared" ca="1" si="86"/>
        <v>1913.7613915455113</v>
      </c>
      <c r="W73" s="69">
        <f t="shared" ca="1" si="87"/>
        <v>1177.2449124182665</v>
      </c>
      <c r="X73" s="69">
        <f t="shared" ca="1" si="88"/>
        <v>1487.5812303123869</v>
      </c>
      <c r="Y73" s="69">
        <f t="shared" ca="1" si="89"/>
        <v>1213.0038947229991</v>
      </c>
      <c r="AA73" s="20">
        <f t="shared" ca="1" si="49"/>
        <v>6.5629133004263136E+16</v>
      </c>
      <c r="AB73" s="20">
        <f t="shared" ca="1" si="50"/>
        <v>1686128678228144.5</v>
      </c>
      <c r="AC73" s="20">
        <f t="shared" ca="1" si="51"/>
        <v>401623260923088.31</v>
      </c>
      <c r="AD73" s="20">
        <f t="shared" ca="1" si="52"/>
        <v>305451064188043.31</v>
      </c>
      <c r="AE73" s="20">
        <f t="shared" ca="1" si="53"/>
        <v>6894000327664323</v>
      </c>
      <c r="AG73" s="16">
        <f t="shared" ca="1" si="54"/>
        <v>4.9646293560525191E-5</v>
      </c>
      <c r="AH73" s="16">
        <f t="shared" ca="1" si="55"/>
        <v>3.2877586871793049E-6</v>
      </c>
      <c r="AI73" s="16">
        <f t="shared" ca="1" si="56"/>
        <v>6.1150817044386028E-4</v>
      </c>
      <c r="AJ73" s="16">
        <f t="shared" ca="1" si="57"/>
        <v>-1.1522327055456482E-3</v>
      </c>
      <c r="AK73" s="16">
        <f t="shared" ca="1" si="58"/>
        <v>-3.294422067597006E-5</v>
      </c>
      <c r="AM73" s="16">
        <f t="shared" ca="1" si="59"/>
        <v>-4.8779048285408342E-4</v>
      </c>
      <c r="AO73" s="16">
        <f t="shared" ca="1" si="60"/>
        <v>0</v>
      </c>
      <c r="AP73" s="16">
        <f t="shared" ca="1" si="61"/>
        <v>0</v>
      </c>
      <c r="AQ73" s="16">
        <f t="shared" ca="1" si="62"/>
        <v>0</v>
      </c>
      <c r="AR73" s="16">
        <f t="shared" ca="1" si="63"/>
        <v>-1.1522327055456482E-3</v>
      </c>
      <c r="AS73" s="16">
        <f t="shared" ca="1" si="64"/>
        <v>-3.294422067597006E-5</v>
      </c>
    </row>
    <row r="74" spans="1:45" x14ac:dyDescent="0.25">
      <c r="A74" s="69">
        <f t="shared" ca="1" si="65"/>
        <v>2451.6577409815063</v>
      </c>
      <c r="B74" s="69">
        <f t="shared" ca="1" si="66"/>
        <v>2134.9629154128675</v>
      </c>
      <c r="C74" s="69">
        <f t="shared" ca="1" si="67"/>
        <v>2233.1182234632793</v>
      </c>
      <c r="D74" s="69">
        <f t="shared" ca="1" si="68"/>
        <v>2910.6046303038734</v>
      </c>
      <c r="E74" s="69">
        <f t="shared" ca="1" si="69"/>
        <v>1929.1816382101422</v>
      </c>
      <c r="F74" s="69">
        <f t="shared" ca="1" si="70"/>
        <v>1222.6608111374896</v>
      </c>
      <c r="G74" s="69">
        <f t="shared" ca="1" si="71"/>
        <v>964.16369707680019</v>
      </c>
      <c r="H74" s="69">
        <f t="shared" ca="1" si="72"/>
        <v>1189.3725889295083</v>
      </c>
      <c r="I74" s="69">
        <f t="shared" ca="1" si="73"/>
        <v>1045.4300852261249</v>
      </c>
      <c r="J74" s="69">
        <f t="shared" ca="1" si="74"/>
        <v>1150.3300262553339</v>
      </c>
      <c r="K74" s="69">
        <f t="shared" ca="1" si="75"/>
        <v>1180.9147192042681</v>
      </c>
      <c r="L74" s="69">
        <f t="shared" ca="1" si="76"/>
        <v>956.25990801008118</v>
      </c>
      <c r="M74" s="69">
        <f t="shared" ca="1" si="77"/>
        <v>984.69632787972307</v>
      </c>
      <c r="N74" s="69">
        <f t="shared" ca="1" si="78"/>
        <v>574.19077776824145</v>
      </c>
      <c r="O74" s="69">
        <f t="shared" ca="1" si="79"/>
        <v>629.40678109528233</v>
      </c>
      <c r="P74" s="69">
        <f t="shared" ca="1" si="80"/>
        <v>724.27258930679284</v>
      </c>
      <c r="Q74" s="69">
        <f t="shared" ca="1" si="81"/>
        <v>952.98468612082024</v>
      </c>
      <c r="R74" s="69">
        <f t="shared" ca="1" si="82"/>
        <v>785.53775640770095</v>
      </c>
      <c r="S74" s="69">
        <f t="shared" ca="1" si="83"/>
        <v>699.98809916528114</v>
      </c>
      <c r="T74" s="69">
        <f t="shared" ca="1" si="84"/>
        <v>803.88799426424191</v>
      </c>
      <c r="U74" s="69">
        <f t="shared" ca="1" si="85"/>
        <v>1696.0909419019497</v>
      </c>
      <c r="V74" s="69">
        <f t="shared" ca="1" si="86"/>
        <v>1913.5079779179782</v>
      </c>
      <c r="W74" s="69">
        <f t="shared" ca="1" si="87"/>
        <v>1177.2449124182665</v>
      </c>
      <c r="X74" s="69">
        <f t="shared" ca="1" si="88"/>
        <v>1487.5812303123869</v>
      </c>
      <c r="Y74" s="69">
        <f t="shared" ca="1" si="89"/>
        <v>1212.9141648959999</v>
      </c>
      <c r="AA74" s="20">
        <f t="shared" ca="1" si="49"/>
        <v>6.5632391328347576E+16</v>
      </c>
      <c r="AB74" s="20">
        <f t="shared" ca="1" si="50"/>
        <v>1686134221821467</v>
      </c>
      <c r="AC74" s="20">
        <f t="shared" ca="1" si="51"/>
        <v>401868931935843.31</v>
      </c>
      <c r="AD74" s="20">
        <f t="shared" ca="1" si="52"/>
        <v>305099316168644.38</v>
      </c>
      <c r="AE74" s="20">
        <f t="shared" ca="1" si="53"/>
        <v>6893773213937251</v>
      </c>
      <c r="AG74" s="16">
        <f t="shared" ca="1" si="54"/>
        <v>-1.2871134353892327E-4</v>
      </c>
      <c r="AH74" s="16">
        <f t="shared" ca="1" si="55"/>
        <v>8.3475884354136762E-4</v>
      </c>
      <c r="AI74" s="16">
        <f t="shared" ca="1" si="56"/>
        <v>-3.3772385183621258E-4</v>
      </c>
      <c r="AJ74" s="16">
        <f t="shared" ca="1" si="57"/>
        <v>-5.3934003851939484E-4</v>
      </c>
      <c r="AK74" s="16">
        <f t="shared" ca="1" si="58"/>
        <v>-2.6118082120020897E-5</v>
      </c>
      <c r="AM74" s="16">
        <f t="shared" ca="1" si="59"/>
        <v>-1.7101639035316301E-4</v>
      </c>
      <c r="AO74" s="16">
        <f t="shared" ca="1" si="60"/>
        <v>-1.2871134353892327E-4</v>
      </c>
      <c r="AP74" s="16">
        <f t="shared" ca="1" si="61"/>
        <v>0</v>
      </c>
      <c r="AQ74" s="16">
        <f t="shared" ca="1" si="62"/>
        <v>-3.3772385183621258E-4</v>
      </c>
      <c r="AR74" s="16">
        <f t="shared" ca="1" si="63"/>
        <v>-5.3934003851939484E-4</v>
      </c>
      <c r="AS74" s="16">
        <f t="shared" ca="1" si="64"/>
        <v>-2.6118082120020897E-5</v>
      </c>
    </row>
    <row r="75" spans="1:45" x14ac:dyDescent="0.25">
      <c r="A75" s="69">
        <f t="shared" ca="1" si="65"/>
        <v>2451.6577409815063</v>
      </c>
      <c r="B75" s="69">
        <f t="shared" ca="1" si="66"/>
        <v>2134.697085923458</v>
      </c>
      <c r="C75" s="69">
        <f t="shared" ca="1" si="67"/>
        <v>2233.1182234632793</v>
      </c>
      <c r="D75" s="69">
        <f t="shared" ca="1" si="68"/>
        <v>2910.4114710940557</v>
      </c>
      <c r="E75" s="69">
        <f t="shared" ca="1" si="69"/>
        <v>1929.3015888453599</v>
      </c>
      <c r="F75" s="69">
        <f t="shared" ca="1" si="70"/>
        <v>1222.6608111374896</v>
      </c>
      <c r="G75" s="69">
        <f t="shared" ca="1" si="71"/>
        <v>964.16369707680019</v>
      </c>
      <c r="H75" s="69">
        <f t="shared" ca="1" si="72"/>
        <v>1189.8314505770538</v>
      </c>
      <c r="I75" s="69">
        <f t="shared" ca="1" si="73"/>
        <v>1045.8996220044494</v>
      </c>
      <c r="J75" s="69">
        <f t="shared" ca="1" si="74"/>
        <v>1150.3300262553339</v>
      </c>
      <c r="K75" s="69">
        <f t="shared" ca="1" si="75"/>
        <v>1180.9092451154124</v>
      </c>
      <c r="L75" s="69">
        <f t="shared" ca="1" si="76"/>
        <v>956.25990801008118</v>
      </c>
      <c r="M75" s="69">
        <f t="shared" ca="1" si="77"/>
        <v>984.69632787972307</v>
      </c>
      <c r="N75" s="69">
        <f t="shared" ca="1" si="78"/>
        <v>573.99955334359527</v>
      </c>
      <c r="O75" s="69">
        <f t="shared" ca="1" si="79"/>
        <v>629.40678109528233</v>
      </c>
      <c r="P75" s="69">
        <f t="shared" ca="1" si="80"/>
        <v>724.25248651784011</v>
      </c>
      <c r="Q75" s="69">
        <f t="shared" ca="1" si="81"/>
        <v>953.07999462888858</v>
      </c>
      <c r="R75" s="69">
        <f t="shared" ca="1" si="82"/>
        <v>785.13852585445375</v>
      </c>
      <c r="S75" s="69">
        <f t="shared" ca="1" si="83"/>
        <v>699.98809916528114</v>
      </c>
      <c r="T75" s="69">
        <f t="shared" ca="1" si="84"/>
        <v>803.80500968049716</v>
      </c>
      <c r="U75" s="69">
        <f t="shared" ca="1" si="85"/>
        <v>1696.0909419019497</v>
      </c>
      <c r="V75" s="69">
        <f t="shared" ca="1" si="86"/>
        <v>1913.6343716982446</v>
      </c>
      <c r="W75" s="69">
        <f t="shared" ca="1" si="87"/>
        <v>1177.2449124182665</v>
      </c>
      <c r="X75" s="69">
        <f t="shared" ca="1" si="88"/>
        <v>1487.4441272528359</v>
      </c>
      <c r="Y75" s="69">
        <f t="shared" ca="1" si="89"/>
        <v>1212.9141648959999</v>
      </c>
      <c r="AA75" s="20">
        <f t="shared" ca="1" si="49"/>
        <v>6.5623944238709824E+16</v>
      </c>
      <c r="AB75" s="20">
        <f t="shared" ca="1" si="50"/>
        <v>1687542324906015</v>
      </c>
      <c r="AC75" s="20">
        <f t="shared" ca="1" si="51"/>
        <v>401733234127699.63</v>
      </c>
      <c r="AD75" s="20">
        <f t="shared" ca="1" si="52"/>
        <v>304934808258548.81</v>
      </c>
      <c r="AE75" s="20">
        <f t="shared" ca="1" si="53"/>
        <v>6893593164153620</v>
      </c>
      <c r="AG75" s="16">
        <f t="shared" ca="1" si="54"/>
        <v>2.6769098290661261E-4</v>
      </c>
      <c r="AH75" s="16">
        <f t="shared" ca="1" si="55"/>
        <v>9.4576624199043562E-4</v>
      </c>
      <c r="AI75" s="16">
        <f t="shared" ca="1" si="56"/>
        <v>3.1740032101074807E-5</v>
      </c>
      <c r="AJ75" s="16">
        <f t="shared" ca="1" si="57"/>
        <v>-5.1291348728951207E-6</v>
      </c>
      <c r="AK75" s="16">
        <f t="shared" ca="1" si="58"/>
        <v>-8.936497491240545E-5</v>
      </c>
      <c r="AM75" s="16">
        <f t="shared" ca="1" si="59"/>
        <v>1.2400681221252279E-3</v>
      </c>
      <c r="AO75" s="16">
        <f t="shared" ca="1" si="60"/>
        <v>0</v>
      </c>
      <c r="AP75" s="16">
        <f t="shared" ca="1" si="61"/>
        <v>0</v>
      </c>
      <c r="AQ75" s="16">
        <f t="shared" ca="1" si="62"/>
        <v>0</v>
      </c>
      <c r="AR75" s="16">
        <f t="shared" ca="1" si="63"/>
        <v>-5.1291348728951207E-6</v>
      </c>
      <c r="AS75" s="16">
        <f t="shared" ca="1" si="64"/>
        <v>-8.936497491240545E-5</v>
      </c>
    </row>
    <row r="76" spans="1:45" x14ac:dyDescent="0.25">
      <c r="A76" s="69">
        <f t="shared" ca="1" si="65"/>
        <v>2451.6577409815063</v>
      </c>
      <c r="B76" s="69">
        <f t="shared" ca="1" si="66"/>
        <v>2134.697085923458</v>
      </c>
      <c r="C76" s="69">
        <f t="shared" ca="1" si="67"/>
        <v>2233.3720336074425</v>
      </c>
      <c r="D76" s="69">
        <f t="shared" ca="1" si="68"/>
        <v>2910.4114710940557</v>
      </c>
      <c r="E76" s="69">
        <f t="shared" ca="1" si="69"/>
        <v>1929.5988016634396</v>
      </c>
      <c r="F76" s="69">
        <f t="shared" ca="1" si="70"/>
        <v>1222.6608111374896</v>
      </c>
      <c r="G76" s="69">
        <f t="shared" ca="1" si="71"/>
        <v>964.52762743868027</v>
      </c>
      <c r="H76" s="69">
        <f t="shared" ca="1" si="72"/>
        <v>1190.2152749491117</v>
      </c>
      <c r="I76" s="69">
        <f t="shared" ca="1" si="73"/>
        <v>1045.8996220044494</v>
      </c>
      <c r="J76" s="69">
        <f t="shared" ca="1" si="74"/>
        <v>1150.6128642227852</v>
      </c>
      <c r="K76" s="69">
        <f t="shared" ca="1" si="75"/>
        <v>1180.9092451154124</v>
      </c>
      <c r="L76" s="69">
        <f t="shared" ca="1" si="76"/>
        <v>956.34727637513504</v>
      </c>
      <c r="M76" s="69">
        <f t="shared" ca="1" si="77"/>
        <v>985.15755986572719</v>
      </c>
      <c r="N76" s="69">
        <f t="shared" ca="1" si="78"/>
        <v>573.99955334359527</v>
      </c>
      <c r="O76" s="69">
        <f t="shared" ca="1" si="79"/>
        <v>629.07459800708182</v>
      </c>
      <c r="P76" s="69">
        <f t="shared" ca="1" si="80"/>
        <v>723.81059342192077</v>
      </c>
      <c r="Q76" s="69">
        <f t="shared" ca="1" si="81"/>
        <v>953.01842994730271</v>
      </c>
      <c r="R76" s="69">
        <f t="shared" ca="1" si="82"/>
        <v>785.13852585445375</v>
      </c>
      <c r="S76" s="69">
        <f t="shared" ca="1" si="83"/>
        <v>700.35382961954576</v>
      </c>
      <c r="T76" s="69">
        <f t="shared" ca="1" si="84"/>
        <v>803.92353701633374</v>
      </c>
      <c r="U76" s="69">
        <f t="shared" ca="1" si="85"/>
        <v>1696.0909419019497</v>
      </c>
      <c r="V76" s="69">
        <f t="shared" ca="1" si="86"/>
        <v>1913.6343716982446</v>
      </c>
      <c r="W76" s="69">
        <f t="shared" ca="1" si="87"/>
        <v>1177.0381958133555</v>
      </c>
      <c r="X76" s="69">
        <f t="shared" ca="1" si="88"/>
        <v>1487.572415895655</v>
      </c>
      <c r="Y76" s="69">
        <f t="shared" ca="1" si="89"/>
        <v>1212.9141648959999</v>
      </c>
      <c r="AA76" s="20">
        <f t="shared" ca="1" si="49"/>
        <v>6.5641513528310584E+16</v>
      </c>
      <c r="AB76" s="20">
        <f t="shared" ca="1" si="50"/>
        <v>1689139100438015.5</v>
      </c>
      <c r="AC76" s="20">
        <f t="shared" ca="1" si="51"/>
        <v>401745985355808</v>
      </c>
      <c r="AD76" s="20">
        <f t="shared" ca="1" si="52"/>
        <v>304933244210800.94</v>
      </c>
      <c r="AE76" s="20">
        <f t="shared" ca="1" si="53"/>
        <v>6892977145899087</v>
      </c>
      <c r="AG76" s="16">
        <f t="shared" ca="1" si="54"/>
        <v>4.0546974104196481E-4</v>
      </c>
      <c r="AH76" s="16">
        <f t="shared" ca="1" si="55"/>
        <v>1.3001439313049449E-4</v>
      </c>
      <c r="AI76" s="16">
        <f t="shared" ca="1" si="56"/>
        <v>8.4853352515013134E-4</v>
      </c>
      <c r="AJ76" s="16">
        <f t="shared" ca="1" si="57"/>
        <v>8.0408495830188462E-4</v>
      </c>
      <c r="AK76" s="16">
        <f t="shared" ca="1" si="58"/>
        <v>-2.1542509688173911E-4</v>
      </c>
      <c r="AM76" s="16">
        <f t="shared" ca="1" si="59"/>
        <v>2.1881026176244754E-3</v>
      </c>
      <c r="AO76" s="16">
        <f t="shared" ca="1" si="60"/>
        <v>0</v>
      </c>
      <c r="AP76" s="16">
        <f t="shared" ca="1" si="61"/>
        <v>0</v>
      </c>
      <c r="AQ76" s="16">
        <f t="shared" ca="1" si="62"/>
        <v>0</v>
      </c>
      <c r="AR76" s="16">
        <f t="shared" ca="1" si="63"/>
        <v>0</v>
      </c>
      <c r="AS76" s="16">
        <f t="shared" ca="1" si="64"/>
        <v>-2.1542509688173911E-4</v>
      </c>
    </row>
    <row r="77" spans="1:45" x14ac:dyDescent="0.25">
      <c r="A77" s="69">
        <f t="shared" ca="1" si="65"/>
        <v>2451.6577409815063</v>
      </c>
      <c r="B77" s="69">
        <f t="shared" ca="1" si="66"/>
        <v>2134.697085923458</v>
      </c>
      <c r="C77" s="69">
        <f t="shared" ca="1" si="67"/>
        <v>2233.7209432783898</v>
      </c>
      <c r="D77" s="69">
        <f t="shared" ca="1" si="68"/>
        <v>2910.4114710940557</v>
      </c>
      <c r="E77" s="69">
        <f t="shared" ca="1" si="69"/>
        <v>1930.0798265367139</v>
      </c>
      <c r="F77" s="69">
        <f t="shared" ca="1" si="70"/>
        <v>1222.6608111374896</v>
      </c>
      <c r="G77" s="69">
        <f t="shared" ca="1" si="71"/>
        <v>964.52762743868027</v>
      </c>
      <c r="H77" s="69">
        <f t="shared" ca="1" si="72"/>
        <v>1190.2152749491117</v>
      </c>
      <c r="I77" s="69">
        <f t="shared" ca="1" si="73"/>
        <v>1046.0356128492717</v>
      </c>
      <c r="J77" s="69">
        <f t="shared" ca="1" si="74"/>
        <v>1150.6128642227852</v>
      </c>
      <c r="K77" s="69">
        <f t="shared" ca="1" si="75"/>
        <v>1180.8920811184694</v>
      </c>
      <c r="L77" s="69">
        <f t="shared" ca="1" si="76"/>
        <v>956.8188589134387</v>
      </c>
      <c r="M77" s="69">
        <f t="shared" ca="1" si="77"/>
        <v>985.15755986572719</v>
      </c>
      <c r="N77" s="69">
        <f t="shared" ca="1" si="78"/>
        <v>573.99955334359527</v>
      </c>
      <c r="O77" s="69">
        <f t="shared" ca="1" si="79"/>
        <v>629.30745007661051</v>
      </c>
      <c r="P77" s="69">
        <f t="shared" ca="1" si="80"/>
        <v>723.89393189729958</v>
      </c>
      <c r="Q77" s="69">
        <f t="shared" ca="1" si="81"/>
        <v>953.01842994730271</v>
      </c>
      <c r="R77" s="69">
        <f t="shared" ca="1" si="82"/>
        <v>785.47937551188124</v>
      </c>
      <c r="S77" s="69">
        <f t="shared" ca="1" si="83"/>
        <v>700.73724286796539</v>
      </c>
      <c r="T77" s="69">
        <f t="shared" ca="1" si="84"/>
        <v>803.68851523922854</v>
      </c>
      <c r="U77" s="69">
        <f t="shared" ca="1" si="85"/>
        <v>1696.0419463981661</v>
      </c>
      <c r="V77" s="69">
        <f t="shared" ca="1" si="86"/>
        <v>1913.6343716982446</v>
      </c>
      <c r="W77" s="69">
        <f t="shared" ca="1" si="87"/>
        <v>1177.0381958133555</v>
      </c>
      <c r="X77" s="69">
        <f t="shared" ca="1" si="88"/>
        <v>1487.8508945294116</v>
      </c>
      <c r="Y77" s="69">
        <f t="shared" ca="1" si="89"/>
        <v>1212.460955349115</v>
      </c>
      <c r="AA77" s="20">
        <f t="shared" ca="1" si="49"/>
        <v>6.5668134572451728E+16</v>
      </c>
      <c r="AB77" s="20">
        <f t="shared" ca="1" si="50"/>
        <v>1689358727110076.8</v>
      </c>
      <c r="AC77" s="20">
        <f t="shared" ca="1" si="51"/>
        <v>402087024964284.81</v>
      </c>
      <c r="AD77" s="20">
        <f t="shared" ca="1" si="52"/>
        <v>305178535049878</v>
      </c>
      <c r="AE77" s="20">
        <f t="shared" ca="1" si="53"/>
        <v>6891492385562690</v>
      </c>
      <c r="AG77" s="16">
        <f t="shared" ca="1" si="54"/>
        <v>1.9140586286318085E-4</v>
      </c>
      <c r="AH77" s="16">
        <f t="shared" ca="1" si="55"/>
        <v>1.5630526575548587E-4</v>
      </c>
      <c r="AI77" s="16">
        <f t="shared" ca="1" si="56"/>
        <v>1.4173844070663379E-3</v>
      </c>
      <c r="AJ77" s="16">
        <f t="shared" ca="1" si="57"/>
        <v>1.0101306642726882E-3</v>
      </c>
      <c r="AK77" s="16">
        <f t="shared" ca="1" si="58"/>
        <v>-4.2235515077162692E-4</v>
      </c>
      <c r="AM77" s="16">
        <f t="shared" ca="1" si="59"/>
        <v>2.7752261999576928E-3</v>
      </c>
      <c r="AO77" s="16">
        <f t="shared" ca="1" si="60"/>
        <v>0</v>
      </c>
      <c r="AP77" s="16">
        <f t="shared" ca="1" si="61"/>
        <v>0</v>
      </c>
      <c r="AQ77" s="16">
        <f t="shared" ca="1" si="62"/>
        <v>0</v>
      </c>
      <c r="AR77" s="16">
        <f t="shared" ca="1" si="63"/>
        <v>0</v>
      </c>
      <c r="AS77" s="16">
        <f t="shared" ca="1" si="64"/>
        <v>-4.2235515077162692E-4</v>
      </c>
    </row>
    <row r="78" spans="1:45" x14ac:dyDescent="0.25">
      <c r="A78" s="69">
        <f t="shared" ca="1" si="65"/>
        <v>2452.0827371146074</v>
      </c>
      <c r="B78" s="69">
        <f t="shared" ca="1" si="66"/>
        <v>2134.905264928479</v>
      </c>
      <c r="C78" s="69">
        <f t="shared" ca="1" si="67"/>
        <v>2233.5851204852347</v>
      </c>
      <c r="D78" s="69">
        <f t="shared" ca="1" si="68"/>
        <v>2910.3572245283558</v>
      </c>
      <c r="E78" s="69">
        <f t="shared" ca="1" si="69"/>
        <v>1930.0798265367139</v>
      </c>
      <c r="F78" s="69">
        <f t="shared" ca="1" si="70"/>
        <v>1222.6608111374896</v>
      </c>
      <c r="G78" s="69">
        <f t="shared" ca="1" si="71"/>
        <v>964.375796011847</v>
      </c>
      <c r="H78" s="69">
        <f t="shared" ca="1" si="72"/>
        <v>1190.2152749491117</v>
      </c>
      <c r="I78" s="69">
        <f t="shared" ca="1" si="73"/>
        <v>1046.0356128492717</v>
      </c>
      <c r="J78" s="69">
        <f t="shared" ca="1" si="74"/>
        <v>1150.9739060563218</v>
      </c>
      <c r="K78" s="69">
        <f t="shared" ca="1" si="75"/>
        <v>1180.8920811184694</v>
      </c>
      <c r="L78" s="69">
        <f t="shared" ca="1" si="76"/>
        <v>957.2555391453327</v>
      </c>
      <c r="M78" s="69">
        <f t="shared" ca="1" si="77"/>
        <v>985.42461670050477</v>
      </c>
      <c r="N78" s="69">
        <f t="shared" ca="1" si="78"/>
        <v>574.39578265457226</v>
      </c>
      <c r="O78" s="69">
        <f t="shared" ca="1" si="79"/>
        <v>629.30745007661051</v>
      </c>
      <c r="P78" s="69">
        <f t="shared" ca="1" si="80"/>
        <v>724.38941344910916</v>
      </c>
      <c r="Q78" s="69">
        <f t="shared" ca="1" si="81"/>
        <v>953.38782270510171</v>
      </c>
      <c r="R78" s="69">
        <f t="shared" ca="1" si="82"/>
        <v>785.47937551188124</v>
      </c>
      <c r="S78" s="69">
        <f t="shared" ca="1" si="83"/>
        <v>700.74186339883624</v>
      </c>
      <c r="T78" s="69">
        <f t="shared" ca="1" si="84"/>
        <v>803.63368634294591</v>
      </c>
      <c r="U78" s="69">
        <f t="shared" ca="1" si="85"/>
        <v>1696.1592846455244</v>
      </c>
      <c r="V78" s="69">
        <f t="shared" ca="1" si="86"/>
        <v>1913.6343716982446</v>
      </c>
      <c r="W78" s="69">
        <f t="shared" ca="1" si="87"/>
        <v>1176.8817143916335</v>
      </c>
      <c r="X78" s="69">
        <f t="shared" ca="1" si="88"/>
        <v>1487.5461144001069</v>
      </c>
      <c r="Y78" s="69">
        <f t="shared" ca="1" si="89"/>
        <v>1212.2745955544112</v>
      </c>
      <c r="AA78" s="20">
        <f t="shared" ca="1" si="49"/>
        <v>6.5680705041404536E+16</v>
      </c>
      <c r="AB78" s="20">
        <f t="shared" ca="1" si="50"/>
        <v>1689622803412594.8</v>
      </c>
      <c r="AC78" s="20">
        <f t="shared" ca="1" si="51"/>
        <v>402657340926749.69</v>
      </c>
      <c r="AD78" s="20">
        <f t="shared" ca="1" si="52"/>
        <v>305486960995236.69</v>
      </c>
      <c r="AE78" s="20">
        <f t="shared" ca="1" si="53"/>
        <v>6888582342836170</v>
      </c>
      <c r="AG78" s="16">
        <f t="shared" ca="1" si="54"/>
        <v>-1.1493532167895277E-4</v>
      </c>
      <c r="AH78" s="16">
        <f t="shared" ca="1" si="55"/>
        <v>-6.2156433727704189E-5</v>
      </c>
      <c r="AI78" s="16">
        <f t="shared" ca="1" si="56"/>
        <v>3.000115266205204E-4</v>
      </c>
      <c r="AJ78" s="16">
        <f t="shared" ca="1" si="57"/>
        <v>1.1378473816606563E-4</v>
      </c>
      <c r="AK78" s="16">
        <f t="shared" ca="1" si="58"/>
        <v>-3.2920438899035169E-4</v>
      </c>
      <c r="AM78" s="16">
        <f t="shared" ca="1" si="59"/>
        <v>2.3670450937992904E-4</v>
      </c>
      <c r="AO78" s="16">
        <f t="shared" ca="1" si="60"/>
        <v>-1.1493532167895277E-4</v>
      </c>
      <c r="AP78" s="16">
        <f t="shared" ca="1" si="61"/>
        <v>-6.2156433727704189E-5</v>
      </c>
      <c r="AQ78" s="16">
        <f t="shared" ca="1" si="62"/>
        <v>0</v>
      </c>
      <c r="AR78" s="16">
        <f t="shared" ca="1" si="63"/>
        <v>0</v>
      </c>
      <c r="AS78" s="16">
        <f t="shared" ca="1" si="64"/>
        <v>-3.2920438899035169E-4</v>
      </c>
    </row>
    <row r="79" spans="1:45" x14ac:dyDescent="0.25">
      <c r="A79" s="69">
        <f t="shared" ca="1" si="65"/>
        <v>2452.0827371146074</v>
      </c>
      <c r="B79" s="69">
        <f t="shared" ca="1" si="66"/>
        <v>2134.4583290669939</v>
      </c>
      <c r="C79" s="69">
        <f t="shared" ca="1" si="67"/>
        <v>2233.6600313942213</v>
      </c>
      <c r="D79" s="69">
        <f t="shared" ca="1" si="68"/>
        <v>2909.8608607393176</v>
      </c>
      <c r="E79" s="69">
        <f t="shared" ca="1" si="69"/>
        <v>1930.5266165008879</v>
      </c>
      <c r="F79" s="69">
        <f t="shared" ca="1" si="70"/>
        <v>1222.9050938919891</v>
      </c>
      <c r="G79" s="69">
        <f t="shared" ca="1" si="71"/>
        <v>963.97046956939573</v>
      </c>
      <c r="H79" s="69">
        <f t="shared" ca="1" si="72"/>
        <v>1190.2348124684843</v>
      </c>
      <c r="I79" s="69">
        <f t="shared" ca="1" si="73"/>
        <v>1046.0356128492717</v>
      </c>
      <c r="J79" s="69">
        <f t="shared" ca="1" si="74"/>
        <v>1151.1374021751146</v>
      </c>
      <c r="K79" s="69">
        <f t="shared" ca="1" si="75"/>
        <v>1180.5424742976711</v>
      </c>
      <c r="L79" s="69">
        <f t="shared" ca="1" si="76"/>
        <v>956.92186957124204</v>
      </c>
      <c r="M79" s="69">
        <f t="shared" ca="1" si="77"/>
        <v>985.06264263119101</v>
      </c>
      <c r="N79" s="69">
        <f t="shared" ca="1" si="78"/>
        <v>574.71518629626769</v>
      </c>
      <c r="O79" s="69">
        <f t="shared" ca="1" si="79"/>
        <v>629.78352454452943</v>
      </c>
      <c r="P79" s="69">
        <f t="shared" ca="1" si="80"/>
        <v>724.46489731098211</v>
      </c>
      <c r="Q79" s="69">
        <f t="shared" ca="1" si="81"/>
        <v>953.5431596195541</v>
      </c>
      <c r="R79" s="69">
        <f t="shared" ca="1" si="82"/>
        <v>785.05915352237582</v>
      </c>
      <c r="S79" s="69">
        <f t="shared" ca="1" si="83"/>
        <v>700.74186339883624</v>
      </c>
      <c r="T79" s="69">
        <f t="shared" ca="1" si="84"/>
        <v>803.94057193902984</v>
      </c>
      <c r="U79" s="69">
        <f t="shared" ca="1" si="85"/>
        <v>1696.1331254850725</v>
      </c>
      <c r="V79" s="69">
        <f t="shared" ca="1" si="86"/>
        <v>1913.42498441619</v>
      </c>
      <c r="W79" s="69">
        <f t="shared" ca="1" si="87"/>
        <v>1176.6412348860306</v>
      </c>
      <c r="X79" s="69">
        <f t="shared" ca="1" si="88"/>
        <v>1487.5461144001069</v>
      </c>
      <c r="Y79" s="69">
        <f t="shared" ca="1" si="89"/>
        <v>1212.2745955544112</v>
      </c>
      <c r="AA79" s="20">
        <f t="shared" ca="1" si="49"/>
        <v>6.5673156442251144E+16</v>
      </c>
      <c r="AB79" s="20">
        <f t="shared" ca="1" si="50"/>
        <v>1689517785748585.3</v>
      </c>
      <c r="AC79" s="20">
        <f t="shared" ca="1" si="51"/>
        <v>402778160893091.13</v>
      </c>
      <c r="AD79" s="20">
        <f t="shared" ca="1" si="52"/>
        <v>305521722726746.44</v>
      </c>
      <c r="AE79" s="20">
        <f t="shared" ca="1" si="53"/>
        <v>6886314964530909</v>
      </c>
      <c r="AG79" s="16">
        <f t="shared" ca="1" si="54"/>
        <v>2.1943964402437679E-5</v>
      </c>
      <c r="AH79" s="16">
        <f t="shared" ca="1" si="55"/>
        <v>-6.1623520160773162E-4</v>
      </c>
      <c r="AI79" s="16">
        <f t="shared" ca="1" si="56"/>
        <v>-3.9461961562811362E-4</v>
      </c>
      <c r="AJ79" s="16">
        <f t="shared" ca="1" si="57"/>
        <v>-1.8010558289996236E-4</v>
      </c>
      <c r="AK79" s="16">
        <f t="shared" ca="1" si="58"/>
        <v>-3.0659328040965743E-4</v>
      </c>
      <c r="AM79" s="16">
        <f t="shared" ca="1" si="59"/>
        <v>-1.1690164357333699E-3</v>
      </c>
      <c r="AO79" s="16">
        <f t="shared" ca="1" si="60"/>
        <v>0</v>
      </c>
      <c r="AP79" s="16">
        <f t="shared" ca="1" si="61"/>
        <v>-6.1623520160773162E-4</v>
      </c>
      <c r="AQ79" s="16">
        <f t="shared" ca="1" si="62"/>
        <v>-3.9461961562811362E-4</v>
      </c>
      <c r="AR79" s="16">
        <f t="shared" ca="1" si="63"/>
        <v>-1.8010558289996236E-4</v>
      </c>
      <c r="AS79" s="16">
        <f t="shared" ca="1" si="64"/>
        <v>-3.0659328040965743E-4</v>
      </c>
    </row>
    <row r="80" spans="1:45" x14ac:dyDescent="0.25">
      <c r="A80" s="69">
        <f t="shared" ca="1" si="65"/>
        <v>2451.8397813039051</v>
      </c>
      <c r="B80" s="69">
        <f t="shared" ca="1" si="66"/>
        <v>2134.4583290669939</v>
      </c>
      <c r="C80" s="69">
        <f t="shared" ca="1" si="67"/>
        <v>2233.9111993646206</v>
      </c>
      <c r="D80" s="69">
        <f t="shared" ca="1" si="68"/>
        <v>2909.8858559168007</v>
      </c>
      <c r="E80" s="69">
        <f t="shared" ca="1" si="69"/>
        <v>1930.5266165008879</v>
      </c>
      <c r="F80" s="69">
        <f t="shared" ca="1" si="70"/>
        <v>1223.1039548572508</v>
      </c>
      <c r="G80" s="69">
        <f t="shared" ca="1" si="71"/>
        <v>963.60668286659961</v>
      </c>
      <c r="H80" s="69">
        <f t="shared" ca="1" si="72"/>
        <v>1190.545592610978</v>
      </c>
      <c r="I80" s="69">
        <f t="shared" ca="1" si="73"/>
        <v>1045.598947964613</v>
      </c>
      <c r="J80" s="69">
        <f t="shared" ca="1" si="74"/>
        <v>1150.8554998330796</v>
      </c>
      <c r="K80" s="69">
        <f t="shared" ca="1" si="75"/>
        <v>1180.0767009879175</v>
      </c>
      <c r="L80" s="69">
        <f t="shared" ca="1" si="76"/>
        <v>956.92186957124204</v>
      </c>
      <c r="M80" s="69">
        <f t="shared" ca="1" si="77"/>
        <v>985.06264263119101</v>
      </c>
      <c r="N80" s="69">
        <f t="shared" ca="1" si="78"/>
        <v>574.71518629626769</v>
      </c>
      <c r="O80" s="69">
        <f t="shared" ca="1" si="79"/>
        <v>629.78352454452943</v>
      </c>
      <c r="P80" s="69">
        <f t="shared" ca="1" si="80"/>
        <v>724.46489731098211</v>
      </c>
      <c r="Q80" s="69">
        <f t="shared" ca="1" si="81"/>
        <v>953.76124785022034</v>
      </c>
      <c r="R80" s="69">
        <f t="shared" ca="1" si="82"/>
        <v>785.31339586855665</v>
      </c>
      <c r="S80" s="69">
        <f t="shared" ca="1" si="83"/>
        <v>700.35928096863188</v>
      </c>
      <c r="T80" s="69">
        <f t="shared" ca="1" si="84"/>
        <v>803.7906711501621</v>
      </c>
      <c r="U80" s="69">
        <f t="shared" ca="1" si="85"/>
        <v>1696.1331254850725</v>
      </c>
      <c r="V80" s="69">
        <f t="shared" ca="1" si="86"/>
        <v>1912.9313507612353</v>
      </c>
      <c r="W80" s="69">
        <f t="shared" ca="1" si="87"/>
        <v>1176.9151041507453</v>
      </c>
      <c r="X80" s="69">
        <f t="shared" ca="1" si="88"/>
        <v>1487.5461144001069</v>
      </c>
      <c r="Y80" s="69">
        <f t="shared" ca="1" si="89"/>
        <v>1211.9336261837666</v>
      </c>
      <c r="AA80" s="20">
        <f t="shared" ca="1" si="49"/>
        <v>6.5674597587470472E+16</v>
      </c>
      <c r="AB80" s="20">
        <f t="shared" ca="1" si="50"/>
        <v>1688476966143041.5</v>
      </c>
      <c r="AC80" s="20">
        <f t="shared" ca="1" si="51"/>
        <v>402619248087173.5</v>
      </c>
      <c r="AD80" s="20">
        <f t="shared" ca="1" si="52"/>
        <v>305466701513748.69</v>
      </c>
      <c r="AE80" s="20">
        <f t="shared" ca="1" si="53"/>
        <v>6884203990257799</v>
      </c>
      <c r="AG80" s="16">
        <f t="shared" ca="1" si="54"/>
        <v>-1.3135585990427676E-4</v>
      </c>
      <c r="AH80" s="16">
        <f t="shared" ca="1" si="55"/>
        <v>-2.1920001884770325E-4</v>
      </c>
      <c r="AI80" s="16">
        <f t="shared" ca="1" si="56"/>
        <v>-1.1764784469825728E-3</v>
      </c>
      <c r="AJ80" s="16">
        <f t="shared" ca="1" si="57"/>
        <v>-6.5213339418507309E-4</v>
      </c>
      <c r="AK80" s="16">
        <f t="shared" ca="1" si="58"/>
        <v>7.9079881954837274E-4</v>
      </c>
      <c r="AM80" s="16">
        <f t="shared" ca="1" si="59"/>
        <v>-2.1791677199196257E-3</v>
      </c>
      <c r="AO80" s="16">
        <f t="shared" ca="1" si="60"/>
        <v>-1.3135585990427676E-4</v>
      </c>
      <c r="AP80" s="16">
        <f t="shared" ca="1" si="61"/>
        <v>-2.1920001884770325E-4</v>
      </c>
      <c r="AQ80" s="16">
        <f t="shared" ca="1" si="62"/>
        <v>-1.1764784469825728E-3</v>
      </c>
      <c r="AR80" s="16">
        <f t="shared" ca="1" si="63"/>
        <v>-6.5213339418507309E-4</v>
      </c>
      <c r="AS80" s="16">
        <f t="shared" ca="1" si="64"/>
        <v>0</v>
      </c>
    </row>
    <row r="81" spans="1:45" x14ac:dyDescent="0.25">
      <c r="A81" s="69">
        <f t="shared" ca="1" si="65"/>
        <v>2451.8397813039051</v>
      </c>
      <c r="B81" s="69">
        <f t="shared" ca="1" si="66"/>
        <v>2134.311395284732</v>
      </c>
      <c r="C81" s="69">
        <f t="shared" ca="1" si="67"/>
        <v>2233.6762283892749</v>
      </c>
      <c r="D81" s="69">
        <f t="shared" ca="1" si="68"/>
        <v>2909.814377020909</v>
      </c>
      <c r="E81" s="69">
        <f t="shared" ca="1" si="69"/>
        <v>1930.6564276965557</v>
      </c>
      <c r="F81" s="69">
        <f t="shared" ca="1" si="70"/>
        <v>1223.3408099229318</v>
      </c>
      <c r="G81" s="69">
        <f t="shared" ca="1" si="71"/>
        <v>963.56539998562528</v>
      </c>
      <c r="H81" s="69">
        <f t="shared" ca="1" si="72"/>
        <v>1190.2730691492091</v>
      </c>
      <c r="I81" s="69">
        <f t="shared" ca="1" si="73"/>
        <v>1045.598947964613</v>
      </c>
      <c r="J81" s="69">
        <f t="shared" ca="1" si="74"/>
        <v>1150.6931755788171</v>
      </c>
      <c r="K81" s="69">
        <f t="shared" ca="1" si="75"/>
        <v>1180.0892953359155</v>
      </c>
      <c r="L81" s="69">
        <f t="shared" ca="1" si="76"/>
        <v>956.58300854523293</v>
      </c>
      <c r="M81" s="69">
        <f t="shared" ca="1" si="77"/>
        <v>985.22385655300286</v>
      </c>
      <c r="N81" s="69">
        <f t="shared" ca="1" si="78"/>
        <v>574.22222751409663</v>
      </c>
      <c r="O81" s="69">
        <f t="shared" ca="1" si="79"/>
        <v>629.69630236135208</v>
      </c>
      <c r="P81" s="69">
        <f t="shared" ca="1" si="80"/>
        <v>724.23772447138026</v>
      </c>
      <c r="Q81" s="69">
        <f t="shared" ca="1" si="81"/>
        <v>953.76124785022034</v>
      </c>
      <c r="R81" s="69">
        <f t="shared" ca="1" si="82"/>
        <v>784.85620492711314</v>
      </c>
      <c r="S81" s="69">
        <f t="shared" ca="1" si="83"/>
        <v>700.53007390857442</v>
      </c>
      <c r="T81" s="69">
        <f t="shared" ca="1" si="84"/>
        <v>803.7906711501621</v>
      </c>
      <c r="U81" s="69">
        <f t="shared" ca="1" si="85"/>
        <v>1696.1331254850725</v>
      </c>
      <c r="V81" s="69">
        <f t="shared" ca="1" si="86"/>
        <v>1913.1105389987483</v>
      </c>
      <c r="W81" s="69">
        <f t="shared" ca="1" si="87"/>
        <v>1177.3914781033279</v>
      </c>
      <c r="X81" s="69">
        <f t="shared" ca="1" si="88"/>
        <v>1487.9812080660708</v>
      </c>
      <c r="Y81" s="69">
        <f t="shared" ca="1" si="89"/>
        <v>1211.9336261837666</v>
      </c>
      <c r="AA81" s="20">
        <f t="shared" ca="1" si="49"/>
        <v>6.5665971410792336E+16</v>
      </c>
      <c r="AB81" s="20">
        <f t="shared" ca="1" si="50"/>
        <v>1688106892521793.3</v>
      </c>
      <c r="AC81" s="20">
        <f t="shared" ca="1" si="51"/>
        <v>402145853743182.06</v>
      </c>
      <c r="AD81" s="20">
        <f t="shared" ca="1" si="52"/>
        <v>305267561416891.13</v>
      </c>
      <c r="AE81" s="20">
        <f t="shared" ca="1" si="53"/>
        <v>6889650163776800</v>
      </c>
      <c r="AG81" s="16">
        <f t="shared" ca="1" si="54"/>
        <v>-1.5313553735217569E-4</v>
      </c>
      <c r="AH81" s="16">
        <f t="shared" ca="1" si="55"/>
        <v>-1.7345512942730321E-5</v>
      </c>
      <c r="AI81" s="16">
        <f t="shared" ca="1" si="56"/>
        <v>-3.3397096237885001E-4</v>
      </c>
      <c r="AJ81" s="16">
        <f t="shared" ca="1" si="57"/>
        <v>-5.760444020524848E-5</v>
      </c>
      <c r="AK81" s="16">
        <f t="shared" ca="1" si="58"/>
        <v>3.6811176882705195E-4</v>
      </c>
      <c r="AM81" s="16">
        <f t="shared" ca="1" si="59"/>
        <v>-5.6205645287900449E-4</v>
      </c>
      <c r="AO81" s="16">
        <f t="shared" ca="1" si="60"/>
        <v>-1.5313553735217569E-4</v>
      </c>
      <c r="AP81" s="16">
        <f t="shared" ca="1" si="61"/>
        <v>-1.7345512942730321E-5</v>
      </c>
      <c r="AQ81" s="16">
        <f t="shared" ca="1" si="62"/>
        <v>-3.3397096237885001E-4</v>
      </c>
      <c r="AR81" s="16">
        <f t="shared" ca="1" si="63"/>
        <v>-5.760444020524848E-5</v>
      </c>
      <c r="AS81" s="16">
        <f t="shared" ca="1" si="64"/>
        <v>0</v>
      </c>
    </row>
    <row r="82" spans="1:45" x14ac:dyDescent="0.25">
      <c r="A82" s="69">
        <f t="shared" ca="1" si="65"/>
        <v>2451.7465706599778</v>
      </c>
      <c r="B82" s="69">
        <f t="shared" ca="1" si="66"/>
        <v>2134.3700688566619</v>
      </c>
      <c r="C82" s="69">
        <f t="shared" ca="1" si="67"/>
        <v>2233.357709980663</v>
      </c>
      <c r="D82" s="69">
        <f t="shared" ca="1" si="68"/>
        <v>2909.814377020909</v>
      </c>
      <c r="E82" s="69">
        <f t="shared" ca="1" si="69"/>
        <v>1930.6564276965557</v>
      </c>
      <c r="F82" s="69">
        <f t="shared" ca="1" si="70"/>
        <v>1223.6050800483877</v>
      </c>
      <c r="G82" s="69">
        <f t="shared" ca="1" si="71"/>
        <v>963.90679772397937</v>
      </c>
      <c r="H82" s="69">
        <f t="shared" ca="1" si="72"/>
        <v>1190.2730691492091</v>
      </c>
      <c r="I82" s="69">
        <f t="shared" ca="1" si="73"/>
        <v>1045.1527726688905</v>
      </c>
      <c r="J82" s="69">
        <f t="shared" ca="1" si="74"/>
        <v>1150.5081808506104</v>
      </c>
      <c r="K82" s="69">
        <f t="shared" ca="1" si="75"/>
        <v>1180.0892953359155</v>
      </c>
      <c r="L82" s="69">
        <f t="shared" ca="1" si="76"/>
        <v>956.58300854523293</v>
      </c>
      <c r="M82" s="69">
        <f t="shared" ca="1" si="77"/>
        <v>985.22385655300286</v>
      </c>
      <c r="N82" s="69">
        <f t="shared" ca="1" si="78"/>
        <v>574.21344895189713</v>
      </c>
      <c r="O82" s="69">
        <f t="shared" ca="1" si="79"/>
        <v>629.49566076270685</v>
      </c>
      <c r="P82" s="69">
        <f t="shared" ca="1" si="80"/>
        <v>724.21355894487442</v>
      </c>
      <c r="Q82" s="69">
        <f t="shared" ca="1" si="81"/>
        <v>953.79950434245609</v>
      </c>
      <c r="R82" s="69">
        <f t="shared" ca="1" si="82"/>
        <v>785.10581658341448</v>
      </c>
      <c r="S82" s="69">
        <f t="shared" ca="1" si="83"/>
        <v>700.39110579248188</v>
      </c>
      <c r="T82" s="69">
        <f t="shared" ca="1" si="84"/>
        <v>803.64283837864798</v>
      </c>
      <c r="U82" s="69">
        <f t="shared" ca="1" si="85"/>
        <v>1696.1331254850725</v>
      </c>
      <c r="V82" s="69">
        <f t="shared" ca="1" si="86"/>
        <v>1913.2644616330738</v>
      </c>
      <c r="W82" s="69">
        <f t="shared" ca="1" si="87"/>
        <v>1177.1867221200155</v>
      </c>
      <c r="X82" s="69">
        <f t="shared" ca="1" si="88"/>
        <v>1488.2333608873066</v>
      </c>
      <c r="Y82" s="69">
        <f t="shared" ca="1" si="89"/>
        <v>1212.2877255579508</v>
      </c>
      <c r="AA82" s="20">
        <f t="shared" ca="1" si="49"/>
        <v>6.5655916386884984E+16</v>
      </c>
      <c r="AB82" s="20">
        <f t="shared" ca="1" si="50"/>
        <v>1688077611695786.5</v>
      </c>
      <c r="AC82" s="20">
        <f t="shared" ca="1" si="51"/>
        <v>402011571129885.69</v>
      </c>
      <c r="AD82" s="20">
        <f t="shared" ca="1" si="52"/>
        <v>305249977156373.5</v>
      </c>
      <c r="AE82" s="20">
        <f t="shared" ca="1" si="53"/>
        <v>6892186791937883</v>
      </c>
      <c r="AG82" s="16">
        <f t="shared" ca="1" si="54"/>
        <v>2.3860024947568374E-4</v>
      </c>
      <c r="AH82" s="16">
        <f t="shared" ca="1" si="55"/>
        <v>-3.3574230099465144E-4</v>
      </c>
      <c r="AI82" s="16">
        <f t="shared" ca="1" si="56"/>
        <v>-1.0117224391679164E-4</v>
      </c>
      <c r="AJ82" s="16">
        <f t="shared" ca="1" si="57"/>
        <v>-4.8973882602413915E-4</v>
      </c>
      <c r="AK82" s="16">
        <f t="shared" ca="1" si="58"/>
        <v>6.8877095906983322E-5</v>
      </c>
      <c r="AM82" s="16">
        <f t="shared" ca="1" si="59"/>
        <v>-6.8805312145989845E-4</v>
      </c>
      <c r="AO82" s="16">
        <f t="shared" ca="1" si="60"/>
        <v>0</v>
      </c>
      <c r="AP82" s="16">
        <f t="shared" ca="1" si="61"/>
        <v>-3.3574230099465144E-4</v>
      </c>
      <c r="AQ82" s="16">
        <f t="shared" ca="1" si="62"/>
        <v>-1.0117224391679164E-4</v>
      </c>
      <c r="AR82" s="16">
        <f t="shared" ca="1" si="63"/>
        <v>-4.8973882602413915E-4</v>
      </c>
      <c r="AS82" s="16">
        <f t="shared" ca="1" si="64"/>
        <v>0</v>
      </c>
    </row>
    <row r="83" spans="1:45" x14ac:dyDescent="0.25">
      <c r="A83" s="69">
        <f t="shared" ca="1" si="65"/>
        <v>2451.7465706599778</v>
      </c>
      <c r="B83" s="69">
        <f t="shared" ca="1" si="66"/>
        <v>2134.3700688566619</v>
      </c>
      <c r="C83" s="69">
        <f t="shared" ca="1" si="67"/>
        <v>2233.5065232200309</v>
      </c>
      <c r="D83" s="69">
        <f t="shared" ca="1" si="68"/>
        <v>2909.9480697763643</v>
      </c>
      <c r="E83" s="69">
        <f t="shared" ca="1" si="69"/>
        <v>1930.8997559357915</v>
      </c>
      <c r="F83" s="69">
        <f t="shared" ca="1" si="70"/>
        <v>1223.8768665901525</v>
      </c>
      <c r="G83" s="69">
        <f t="shared" ca="1" si="71"/>
        <v>963.52795013936679</v>
      </c>
      <c r="H83" s="69">
        <f t="shared" ca="1" si="72"/>
        <v>1190.0540693431983</v>
      </c>
      <c r="I83" s="69">
        <f t="shared" ca="1" si="73"/>
        <v>1044.9225149664837</v>
      </c>
      <c r="J83" s="69">
        <f t="shared" ca="1" si="74"/>
        <v>1150.7838941283226</v>
      </c>
      <c r="K83" s="69">
        <f t="shared" ca="1" si="75"/>
        <v>1179.7851914026621</v>
      </c>
      <c r="L83" s="69">
        <f t="shared" ca="1" si="76"/>
        <v>956.58300854523293</v>
      </c>
      <c r="M83" s="69">
        <f t="shared" ca="1" si="77"/>
        <v>985.23514010959798</v>
      </c>
      <c r="N83" s="69">
        <f t="shared" ca="1" si="78"/>
        <v>574.11789967390075</v>
      </c>
      <c r="O83" s="69">
        <f t="shared" ca="1" si="79"/>
        <v>629.69179058216184</v>
      </c>
      <c r="P83" s="69">
        <f t="shared" ca="1" si="80"/>
        <v>723.82374485097262</v>
      </c>
      <c r="Q83" s="69">
        <f t="shared" ca="1" si="81"/>
        <v>954.14787599191618</v>
      </c>
      <c r="R83" s="69">
        <f t="shared" ca="1" si="82"/>
        <v>784.8573581809278</v>
      </c>
      <c r="S83" s="69">
        <f t="shared" ca="1" si="83"/>
        <v>700.39110579248188</v>
      </c>
      <c r="T83" s="69">
        <f t="shared" ca="1" si="84"/>
        <v>803.64283837864798</v>
      </c>
      <c r="U83" s="69">
        <f t="shared" ca="1" si="85"/>
        <v>1696.1331254850725</v>
      </c>
      <c r="V83" s="69">
        <f t="shared" ca="1" si="86"/>
        <v>1913.2644616330738</v>
      </c>
      <c r="W83" s="69">
        <f t="shared" ca="1" si="87"/>
        <v>1177.520643775762</v>
      </c>
      <c r="X83" s="69">
        <f t="shared" ca="1" si="88"/>
        <v>1487.9138068791558</v>
      </c>
      <c r="Y83" s="69">
        <f t="shared" ca="1" si="89"/>
        <v>1212.2877255579508</v>
      </c>
      <c r="AA83" s="20">
        <f t="shared" ca="1" si="49"/>
        <v>6.5671583773961352E+16</v>
      </c>
      <c r="AB83" s="20">
        <f t="shared" ca="1" si="50"/>
        <v>1687510947766027</v>
      </c>
      <c r="AC83" s="20">
        <f t="shared" ca="1" si="51"/>
        <v>401970900774544.19</v>
      </c>
      <c r="AD83" s="20">
        <f t="shared" ca="1" si="52"/>
        <v>305100520991147.69</v>
      </c>
      <c r="AE83" s="20">
        <f t="shared" ca="1" si="53"/>
        <v>6892661522097390</v>
      </c>
      <c r="AG83" s="16">
        <f t="shared" ca="1" si="54"/>
        <v>-1.9366852501899933E-4</v>
      </c>
      <c r="AH83" s="16">
        <f t="shared" ca="1" si="55"/>
        <v>-8.8765637739156495E-5</v>
      </c>
      <c r="AI83" s="16">
        <f t="shared" ca="1" si="56"/>
        <v>-8.4798011590446248E-4</v>
      </c>
      <c r="AJ83" s="16">
        <f t="shared" ca="1" si="57"/>
        <v>-4.2320429670633224E-4</v>
      </c>
      <c r="AK83" s="16">
        <f t="shared" ca="1" si="58"/>
        <v>1.347554227667344E-4</v>
      </c>
      <c r="AM83" s="16">
        <f t="shared" ca="1" si="59"/>
        <v>-1.5536185753689505E-3</v>
      </c>
      <c r="AO83" s="16">
        <f t="shared" ca="1" si="60"/>
        <v>-1.9366852501899933E-4</v>
      </c>
      <c r="AP83" s="16">
        <f t="shared" ca="1" si="61"/>
        <v>-8.8765637739156495E-5</v>
      </c>
      <c r="AQ83" s="16">
        <f t="shared" ca="1" si="62"/>
        <v>-8.4798011590446248E-4</v>
      </c>
      <c r="AR83" s="16">
        <f t="shared" ca="1" si="63"/>
        <v>-4.2320429670633224E-4</v>
      </c>
      <c r="AS83" s="16">
        <f t="shared" ca="1" si="64"/>
        <v>0</v>
      </c>
    </row>
    <row r="84" spans="1:45" x14ac:dyDescent="0.25">
      <c r="A84" s="69">
        <f t="shared" ca="1" si="65"/>
        <v>2451.2507420749562</v>
      </c>
      <c r="B84" s="69">
        <f t="shared" ca="1" si="66"/>
        <v>2134.2024135303664</v>
      </c>
      <c r="C84" s="69">
        <f t="shared" ca="1" si="67"/>
        <v>2233.812645840208</v>
      </c>
      <c r="D84" s="69">
        <f t="shared" ca="1" si="68"/>
        <v>2909.7826351906674</v>
      </c>
      <c r="E84" s="69">
        <f t="shared" ca="1" si="69"/>
        <v>1930.9131628211589</v>
      </c>
      <c r="F84" s="69">
        <f t="shared" ca="1" si="70"/>
        <v>1224.2143259140178</v>
      </c>
      <c r="G84" s="69">
        <f t="shared" ca="1" si="71"/>
        <v>963.30633438715404</v>
      </c>
      <c r="H84" s="69">
        <f t="shared" ca="1" si="72"/>
        <v>1189.7312923503862</v>
      </c>
      <c r="I84" s="69">
        <f t="shared" ca="1" si="73"/>
        <v>1045.0655110555683</v>
      </c>
      <c r="J84" s="69">
        <f t="shared" ca="1" si="74"/>
        <v>1150.7838941283226</v>
      </c>
      <c r="K84" s="69">
        <f t="shared" ca="1" si="75"/>
        <v>1179.7851914026621</v>
      </c>
      <c r="L84" s="69">
        <f t="shared" ca="1" si="76"/>
        <v>956.18692503752334</v>
      </c>
      <c r="M84" s="69">
        <f t="shared" ca="1" si="77"/>
        <v>984.80780471670141</v>
      </c>
      <c r="N84" s="69">
        <f t="shared" ca="1" si="78"/>
        <v>574.11789967390075</v>
      </c>
      <c r="O84" s="69">
        <f t="shared" ca="1" si="79"/>
        <v>629.69179058216184</v>
      </c>
      <c r="P84" s="69">
        <f t="shared" ca="1" si="80"/>
        <v>723.74405814003478</v>
      </c>
      <c r="Q84" s="69">
        <f t="shared" ca="1" si="81"/>
        <v>954.44220491566398</v>
      </c>
      <c r="R84" s="69">
        <f t="shared" ca="1" si="82"/>
        <v>784.69827297026063</v>
      </c>
      <c r="S84" s="69">
        <f t="shared" ca="1" si="83"/>
        <v>700.39110579248188</v>
      </c>
      <c r="T84" s="69">
        <f t="shared" ca="1" si="84"/>
        <v>803.30632818498918</v>
      </c>
      <c r="U84" s="69">
        <f t="shared" ca="1" si="85"/>
        <v>1696.1331254850725</v>
      </c>
      <c r="V84" s="69">
        <f t="shared" ca="1" si="86"/>
        <v>1913.2644616330738</v>
      </c>
      <c r="W84" s="69">
        <f t="shared" ca="1" si="87"/>
        <v>1177.77883405542</v>
      </c>
      <c r="X84" s="69">
        <f t="shared" ca="1" si="88"/>
        <v>1488.3918021383379</v>
      </c>
      <c r="Y84" s="69">
        <f t="shared" ca="1" si="89"/>
        <v>1211.7960159757356</v>
      </c>
      <c r="AA84" s="20">
        <f t="shared" ca="1" si="49"/>
        <v>6.5658866486705072E+16</v>
      </c>
      <c r="AB84" s="20">
        <f t="shared" ca="1" si="50"/>
        <v>1687361161428595</v>
      </c>
      <c r="AC84" s="20">
        <f t="shared" ca="1" si="51"/>
        <v>401630181925336.5</v>
      </c>
      <c r="AD84" s="20">
        <f t="shared" ca="1" si="52"/>
        <v>304971428457921</v>
      </c>
      <c r="AE84" s="20">
        <f t="shared" ca="1" si="53"/>
        <v>6893590408199603</v>
      </c>
      <c r="AG84" s="16">
        <f t="shared" ca="1" si="54"/>
        <v>1.447020493803309E-4</v>
      </c>
      <c r="AH84" s="16">
        <f t="shared" ca="1" si="55"/>
        <v>-3.8111089850229816E-4</v>
      </c>
      <c r="AI84" s="16">
        <f t="shared" ca="1" si="56"/>
        <v>-8.6873277780060462E-4</v>
      </c>
      <c r="AJ84" s="16">
        <f t="shared" ca="1" si="57"/>
        <v>-1.6405566169238895E-4</v>
      </c>
      <c r="AK84" s="16">
        <f t="shared" ca="1" si="58"/>
        <v>-4.368919921289568E-4</v>
      </c>
      <c r="AM84" s="16">
        <f t="shared" ca="1" si="59"/>
        <v>-1.2691972886149608E-3</v>
      </c>
      <c r="AO84" s="16">
        <f t="shared" ca="1" si="60"/>
        <v>0</v>
      </c>
      <c r="AP84" s="16">
        <f t="shared" ca="1" si="61"/>
        <v>-3.8111089850229816E-4</v>
      </c>
      <c r="AQ84" s="16">
        <f t="shared" ca="1" si="62"/>
        <v>-8.6873277780060462E-4</v>
      </c>
      <c r="AR84" s="16">
        <f t="shared" ca="1" si="63"/>
        <v>-1.6405566169238895E-4</v>
      </c>
      <c r="AS84" s="16">
        <f t="shared" ca="1" si="64"/>
        <v>-4.368919921289568E-4</v>
      </c>
    </row>
    <row r="85" spans="1:45" x14ac:dyDescent="0.25">
      <c r="A85" s="69">
        <f t="shared" ca="1" si="65"/>
        <v>2451.7043555568703</v>
      </c>
      <c r="B85" s="69">
        <f t="shared" ca="1" si="66"/>
        <v>2134.1423202971982</v>
      </c>
      <c r="C85" s="69">
        <f t="shared" ca="1" si="67"/>
        <v>2233.812645840208</v>
      </c>
      <c r="D85" s="69">
        <f t="shared" ca="1" si="68"/>
        <v>2909.5712828310284</v>
      </c>
      <c r="E85" s="69">
        <f t="shared" ca="1" si="69"/>
        <v>1931.0299106158654</v>
      </c>
      <c r="F85" s="69">
        <f t="shared" ca="1" si="70"/>
        <v>1224.088972112374</v>
      </c>
      <c r="G85" s="69">
        <f t="shared" ca="1" si="71"/>
        <v>963.30633438715404</v>
      </c>
      <c r="H85" s="69">
        <f t="shared" ca="1" si="72"/>
        <v>1189.3997481314418</v>
      </c>
      <c r="I85" s="69">
        <f t="shared" ca="1" si="73"/>
        <v>1045.0655110555683</v>
      </c>
      <c r="J85" s="69">
        <f t="shared" ca="1" si="74"/>
        <v>1150.7838941283226</v>
      </c>
      <c r="K85" s="69">
        <f t="shared" ca="1" si="75"/>
        <v>1179.7851914026621</v>
      </c>
      <c r="L85" s="69">
        <f t="shared" ca="1" si="76"/>
        <v>955.74675940099883</v>
      </c>
      <c r="M85" s="69">
        <f t="shared" ca="1" si="77"/>
        <v>984.34922761397002</v>
      </c>
      <c r="N85" s="69">
        <f t="shared" ca="1" si="78"/>
        <v>574.239853624793</v>
      </c>
      <c r="O85" s="69">
        <f t="shared" ca="1" si="79"/>
        <v>629.59424010617749</v>
      </c>
      <c r="P85" s="69">
        <f t="shared" ca="1" si="80"/>
        <v>723.54353625072918</v>
      </c>
      <c r="Q85" s="69">
        <f t="shared" ca="1" si="81"/>
        <v>954.79118098476602</v>
      </c>
      <c r="R85" s="69">
        <f t="shared" ca="1" si="82"/>
        <v>784.5001443379233</v>
      </c>
      <c r="S85" s="69">
        <f t="shared" ca="1" si="83"/>
        <v>700.39110579248188</v>
      </c>
      <c r="T85" s="69">
        <f t="shared" ca="1" si="84"/>
        <v>803.30632818498918</v>
      </c>
      <c r="U85" s="69">
        <f t="shared" ca="1" si="85"/>
        <v>1696.1331254850725</v>
      </c>
      <c r="V85" s="69">
        <f t="shared" ca="1" si="86"/>
        <v>1913.0315550629161</v>
      </c>
      <c r="W85" s="69">
        <f t="shared" ca="1" si="87"/>
        <v>1177.4077131504862</v>
      </c>
      <c r="X85" s="69">
        <f t="shared" ca="1" si="88"/>
        <v>1488.3918021383379</v>
      </c>
      <c r="Y85" s="69">
        <f t="shared" ca="1" si="89"/>
        <v>1211.7960159757356</v>
      </c>
      <c r="AA85" s="20">
        <f t="shared" ca="1" si="49"/>
        <v>6.5668368146683944E+16</v>
      </c>
      <c r="AB85" s="20">
        <f t="shared" ca="1" si="50"/>
        <v>1686718212225521.5</v>
      </c>
      <c r="AC85" s="20">
        <f t="shared" ca="1" si="51"/>
        <v>401281424132340.94</v>
      </c>
      <c r="AD85" s="20">
        <f t="shared" ca="1" si="52"/>
        <v>304921400272243.81</v>
      </c>
      <c r="AE85" s="20">
        <f t="shared" ca="1" si="53"/>
        <v>6890579311563143</v>
      </c>
      <c r="AG85" s="16">
        <f t="shared" ca="1" si="54"/>
        <v>-2.3731453650943322E-5</v>
      </c>
      <c r="AH85" s="16">
        <f t="shared" ca="1" si="55"/>
        <v>-2.6176778882892656E-5</v>
      </c>
      <c r="AI85" s="16">
        <f t="shared" ca="1" si="56"/>
        <v>2.5237996512181396E-4</v>
      </c>
      <c r="AJ85" s="16">
        <f t="shared" ca="1" si="57"/>
        <v>1.9311837089531301E-4</v>
      </c>
      <c r="AK85" s="16">
        <f t="shared" ca="1" si="58"/>
        <v>1.7239177635508781E-4</v>
      </c>
      <c r="AM85" s="16">
        <f t="shared" ca="1" si="59"/>
        <v>3.9559010348329097E-4</v>
      </c>
      <c r="AO85" s="16">
        <f t="shared" ca="1" si="60"/>
        <v>-2.3731453650943322E-5</v>
      </c>
      <c r="AP85" s="16">
        <f t="shared" ca="1" si="61"/>
        <v>-2.6176778882892656E-5</v>
      </c>
      <c r="AQ85" s="16">
        <f t="shared" ca="1" si="62"/>
        <v>0</v>
      </c>
      <c r="AR85" s="16">
        <f t="shared" ca="1" si="63"/>
        <v>0</v>
      </c>
      <c r="AS85" s="16">
        <f t="shared" ca="1" si="64"/>
        <v>0</v>
      </c>
    </row>
    <row r="86" spans="1:45" x14ac:dyDescent="0.25">
      <c r="A86" s="69">
        <f t="shared" ca="1" si="65"/>
        <v>2451.7043555568703</v>
      </c>
      <c r="B86" s="69">
        <f t="shared" ca="1" si="66"/>
        <v>2134.5203301877059</v>
      </c>
      <c r="C86" s="69">
        <f t="shared" ca="1" si="67"/>
        <v>2233.812645840208</v>
      </c>
      <c r="D86" s="69">
        <f t="shared" ca="1" si="68"/>
        <v>2909.2893368157524</v>
      </c>
      <c r="E86" s="69">
        <f t="shared" ca="1" si="69"/>
        <v>1930.829223119672</v>
      </c>
      <c r="F86" s="69">
        <f t="shared" ca="1" si="70"/>
        <v>1224.088972112374</v>
      </c>
      <c r="G86" s="69">
        <f t="shared" ca="1" si="71"/>
        <v>963.30633438715404</v>
      </c>
      <c r="H86" s="69">
        <f t="shared" ca="1" si="72"/>
        <v>1189.3686138847306</v>
      </c>
      <c r="I86" s="69">
        <f t="shared" ca="1" si="73"/>
        <v>1045.0655110555683</v>
      </c>
      <c r="J86" s="69">
        <f t="shared" ca="1" si="74"/>
        <v>1150.7838941283226</v>
      </c>
      <c r="K86" s="69">
        <f t="shared" ca="1" si="75"/>
        <v>1179.4806260234361</v>
      </c>
      <c r="L86" s="69">
        <f t="shared" ca="1" si="76"/>
        <v>955.74675940099883</v>
      </c>
      <c r="M86" s="69">
        <f t="shared" ca="1" si="77"/>
        <v>984.58738262020768</v>
      </c>
      <c r="N86" s="69">
        <f t="shared" ca="1" si="78"/>
        <v>574.39414631230215</v>
      </c>
      <c r="O86" s="69">
        <f t="shared" ca="1" si="79"/>
        <v>629.59424010617749</v>
      </c>
      <c r="P86" s="69">
        <f t="shared" ca="1" si="80"/>
        <v>723.54353625072918</v>
      </c>
      <c r="Q86" s="69">
        <f t="shared" ca="1" si="81"/>
        <v>954.43488130307139</v>
      </c>
      <c r="R86" s="69">
        <f t="shared" ca="1" si="82"/>
        <v>784.5001443379233</v>
      </c>
      <c r="S86" s="69">
        <f t="shared" ca="1" si="83"/>
        <v>700.78789044858161</v>
      </c>
      <c r="T86" s="69">
        <f t="shared" ca="1" si="84"/>
        <v>803.30632818498918</v>
      </c>
      <c r="U86" s="69">
        <f t="shared" ca="1" si="85"/>
        <v>1696.0141659567707</v>
      </c>
      <c r="V86" s="69">
        <f t="shared" ca="1" si="86"/>
        <v>1913.4955788009604</v>
      </c>
      <c r="W86" s="69">
        <f t="shared" ca="1" si="87"/>
        <v>1177.4077131504862</v>
      </c>
      <c r="X86" s="69">
        <f t="shared" ca="1" si="88"/>
        <v>1488.3918021383379</v>
      </c>
      <c r="Y86" s="69">
        <f t="shared" ca="1" si="89"/>
        <v>1211.7960159757356</v>
      </c>
      <c r="AA86" s="20">
        <f t="shared" ca="1" si="49"/>
        <v>6.5666809759340408E+16</v>
      </c>
      <c r="AB86" s="20">
        <f t="shared" ca="1" si="50"/>
        <v>1686674059953727</v>
      </c>
      <c r="AC86" s="20">
        <f t="shared" ca="1" si="51"/>
        <v>401382712305182.63</v>
      </c>
      <c r="AD86" s="20">
        <f t="shared" ca="1" si="52"/>
        <v>304980291882658.38</v>
      </c>
      <c r="AE86" s="20">
        <f t="shared" ca="1" si="53"/>
        <v>6891767293166967</v>
      </c>
      <c r="AG86" s="16">
        <f t="shared" ca="1" si="54"/>
        <v>-1.6795299709625876E-5</v>
      </c>
      <c r="AH86" s="16">
        <f t="shared" ca="1" si="55"/>
        <v>4.0274599294732872E-4</v>
      </c>
      <c r="AI86" s="16">
        <f t="shared" ca="1" si="56"/>
        <v>-7.6191815992137605E-4</v>
      </c>
      <c r="AJ86" s="16">
        <f t="shared" ca="1" si="57"/>
        <v>-1.5940087635557548E-4</v>
      </c>
      <c r="AK86" s="16">
        <f t="shared" ca="1" si="58"/>
        <v>-1.7043068601230545E-4</v>
      </c>
      <c r="AM86" s="16">
        <f t="shared" ca="1" si="59"/>
        <v>-5.3536834303924874E-4</v>
      </c>
      <c r="AO86" s="16">
        <f t="shared" ca="1" si="60"/>
        <v>-1.6795299709625876E-5</v>
      </c>
      <c r="AP86" s="16">
        <f t="shared" ca="1" si="61"/>
        <v>0</v>
      </c>
      <c r="AQ86" s="16">
        <f t="shared" ca="1" si="62"/>
        <v>-7.6191815992137605E-4</v>
      </c>
      <c r="AR86" s="16">
        <f t="shared" ca="1" si="63"/>
        <v>-1.5940087635557548E-4</v>
      </c>
      <c r="AS86" s="16">
        <f t="shared" ca="1" si="64"/>
        <v>-1.7043068601230545E-4</v>
      </c>
    </row>
    <row r="87" spans="1:45" x14ac:dyDescent="0.25">
      <c r="A87" s="69">
        <f t="shared" ca="1" si="65"/>
        <v>2451.7043555568703</v>
      </c>
      <c r="B87" s="69">
        <f t="shared" ca="1" si="66"/>
        <v>2134.5203301877059</v>
      </c>
      <c r="C87" s="69">
        <f t="shared" ca="1" si="67"/>
        <v>2233.7885535914074</v>
      </c>
      <c r="D87" s="69">
        <f t="shared" ca="1" si="68"/>
        <v>2909.3009272771374</v>
      </c>
      <c r="E87" s="69">
        <f t="shared" ca="1" si="69"/>
        <v>1930.809926656382</v>
      </c>
      <c r="F87" s="69">
        <f t="shared" ca="1" si="70"/>
        <v>1224.3170117273569</v>
      </c>
      <c r="G87" s="69">
        <f t="shared" ca="1" si="71"/>
        <v>963.77089699071018</v>
      </c>
      <c r="H87" s="69">
        <f t="shared" ca="1" si="72"/>
        <v>1189.3686138847306</v>
      </c>
      <c r="I87" s="69">
        <f t="shared" ca="1" si="73"/>
        <v>1045.2361787823318</v>
      </c>
      <c r="J87" s="69">
        <f t="shared" ca="1" si="74"/>
        <v>1150.2903516759152</v>
      </c>
      <c r="K87" s="69">
        <f t="shared" ca="1" si="75"/>
        <v>1179.6147020865119</v>
      </c>
      <c r="L87" s="69">
        <f t="shared" ca="1" si="76"/>
        <v>955.74675940099883</v>
      </c>
      <c r="M87" s="69">
        <f t="shared" ca="1" si="77"/>
        <v>984.80491980073509</v>
      </c>
      <c r="N87" s="69">
        <f t="shared" ca="1" si="78"/>
        <v>574.01404681518261</v>
      </c>
      <c r="O87" s="69">
        <f t="shared" ca="1" si="79"/>
        <v>629.32071270318863</v>
      </c>
      <c r="P87" s="69">
        <f t="shared" ca="1" si="80"/>
        <v>723.38826327047036</v>
      </c>
      <c r="Q87" s="69">
        <f t="shared" ca="1" si="81"/>
        <v>954.43488130307139</v>
      </c>
      <c r="R87" s="69">
        <f t="shared" ca="1" si="82"/>
        <v>784.38095865774176</v>
      </c>
      <c r="S87" s="69">
        <f t="shared" ca="1" si="83"/>
        <v>700.72764289170675</v>
      </c>
      <c r="T87" s="69">
        <f t="shared" ca="1" si="84"/>
        <v>803.54183985299358</v>
      </c>
      <c r="U87" s="69">
        <f t="shared" ca="1" si="85"/>
        <v>1696.0141659567707</v>
      </c>
      <c r="V87" s="69">
        <f t="shared" ca="1" si="86"/>
        <v>1913.9238359461697</v>
      </c>
      <c r="W87" s="69">
        <f t="shared" ca="1" si="87"/>
        <v>1177.1810327763292</v>
      </c>
      <c r="X87" s="69">
        <f t="shared" ca="1" si="88"/>
        <v>1488.5084626472956</v>
      </c>
      <c r="Y87" s="69">
        <f t="shared" ca="1" si="89"/>
        <v>1211.4567022987846</v>
      </c>
      <c r="AA87" s="20">
        <f t="shared" ca="1" si="49"/>
        <v>6.5665706874851192E+16</v>
      </c>
      <c r="AB87" s="20">
        <f t="shared" ca="1" si="50"/>
        <v>1687353497984069.5</v>
      </c>
      <c r="AC87" s="20">
        <f t="shared" ca="1" si="51"/>
        <v>401077008003217.38</v>
      </c>
      <c r="AD87" s="20">
        <f t="shared" ca="1" si="52"/>
        <v>304931681631222.38</v>
      </c>
      <c r="AE87" s="20">
        <f t="shared" ca="1" si="53"/>
        <v>6890592824624938</v>
      </c>
      <c r="AG87" s="16">
        <f t="shared" ca="1" si="54"/>
        <v>-1.5786103571984548E-4</v>
      </c>
      <c r="AH87" s="16">
        <f t="shared" ca="1" si="55"/>
        <v>-1.3250393953472155E-4</v>
      </c>
      <c r="AI87" s="16">
        <f t="shared" ca="1" si="56"/>
        <v>2.7375455285702732E-4</v>
      </c>
      <c r="AJ87" s="16">
        <f t="shared" ca="1" si="57"/>
        <v>3.9282710143381154E-4</v>
      </c>
      <c r="AK87" s="16">
        <f t="shared" ca="1" si="58"/>
        <v>2.1806531075710755E-4</v>
      </c>
      <c r="AM87" s="16">
        <f t="shared" ca="1" si="59"/>
        <v>3.7621667903627184E-4</v>
      </c>
      <c r="AO87" s="16">
        <f t="shared" ca="1" si="60"/>
        <v>-1.5786103571984548E-4</v>
      </c>
      <c r="AP87" s="16">
        <f t="shared" ca="1" si="61"/>
        <v>-1.3250393953472155E-4</v>
      </c>
      <c r="AQ87" s="16">
        <f t="shared" ca="1" si="62"/>
        <v>0</v>
      </c>
      <c r="AR87" s="16">
        <f t="shared" ca="1" si="63"/>
        <v>0</v>
      </c>
      <c r="AS87" s="16">
        <f t="shared" ca="1" si="64"/>
        <v>0</v>
      </c>
    </row>
    <row r="88" spans="1:45" x14ac:dyDescent="0.25">
      <c r="A88" s="69">
        <f t="shared" ca="1" si="65"/>
        <v>2451.3073033494102</v>
      </c>
      <c r="B88" s="69">
        <f t="shared" ca="1" si="66"/>
        <v>2134.4019101541412</v>
      </c>
      <c r="C88" s="69">
        <f t="shared" ca="1" si="67"/>
        <v>2233.7885535914074</v>
      </c>
      <c r="D88" s="69">
        <f t="shared" ca="1" si="68"/>
        <v>2909.474273260475</v>
      </c>
      <c r="E88" s="69">
        <f t="shared" ca="1" si="69"/>
        <v>1930.809926656382</v>
      </c>
      <c r="F88" s="69">
        <f t="shared" ca="1" si="70"/>
        <v>1224.1255202682833</v>
      </c>
      <c r="G88" s="69">
        <f t="shared" ca="1" si="71"/>
        <v>963.77089699071018</v>
      </c>
      <c r="H88" s="69">
        <f t="shared" ca="1" si="72"/>
        <v>1189.0177741995526</v>
      </c>
      <c r="I88" s="69">
        <f t="shared" ca="1" si="73"/>
        <v>1045.5699159039264</v>
      </c>
      <c r="J88" s="69">
        <f t="shared" ca="1" si="74"/>
        <v>1150.2900017622458</v>
      </c>
      <c r="K88" s="69">
        <f t="shared" ca="1" si="75"/>
        <v>1179.1800638454417</v>
      </c>
      <c r="L88" s="69">
        <f t="shared" ca="1" si="76"/>
        <v>955.74675940099883</v>
      </c>
      <c r="M88" s="69">
        <f t="shared" ca="1" si="77"/>
        <v>984.80491980073509</v>
      </c>
      <c r="N88" s="69">
        <f t="shared" ca="1" si="78"/>
        <v>574.3828431248586</v>
      </c>
      <c r="O88" s="69">
        <f t="shared" ca="1" si="79"/>
        <v>629.32071270318863</v>
      </c>
      <c r="P88" s="69">
        <f t="shared" ca="1" si="80"/>
        <v>723.51808536236649</v>
      </c>
      <c r="Q88" s="69">
        <f t="shared" ca="1" si="81"/>
        <v>954.83773082930327</v>
      </c>
      <c r="R88" s="69">
        <f t="shared" ca="1" si="82"/>
        <v>784.38841392865413</v>
      </c>
      <c r="S88" s="69">
        <f t="shared" ca="1" si="83"/>
        <v>700.58821302104479</v>
      </c>
      <c r="T88" s="69">
        <f t="shared" ca="1" si="84"/>
        <v>803.52647667192946</v>
      </c>
      <c r="U88" s="69">
        <f t="shared" ca="1" si="85"/>
        <v>1696.0930224222925</v>
      </c>
      <c r="V88" s="69">
        <f t="shared" ca="1" si="86"/>
        <v>1913.8336709845019</v>
      </c>
      <c r="W88" s="69">
        <f t="shared" ca="1" si="87"/>
        <v>1177.5283568163832</v>
      </c>
      <c r="X88" s="69">
        <f t="shared" ca="1" si="88"/>
        <v>1488.5084626472956</v>
      </c>
      <c r="Y88" s="69">
        <f t="shared" ca="1" si="89"/>
        <v>1211.3642457477636</v>
      </c>
      <c r="AA88" s="20">
        <f t="shared" ca="1" si="49"/>
        <v>6.5655341636507808E+16</v>
      </c>
      <c r="AB88" s="20">
        <f t="shared" ca="1" si="50"/>
        <v>1687129931810225.5</v>
      </c>
      <c r="AC88" s="20">
        <f t="shared" ca="1" si="51"/>
        <v>401186819690243.38</v>
      </c>
      <c r="AD88" s="20">
        <f t="shared" ca="1" si="52"/>
        <v>305051490590415.31</v>
      </c>
      <c r="AE88" s="20">
        <f t="shared" ca="1" si="53"/>
        <v>6892095587734838</v>
      </c>
      <c r="AG88" s="16">
        <f t="shared" ca="1" si="54"/>
        <v>-2.9095455139608815E-6</v>
      </c>
      <c r="AH88" s="16">
        <f t="shared" ca="1" si="55"/>
        <v>3.4010616331295313E-4</v>
      </c>
      <c r="AI88" s="16">
        <f t="shared" ca="1" si="56"/>
        <v>-1.6759885605349644E-3</v>
      </c>
      <c r="AJ88" s="16">
        <f t="shared" ca="1" si="57"/>
        <v>-8.2192216680150056E-4</v>
      </c>
      <c r="AK88" s="16">
        <f t="shared" ca="1" si="58"/>
        <v>9.3762735266756837E-5</v>
      </c>
      <c r="AM88" s="16">
        <f t="shared" ca="1" si="59"/>
        <v>-2.1607141095374726E-3</v>
      </c>
      <c r="AO88" s="16">
        <f t="shared" ca="1" si="60"/>
        <v>-2.9095455139608815E-6</v>
      </c>
      <c r="AP88" s="16">
        <f t="shared" ca="1" si="61"/>
        <v>0</v>
      </c>
      <c r="AQ88" s="16">
        <f t="shared" ca="1" si="62"/>
        <v>-1.6759885605349644E-3</v>
      </c>
      <c r="AR88" s="16">
        <f t="shared" ca="1" si="63"/>
        <v>-8.2192216680150056E-4</v>
      </c>
      <c r="AS88" s="16">
        <f t="shared" ca="1" si="64"/>
        <v>0</v>
      </c>
    </row>
    <row r="89" spans="1:45" x14ac:dyDescent="0.25">
      <c r="A89" s="69">
        <f t="shared" ca="1" si="65"/>
        <v>2450.8483866567644</v>
      </c>
      <c r="B89" s="69">
        <f t="shared" ca="1" si="66"/>
        <v>2134.4019101541412</v>
      </c>
      <c r="C89" s="69">
        <f t="shared" ca="1" si="67"/>
        <v>2233.7885535914074</v>
      </c>
      <c r="D89" s="69">
        <f t="shared" ca="1" si="68"/>
        <v>2909.9167088148947</v>
      </c>
      <c r="E89" s="69">
        <f t="shared" ca="1" si="69"/>
        <v>1930.8722260161258</v>
      </c>
      <c r="F89" s="69">
        <f t="shared" ca="1" si="70"/>
        <v>1224.5102696441922</v>
      </c>
      <c r="G89" s="69">
        <f t="shared" ca="1" si="71"/>
        <v>963.77089699071018</v>
      </c>
      <c r="H89" s="69">
        <f t="shared" ca="1" si="72"/>
        <v>1189.0177741995526</v>
      </c>
      <c r="I89" s="69">
        <f t="shared" ca="1" si="73"/>
        <v>1045.500333287029</v>
      </c>
      <c r="J89" s="69">
        <f t="shared" ca="1" si="74"/>
        <v>1150.3962960108211</v>
      </c>
      <c r="K89" s="69">
        <f t="shared" ca="1" si="75"/>
        <v>1178.6836364719081</v>
      </c>
      <c r="L89" s="69">
        <f t="shared" ca="1" si="76"/>
        <v>955.74675940099883</v>
      </c>
      <c r="M89" s="69">
        <f t="shared" ca="1" si="77"/>
        <v>984.39871403010568</v>
      </c>
      <c r="N89" s="69">
        <f t="shared" ca="1" si="78"/>
        <v>573.98247539748343</v>
      </c>
      <c r="O89" s="69">
        <f t="shared" ca="1" si="79"/>
        <v>629.22942697460405</v>
      </c>
      <c r="P89" s="69">
        <f t="shared" ca="1" si="80"/>
        <v>723.14379730512724</v>
      </c>
      <c r="Q89" s="69">
        <f t="shared" ca="1" si="81"/>
        <v>954.54006797547811</v>
      </c>
      <c r="R89" s="69">
        <f t="shared" ca="1" si="82"/>
        <v>784.3941548150824</v>
      </c>
      <c r="S89" s="69">
        <f t="shared" ca="1" si="83"/>
        <v>700.58821302104479</v>
      </c>
      <c r="T89" s="69">
        <f t="shared" ca="1" si="84"/>
        <v>803.52647667192946</v>
      </c>
      <c r="U89" s="69">
        <f t="shared" ca="1" si="85"/>
        <v>1696.0930224222925</v>
      </c>
      <c r="V89" s="69">
        <f t="shared" ca="1" si="86"/>
        <v>1913.6031267294977</v>
      </c>
      <c r="W89" s="69">
        <f t="shared" ca="1" si="87"/>
        <v>1177.7693062940882</v>
      </c>
      <c r="X89" s="69">
        <f t="shared" ca="1" si="88"/>
        <v>1488.8903843813096</v>
      </c>
      <c r="Y89" s="69">
        <f t="shared" ca="1" si="89"/>
        <v>1211.0651757766175</v>
      </c>
      <c r="AA89" s="20">
        <f t="shared" ca="1" si="49"/>
        <v>6.5655150609580984E+16</v>
      </c>
      <c r="AB89" s="20">
        <f t="shared" ca="1" si="50"/>
        <v>1687703832686424.5</v>
      </c>
      <c r="AC89" s="20">
        <f t="shared" ca="1" si="51"/>
        <v>400514998309538.19</v>
      </c>
      <c r="AD89" s="20">
        <f t="shared" ca="1" si="52"/>
        <v>304800865019748.56</v>
      </c>
      <c r="AE89" s="20">
        <f t="shared" ca="1" si="53"/>
        <v>6892741839765570</v>
      </c>
      <c r="AG89" s="16">
        <f t="shared" ca="1" si="54"/>
        <v>3.1119368224983895E-4</v>
      </c>
      <c r="AH89" s="16">
        <f t="shared" ca="1" si="55"/>
        <v>-5.4095057335783138E-4</v>
      </c>
      <c r="AI89" s="16">
        <f t="shared" ca="1" si="56"/>
        <v>7.9698438129085993E-4</v>
      </c>
      <c r="AJ89" s="16">
        <f t="shared" ca="1" si="57"/>
        <v>-1.5526829677659434E-3</v>
      </c>
      <c r="AK89" s="16">
        <f t="shared" ca="1" si="58"/>
        <v>2.670783063449582E-5</v>
      </c>
      <c r="AM89" s="16">
        <f t="shared" ca="1" si="59"/>
        <v>-9.8545547758307605E-4</v>
      </c>
      <c r="AO89" s="16">
        <f t="shared" ca="1" si="60"/>
        <v>0</v>
      </c>
      <c r="AP89" s="16">
        <f t="shared" ca="1" si="61"/>
        <v>-5.4095057335783138E-4</v>
      </c>
      <c r="AQ89" s="16">
        <f t="shared" ca="1" si="62"/>
        <v>0</v>
      </c>
      <c r="AR89" s="16">
        <f t="shared" ca="1" si="63"/>
        <v>-1.5526829677659434E-3</v>
      </c>
      <c r="AS89" s="16">
        <f t="shared" ca="1" si="64"/>
        <v>0</v>
      </c>
    </row>
    <row r="90" spans="1:45" x14ac:dyDescent="0.25">
      <c r="A90" s="69">
        <f t="shared" ca="1" si="65"/>
        <v>2450.7743288625529</v>
      </c>
      <c r="B90" s="69">
        <f t="shared" ca="1" si="66"/>
        <v>2134.4319239838705</v>
      </c>
      <c r="C90" s="69">
        <f t="shared" ca="1" si="67"/>
        <v>2233.7885535914074</v>
      </c>
      <c r="D90" s="69">
        <f t="shared" ca="1" si="68"/>
        <v>2910.3861850853818</v>
      </c>
      <c r="E90" s="69">
        <f t="shared" ca="1" si="69"/>
        <v>1931.1928273316801</v>
      </c>
      <c r="F90" s="69">
        <f t="shared" ca="1" si="70"/>
        <v>1224.0302206967142</v>
      </c>
      <c r="G90" s="69">
        <f t="shared" ca="1" si="71"/>
        <v>964.21702420709642</v>
      </c>
      <c r="H90" s="69">
        <f t="shared" ca="1" si="72"/>
        <v>1188.6256718239374</v>
      </c>
      <c r="I90" s="69">
        <f t="shared" ca="1" si="73"/>
        <v>1045.2057461195022</v>
      </c>
      <c r="J90" s="69">
        <f t="shared" ca="1" si="74"/>
        <v>1150.3962960108211</v>
      </c>
      <c r="K90" s="69">
        <f t="shared" ca="1" si="75"/>
        <v>1178.5469171609175</v>
      </c>
      <c r="L90" s="69">
        <f t="shared" ca="1" si="76"/>
        <v>955.98831897943148</v>
      </c>
      <c r="M90" s="69">
        <f t="shared" ca="1" si="77"/>
        <v>984.80592846744378</v>
      </c>
      <c r="N90" s="69">
        <f t="shared" ca="1" si="78"/>
        <v>573.93102774174361</v>
      </c>
      <c r="O90" s="69">
        <f t="shared" ca="1" si="79"/>
        <v>629.44108883908712</v>
      </c>
      <c r="P90" s="69">
        <f t="shared" ca="1" si="80"/>
        <v>722.75834350426362</v>
      </c>
      <c r="Q90" s="69">
        <f t="shared" ca="1" si="81"/>
        <v>954.54006797547811</v>
      </c>
      <c r="R90" s="69">
        <f t="shared" ca="1" si="82"/>
        <v>783.89973856899144</v>
      </c>
      <c r="S90" s="69">
        <f t="shared" ca="1" si="83"/>
        <v>700.58821302104479</v>
      </c>
      <c r="T90" s="69">
        <f t="shared" ca="1" si="84"/>
        <v>803.21396490328289</v>
      </c>
      <c r="U90" s="69">
        <f t="shared" ca="1" si="85"/>
        <v>1696.0930224222925</v>
      </c>
      <c r="V90" s="69">
        <f t="shared" ca="1" si="86"/>
        <v>1913.6031267294977</v>
      </c>
      <c r="W90" s="69">
        <f t="shared" ca="1" si="87"/>
        <v>1177.5359549784646</v>
      </c>
      <c r="X90" s="69">
        <f t="shared" ca="1" si="88"/>
        <v>1489.2252099874263</v>
      </c>
      <c r="Y90" s="69">
        <f t="shared" ca="1" si="89"/>
        <v>1211.0651757766175</v>
      </c>
      <c r="AA90" s="20">
        <f t="shared" ca="1" si="49"/>
        <v>6.5675585257059536E+16</v>
      </c>
      <c r="AB90" s="20">
        <f t="shared" ca="1" si="50"/>
        <v>1686791115220250</v>
      </c>
      <c r="AC90" s="20">
        <f t="shared" ca="1" si="51"/>
        <v>400834329741842.81</v>
      </c>
      <c r="AD90" s="20">
        <f t="shared" ca="1" si="52"/>
        <v>304327973128669.44</v>
      </c>
      <c r="AE90" s="20">
        <f t="shared" ca="1" si="53"/>
        <v>6892925932405581</v>
      </c>
      <c r="AG90" s="16">
        <f t="shared" ca="1" si="54"/>
        <v>-6.0993001604960946E-5</v>
      </c>
      <c r="AH90" s="16">
        <f t="shared" ca="1" si="55"/>
        <v>-9.4458417052457845E-4</v>
      </c>
      <c r="AI90" s="16">
        <f t="shared" ca="1" si="56"/>
        <v>-7.5494497272924016E-4</v>
      </c>
      <c r="AJ90" s="16">
        <f t="shared" ca="1" si="57"/>
        <v>-3.7562995237447544E-4</v>
      </c>
      <c r="AK90" s="16">
        <f t="shared" ca="1" si="58"/>
        <v>1.7863372569155043E-4</v>
      </c>
      <c r="AM90" s="16">
        <f t="shared" ca="1" si="59"/>
        <v>-2.136152097233255E-3</v>
      </c>
      <c r="AO90" s="16">
        <f t="shared" ca="1" si="60"/>
        <v>-6.0993001604960946E-5</v>
      </c>
      <c r="AP90" s="16">
        <f t="shared" ca="1" si="61"/>
        <v>-9.4458417052457845E-4</v>
      </c>
      <c r="AQ90" s="16">
        <f t="shared" ca="1" si="62"/>
        <v>-7.5494497272924016E-4</v>
      </c>
      <c r="AR90" s="16">
        <f t="shared" ca="1" si="63"/>
        <v>-3.7562995237447544E-4</v>
      </c>
      <c r="AS90" s="16">
        <f t="shared" ca="1" si="64"/>
        <v>0</v>
      </c>
    </row>
    <row r="91" spans="1:45" x14ac:dyDescent="0.25">
      <c r="A91" s="69">
        <f t="shared" ca="1" si="65"/>
        <v>2450.7539237250217</v>
      </c>
      <c r="B91" s="69">
        <f t="shared" ca="1" si="66"/>
        <v>2134.4319239838705</v>
      </c>
      <c r="C91" s="69">
        <f t="shared" ca="1" si="67"/>
        <v>2234.0138632860039</v>
      </c>
      <c r="D91" s="69">
        <f t="shared" ca="1" si="68"/>
        <v>2909.9393986679283</v>
      </c>
      <c r="E91" s="69">
        <f t="shared" ca="1" si="69"/>
        <v>1931.1928273316801</v>
      </c>
      <c r="F91" s="69">
        <f t="shared" ca="1" si="70"/>
        <v>1224.1060461360594</v>
      </c>
      <c r="G91" s="69">
        <f t="shared" ca="1" si="71"/>
        <v>963.80454477143735</v>
      </c>
      <c r="H91" s="69">
        <f t="shared" ca="1" si="72"/>
        <v>1188.6256718239374</v>
      </c>
      <c r="I91" s="69">
        <f t="shared" ca="1" si="73"/>
        <v>1044.9356729214032</v>
      </c>
      <c r="J91" s="69">
        <f t="shared" ca="1" si="74"/>
        <v>1150.0279688829271</v>
      </c>
      <c r="K91" s="69">
        <f t="shared" ca="1" si="75"/>
        <v>1178.5469171609175</v>
      </c>
      <c r="L91" s="69">
        <f t="shared" ca="1" si="76"/>
        <v>956.32798537132214</v>
      </c>
      <c r="M91" s="69">
        <f t="shared" ca="1" si="77"/>
        <v>984.39248969944958</v>
      </c>
      <c r="N91" s="69">
        <f t="shared" ca="1" si="78"/>
        <v>573.861162667847</v>
      </c>
      <c r="O91" s="69">
        <f t="shared" ca="1" si="79"/>
        <v>629.08332689558381</v>
      </c>
      <c r="P91" s="69">
        <f t="shared" ca="1" si="80"/>
        <v>722.75834350426362</v>
      </c>
      <c r="Q91" s="69">
        <f t="shared" ca="1" si="81"/>
        <v>954.69585590961833</v>
      </c>
      <c r="R91" s="69">
        <f t="shared" ca="1" si="82"/>
        <v>783.89973856899144</v>
      </c>
      <c r="S91" s="69">
        <f t="shared" ca="1" si="83"/>
        <v>700.40721283114601</v>
      </c>
      <c r="T91" s="69">
        <f t="shared" ca="1" si="84"/>
        <v>802.9887463882252</v>
      </c>
      <c r="U91" s="69">
        <f t="shared" ca="1" si="85"/>
        <v>1696.1475380416532</v>
      </c>
      <c r="V91" s="69">
        <f t="shared" ca="1" si="86"/>
        <v>1913.6031267294977</v>
      </c>
      <c r="W91" s="69">
        <f t="shared" ca="1" si="87"/>
        <v>1177.7084676370357</v>
      </c>
      <c r="X91" s="69">
        <f t="shared" ca="1" si="88"/>
        <v>1489.2252099874263</v>
      </c>
      <c r="Y91" s="69">
        <f t="shared" ca="1" si="89"/>
        <v>1211.0651757766175</v>
      </c>
      <c r="AA91" s="20">
        <f t="shared" ca="1" si="49"/>
        <v>6.5671579628141456E+16</v>
      </c>
      <c r="AB91" s="20">
        <f t="shared" ca="1" si="50"/>
        <v>1685198551307575</v>
      </c>
      <c r="AC91" s="20">
        <f t="shared" ca="1" si="51"/>
        <v>400531836077109.63</v>
      </c>
      <c r="AD91" s="20">
        <f t="shared" ca="1" si="52"/>
        <v>304213679893941.94</v>
      </c>
      <c r="AE91" s="20">
        <f t="shared" ca="1" si="53"/>
        <v>6894157351429012</v>
      </c>
      <c r="AG91" s="16">
        <f t="shared" ca="1" si="54"/>
        <v>5.0976073898931207E-4</v>
      </c>
      <c r="AH91" s="16">
        <f t="shared" ca="1" si="55"/>
        <v>-5.6001330469333256E-5</v>
      </c>
      <c r="AI91" s="16">
        <f t="shared" ca="1" si="56"/>
        <v>-7.4311450878066215E-4</v>
      </c>
      <c r="AJ91" s="16">
        <f t="shared" ca="1" si="57"/>
        <v>7.3581918768406823E-4</v>
      </c>
      <c r="AK91" s="16">
        <f t="shared" ca="1" si="58"/>
        <v>4.9738631785389105E-4</v>
      </c>
      <c r="AM91" s="16">
        <f t="shared" ca="1" si="59"/>
        <v>4.4646408742338492E-4</v>
      </c>
      <c r="AO91" s="16">
        <f t="shared" ca="1" si="60"/>
        <v>0</v>
      </c>
      <c r="AP91" s="16">
        <f t="shared" ca="1" si="61"/>
        <v>-5.6001330469333256E-5</v>
      </c>
      <c r="AQ91" s="16">
        <f t="shared" ca="1" si="62"/>
        <v>-7.4311450878066215E-4</v>
      </c>
      <c r="AR91" s="16">
        <f t="shared" ca="1" si="63"/>
        <v>0</v>
      </c>
      <c r="AS91" s="16">
        <f t="shared" ca="1" si="64"/>
        <v>0</v>
      </c>
    </row>
    <row r="92" spans="1:45" x14ac:dyDescent="0.25">
      <c r="A92" s="69">
        <f t="shared" ca="1" si="65"/>
        <v>2451.0556474294017</v>
      </c>
      <c r="B92" s="69">
        <f t="shared" ca="1" si="66"/>
        <v>2134.4319239838705</v>
      </c>
      <c r="C92" s="69">
        <f t="shared" ca="1" si="67"/>
        <v>2234.040069046609</v>
      </c>
      <c r="D92" s="69">
        <f t="shared" ca="1" si="68"/>
        <v>2910.4212570307709</v>
      </c>
      <c r="E92" s="69">
        <f t="shared" ca="1" si="69"/>
        <v>1931.5971582749346</v>
      </c>
      <c r="F92" s="69">
        <f t="shared" ca="1" si="70"/>
        <v>1223.6956193816607</v>
      </c>
      <c r="G92" s="69">
        <f t="shared" ca="1" si="71"/>
        <v>963.80454477143735</v>
      </c>
      <c r="H92" s="69">
        <f t="shared" ca="1" si="72"/>
        <v>1188.9577510592608</v>
      </c>
      <c r="I92" s="69">
        <f t="shared" ca="1" si="73"/>
        <v>1044.9356729214032</v>
      </c>
      <c r="J92" s="69">
        <f t="shared" ca="1" si="74"/>
        <v>1150.0279688829271</v>
      </c>
      <c r="K92" s="69">
        <f t="shared" ca="1" si="75"/>
        <v>1178.1430184903579</v>
      </c>
      <c r="L92" s="69">
        <f t="shared" ca="1" si="76"/>
        <v>956.32798537132214</v>
      </c>
      <c r="M92" s="69">
        <f t="shared" ca="1" si="77"/>
        <v>984.63795671014293</v>
      </c>
      <c r="N92" s="69">
        <f t="shared" ca="1" si="78"/>
        <v>573.48846076265238</v>
      </c>
      <c r="O92" s="69">
        <f t="shared" ca="1" si="79"/>
        <v>629.08332689558381</v>
      </c>
      <c r="P92" s="69">
        <f t="shared" ca="1" si="80"/>
        <v>723.10864886754098</v>
      </c>
      <c r="Q92" s="69">
        <f t="shared" ca="1" si="81"/>
        <v>954.69585590961833</v>
      </c>
      <c r="R92" s="69">
        <f t="shared" ca="1" si="82"/>
        <v>783.8974491855115</v>
      </c>
      <c r="S92" s="69">
        <f t="shared" ca="1" si="83"/>
        <v>700.58526405910129</v>
      </c>
      <c r="T92" s="69">
        <f t="shared" ca="1" si="84"/>
        <v>802.9887463882252</v>
      </c>
      <c r="U92" s="69">
        <f t="shared" ca="1" si="85"/>
        <v>1696.1475380416532</v>
      </c>
      <c r="V92" s="69">
        <f t="shared" ca="1" si="86"/>
        <v>1913.6031267294977</v>
      </c>
      <c r="W92" s="69">
        <f t="shared" ca="1" si="87"/>
        <v>1178.0842848570719</v>
      </c>
      <c r="X92" s="69">
        <f t="shared" ca="1" si="88"/>
        <v>1489.020305711181</v>
      </c>
      <c r="Y92" s="69">
        <f t="shared" ca="1" si="89"/>
        <v>1211.4478468467034</v>
      </c>
      <c r="AA92" s="20">
        <f t="shared" ca="1" si="49"/>
        <v>6.5705064955130696E+16</v>
      </c>
      <c r="AB92" s="20">
        <f t="shared" ca="1" si="50"/>
        <v>1685104180589064.3</v>
      </c>
      <c r="AC92" s="20">
        <f t="shared" ca="1" si="51"/>
        <v>400234305621783.06</v>
      </c>
      <c r="AD92" s="20">
        <f t="shared" ca="1" si="52"/>
        <v>304437608532154.75</v>
      </c>
      <c r="AE92" s="20">
        <f t="shared" ca="1" si="53"/>
        <v>6897587263893799</v>
      </c>
      <c r="AG92" s="16">
        <f t="shared" ca="1" si="54"/>
        <v>2.1830488927326074E-4</v>
      </c>
      <c r="AH92" s="16">
        <f t="shared" ca="1" si="55"/>
        <v>-2.1074079017478799E-4</v>
      </c>
      <c r="AI92" s="16">
        <f t="shared" ca="1" si="56"/>
        <v>3.2145945968318178E-4</v>
      </c>
      <c r="AJ92" s="16">
        <f t="shared" ca="1" si="57"/>
        <v>3.1766720495233501E-6</v>
      </c>
      <c r="AK92" s="16">
        <f t="shared" ca="1" si="58"/>
        <v>1.074371691603707E-4</v>
      </c>
      <c r="AM92" s="16">
        <f t="shared" ca="1" si="59"/>
        <v>3.322002308311779E-4</v>
      </c>
      <c r="AO92" s="16">
        <f t="shared" ca="1" si="60"/>
        <v>0</v>
      </c>
      <c r="AP92" s="16">
        <f t="shared" ca="1" si="61"/>
        <v>-2.1074079017478799E-4</v>
      </c>
      <c r="AQ92" s="16">
        <f t="shared" ca="1" si="62"/>
        <v>0</v>
      </c>
      <c r="AR92" s="16">
        <f t="shared" ca="1" si="63"/>
        <v>0</v>
      </c>
      <c r="AS92" s="16">
        <f t="shared" ca="1" si="64"/>
        <v>0</v>
      </c>
    </row>
    <row r="93" spans="1:45" x14ac:dyDescent="0.25">
      <c r="A93" s="69">
        <f t="shared" ca="1" si="65"/>
        <v>2451.2917856359059</v>
      </c>
      <c r="B93" s="69">
        <f t="shared" ca="1" si="66"/>
        <v>2134.69227246623</v>
      </c>
      <c r="C93" s="69">
        <f t="shared" ca="1" si="67"/>
        <v>2234.040069046609</v>
      </c>
      <c r="D93" s="69">
        <f t="shared" ca="1" si="68"/>
        <v>2910.4212570307709</v>
      </c>
      <c r="E93" s="69">
        <f t="shared" ca="1" si="69"/>
        <v>1931.5971582749346</v>
      </c>
      <c r="F93" s="69">
        <f t="shared" ca="1" si="70"/>
        <v>1224.0350238600574</v>
      </c>
      <c r="G93" s="69">
        <f t="shared" ca="1" si="71"/>
        <v>963.80454477143735</v>
      </c>
      <c r="H93" s="69">
        <f t="shared" ca="1" si="72"/>
        <v>1188.5651357941192</v>
      </c>
      <c r="I93" s="69">
        <f t="shared" ca="1" si="73"/>
        <v>1044.9356729214032</v>
      </c>
      <c r="J93" s="69">
        <f t="shared" ca="1" si="74"/>
        <v>1149.8465202850323</v>
      </c>
      <c r="K93" s="69">
        <f t="shared" ca="1" si="75"/>
        <v>1177.9051479995674</v>
      </c>
      <c r="L93" s="69">
        <f t="shared" ca="1" si="76"/>
        <v>956.20726972217392</v>
      </c>
      <c r="M93" s="69">
        <f t="shared" ca="1" si="77"/>
        <v>984.73192658929395</v>
      </c>
      <c r="N93" s="69">
        <f t="shared" ca="1" si="78"/>
        <v>573.4588326493556</v>
      </c>
      <c r="O93" s="69">
        <f t="shared" ca="1" si="79"/>
        <v>629.46457369298162</v>
      </c>
      <c r="P93" s="69">
        <f t="shared" ca="1" si="80"/>
        <v>723.10864886754098</v>
      </c>
      <c r="Q93" s="69">
        <f t="shared" ca="1" si="81"/>
        <v>954.3542229404211</v>
      </c>
      <c r="R93" s="69">
        <f t="shared" ca="1" si="82"/>
        <v>783.79957464135998</v>
      </c>
      <c r="S93" s="69">
        <f t="shared" ca="1" si="83"/>
        <v>700.81602969703397</v>
      </c>
      <c r="T93" s="69">
        <f t="shared" ca="1" si="84"/>
        <v>803.11451558278065</v>
      </c>
      <c r="U93" s="69">
        <f t="shared" ca="1" si="85"/>
        <v>1695.9865338863547</v>
      </c>
      <c r="V93" s="69">
        <f t="shared" ca="1" si="86"/>
        <v>1913.6031267294977</v>
      </c>
      <c r="W93" s="69">
        <f t="shared" ca="1" si="87"/>
        <v>1178.2771291624595</v>
      </c>
      <c r="X93" s="69">
        <f t="shared" ca="1" si="88"/>
        <v>1489.1132994708046</v>
      </c>
      <c r="Y93" s="69">
        <f t="shared" ca="1" si="89"/>
        <v>1211.4190563369768</v>
      </c>
      <c r="AA93" s="20">
        <f t="shared" ca="1" si="49"/>
        <v>6.5719410257828304E+16</v>
      </c>
      <c r="AB93" s="20">
        <f t="shared" ca="1" si="50"/>
        <v>1684749097819046</v>
      </c>
      <c r="AC93" s="20">
        <f t="shared" ca="1" si="51"/>
        <v>400362985406973.94</v>
      </c>
      <c r="AD93" s="20">
        <f t="shared" ca="1" si="52"/>
        <v>304438575632132.69</v>
      </c>
      <c r="AE93" s="20">
        <f t="shared" ca="1" si="53"/>
        <v>6898328360953441</v>
      </c>
      <c r="AG93" s="16">
        <f t="shared" ca="1" si="54"/>
        <v>-6.1089754273520132E-5</v>
      </c>
      <c r="AH93" s="16">
        <f t="shared" ca="1" si="55"/>
        <v>-2.3021205251161456E-4</v>
      </c>
      <c r="AI93" s="16">
        <f t="shared" ca="1" si="56"/>
        <v>-5.75525319474421E-4</v>
      </c>
      <c r="AJ93" s="16">
        <f t="shared" ca="1" si="57"/>
        <v>6.2159242760774372E-4</v>
      </c>
      <c r="AK93" s="16">
        <f t="shared" ca="1" si="58"/>
        <v>-1.0456761046479231E-4</v>
      </c>
      <c r="AM93" s="16">
        <f t="shared" ca="1" si="59"/>
        <v>-2.4523469865181196E-4</v>
      </c>
      <c r="AO93" s="16">
        <f t="shared" ca="1" si="60"/>
        <v>-6.1089754273520132E-5</v>
      </c>
      <c r="AP93" s="16">
        <f t="shared" ca="1" si="61"/>
        <v>-2.3021205251161456E-4</v>
      </c>
      <c r="AQ93" s="16">
        <f t="shared" ca="1" si="62"/>
        <v>-5.75525319474421E-4</v>
      </c>
      <c r="AR93" s="16">
        <f t="shared" ca="1" si="63"/>
        <v>0</v>
      </c>
      <c r="AS93" s="16">
        <f t="shared" ca="1" si="64"/>
        <v>-1.0456761046479231E-4</v>
      </c>
    </row>
    <row r="94" spans="1:45" x14ac:dyDescent="0.25">
      <c r="A94" s="69">
        <f t="shared" ca="1" si="65"/>
        <v>2451.2917856359059</v>
      </c>
      <c r="B94" s="69">
        <f t="shared" ca="1" si="66"/>
        <v>2134.936765670333</v>
      </c>
      <c r="C94" s="69">
        <f t="shared" ca="1" si="67"/>
        <v>2233.6477693594093</v>
      </c>
      <c r="D94" s="69">
        <f t="shared" ca="1" si="68"/>
        <v>2910.4212570307709</v>
      </c>
      <c r="E94" s="69">
        <f t="shared" ca="1" si="69"/>
        <v>1931.5971582749346</v>
      </c>
      <c r="F94" s="69">
        <f t="shared" ca="1" si="70"/>
        <v>1224.4474577041497</v>
      </c>
      <c r="G94" s="69">
        <f t="shared" ca="1" si="71"/>
        <v>963.80454477143735</v>
      </c>
      <c r="H94" s="69">
        <f t="shared" ca="1" si="72"/>
        <v>1188.5651357941192</v>
      </c>
      <c r="I94" s="69">
        <f t="shared" ca="1" si="73"/>
        <v>1044.5660132736798</v>
      </c>
      <c r="J94" s="69">
        <f t="shared" ca="1" si="74"/>
        <v>1149.6013120471359</v>
      </c>
      <c r="K94" s="69">
        <f t="shared" ca="1" si="75"/>
        <v>1177.9051479995674</v>
      </c>
      <c r="L94" s="69">
        <f t="shared" ca="1" si="76"/>
        <v>955.93638569011614</v>
      </c>
      <c r="M94" s="69">
        <f t="shared" ca="1" si="77"/>
        <v>984.84490105499924</v>
      </c>
      <c r="N94" s="69">
        <f t="shared" ca="1" si="78"/>
        <v>573.10320667839483</v>
      </c>
      <c r="O94" s="69">
        <f t="shared" ca="1" si="79"/>
        <v>629.59892825765985</v>
      </c>
      <c r="P94" s="69">
        <f t="shared" ca="1" si="80"/>
        <v>722.87065436073408</v>
      </c>
      <c r="Q94" s="69">
        <f t="shared" ca="1" si="81"/>
        <v>954.77755712645228</v>
      </c>
      <c r="R94" s="69">
        <f t="shared" ca="1" si="82"/>
        <v>783.79957464135998</v>
      </c>
      <c r="S94" s="69">
        <f t="shared" ca="1" si="83"/>
        <v>700.81602969703397</v>
      </c>
      <c r="T94" s="69">
        <f t="shared" ca="1" si="84"/>
        <v>803.52203092534205</v>
      </c>
      <c r="U94" s="69">
        <f t="shared" ca="1" si="85"/>
        <v>1695.4999993239232</v>
      </c>
      <c r="V94" s="69">
        <f t="shared" ca="1" si="86"/>
        <v>1914.0321864232028</v>
      </c>
      <c r="W94" s="69">
        <f t="shared" ca="1" si="87"/>
        <v>1178.5368469557959</v>
      </c>
      <c r="X94" s="69">
        <f t="shared" ca="1" si="88"/>
        <v>1489.2407734416711</v>
      </c>
      <c r="Y94" s="69">
        <f t="shared" ca="1" si="89"/>
        <v>1210.9977489988835</v>
      </c>
      <c r="AA94" s="20">
        <f t="shared" ca="1" si="49"/>
        <v>6.57153955978332E+16</v>
      </c>
      <c r="AB94" s="20">
        <f t="shared" ca="1" si="50"/>
        <v>1684361292911664.5</v>
      </c>
      <c r="AC94" s="20">
        <f t="shared" ca="1" si="51"/>
        <v>400132632665167.81</v>
      </c>
      <c r="AD94" s="20">
        <f t="shared" ca="1" si="52"/>
        <v>304627871171659.31</v>
      </c>
      <c r="AE94" s="20">
        <f t="shared" ca="1" si="53"/>
        <v>6897607056953710</v>
      </c>
      <c r="AG94" s="16">
        <f t="shared" ca="1" si="54"/>
        <v>9.0228846265043723E-5</v>
      </c>
      <c r="AH94" s="16">
        <f t="shared" ca="1" si="55"/>
        <v>-5.9659100450529972E-4</v>
      </c>
      <c r="AI94" s="16">
        <f t="shared" ca="1" si="56"/>
        <v>-4.7444832453302229E-4</v>
      </c>
      <c r="AJ94" s="16">
        <f t="shared" ca="1" si="57"/>
        <v>2.4661764422310366E-4</v>
      </c>
      <c r="AK94" s="16">
        <f t="shared" ca="1" si="58"/>
        <v>1.014911227365459E-3</v>
      </c>
      <c r="AM94" s="16">
        <f t="shared" ca="1" si="59"/>
        <v>-7.3419283855017466E-4</v>
      </c>
      <c r="AO94" s="16">
        <f t="shared" ca="1" si="60"/>
        <v>0</v>
      </c>
      <c r="AP94" s="16">
        <f t="shared" ca="1" si="61"/>
        <v>-5.9659100450529972E-4</v>
      </c>
      <c r="AQ94" s="16">
        <f t="shared" ca="1" si="62"/>
        <v>-4.7444832453302229E-4</v>
      </c>
      <c r="AR94" s="16">
        <f t="shared" ca="1" si="63"/>
        <v>0</v>
      </c>
      <c r="AS94" s="16">
        <f t="shared" ca="1" si="64"/>
        <v>0</v>
      </c>
    </row>
    <row r="95" spans="1:45" x14ac:dyDescent="0.25">
      <c r="A95" s="69">
        <f t="shared" ca="1" si="65"/>
        <v>2451.2917856359059</v>
      </c>
      <c r="B95" s="69">
        <f t="shared" ca="1" si="66"/>
        <v>2134.936765670333</v>
      </c>
      <c r="C95" s="69">
        <f t="shared" ca="1" si="67"/>
        <v>2233.6477693594093</v>
      </c>
      <c r="D95" s="69">
        <f t="shared" ca="1" si="68"/>
        <v>2910.6838728305202</v>
      </c>
      <c r="E95" s="69">
        <f t="shared" ca="1" si="69"/>
        <v>1931.5971582749346</v>
      </c>
      <c r="F95" s="69">
        <f t="shared" ca="1" si="70"/>
        <v>1224.3906355477704</v>
      </c>
      <c r="G95" s="69">
        <f t="shared" ca="1" si="71"/>
        <v>963.80454477143735</v>
      </c>
      <c r="H95" s="69">
        <f t="shared" ca="1" si="72"/>
        <v>1188.1500849045804</v>
      </c>
      <c r="I95" s="69">
        <f t="shared" ca="1" si="73"/>
        <v>1044.5014300394621</v>
      </c>
      <c r="J95" s="69">
        <f t="shared" ca="1" si="74"/>
        <v>1149.4414256586117</v>
      </c>
      <c r="K95" s="69">
        <f t="shared" ca="1" si="75"/>
        <v>1177.7633507121793</v>
      </c>
      <c r="L95" s="69">
        <f t="shared" ca="1" si="76"/>
        <v>955.93638569011614</v>
      </c>
      <c r="M95" s="69">
        <f t="shared" ca="1" si="77"/>
        <v>984.49626842061559</v>
      </c>
      <c r="N95" s="69">
        <f t="shared" ca="1" si="78"/>
        <v>573.10320667839483</v>
      </c>
      <c r="O95" s="69">
        <f t="shared" ca="1" si="79"/>
        <v>629.59892825765985</v>
      </c>
      <c r="P95" s="69">
        <f t="shared" ca="1" si="80"/>
        <v>722.87065436073408</v>
      </c>
      <c r="Q95" s="69">
        <f t="shared" ca="1" si="81"/>
        <v>954.41466743839828</v>
      </c>
      <c r="R95" s="69">
        <f t="shared" ca="1" si="82"/>
        <v>784.1657412065897</v>
      </c>
      <c r="S95" s="69">
        <f t="shared" ca="1" si="83"/>
        <v>700.62785702485769</v>
      </c>
      <c r="T95" s="69">
        <f t="shared" ca="1" si="84"/>
        <v>803.86621231595984</v>
      </c>
      <c r="U95" s="69">
        <f t="shared" ca="1" si="85"/>
        <v>1695.8405569569218</v>
      </c>
      <c r="V95" s="69">
        <f t="shared" ca="1" si="86"/>
        <v>1913.8488347269883</v>
      </c>
      <c r="W95" s="69">
        <f t="shared" ca="1" si="87"/>
        <v>1178.8099362016071</v>
      </c>
      <c r="X95" s="69">
        <f t="shared" ca="1" si="88"/>
        <v>1489.7128646642439</v>
      </c>
      <c r="Y95" s="69">
        <f t="shared" ca="1" si="89"/>
        <v>1211.4352726387963</v>
      </c>
      <c r="AA95" s="20">
        <f t="shared" ca="1" si="49"/>
        <v>6.5721325289670448E+16</v>
      </c>
      <c r="AB95" s="20">
        <f t="shared" ca="1" si="50"/>
        <v>1683356717806008</v>
      </c>
      <c r="AC95" s="20">
        <f t="shared" ca="1" si="51"/>
        <v>399942835436057.81</v>
      </c>
      <c r="AD95" s="20">
        <f t="shared" ca="1" si="52"/>
        <v>304703007044147.5</v>
      </c>
      <c r="AE95" s="20">
        <f t="shared" ca="1" si="53"/>
        <v>6904611069422009</v>
      </c>
      <c r="AG95" s="16">
        <f t="shared" ca="1" si="54"/>
        <v>-4.8147020045478651E-4</v>
      </c>
      <c r="AH95" s="16">
        <f t="shared" ca="1" si="55"/>
        <v>-5.6730700144298762E-4</v>
      </c>
      <c r="AI95" s="16">
        <f t="shared" ca="1" si="56"/>
        <v>-2.011023770640922E-4</v>
      </c>
      <c r="AJ95" s="16">
        <f t="shared" ca="1" si="57"/>
        <v>2.3553262652225375E-4</v>
      </c>
      <c r="AK95" s="16">
        <f t="shared" ca="1" si="58"/>
        <v>-5.3362567226482359E-4</v>
      </c>
      <c r="AM95" s="16">
        <f t="shared" ca="1" si="59"/>
        <v>-1.0143469524396128E-3</v>
      </c>
      <c r="AO95" s="16">
        <f t="shared" ca="1" si="60"/>
        <v>-4.8147020045478651E-4</v>
      </c>
      <c r="AP95" s="16">
        <f t="shared" ca="1" si="61"/>
        <v>-5.6730700144298762E-4</v>
      </c>
      <c r="AQ95" s="16">
        <f t="shared" ca="1" si="62"/>
        <v>-2.011023770640922E-4</v>
      </c>
      <c r="AR95" s="16">
        <f t="shared" ca="1" si="63"/>
        <v>0</v>
      </c>
      <c r="AS95" s="16">
        <f t="shared" ca="1" si="64"/>
        <v>-5.3362567226482359E-4</v>
      </c>
    </row>
    <row r="96" spans="1:45" x14ac:dyDescent="0.25">
      <c r="A96" s="69">
        <f t="shared" ca="1" si="65"/>
        <v>2450.9456025805357</v>
      </c>
      <c r="B96" s="69">
        <f t="shared" ca="1" si="66"/>
        <v>2134.936765670333</v>
      </c>
      <c r="C96" s="69">
        <f t="shared" ca="1" si="67"/>
        <v>2233.20660157165</v>
      </c>
      <c r="D96" s="69">
        <f t="shared" ca="1" si="68"/>
        <v>2910.3995875309001</v>
      </c>
      <c r="E96" s="69">
        <f t="shared" ca="1" si="69"/>
        <v>1931.5101773069412</v>
      </c>
      <c r="F96" s="69">
        <f t="shared" ca="1" si="70"/>
        <v>1224.3906355477704</v>
      </c>
      <c r="G96" s="69">
        <f t="shared" ca="1" si="71"/>
        <v>963.32460171154617</v>
      </c>
      <c r="H96" s="69">
        <f t="shared" ca="1" si="72"/>
        <v>1187.8982447854521</v>
      </c>
      <c r="I96" s="69">
        <f t="shared" ca="1" si="73"/>
        <v>1044.7688733378839</v>
      </c>
      <c r="J96" s="69">
        <f t="shared" ca="1" si="74"/>
        <v>1149.3112594417953</v>
      </c>
      <c r="K96" s="69">
        <f t="shared" ca="1" si="75"/>
        <v>1177.7633507121793</v>
      </c>
      <c r="L96" s="69">
        <f t="shared" ca="1" si="76"/>
        <v>956.43288049661976</v>
      </c>
      <c r="M96" s="69">
        <f t="shared" ca="1" si="77"/>
        <v>984.49626842061559</v>
      </c>
      <c r="N96" s="69">
        <f t="shared" ca="1" si="78"/>
        <v>573.10320667839483</v>
      </c>
      <c r="O96" s="69">
        <f t="shared" ca="1" si="79"/>
        <v>629.14556115251548</v>
      </c>
      <c r="P96" s="69">
        <f t="shared" ca="1" si="80"/>
        <v>722.87065436073408</v>
      </c>
      <c r="Q96" s="69">
        <f t="shared" ca="1" si="81"/>
        <v>954.3337799377</v>
      </c>
      <c r="R96" s="69">
        <f t="shared" ca="1" si="82"/>
        <v>783.68596320625056</v>
      </c>
      <c r="S96" s="69">
        <f t="shared" ca="1" si="83"/>
        <v>700.87951428228757</v>
      </c>
      <c r="T96" s="69">
        <f t="shared" ca="1" si="84"/>
        <v>804.32710687764165</v>
      </c>
      <c r="U96" s="69">
        <f t="shared" ca="1" si="85"/>
        <v>1695.8405569569218</v>
      </c>
      <c r="V96" s="69">
        <f t="shared" ca="1" si="86"/>
        <v>1913.8488347269883</v>
      </c>
      <c r="W96" s="69">
        <f t="shared" ca="1" si="87"/>
        <v>1178.5549379346037</v>
      </c>
      <c r="X96" s="69">
        <f t="shared" ca="1" si="88"/>
        <v>1489.4930239075584</v>
      </c>
      <c r="Y96" s="69">
        <f t="shared" ca="1" si="89"/>
        <v>1211.2297090042473</v>
      </c>
      <c r="AA96" s="20">
        <f t="shared" ca="1" si="49"/>
        <v>6.5689690046333672E+16</v>
      </c>
      <c r="AB96" s="20">
        <f t="shared" ca="1" si="50"/>
        <v>1682402008586288</v>
      </c>
      <c r="AC96" s="20">
        <f t="shared" ca="1" si="51"/>
        <v>399862414067897.06</v>
      </c>
      <c r="AD96" s="20">
        <f t="shared" ca="1" si="52"/>
        <v>304774782996163.25</v>
      </c>
      <c r="AE96" s="20">
        <f t="shared" ca="1" si="53"/>
        <v>6900927574589473</v>
      </c>
      <c r="AG96" s="16">
        <f t="shared" ca="1" si="54"/>
        <v>3.3105110418430367E-4</v>
      </c>
      <c r="AH96" s="16">
        <f t="shared" ca="1" si="55"/>
        <v>-7.8625054304240589E-5</v>
      </c>
      <c r="AI96" s="16">
        <f t="shared" ca="1" si="56"/>
        <v>7.1177299251395834E-4</v>
      </c>
      <c r="AJ96" s="16">
        <f t="shared" ca="1" si="57"/>
        <v>-4.3645161536397573E-4</v>
      </c>
      <c r="AK96" s="16">
        <f t="shared" ca="1" si="58"/>
        <v>-1.6633794520593125E-4</v>
      </c>
      <c r="AM96" s="16">
        <f t="shared" ca="1" si="59"/>
        <v>5.2774742703004572E-4</v>
      </c>
      <c r="AO96" s="16">
        <f t="shared" ca="1" si="60"/>
        <v>0</v>
      </c>
      <c r="AP96" s="16">
        <f t="shared" ca="1" si="61"/>
        <v>-7.8625054304240589E-5</v>
      </c>
      <c r="AQ96" s="16">
        <f t="shared" ca="1" si="62"/>
        <v>0</v>
      </c>
      <c r="AR96" s="16">
        <f t="shared" ca="1" si="63"/>
        <v>-4.3645161536397573E-4</v>
      </c>
      <c r="AS96" s="16">
        <f t="shared" ca="1" si="64"/>
        <v>-1.6633794520593125E-4</v>
      </c>
    </row>
    <row r="97" spans="1:45" x14ac:dyDescent="0.25">
      <c r="A97" s="69">
        <f t="shared" ca="1" si="65"/>
        <v>2450.9456025805357</v>
      </c>
      <c r="B97" s="69">
        <f t="shared" ca="1" si="66"/>
        <v>2135.4165972121305</v>
      </c>
      <c r="C97" s="69">
        <f t="shared" ca="1" si="67"/>
        <v>2233.6198306345127</v>
      </c>
      <c r="D97" s="69">
        <f t="shared" ca="1" si="68"/>
        <v>2910.199537085683</v>
      </c>
      <c r="E97" s="69">
        <f t="shared" ca="1" si="69"/>
        <v>1931.4909428599349</v>
      </c>
      <c r="F97" s="69">
        <f t="shared" ca="1" si="70"/>
        <v>1224.821693527698</v>
      </c>
      <c r="G97" s="69">
        <f t="shared" ca="1" si="71"/>
        <v>963.32460171154617</v>
      </c>
      <c r="H97" s="69">
        <f t="shared" ca="1" si="72"/>
        <v>1187.9174611639114</v>
      </c>
      <c r="I97" s="69">
        <f t="shared" ca="1" si="73"/>
        <v>1044.3021759729249</v>
      </c>
      <c r="J97" s="69">
        <f t="shared" ca="1" si="74"/>
        <v>1149.3112594417953</v>
      </c>
      <c r="K97" s="69">
        <f t="shared" ca="1" si="75"/>
        <v>1177.7633507121793</v>
      </c>
      <c r="L97" s="69">
        <f t="shared" ca="1" si="76"/>
        <v>956.43288049661976</v>
      </c>
      <c r="M97" s="69">
        <f t="shared" ca="1" si="77"/>
        <v>984.1097169041999</v>
      </c>
      <c r="N97" s="69">
        <f t="shared" ca="1" si="78"/>
        <v>573.5629068437687</v>
      </c>
      <c r="O97" s="69">
        <f t="shared" ca="1" si="79"/>
        <v>629.33602348916907</v>
      </c>
      <c r="P97" s="69">
        <f t="shared" ca="1" si="80"/>
        <v>722.87065436073408</v>
      </c>
      <c r="Q97" s="69">
        <f t="shared" ca="1" si="81"/>
        <v>954.35022958558693</v>
      </c>
      <c r="R97" s="69">
        <f t="shared" ca="1" si="82"/>
        <v>783.67798781991632</v>
      </c>
      <c r="S97" s="69">
        <f t="shared" ca="1" si="83"/>
        <v>700.58569755555425</v>
      </c>
      <c r="T97" s="69">
        <f t="shared" ca="1" si="84"/>
        <v>804.30763267964142</v>
      </c>
      <c r="U97" s="69">
        <f t="shared" ca="1" si="85"/>
        <v>1695.6233268167468</v>
      </c>
      <c r="V97" s="69">
        <f t="shared" ca="1" si="86"/>
        <v>1913.8488347269883</v>
      </c>
      <c r="W97" s="69">
        <f t="shared" ca="1" si="87"/>
        <v>1178.0797344709486</v>
      </c>
      <c r="X97" s="69">
        <f t="shared" ca="1" si="88"/>
        <v>1489.520948875331</v>
      </c>
      <c r="Y97" s="69">
        <f t="shared" ca="1" si="89"/>
        <v>1211.6492404359292</v>
      </c>
      <c r="AA97" s="20">
        <f t="shared" ca="1" si="49"/>
        <v>6.5711440290779608E+16</v>
      </c>
      <c r="AB97" s="20">
        <f t="shared" ca="1" si="50"/>
        <v>1682269734837084.8</v>
      </c>
      <c r="AC97" s="20">
        <f t="shared" ca="1" si="51"/>
        <v>400147126648294.63</v>
      </c>
      <c r="AD97" s="20">
        <f t="shared" ca="1" si="52"/>
        <v>304641792573855.81</v>
      </c>
      <c r="AE97" s="20">
        <f t="shared" ca="1" si="53"/>
        <v>6899779783939916</v>
      </c>
      <c r="AG97" s="16">
        <f t="shared" ca="1" si="54"/>
        <v>-3.7410915328254764E-4</v>
      </c>
      <c r="AH97" s="16">
        <f t="shared" ca="1" si="55"/>
        <v>9.2334168204739452E-4</v>
      </c>
      <c r="AI97" s="16">
        <f t="shared" ca="1" si="56"/>
        <v>5.7438877652132934E-4</v>
      </c>
      <c r="AJ97" s="16">
        <f t="shared" ca="1" si="57"/>
        <v>2.9774227993268709E-4</v>
      </c>
      <c r="AK97" s="16">
        <f t="shared" ca="1" si="58"/>
        <v>-3.7428107592991922E-4</v>
      </c>
      <c r="AM97" s="16">
        <f t="shared" ca="1" si="59"/>
        <v>1.4213635852188631E-3</v>
      </c>
      <c r="AO97" s="16">
        <f t="shared" ca="1" si="60"/>
        <v>-3.7410915328254764E-4</v>
      </c>
      <c r="AP97" s="16">
        <f t="shared" ca="1" si="61"/>
        <v>0</v>
      </c>
      <c r="AQ97" s="16">
        <f t="shared" ca="1" si="62"/>
        <v>0</v>
      </c>
      <c r="AR97" s="16">
        <f t="shared" ca="1" si="63"/>
        <v>0</v>
      </c>
      <c r="AS97" s="16">
        <f t="shared" ca="1" si="64"/>
        <v>-3.7428107592991922E-4</v>
      </c>
    </row>
    <row r="98" spans="1:45" x14ac:dyDescent="0.25">
      <c r="A98" s="69">
        <f t="shared" ca="1" si="65"/>
        <v>2450.7500120674677</v>
      </c>
      <c r="B98" s="69">
        <f t="shared" ca="1" si="66"/>
        <v>2135.0613828790815</v>
      </c>
      <c r="C98" s="69">
        <f t="shared" ca="1" si="67"/>
        <v>2233.3340666585027</v>
      </c>
      <c r="D98" s="69">
        <f t="shared" ca="1" si="68"/>
        <v>2910.199537085683</v>
      </c>
      <c r="E98" s="69">
        <f t="shared" ca="1" si="69"/>
        <v>1931.4909428599349</v>
      </c>
      <c r="F98" s="69">
        <f t="shared" ca="1" si="70"/>
        <v>1224.821693527698</v>
      </c>
      <c r="G98" s="69">
        <f t="shared" ca="1" si="71"/>
        <v>963.55782027897442</v>
      </c>
      <c r="H98" s="69">
        <f t="shared" ca="1" si="72"/>
        <v>1188.4128476108137</v>
      </c>
      <c r="I98" s="69">
        <f t="shared" ca="1" si="73"/>
        <v>1044.5947730004141</v>
      </c>
      <c r="J98" s="69">
        <f t="shared" ca="1" si="74"/>
        <v>1149.2930940035037</v>
      </c>
      <c r="K98" s="69">
        <f t="shared" ca="1" si="75"/>
        <v>1177.9650635193404</v>
      </c>
      <c r="L98" s="69">
        <f t="shared" ca="1" si="76"/>
        <v>956.37914598572968</v>
      </c>
      <c r="M98" s="69">
        <f t="shared" ca="1" si="77"/>
        <v>984.41022407570949</v>
      </c>
      <c r="N98" s="69">
        <f t="shared" ca="1" si="78"/>
        <v>573.5629068437687</v>
      </c>
      <c r="O98" s="69">
        <f t="shared" ca="1" si="79"/>
        <v>629.43295293714868</v>
      </c>
      <c r="P98" s="69">
        <f t="shared" ca="1" si="80"/>
        <v>723.13739948965485</v>
      </c>
      <c r="Q98" s="69">
        <f t="shared" ca="1" si="81"/>
        <v>954.35022958558693</v>
      </c>
      <c r="R98" s="69">
        <f t="shared" ca="1" si="82"/>
        <v>784.07041518361984</v>
      </c>
      <c r="S98" s="69">
        <f t="shared" ca="1" si="83"/>
        <v>700.58569755555425</v>
      </c>
      <c r="T98" s="69">
        <f t="shared" ca="1" si="84"/>
        <v>803.84784238516431</v>
      </c>
      <c r="U98" s="69">
        <f t="shared" ca="1" si="85"/>
        <v>1695.2258923879501</v>
      </c>
      <c r="V98" s="69">
        <f t="shared" ca="1" si="86"/>
        <v>1913.8488347269883</v>
      </c>
      <c r="W98" s="69">
        <f t="shared" ca="1" si="87"/>
        <v>1178.4243468865895</v>
      </c>
      <c r="X98" s="69">
        <f t="shared" ca="1" si="88"/>
        <v>1489.063254795077</v>
      </c>
      <c r="Y98" s="69">
        <f t="shared" ca="1" si="89"/>
        <v>1211.4977699557894</v>
      </c>
      <c r="AA98" s="20">
        <f t="shared" ca="1" si="49"/>
        <v>6.5686861637327728E+16</v>
      </c>
      <c r="AB98" s="20">
        <f t="shared" ca="1" si="50"/>
        <v>1683823761942298.8</v>
      </c>
      <c r="AC98" s="20">
        <f t="shared" ca="1" si="51"/>
        <v>400377032688202.25</v>
      </c>
      <c r="AD98" s="20">
        <f t="shared" ca="1" si="52"/>
        <v>304732510820398.13</v>
      </c>
      <c r="AE98" s="20">
        <f t="shared" ca="1" si="53"/>
        <v>6897197810160807</v>
      </c>
      <c r="AG98" s="16">
        <f t="shared" ca="1" si="54"/>
        <v>-2.7405984469783685E-4</v>
      </c>
      <c r="AH98" s="16">
        <f t="shared" ca="1" si="55"/>
        <v>1.0958086347710632E-3</v>
      </c>
      <c r="AI98" s="16">
        <f t="shared" ca="1" si="56"/>
        <v>8.2602123949124197E-4</v>
      </c>
      <c r="AJ98" s="16">
        <f t="shared" ca="1" si="57"/>
        <v>-2.6622868790918456E-4</v>
      </c>
      <c r="AK98" s="16">
        <f t="shared" ca="1" si="58"/>
        <v>4.4547059708367518E-6</v>
      </c>
      <c r="AM98" s="16">
        <f t="shared" ca="1" si="59"/>
        <v>1.3815413416552837E-3</v>
      </c>
      <c r="AO98" s="16">
        <f t="shared" ca="1" si="60"/>
        <v>-2.7405984469783685E-4</v>
      </c>
      <c r="AP98" s="16">
        <f t="shared" ca="1" si="61"/>
        <v>0</v>
      </c>
      <c r="AQ98" s="16">
        <f t="shared" ca="1" si="62"/>
        <v>0</v>
      </c>
      <c r="AR98" s="16">
        <f t="shared" ca="1" si="63"/>
        <v>-2.6622868790918456E-4</v>
      </c>
      <c r="AS98" s="16">
        <f t="shared" ca="1" si="64"/>
        <v>0</v>
      </c>
    </row>
    <row r="99" spans="1:45" x14ac:dyDescent="0.25">
      <c r="A99" s="69">
        <f t="shared" ca="1" si="65"/>
        <v>2450.7500120674677</v>
      </c>
      <c r="B99" s="69">
        <f t="shared" ca="1" si="66"/>
        <v>2134.6856653592208</v>
      </c>
      <c r="C99" s="69">
        <f t="shared" ca="1" si="67"/>
        <v>2233.2041139642624</v>
      </c>
      <c r="D99" s="69">
        <f t="shared" ca="1" si="68"/>
        <v>2910.199537085683</v>
      </c>
      <c r="E99" s="69">
        <f t="shared" ca="1" si="69"/>
        <v>1931.4139167914097</v>
      </c>
      <c r="F99" s="69">
        <f t="shared" ca="1" si="70"/>
        <v>1224.9585015388188</v>
      </c>
      <c r="G99" s="69">
        <f t="shared" ca="1" si="71"/>
        <v>964.05228155833629</v>
      </c>
      <c r="H99" s="69">
        <f t="shared" ca="1" si="72"/>
        <v>1188.4128476108137</v>
      </c>
      <c r="I99" s="69">
        <f t="shared" ca="1" si="73"/>
        <v>1045.0869852063638</v>
      </c>
      <c r="J99" s="69">
        <f t="shared" ca="1" si="74"/>
        <v>1149.2930940035037</v>
      </c>
      <c r="K99" s="69">
        <f t="shared" ca="1" si="75"/>
        <v>1178.2399359796621</v>
      </c>
      <c r="L99" s="69">
        <f t="shared" ca="1" si="76"/>
        <v>956.37134609424652</v>
      </c>
      <c r="M99" s="69">
        <f t="shared" ca="1" si="77"/>
        <v>984.29200493354881</v>
      </c>
      <c r="N99" s="69">
        <f t="shared" ca="1" si="78"/>
        <v>573.97657043373169</v>
      </c>
      <c r="O99" s="69">
        <f t="shared" ca="1" si="79"/>
        <v>629.43295293714868</v>
      </c>
      <c r="P99" s="69">
        <f t="shared" ca="1" si="80"/>
        <v>723.13739948965485</v>
      </c>
      <c r="Q99" s="69">
        <f t="shared" ca="1" si="81"/>
        <v>954.35022958558693</v>
      </c>
      <c r="R99" s="69">
        <f t="shared" ca="1" si="82"/>
        <v>783.96628218125682</v>
      </c>
      <c r="S99" s="69">
        <f t="shared" ca="1" si="83"/>
        <v>700.49223929002324</v>
      </c>
      <c r="T99" s="69">
        <f t="shared" ca="1" si="84"/>
        <v>803.84784238516431</v>
      </c>
      <c r="U99" s="69">
        <f t="shared" ca="1" si="85"/>
        <v>1695.2258923879501</v>
      </c>
      <c r="V99" s="69">
        <f t="shared" ca="1" si="86"/>
        <v>1913.4854981422225</v>
      </c>
      <c r="W99" s="69">
        <f t="shared" ca="1" si="87"/>
        <v>1178.1636438729122</v>
      </c>
      <c r="X99" s="69">
        <f t="shared" ca="1" si="88"/>
        <v>1489.4803443288108</v>
      </c>
      <c r="Y99" s="69">
        <f t="shared" ca="1" si="89"/>
        <v>1211.6619519337357</v>
      </c>
      <c r="AA99" s="20">
        <f t="shared" ca="1" si="49"/>
        <v>6.5668861972834E+16</v>
      </c>
      <c r="AB99" s="20">
        <f t="shared" ca="1" si="50"/>
        <v>1685669921894337.8</v>
      </c>
      <c r="AC99" s="20">
        <f t="shared" ca="1" si="51"/>
        <v>400707889249468.31</v>
      </c>
      <c r="AD99" s="20">
        <f t="shared" ca="1" si="52"/>
        <v>304651393082292.75</v>
      </c>
      <c r="AE99" s="20">
        <f t="shared" ca="1" si="53"/>
        <v>6897228535217510</v>
      </c>
      <c r="AG99" s="16">
        <f t="shared" ca="1" si="54"/>
        <v>4.8149626635769766E-4</v>
      </c>
      <c r="AH99" s="16">
        <f t="shared" ca="1" si="55"/>
        <v>-2.9637610950682494E-4</v>
      </c>
      <c r="AI99" s="16">
        <f t="shared" ca="1" si="56"/>
        <v>1.0897458705477422E-3</v>
      </c>
      <c r="AJ99" s="16">
        <f t="shared" ca="1" si="57"/>
        <v>-2.6217593893215887E-4</v>
      </c>
      <c r="AK99" s="16">
        <f t="shared" ca="1" si="58"/>
        <v>3.5911773217118121E-4</v>
      </c>
      <c r="AM99" s="16">
        <f t="shared" ca="1" si="59"/>
        <v>1.0126900884664561E-3</v>
      </c>
      <c r="AO99" s="16">
        <f t="shared" ca="1" si="60"/>
        <v>0</v>
      </c>
      <c r="AP99" s="16">
        <f t="shared" ca="1" si="61"/>
        <v>-2.9637610950682494E-4</v>
      </c>
      <c r="AQ99" s="16">
        <f t="shared" ca="1" si="62"/>
        <v>0</v>
      </c>
      <c r="AR99" s="16">
        <f t="shared" ca="1" si="63"/>
        <v>-2.6217593893215887E-4</v>
      </c>
      <c r="AS99" s="16">
        <f t="shared" ca="1" si="64"/>
        <v>0</v>
      </c>
    </row>
    <row r="100" spans="1:45" x14ac:dyDescent="0.25">
      <c r="A100" s="69">
        <f t="shared" ca="1" si="65"/>
        <v>2450.9753206510231</v>
      </c>
      <c r="B100" s="69">
        <f t="shared" ca="1" si="66"/>
        <v>2134.8355388107716</v>
      </c>
      <c r="C100" s="69">
        <f t="shared" ca="1" si="67"/>
        <v>2233.6456101416056</v>
      </c>
      <c r="D100" s="69">
        <f t="shared" ca="1" si="68"/>
        <v>2910.0220832094301</v>
      </c>
      <c r="E100" s="69">
        <f t="shared" ca="1" si="69"/>
        <v>1931.7667437362686</v>
      </c>
      <c r="F100" s="69">
        <f t="shared" ca="1" si="70"/>
        <v>1225.0409960785971</v>
      </c>
      <c r="G100" s="69">
        <f t="shared" ca="1" si="71"/>
        <v>964.05228155833629</v>
      </c>
      <c r="H100" s="69">
        <f t="shared" ca="1" si="72"/>
        <v>1187.9806783467282</v>
      </c>
      <c r="I100" s="69">
        <f t="shared" ca="1" si="73"/>
        <v>1045.0869852063638</v>
      </c>
      <c r="J100" s="69">
        <f t="shared" ca="1" si="74"/>
        <v>1149.2930940035037</v>
      </c>
      <c r="K100" s="69">
        <f t="shared" ca="1" si="75"/>
        <v>1178.4872760615278</v>
      </c>
      <c r="L100" s="69">
        <f t="shared" ca="1" si="76"/>
        <v>956.72092919673264</v>
      </c>
      <c r="M100" s="69">
        <f t="shared" ca="1" si="77"/>
        <v>984.68223076784182</v>
      </c>
      <c r="N100" s="69">
        <f t="shared" ca="1" si="78"/>
        <v>574.04430703219487</v>
      </c>
      <c r="O100" s="69">
        <f t="shared" ca="1" si="79"/>
        <v>629.43295293714868</v>
      </c>
      <c r="P100" s="69">
        <f t="shared" ca="1" si="80"/>
        <v>723.20284177303756</v>
      </c>
      <c r="Q100" s="69">
        <f t="shared" ca="1" si="81"/>
        <v>954.27839317266205</v>
      </c>
      <c r="R100" s="69">
        <f t="shared" ca="1" si="82"/>
        <v>783.96628218125682</v>
      </c>
      <c r="S100" s="69">
        <f t="shared" ca="1" si="83"/>
        <v>700.57311551611724</v>
      </c>
      <c r="T100" s="69">
        <f t="shared" ca="1" si="84"/>
        <v>803.53211780291826</v>
      </c>
      <c r="U100" s="69">
        <f t="shared" ca="1" si="85"/>
        <v>1695.6520782914847</v>
      </c>
      <c r="V100" s="69">
        <f t="shared" ca="1" si="86"/>
        <v>1913.4854981422225</v>
      </c>
      <c r="W100" s="69">
        <f t="shared" ca="1" si="87"/>
        <v>1178.1636438729122</v>
      </c>
      <c r="X100" s="69">
        <f t="shared" ca="1" si="88"/>
        <v>1489.5585550091128</v>
      </c>
      <c r="Y100" s="69">
        <f t="shared" ca="1" si="89"/>
        <v>1211.7288840475589</v>
      </c>
      <c r="AA100" s="20">
        <f t="shared" ca="1" si="49"/>
        <v>6.5700488898202096E+16</v>
      </c>
      <c r="AB100" s="20">
        <f t="shared" ca="1" si="50"/>
        <v>1685170403627270.8</v>
      </c>
      <c r="AC100" s="20">
        <f t="shared" ca="1" si="51"/>
        <v>401144797033063</v>
      </c>
      <c r="AD100" s="20">
        <f t="shared" ca="1" si="52"/>
        <v>304571531286642.5</v>
      </c>
      <c r="AE100" s="20">
        <f t="shared" ca="1" si="53"/>
        <v>6899705897093009</v>
      </c>
      <c r="AG100" s="16">
        <f t="shared" ca="1" si="54"/>
        <v>-1.4557773858292296E-4</v>
      </c>
      <c r="AH100" s="16">
        <f t="shared" ca="1" si="55"/>
        <v>-6.8430245942547341E-5</v>
      </c>
      <c r="AI100" s="16">
        <f t="shared" ca="1" si="56"/>
        <v>-6.7083145023373667E-4</v>
      </c>
      <c r="AJ100" s="16">
        <f t="shared" ca="1" si="57"/>
        <v>-1.7544004854619178E-3</v>
      </c>
      <c r="AK100" s="16">
        <f t="shared" ca="1" si="58"/>
        <v>-8.1044679824938124E-4</v>
      </c>
      <c r="AM100" s="16">
        <f t="shared" ca="1" si="59"/>
        <v>-2.6392399202211248E-3</v>
      </c>
      <c r="AO100" s="16">
        <f t="shared" ca="1" si="60"/>
        <v>-1.4557773858292296E-4</v>
      </c>
      <c r="AP100" s="16">
        <f t="shared" ca="1" si="61"/>
        <v>-6.8430245942547341E-5</v>
      </c>
      <c r="AQ100" s="16">
        <f t="shared" ca="1" si="62"/>
        <v>-6.7083145023373667E-4</v>
      </c>
      <c r="AR100" s="16">
        <f t="shared" ca="1" si="63"/>
        <v>-1.7544004854619178E-3</v>
      </c>
      <c r="AS100" s="16">
        <f t="shared" ca="1" si="64"/>
        <v>-8.1044679824938124E-4</v>
      </c>
    </row>
    <row r="101" spans="1:45" x14ac:dyDescent="0.25">
      <c r="A101" s="69">
        <f t="shared" ca="1" si="65"/>
        <v>2450.9753206510231</v>
      </c>
      <c r="B101" s="69">
        <f t="shared" ca="1" si="66"/>
        <v>2134.6084591877775</v>
      </c>
      <c r="C101" s="69">
        <f t="shared" ca="1" si="67"/>
        <v>2233.6456101416056</v>
      </c>
      <c r="D101" s="69">
        <f t="shared" ca="1" si="68"/>
        <v>2909.5676093681659</v>
      </c>
      <c r="E101" s="69">
        <f t="shared" ca="1" si="69"/>
        <v>1931.9927431056481</v>
      </c>
      <c r="F101" s="69">
        <f t="shared" ca="1" si="70"/>
        <v>1224.6114926816624</v>
      </c>
      <c r="G101" s="69">
        <f t="shared" ca="1" si="71"/>
        <v>964.48805306489157</v>
      </c>
      <c r="H101" s="69">
        <f t="shared" ca="1" si="72"/>
        <v>1188.149652504788</v>
      </c>
      <c r="I101" s="69">
        <f t="shared" ca="1" si="73"/>
        <v>1044.7610626327551</v>
      </c>
      <c r="J101" s="69">
        <f t="shared" ca="1" si="74"/>
        <v>1149.2930940035037</v>
      </c>
      <c r="K101" s="69">
        <f t="shared" ca="1" si="75"/>
        <v>1178.1641264526479</v>
      </c>
      <c r="L101" s="69">
        <f t="shared" ca="1" si="76"/>
        <v>956.72092919673264</v>
      </c>
      <c r="M101" s="69">
        <f t="shared" ca="1" si="77"/>
        <v>984.49314437029693</v>
      </c>
      <c r="N101" s="69">
        <f t="shared" ca="1" si="78"/>
        <v>573.92690376009693</v>
      </c>
      <c r="O101" s="69">
        <f t="shared" ca="1" si="79"/>
        <v>629.43295293714868</v>
      </c>
      <c r="P101" s="69">
        <f t="shared" ca="1" si="80"/>
        <v>722.77948739203453</v>
      </c>
      <c r="Q101" s="69">
        <f t="shared" ca="1" si="81"/>
        <v>954.19174627082373</v>
      </c>
      <c r="R101" s="69">
        <f t="shared" ca="1" si="82"/>
        <v>783.96628218125682</v>
      </c>
      <c r="S101" s="69">
        <f t="shared" ca="1" si="83"/>
        <v>700.20102354880032</v>
      </c>
      <c r="T101" s="69">
        <f t="shared" ca="1" si="84"/>
        <v>803.09288882949602</v>
      </c>
      <c r="U101" s="69">
        <f t="shared" ca="1" si="85"/>
        <v>1695.5695687630871</v>
      </c>
      <c r="V101" s="69">
        <f t="shared" ca="1" si="86"/>
        <v>1913.4854981422225</v>
      </c>
      <c r="W101" s="69">
        <f t="shared" ca="1" si="87"/>
        <v>1177.995045874376</v>
      </c>
      <c r="X101" s="69">
        <f t="shared" ca="1" si="88"/>
        <v>1489.1540222085318</v>
      </c>
      <c r="Y101" s="69">
        <f t="shared" ca="1" si="89"/>
        <v>1211.3084172042843</v>
      </c>
      <c r="AA101" s="20">
        <f t="shared" ca="1" si="49"/>
        <v>6.5690925065761944E+16</v>
      </c>
      <c r="AB101" s="20">
        <f t="shared" ca="1" si="50"/>
        <v>1685055090947578</v>
      </c>
      <c r="AC101" s="20">
        <f t="shared" ca="1" si="51"/>
        <v>400875786727490.5</v>
      </c>
      <c r="AD101" s="20">
        <f t="shared" ca="1" si="52"/>
        <v>304037659293871.63</v>
      </c>
      <c r="AE101" s="20">
        <f t="shared" ca="1" si="53"/>
        <v>6894116317874086</v>
      </c>
      <c r="AG101" s="16">
        <f t="shared" ca="1" si="54"/>
        <v>7.2644050790235629E-5</v>
      </c>
      <c r="AH101" s="16">
        <f t="shared" ca="1" si="55"/>
        <v>-1.2233215143192793E-4</v>
      </c>
      <c r="AI101" s="16">
        <f t="shared" ca="1" si="56"/>
        <v>-5.689490070415696E-4</v>
      </c>
      <c r="AJ101" s="16">
        <f t="shared" ca="1" si="57"/>
        <v>1.5103218475599495E-4</v>
      </c>
      <c r="AK101" s="16">
        <f t="shared" ca="1" si="58"/>
        <v>3.9178487766677041E-5</v>
      </c>
      <c r="AM101" s="16">
        <f t="shared" ca="1" si="59"/>
        <v>-4.6760492292726699E-4</v>
      </c>
      <c r="AO101" s="16">
        <f t="shared" ca="1" si="60"/>
        <v>0</v>
      </c>
      <c r="AP101" s="16">
        <f t="shared" ca="1" si="61"/>
        <v>-1.2233215143192793E-4</v>
      </c>
      <c r="AQ101" s="16">
        <f t="shared" ca="1" si="62"/>
        <v>-5.689490070415696E-4</v>
      </c>
      <c r="AR101" s="16">
        <f t="shared" ca="1" si="63"/>
        <v>0</v>
      </c>
      <c r="AS101" s="16">
        <f t="shared" ca="1" si="64"/>
        <v>0</v>
      </c>
    </row>
    <row r="102" spans="1:45" x14ac:dyDescent="0.25">
      <c r="A102" s="69">
        <f t="shared" ca="1" si="65"/>
        <v>2451.1245118278252</v>
      </c>
      <c r="B102" s="69">
        <f t="shared" ca="1" si="66"/>
        <v>2134.6084591877775</v>
      </c>
      <c r="C102" s="69">
        <f t="shared" ca="1" si="67"/>
        <v>2233.4422390749828</v>
      </c>
      <c r="D102" s="69">
        <f t="shared" ca="1" si="68"/>
        <v>2909.4806404649562</v>
      </c>
      <c r="E102" s="69">
        <f t="shared" ca="1" si="69"/>
        <v>1932.249174145272</v>
      </c>
      <c r="F102" s="69">
        <f t="shared" ca="1" si="70"/>
        <v>1224.3978905452873</v>
      </c>
      <c r="G102" s="69">
        <f t="shared" ca="1" si="71"/>
        <v>964.48805306489157</v>
      </c>
      <c r="H102" s="69">
        <f t="shared" ca="1" si="72"/>
        <v>1188.4754490108776</v>
      </c>
      <c r="I102" s="69">
        <f t="shared" ca="1" si="73"/>
        <v>1044.6653051688077</v>
      </c>
      <c r="J102" s="69">
        <f t="shared" ca="1" si="74"/>
        <v>1149.1432350488674</v>
      </c>
      <c r="K102" s="69">
        <f t="shared" ca="1" si="75"/>
        <v>1177.8884002108491</v>
      </c>
      <c r="L102" s="69">
        <f t="shared" ca="1" si="76"/>
        <v>956.72092919673264</v>
      </c>
      <c r="M102" s="69">
        <f t="shared" ca="1" si="77"/>
        <v>984.49314437029693</v>
      </c>
      <c r="N102" s="69">
        <f t="shared" ca="1" si="78"/>
        <v>573.79067336305604</v>
      </c>
      <c r="O102" s="69">
        <f t="shared" ca="1" si="79"/>
        <v>629.37158771938039</v>
      </c>
      <c r="P102" s="69">
        <f t="shared" ca="1" si="80"/>
        <v>722.77948739203453</v>
      </c>
      <c r="Q102" s="69">
        <f t="shared" ca="1" si="81"/>
        <v>954.42618220240297</v>
      </c>
      <c r="R102" s="69">
        <f t="shared" ca="1" si="82"/>
        <v>783.98021373994288</v>
      </c>
      <c r="S102" s="69">
        <f t="shared" ca="1" si="83"/>
        <v>700.20102354880032</v>
      </c>
      <c r="T102" s="69">
        <f t="shared" ca="1" si="84"/>
        <v>803.002627322987</v>
      </c>
      <c r="U102" s="69">
        <f t="shared" ca="1" si="85"/>
        <v>1695.5352733052746</v>
      </c>
      <c r="V102" s="69">
        <f t="shared" ca="1" si="86"/>
        <v>1913.4955168129109</v>
      </c>
      <c r="W102" s="69">
        <f t="shared" ca="1" si="87"/>
        <v>1178.4597032719128</v>
      </c>
      <c r="X102" s="69">
        <f t="shared" ca="1" si="88"/>
        <v>1489.1540222085318</v>
      </c>
      <c r="Y102" s="69">
        <f t="shared" ca="1" si="89"/>
        <v>1210.8963995660597</v>
      </c>
      <c r="AA102" s="20">
        <f t="shared" ca="1" si="49"/>
        <v>6.5695697293993768E+16</v>
      </c>
      <c r="AB102" s="20">
        <f t="shared" ca="1" si="50"/>
        <v>1684848967141062.5</v>
      </c>
      <c r="AC102" s="20">
        <f t="shared" ca="1" si="51"/>
        <v>400647773716723.63</v>
      </c>
      <c r="AD102" s="20">
        <f t="shared" ca="1" si="52"/>
        <v>304083582233636.56</v>
      </c>
      <c r="AE102" s="20">
        <f t="shared" ca="1" si="53"/>
        <v>6894386424217052</v>
      </c>
      <c r="AG102" s="16">
        <f t="shared" ca="1" si="54"/>
        <v>-1.9196814015419241E-4</v>
      </c>
      <c r="AH102" s="16">
        <f t="shared" ca="1" si="55"/>
        <v>-7.0645785535162434E-4</v>
      </c>
      <c r="AI102" s="16">
        <f t="shared" ca="1" si="56"/>
        <v>4.5758269338749161E-6</v>
      </c>
      <c r="AJ102" s="16">
        <f t="shared" ca="1" si="57"/>
        <v>-3.0744835200396931E-4</v>
      </c>
      <c r="AK102" s="16">
        <f t="shared" ca="1" si="58"/>
        <v>-1.5457807676161347E-4</v>
      </c>
      <c r="AM102" s="16">
        <f t="shared" ca="1" si="59"/>
        <v>-1.2012985205759111E-3</v>
      </c>
      <c r="AO102" s="16">
        <f t="shared" ca="1" si="60"/>
        <v>-1.9196814015419241E-4</v>
      </c>
      <c r="AP102" s="16">
        <f t="shared" ca="1" si="61"/>
        <v>-7.0645785535162434E-4</v>
      </c>
      <c r="AQ102" s="16">
        <f t="shared" ca="1" si="62"/>
        <v>0</v>
      </c>
      <c r="AR102" s="16">
        <f t="shared" ca="1" si="63"/>
        <v>-3.0744835200396931E-4</v>
      </c>
      <c r="AS102" s="16">
        <f t="shared" ca="1" si="64"/>
        <v>-1.5457807676161347E-4</v>
      </c>
    </row>
    <row r="103" spans="1:45" x14ac:dyDescent="0.25">
      <c r="A103" s="69">
        <f t="shared" ca="1" si="65"/>
        <v>2451.0951905632883</v>
      </c>
      <c r="B103" s="69">
        <f t="shared" ca="1" si="66"/>
        <v>2134.6921634180835</v>
      </c>
      <c r="C103" s="69">
        <f t="shared" ca="1" si="67"/>
        <v>2233.2201274006807</v>
      </c>
      <c r="D103" s="69">
        <f t="shared" ca="1" si="68"/>
        <v>2909.1322080717368</v>
      </c>
      <c r="E103" s="69">
        <f t="shared" ca="1" si="69"/>
        <v>1932.249174145272</v>
      </c>
      <c r="F103" s="69">
        <f t="shared" ca="1" si="70"/>
        <v>1224.3978905452873</v>
      </c>
      <c r="G103" s="69">
        <f t="shared" ca="1" si="71"/>
        <v>964.0977365617714</v>
      </c>
      <c r="H103" s="69">
        <f t="shared" ca="1" si="72"/>
        <v>1188.2294051186268</v>
      </c>
      <c r="I103" s="69">
        <f t="shared" ca="1" si="73"/>
        <v>1044.5664406738201</v>
      </c>
      <c r="J103" s="69">
        <f t="shared" ca="1" si="74"/>
        <v>1149.1432350488674</v>
      </c>
      <c r="K103" s="69">
        <f t="shared" ca="1" si="75"/>
        <v>1177.8884002108491</v>
      </c>
      <c r="L103" s="69">
        <f t="shared" ca="1" si="76"/>
        <v>956.2293811320485</v>
      </c>
      <c r="M103" s="69">
        <f t="shared" ca="1" si="77"/>
        <v>984.49314437029693</v>
      </c>
      <c r="N103" s="69">
        <f t="shared" ca="1" si="78"/>
        <v>573.79067336305604</v>
      </c>
      <c r="O103" s="69">
        <f t="shared" ca="1" si="79"/>
        <v>629.69799648137416</v>
      </c>
      <c r="P103" s="69">
        <f t="shared" ca="1" si="80"/>
        <v>722.8386893869606</v>
      </c>
      <c r="Q103" s="69">
        <f t="shared" ca="1" si="81"/>
        <v>954.28109561881786</v>
      </c>
      <c r="R103" s="69">
        <f t="shared" ca="1" si="82"/>
        <v>783.89940805630476</v>
      </c>
      <c r="S103" s="69">
        <f t="shared" ca="1" si="83"/>
        <v>700.3437876193542</v>
      </c>
      <c r="T103" s="69">
        <f t="shared" ca="1" si="84"/>
        <v>802.73116139229762</v>
      </c>
      <c r="U103" s="69">
        <f t="shared" ca="1" si="85"/>
        <v>1695.91075994891</v>
      </c>
      <c r="V103" s="69">
        <f t="shared" ca="1" si="86"/>
        <v>1913.4955168129109</v>
      </c>
      <c r="W103" s="69">
        <f t="shared" ca="1" si="87"/>
        <v>1178.4597032719128</v>
      </c>
      <c r="X103" s="69">
        <f t="shared" ca="1" si="88"/>
        <v>1488.9374214433592</v>
      </c>
      <c r="Y103" s="69">
        <f t="shared" ca="1" si="89"/>
        <v>1210.6172633768879</v>
      </c>
      <c r="AA103" s="20">
        <f t="shared" ca="1" si="49"/>
        <v>6.5683087023591912E+16</v>
      </c>
      <c r="AB103" s="20">
        <f t="shared" ca="1" si="50"/>
        <v>1683659112693641.5</v>
      </c>
      <c r="AC103" s="20">
        <f t="shared" ca="1" si="51"/>
        <v>400649607015792</v>
      </c>
      <c r="AD103" s="20">
        <f t="shared" ca="1" si="52"/>
        <v>303990106607607.25</v>
      </c>
      <c r="AE103" s="20">
        <f t="shared" ca="1" si="53"/>
        <v>6893320785587452</v>
      </c>
      <c r="AG103" s="16">
        <f t="shared" ca="1" si="54"/>
        <v>1.6366153689524276E-4</v>
      </c>
      <c r="AH103" s="16">
        <f t="shared" ca="1" si="55"/>
        <v>3.2881575651499067E-4</v>
      </c>
      <c r="AI103" s="16">
        <f t="shared" ca="1" si="56"/>
        <v>1.1633223559716003E-3</v>
      </c>
      <c r="AJ103" s="16">
        <f t="shared" ca="1" si="57"/>
        <v>-1.130258112823003E-3</v>
      </c>
      <c r="AK103" s="16">
        <f t="shared" ca="1" si="58"/>
        <v>-3.6359131342197411E-4</v>
      </c>
      <c r="AM103" s="16">
        <f t="shared" ca="1" si="59"/>
        <v>5.2554153655883082E-4</v>
      </c>
      <c r="AO103" s="16">
        <f t="shared" ca="1" si="60"/>
        <v>0</v>
      </c>
      <c r="AP103" s="16">
        <f t="shared" ca="1" si="61"/>
        <v>0</v>
      </c>
      <c r="AQ103" s="16">
        <f t="shared" ca="1" si="62"/>
        <v>0</v>
      </c>
      <c r="AR103" s="16">
        <f t="shared" ca="1" si="63"/>
        <v>-1.130258112823003E-3</v>
      </c>
      <c r="AS103" s="16">
        <f t="shared" ca="1" si="64"/>
        <v>-3.6359131342197411E-4</v>
      </c>
    </row>
    <row r="104" spans="1:45" x14ac:dyDescent="0.25">
      <c r="A104" s="69">
        <f t="shared" ca="1" si="65"/>
        <v>2451.159408239766</v>
      </c>
      <c r="B104" s="69">
        <f t="shared" ca="1" si="66"/>
        <v>2134.6921634180835</v>
      </c>
      <c r="C104" s="69">
        <f t="shared" ca="1" si="67"/>
        <v>2233.1700198700046</v>
      </c>
      <c r="D104" s="69">
        <f t="shared" ca="1" si="68"/>
        <v>2909.1322080717368</v>
      </c>
      <c r="E104" s="69">
        <f t="shared" ca="1" si="69"/>
        <v>1932.5581652827846</v>
      </c>
      <c r="F104" s="69">
        <f t="shared" ca="1" si="70"/>
        <v>1224.8309198907104</v>
      </c>
      <c r="G104" s="69">
        <f t="shared" ca="1" si="71"/>
        <v>964.0977365617714</v>
      </c>
      <c r="H104" s="69">
        <f t="shared" ca="1" si="72"/>
        <v>1188.6610367941673</v>
      </c>
      <c r="I104" s="69">
        <f t="shared" ca="1" si="73"/>
        <v>1044.1612493194903</v>
      </c>
      <c r="J104" s="69">
        <f t="shared" ca="1" si="74"/>
        <v>1149.1432350488674</v>
      </c>
      <c r="K104" s="69">
        <f t="shared" ca="1" si="75"/>
        <v>1177.9883790071699</v>
      </c>
      <c r="L104" s="69">
        <f t="shared" ca="1" si="76"/>
        <v>956.2293811320485</v>
      </c>
      <c r="M104" s="69">
        <f t="shared" ca="1" si="77"/>
        <v>984.92800355207839</v>
      </c>
      <c r="N104" s="69">
        <f t="shared" ca="1" si="78"/>
        <v>574.15619978325662</v>
      </c>
      <c r="O104" s="69">
        <f t="shared" ca="1" si="79"/>
        <v>629.69799648137416</v>
      </c>
      <c r="P104" s="69">
        <f t="shared" ca="1" si="80"/>
        <v>722.8386893869606</v>
      </c>
      <c r="Q104" s="69">
        <f t="shared" ca="1" si="81"/>
        <v>953.85471838257354</v>
      </c>
      <c r="R104" s="69">
        <f t="shared" ca="1" si="82"/>
        <v>783.89940805630476</v>
      </c>
      <c r="S104" s="69">
        <f t="shared" ca="1" si="83"/>
        <v>699.86536864690913</v>
      </c>
      <c r="T104" s="69">
        <f t="shared" ca="1" si="84"/>
        <v>802.73116139229762</v>
      </c>
      <c r="U104" s="69">
        <f t="shared" ca="1" si="85"/>
        <v>1695.91075994891</v>
      </c>
      <c r="V104" s="69">
        <f t="shared" ca="1" si="86"/>
        <v>1913.2820721870598</v>
      </c>
      <c r="W104" s="69">
        <f t="shared" ca="1" si="87"/>
        <v>1178.4597032719128</v>
      </c>
      <c r="X104" s="69">
        <f t="shared" ca="1" si="88"/>
        <v>1488.9079933017254</v>
      </c>
      <c r="Y104" s="69">
        <f t="shared" ca="1" si="89"/>
        <v>1210.3361018417904</v>
      </c>
      <c r="AA104" s="20">
        <f t="shared" ca="1" si="49"/>
        <v>6.5693837698274184E+16</v>
      </c>
      <c r="AB104" s="20">
        <f t="shared" ca="1" si="50"/>
        <v>1684212817366916.8</v>
      </c>
      <c r="AC104" s="20">
        <f t="shared" ca="1" si="51"/>
        <v>401115962869045.63</v>
      </c>
      <c r="AD104" s="20">
        <f t="shared" ca="1" si="52"/>
        <v>303646713421419.94</v>
      </c>
      <c r="AE104" s="20">
        <f t="shared" ca="1" si="53"/>
        <v>6890814889617791</v>
      </c>
      <c r="AG104" s="16">
        <f t="shared" ca="1" si="54"/>
        <v>1.322414215269267E-5</v>
      </c>
      <c r="AH104" s="16">
        <f t="shared" ca="1" si="55"/>
        <v>-6.8181124722756605E-4</v>
      </c>
      <c r="AI104" s="16">
        <f t="shared" ca="1" si="56"/>
        <v>-7.0354561990591791E-4</v>
      </c>
      <c r="AJ104" s="16">
        <f t="shared" ca="1" si="57"/>
        <v>-6.1051816983289807E-4</v>
      </c>
      <c r="AK104" s="16">
        <f t="shared" ca="1" si="58"/>
        <v>-1.1374678000501503E-6</v>
      </c>
      <c r="AM104" s="16">
        <f t="shared" ca="1" si="59"/>
        <v>-1.9826508948136896E-3</v>
      </c>
      <c r="AO104" s="16">
        <f t="shared" ca="1" si="60"/>
        <v>0</v>
      </c>
      <c r="AP104" s="16">
        <f t="shared" ca="1" si="61"/>
        <v>-6.8181124722756605E-4</v>
      </c>
      <c r="AQ104" s="16">
        <f t="shared" ca="1" si="62"/>
        <v>-7.0354561990591791E-4</v>
      </c>
      <c r="AR104" s="16">
        <f t="shared" ca="1" si="63"/>
        <v>-6.1051816983289807E-4</v>
      </c>
      <c r="AS104" s="16">
        <f t="shared" ca="1" si="64"/>
        <v>-1.1374678000501503E-6</v>
      </c>
    </row>
    <row r="105" spans="1:45" x14ac:dyDescent="0.25">
      <c r="A105" s="69">
        <f t="shared" ca="1" si="65"/>
        <v>2451.159408239766</v>
      </c>
      <c r="B105" s="69">
        <f t="shared" ca="1" si="66"/>
        <v>2134.9982954196075</v>
      </c>
      <c r="C105" s="69">
        <f t="shared" ca="1" si="67"/>
        <v>2233.1700198700046</v>
      </c>
      <c r="D105" s="69">
        <f t="shared" ca="1" si="68"/>
        <v>2908.6953050537395</v>
      </c>
      <c r="E105" s="69">
        <f t="shared" ca="1" si="69"/>
        <v>1932.5968573231301</v>
      </c>
      <c r="F105" s="69">
        <f t="shared" ca="1" si="70"/>
        <v>1224.3362522884133</v>
      </c>
      <c r="G105" s="69">
        <f t="shared" ca="1" si="71"/>
        <v>963.91920819080292</v>
      </c>
      <c r="H105" s="69">
        <f t="shared" ca="1" si="72"/>
        <v>1188.1724402326859</v>
      </c>
      <c r="I105" s="69">
        <f t="shared" ca="1" si="73"/>
        <v>1044.1612493194903</v>
      </c>
      <c r="J105" s="69">
        <f t="shared" ca="1" si="74"/>
        <v>1149.5092523428241</v>
      </c>
      <c r="K105" s="69">
        <f t="shared" ca="1" si="75"/>
        <v>1177.9883790071699</v>
      </c>
      <c r="L105" s="69">
        <f t="shared" ca="1" si="76"/>
        <v>956.07436607947704</v>
      </c>
      <c r="M105" s="69">
        <f t="shared" ca="1" si="77"/>
        <v>984.52600835471128</v>
      </c>
      <c r="N105" s="69">
        <f t="shared" ca="1" si="78"/>
        <v>574.07973207008661</v>
      </c>
      <c r="O105" s="69">
        <f t="shared" ca="1" si="79"/>
        <v>629.69799648137416</v>
      </c>
      <c r="P105" s="69">
        <f t="shared" ca="1" si="80"/>
        <v>722.8386893869606</v>
      </c>
      <c r="Q105" s="69">
        <f t="shared" ca="1" si="81"/>
        <v>953.49284708744881</v>
      </c>
      <c r="R105" s="69">
        <f t="shared" ca="1" si="82"/>
        <v>783.52715707763707</v>
      </c>
      <c r="S105" s="69">
        <f t="shared" ca="1" si="83"/>
        <v>699.86536864690913</v>
      </c>
      <c r="T105" s="69">
        <f t="shared" ca="1" si="84"/>
        <v>802.92698363695342</v>
      </c>
      <c r="U105" s="69">
        <f t="shared" ca="1" si="85"/>
        <v>1696.3104649969109</v>
      </c>
      <c r="V105" s="69">
        <f t="shared" ca="1" si="86"/>
        <v>1913.2820721870598</v>
      </c>
      <c r="W105" s="69">
        <f t="shared" ca="1" si="87"/>
        <v>1178.0245427779241</v>
      </c>
      <c r="X105" s="69">
        <f t="shared" ca="1" si="88"/>
        <v>1488.9079933017254</v>
      </c>
      <c r="Y105" s="69">
        <f t="shared" ca="1" si="89"/>
        <v>1210.4965219942974</v>
      </c>
      <c r="AA105" s="20">
        <f t="shared" ca="1" si="49"/>
        <v>6.5694706448666688E+16</v>
      </c>
      <c r="AB105" s="20">
        <f t="shared" ca="1" si="50"/>
        <v>1683064893503481</v>
      </c>
      <c r="AC105" s="20">
        <f t="shared" ca="1" si="51"/>
        <v>400833858738493.69</v>
      </c>
      <c r="AD105" s="20">
        <f t="shared" ca="1" si="52"/>
        <v>303461388163641.13</v>
      </c>
      <c r="AE105" s="20">
        <f t="shared" ca="1" si="53"/>
        <v>6890807051542196</v>
      </c>
      <c r="AG105" s="16">
        <f t="shared" ca="1" si="54"/>
        <v>-1.2756125824548171E-4</v>
      </c>
      <c r="AH105" s="16">
        <f t="shared" ca="1" si="55"/>
        <v>-3.0723762685433951E-4</v>
      </c>
      <c r="AI105" s="16">
        <f t="shared" ca="1" si="56"/>
        <v>-2.0213467354982992E-5</v>
      </c>
      <c r="AJ105" s="16">
        <f t="shared" ca="1" si="57"/>
        <v>3.5340533247517938E-4</v>
      </c>
      <c r="AK105" s="16">
        <f t="shared" ca="1" si="58"/>
        <v>1.6125830240339064E-4</v>
      </c>
      <c r="AM105" s="16">
        <f t="shared" ca="1" si="59"/>
        <v>-1.0160701997962487E-4</v>
      </c>
      <c r="AO105" s="16">
        <f t="shared" ca="1" si="60"/>
        <v>-1.2756125824548171E-4</v>
      </c>
      <c r="AP105" s="16">
        <f t="shared" ca="1" si="61"/>
        <v>-3.0723762685433951E-4</v>
      </c>
      <c r="AQ105" s="16">
        <f t="shared" ca="1" si="62"/>
        <v>-2.0213467354982992E-5</v>
      </c>
      <c r="AR105" s="16">
        <f t="shared" ca="1" si="63"/>
        <v>0</v>
      </c>
      <c r="AS105" s="16">
        <f t="shared" ca="1" si="64"/>
        <v>0</v>
      </c>
    </row>
    <row r="106" spans="1:45" x14ac:dyDescent="0.25">
      <c r="A106" s="69">
        <f t="shared" ca="1" si="65"/>
        <v>2451.0359204650908</v>
      </c>
      <c r="B106" s="69">
        <f t="shared" ca="1" si="66"/>
        <v>2134.9982954196075</v>
      </c>
      <c r="C106" s="69">
        <f t="shared" ca="1" si="67"/>
        <v>2233.1879161952179</v>
      </c>
      <c r="D106" s="69">
        <f t="shared" ca="1" si="68"/>
        <v>2908.4712276029009</v>
      </c>
      <c r="E106" s="69">
        <f t="shared" ca="1" si="69"/>
        <v>1932.5810981748141</v>
      </c>
      <c r="F106" s="69">
        <f t="shared" ca="1" si="70"/>
        <v>1223.8990715189177</v>
      </c>
      <c r="G106" s="69">
        <f t="shared" ca="1" si="71"/>
        <v>963.91920819080292</v>
      </c>
      <c r="H106" s="69">
        <f t="shared" ca="1" si="72"/>
        <v>1188.2317337467889</v>
      </c>
      <c r="I106" s="69">
        <f t="shared" ca="1" si="73"/>
        <v>1044.1612493194903</v>
      </c>
      <c r="J106" s="69">
        <f t="shared" ca="1" si="74"/>
        <v>1149.5092523428241</v>
      </c>
      <c r="K106" s="69">
        <f t="shared" ca="1" si="75"/>
        <v>1178.1445242729915</v>
      </c>
      <c r="L106" s="69">
        <f t="shared" ca="1" si="76"/>
        <v>955.80134536089008</v>
      </c>
      <c r="M106" s="69">
        <f t="shared" ca="1" si="77"/>
        <v>984.7068798771769</v>
      </c>
      <c r="N106" s="69">
        <f t="shared" ca="1" si="78"/>
        <v>574.49778999328896</v>
      </c>
      <c r="O106" s="69">
        <f t="shared" ca="1" si="79"/>
        <v>629.20777404964088</v>
      </c>
      <c r="P106" s="69">
        <f t="shared" ca="1" si="80"/>
        <v>722.74610074273016</v>
      </c>
      <c r="Q106" s="69">
        <f t="shared" ca="1" si="81"/>
        <v>953.09641123701374</v>
      </c>
      <c r="R106" s="69">
        <f t="shared" ca="1" si="82"/>
        <v>783.52715707763707</v>
      </c>
      <c r="S106" s="69">
        <f t="shared" ca="1" si="83"/>
        <v>700.35039848170777</v>
      </c>
      <c r="T106" s="69">
        <f t="shared" ca="1" si="84"/>
        <v>803.09125483894957</v>
      </c>
      <c r="U106" s="69">
        <f t="shared" ca="1" si="85"/>
        <v>1696.5533429884431</v>
      </c>
      <c r="V106" s="69">
        <f t="shared" ca="1" si="86"/>
        <v>1913.3166807094485</v>
      </c>
      <c r="W106" s="69">
        <f t="shared" ca="1" si="87"/>
        <v>1178.0245427779241</v>
      </c>
      <c r="X106" s="69">
        <f t="shared" ca="1" si="88"/>
        <v>1488.9079933017254</v>
      </c>
      <c r="Y106" s="69">
        <f t="shared" ca="1" si="89"/>
        <v>1210.4965219942974</v>
      </c>
      <c r="AA106" s="20">
        <f t="shared" ca="1" si="49"/>
        <v>6.5686326883717312E+16</v>
      </c>
      <c r="AB106" s="20">
        <f t="shared" ca="1" si="50"/>
        <v>1682547872068045.5</v>
      </c>
      <c r="AC106" s="20">
        <f t="shared" ca="1" si="51"/>
        <v>400825756578261.94</v>
      </c>
      <c r="AD106" s="20">
        <f t="shared" ca="1" si="52"/>
        <v>303568651989106.06</v>
      </c>
      <c r="AE106" s="20">
        <f t="shared" ca="1" si="53"/>
        <v>6891918340989433</v>
      </c>
      <c r="AG106" s="16">
        <f t="shared" ca="1" si="54"/>
        <v>-2.7186444134032125E-4</v>
      </c>
      <c r="AH106" s="16">
        <f t="shared" ca="1" si="55"/>
        <v>8.657859809996913E-4</v>
      </c>
      <c r="AI106" s="16">
        <f t="shared" ca="1" si="56"/>
        <v>1.0591533818324807E-3</v>
      </c>
      <c r="AJ106" s="16">
        <f t="shared" ca="1" si="57"/>
        <v>-1.7684959066998672E-4</v>
      </c>
      <c r="AK106" s="16">
        <f t="shared" ca="1" si="58"/>
        <v>-2.2445534432317751E-4</v>
      </c>
      <c r="AM106" s="16">
        <f t="shared" ca="1" si="59"/>
        <v>1.4762253308218641E-3</v>
      </c>
      <c r="AO106" s="16">
        <f t="shared" ca="1" si="60"/>
        <v>-2.7186444134032125E-4</v>
      </c>
      <c r="AP106" s="16">
        <f t="shared" ca="1" si="61"/>
        <v>0</v>
      </c>
      <c r="AQ106" s="16">
        <f t="shared" ca="1" si="62"/>
        <v>0</v>
      </c>
      <c r="AR106" s="16">
        <f t="shared" ca="1" si="63"/>
        <v>-1.7684959066998672E-4</v>
      </c>
      <c r="AS106" s="16">
        <f t="shared" ca="1" si="64"/>
        <v>-2.2445534432317751E-4</v>
      </c>
    </row>
    <row r="107" spans="1:45" x14ac:dyDescent="0.25">
      <c r="A107" s="69">
        <f t="shared" ca="1" si="65"/>
        <v>2450.7316408205761</v>
      </c>
      <c r="B107" s="69">
        <f t="shared" ca="1" si="66"/>
        <v>2135.0027254525621</v>
      </c>
      <c r="C107" s="69">
        <f t="shared" ca="1" si="67"/>
        <v>2233.1879161952179</v>
      </c>
      <c r="D107" s="69">
        <f t="shared" ca="1" si="68"/>
        <v>2908.035604951845</v>
      </c>
      <c r="E107" s="69">
        <f t="shared" ca="1" si="69"/>
        <v>1932.5810981748141</v>
      </c>
      <c r="F107" s="69">
        <f t="shared" ca="1" si="70"/>
        <v>1223.7969861777974</v>
      </c>
      <c r="G107" s="69">
        <f t="shared" ca="1" si="71"/>
        <v>964.309009428786</v>
      </c>
      <c r="H107" s="69">
        <f t="shared" ca="1" si="72"/>
        <v>1188.5279913600675</v>
      </c>
      <c r="I107" s="69">
        <f t="shared" ca="1" si="73"/>
        <v>1044.1612493194903</v>
      </c>
      <c r="J107" s="69">
        <f t="shared" ca="1" si="74"/>
        <v>1149.849090296753</v>
      </c>
      <c r="K107" s="69">
        <f t="shared" ca="1" si="75"/>
        <v>1178.3982659184037</v>
      </c>
      <c r="L107" s="69">
        <f t="shared" ca="1" si="76"/>
        <v>956.16012348777986</v>
      </c>
      <c r="M107" s="69">
        <f t="shared" ca="1" si="77"/>
        <v>984.26082175369652</v>
      </c>
      <c r="N107" s="69">
        <f t="shared" ca="1" si="78"/>
        <v>574.72307440884674</v>
      </c>
      <c r="O107" s="69">
        <f t="shared" ca="1" si="79"/>
        <v>629.5410453025936</v>
      </c>
      <c r="P107" s="69">
        <f t="shared" ca="1" si="80"/>
        <v>722.5420937932879</v>
      </c>
      <c r="Q107" s="69">
        <f t="shared" ca="1" si="81"/>
        <v>953.00217940006382</v>
      </c>
      <c r="R107" s="69">
        <f t="shared" ca="1" si="82"/>
        <v>783.52715707763707</v>
      </c>
      <c r="S107" s="69">
        <f t="shared" ca="1" si="83"/>
        <v>700.36031228346792</v>
      </c>
      <c r="T107" s="69">
        <f t="shared" ca="1" si="84"/>
        <v>803.24399750054909</v>
      </c>
      <c r="U107" s="69">
        <f t="shared" ca="1" si="85"/>
        <v>1696.7625563304414</v>
      </c>
      <c r="V107" s="69">
        <f t="shared" ca="1" si="86"/>
        <v>1913.0434274222514</v>
      </c>
      <c r="W107" s="69">
        <f t="shared" ca="1" si="87"/>
        <v>1178.0245427779241</v>
      </c>
      <c r="X107" s="69">
        <f t="shared" ca="1" si="88"/>
        <v>1488.9079933017254</v>
      </c>
      <c r="Y107" s="69">
        <f t="shared" ca="1" si="89"/>
        <v>1210.2484710614901</v>
      </c>
      <c r="AA107" s="20">
        <f t="shared" ca="1" si="49"/>
        <v>6.5668471534382632E+16</v>
      </c>
      <c r="AB107" s="20">
        <f t="shared" ca="1" si="50"/>
        <v>1684005229216702.8</v>
      </c>
      <c r="AC107" s="20">
        <f t="shared" ca="1" si="51"/>
        <v>401250517437609.44</v>
      </c>
      <c r="AD107" s="20">
        <f t="shared" ca="1" si="52"/>
        <v>303514970744154.56</v>
      </c>
      <c r="AE107" s="20">
        <f t="shared" ca="1" si="53"/>
        <v>6890371586680288</v>
      </c>
      <c r="AG107" s="16">
        <f t="shared" ca="1" si="54"/>
        <v>1.0261268542867763E-5</v>
      </c>
      <c r="AH107" s="16">
        <f t="shared" ca="1" si="55"/>
        <v>-4.4832580884193537E-5</v>
      </c>
      <c r="AI107" s="16">
        <f t="shared" ca="1" si="56"/>
        <v>9.4989348539403415E-5</v>
      </c>
      <c r="AJ107" s="16">
        <f t="shared" ca="1" si="57"/>
        <v>1.8311877277109401E-4</v>
      </c>
      <c r="AK107" s="16">
        <f t="shared" ca="1" si="58"/>
        <v>-2.2907174486640279E-4</v>
      </c>
      <c r="AM107" s="16">
        <f t="shared" ca="1" si="59"/>
        <v>2.4353680896917166E-4</v>
      </c>
      <c r="AO107" s="16">
        <f t="shared" ca="1" si="60"/>
        <v>0</v>
      </c>
      <c r="AP107" s="16">
        <f t="shared" ca="1" si="61"/>
        <v>-4.4832580884193537E-5</v>
      </c>
      <c r="AQ107" s="16">
        <f t="shared" ca="1" si="62"/>
        <v>0</v>
      </c>
      <c r="AR107" s="16">
        <f t="shared" ca="1" si="63"/>
        <v>0</v>
      </c>
      <c r="AS107" s="16">
        <f t="shared" ca="1" si="64"/>
        <v>-2.2907174486640279E-4</v>
      </c>
    </row>
    <row r="108" spans="1:45" x14ac:dyDescent="0.25">
      <c r="A108" s="69">
        <f t="shared" ca="1" si="65"/>
        <v>2450.7316408205761</v>
      </c>
      <c r="B108" s="69">
        <f t="shared" ca="1" si="66"/>
        <v>2135.0027254525621</v>
      </c>
      <c r="C108" s="69">
        <f t="shared" ca="1" si="67"/>
        <v>2233.1918230226274</v>
      </c>
      <c r="D108" s="69">
        <f t="shared" ca="1" si="68"/>
        <v>2907.7717414641952</v>
      </c>
      <c r="E108" s="69">
        <f t="shared" ca="1" si="69"/>
        <v>1932.772920110551</v>
      </c>
      <c r="F108" s="69">
        <f t="shared" ca="1" si="70"/>
        <v>1223.6546338256867</v>
      </c>
      <c r="G108" s="69">
        <f t="shared" ca="1" si="71"/>
        <v>964.10481515233334</v>
      </c>
      <c r="H108" s="69">
        <f t="shared" ca="1" si="72"/>
        <v>1188.9208468264021</v>
      </c>
      <c r="I108" s="69">
        <f t="shared" ca="1" si="73"/>
        <v>1044.4494178445921</v>
      </c>
      <c r="J108" s="69">
        <f t="shared" ca="1" si="74"/>
        <v>1149.4775663229432</v>
      </c>
      <c r="K108" s="69">
        <f t="shared" ca="1" si="75"/>
        <v>1178.3982659184037</v>
      </c>
      <c r="L108" s="69">
        <f t="shared" ca="1" si="76"/>
        <v>956.25095282885093</v>
      </c>
      <c r="M108" s="69">
        <f t="shared" ca="1" si="77"/>
        <v>984.26082175369652</v>
      </c>
      <c r="N108" s="69">
        <f t="shared" ca="1" si="78"/>
        <v>574.72307440884674</v>
      </c>
      <c r="O108" s="69">
        <f t="shared" ca="1" si="79"/>
        <v>629.5410453025936</v>
      </c>
      <c r="P108" s="69">
        <f t="shared" ca="1" si="80"/>
        <v>722.5420937932879</v>
      </c>
      <c r="Q108" s="69">
        <f t="shared" ca="1" si="81"/>
        <v>952.70228073202668</v>
      </c>
      <c r="R108" s="69">
        <f t="shared" ca="1" si="82"/>
        <v>783.52715707763707</v>
      </c>
      <c r="S108" s="69">
        <f t="shared" ca="1" si="83"/>
        <v>700.43671341160405</v>
      </c>
      <c r="T108" s="69">
        <f t="shared" ca="1" si="84"/>
        <v>803.55633880536107</v>
      </c>
      <c r="U108" s="69">
        <f t="shared" ca="1" si="85"/>
        <v>1696.7625563304414</v>
      </c>
      <c r="V108" s="69">
        <f t="shared" ca="1" si="86"/>
        <v>1913.0016802113075</v>
      </c>
      <c r="W108" s="69">
        <f t="shared" ca="1" si="87"/>
        <v>1178.0314509107907</v>
      </c>
      <c r="X108" s="69">
        <f t="shared" ca="1" si="88"/>
        <v>1488.9079933017254</v>
      </c>
      <c r="Y108" s="69">
        <f t="shared" ca="1" si="89"/>
        <v>1209.9905785571079</v>
      </c>
      <c r="AA108" s="20">
        <f t="shared" ca="1" si="49"/>
        <v>6.5669145379661088E+16</v>
      </c>
      <c r="AB108" s="20">
        <f t="shared" ca="1" si="50"/>
        <v>1683929732608421</v>
      </c>
      <c r="AC108" s="20">
        <f t="shared" ca="1" si="51"/>
        <v>401288633773156.19</v>
      </c>
      <c r="AD108" s="20">
        <f t="shared" ca="1" si="52"/>
        <v>303570555122231.13</v>
      </c>
      <c r="AE108" s="20">
        <f t="shared" ca="1" si="53"/>
        <v>6888793378006558</v>
      </c>
      <c r="AG108" s="16">
        <f t="shared" ca="1" si="54"/>
        <v>-1.0034266264208318E-4</v>
      </c>
      <c r="AH108" s="16">
        <f t="shared" ca="1" si="55"/>
        <v>-2.3437981458949609E-4</v>
      </c>
      <c r="AI108" s="16">
        <f t="shared" ca="1" si="56"/>
        <v>3.1162103560547971E-4</v>
      </c>
      <c r="AJ108" s="16">
        <f t="shared" ca="1" si="57"/>
        <v>-6.6049754830891099E-4</v>
      </c>
      <c r="AK108" s="16">
        <f t="shared" ca="1" si="58"/>
        <v>-2.7366655109100019E-4</v>
      </c>
      <c r="AM108" s="16">
        <f t="shared" ca="1" si="59"/>
        <v>-6.8359898993501059E-4</v>
      </c>
      <c r="AO108" s="16">
        <f t="shared" ca="1" si="60"/>
        <v>-1.0034266264208318E-4</v>
      </c>
      <c r="AP108" s="16">
        <f t="shared" ca="1" si="61"/>
        <v>-2.3437981458949609E-4</v>
      </c>
      <c r="AQ108" s="16">
        <f t="shared" ca="1" si="62"/>
        <v>0</v>
      </c>
      <c r="AR108" s="16">
        <f t="shared" ca="1" si="63"/>
        <v>-6.6049754830891099E-4</v>
      </c>
      <c r="AS108" s="16">
        <f t="shared" ca="1" si="64"/>
        <v>-2.7366655109100019E-4</v>
      </c>
    </row>
    <row r="109" spans="1:45" x14ac:dyDescent="0.25">
      <c r="A109" s="69">
        <f t="shared" ca="1" si="65"/>
        <v>2450.9551210076343</v>
      </c>
      <c r="B109" s="69">
        <f t="shared" ca="1" si="66"/>
        <v>2135.0027254525621</v>
      </c>
      <c r="C109" s="69">
        <f t="shared" ca="1" si="67"/>
        <v>2233.0584710913645</v>
      </c>
      <c r="D109" s="69">
        <f t="shared" ca="1" si="68"/>
        <v>2907.7717414641952</v>
      </c>
      <c r="E109" s="69">
        <f t="shared" ca="1" si="69"/>
        <v>1932.5181736760101</v>
      </c>
      <c r="F109" s="69">
        <f t="shared" ca="1" si="70"/>
        <v>1223.4405835401574</v>
      </c>
      <c r="G109" s="69">
        <f t="shared" ca="1" si="71"/>
        <v>964.10481515233334</v>
      </c>
      <c r="H109" s="69">
        <f t="shared" ca="1" si="72"/>
        <v>1189.2773579027075</v>
      </c>
      <c r="I109" s="69">
        <f t="shared" ca="1" si="73"/>
        <v>1044.0742630326033</v>
      </c>
      <c r="J109" s="69">
        <f t="shared" ca="1" si="74"/>
        <v>1149.4775663229432</v>
      </c>
      <c r="K109" s="69">
        <f t="shared" ca="1" si="75"/>
        <v>1178.3938938604435</v>
      </c>
      <c r="L109" s="69">
        <f t="shared" ca="1" si="76"/>
        <v>955.96289417708624</v>
      </c>
      <c r="M109" s="69">
        <f t="shared" ca="1" si="77"/>
        <v>984.26082175369652</v>
      </c>
      <c r="N109" s="69">
        <f t="shared" ca="1" si="78"/>
        <v>574.72307440884674</v>
      </c>
      <c r="O109" s="69">
        <f t="shared" ca="1" si="79"/>
        <v>629.92934889163507</v>
      </c>
      <c r="P109" s="69">
        <f t="shared" ca="1" si="80"/>
        <v>722.20864002723283</v>
      </c>
      <c r="Q109" s="69">
        <f t="shared" ca="1" si="81"/>
        <v>952.51281641937283</v>
      </c>
      <c r="R109" s="69">
        <f t="shared" ca="1" si="82"/>
        <v>783.52715707763707</v>
      </c>
      <c r="S109" s="69">
        <f t="shared" ca="1" si="83"/>
        <v>700.43671341160405</v>
      </c>
      <c r="T109" s="69">
        <f t="shared" ca="1" si="84"/>
        <v>803.55633880536107</v>
      </c>
      <c r="U109" s="69">
        <f t="shared" ca="1" si="85"/>
        <v>1696.5173089262946</v>
      </c>
      <c r="V109" s="69">
        <f t="shared" ca="1" si="86"/>
        <v>1913.0016802113075</v>
      </c>
      <c r="W109" s="69">
        <f t="shared" ca="1" si="87"/>
        <v>1177.879356054425</v>
      </c>
      <c r="X109" s="69">
        <f t="shared" ca="1" si="88"/>
        <v>1488.9079933017254</v>
      </c>
      <c r="Y109" s="69">
        <f t="shared" ca="1" si="89"/>
        <v>1209.9905785571079</v>
      </c>
      <c r="AA109" s="20">
        <f t="shared" ca="1" si="49"/>
        <v>6.5662556293349024E+16</v>
      </c>
      <c r="AB109" s="20">
        <f t="shared" ca="1" si="50"/>
        <v>1683535099718708.8</v>
      </c>
      <c r="AC109" s="20">
        <f t="shared" ca="1" si="51"/>
        <v>401413703238915.38</v>
      </c>
      <c r="AD109" s="20">
        <f t="shared" ca="1" si="52"/>
        <v>303370113717649.25</v>
      </c>
      <c r="AE109" s="20">
        <f t="shared" ca="1" si="53"/>
        <v>6886908403620604</v>
      </c>
      <c r="AG109" s="16">
        <f t="shared" ca="1" si="54"/>
        <v>-9.4269146245976187E-5</v>
      </c>
      <c r="AH109" s="16">
        <f t="shared" ca="1" si="55"/>
        <v>-6.6230532648905809E-4</v>
      </c>
      <c r="AI109" s="16">
        <f t="shared" ca="1" si="56"/>
        <v>-4.0984889160977162E-4</v>
      </c>
      <c r="AJ109" s="16">
        <f t="shared" ca="1" si="57"/>
        <v>5.2011299364764494E-4</v>
      </c>
      <c r="AK109" s="16">
        <f t="shared" ca="1" si="58"/>
        <v>-2.8107609975203883E-4</v>
      </c>
      <c r="AM109" s="16">
        <f t="shared" ca="1" si="59"/>
        <v>-6.4631037069716088E-4</v>
      </c>
      <c r="AO109" s="16">
        <f t="shared" ca="1" si="60"/>
        <v>-9.4269146245976187E-5</v>
      </c>
      <c r="AP109" s="16">
        <f t="shared" ca="1" si="61"/>
        <v>-6.6230532648905809E-4</v>
      </c>
      <c r="AQ109" s="16">
        <f t="shared" ca="1" si="62"/>
        <v>-4.0984889160977162E-4</v>
      </c>
      <c r="AR109" s="16">
        <f t="shared" ca="1" si="63"/>
        <v>0</v>
      </c>
      <c r="AS109" s="16">
        <f t="shared" ca="1" si="64"/>
        <v>-2.8107609975203883E-4</v>
      </c>
    </row>
    <row r="110" spans="1:45" x14ac:dyDescent="0.25">
      <c r="A110" s="69">
        <f t="shared" ca="1" si="65"/>
        <v>2450.9551210076343</v>
      </c>
      <c r="B110" s="69">
        <f t="shared" ca="1" si="66"/>
        <v>2135.1889110229713</v>
      </c>
      <c r="C110" s="69">
        <f t="shared" ca="1" si="67"/>
        <v>2233.0584710913645</v>
      </c>
      <c r="D110" s="69">
        <f t="shared" ca="1" si="68"/>
        <v>2907.4180994969715</v>
      </c>
      <c r="E110" s="69">
        <f t="shared" ca="1" si="69"/>
        <v>1932.4025263279518</v>
      </c>
      <c r="F110" s="69">
        <f t="shared" ca="1" si="70"/>
        <v>1223.4342468405271</v>
      </c>
      <c r="G110" s="69">
        <f t="shared" ca="1" si="71"/>
        <v>963.88374481580536</v>
      </c>
      <c r="H110" s="69">
        <f t="shared" ca="1" si="72"/>
        <v>1189.1390193546383</v>
      </c>
      <c r="I110" s="69">
        <f t="shared" ca="1" si="73"/>
        <v>1043.718138004471</v>
      </c>
      <c r="J110" s="69">
        <f t="shared" ca="1" si="74"/>
        <v>1149.5116829405583</v>
      </c>
      <c r="K110" s="69">
        <f t="shared" ca="1" si="75"/>
        <v>1178.3938938604435</v>
      </c>
      <c r="L110" s="69">
        <f t="shared" ca="1" si="76"/>
        <v>955.96289417708624</v>
      </c>
      <c r="M110" s="69">
        <f t="shared" ca="1" si="77"/>
        <v>984.10126213257865</v>
      </c>
      <c r="N110" s="69">
        <f t="shared" ca="1" si="78"/>
        <v>574.54792860972077</v>
      </c>
      <c r="O110" s="69">
        <f t="shared" ca="1" si="79"/>
        <v>629.96529996736206</v>
      </c>
      <c r="P110" s="69">
        <f t="shared" ca="1" si="80"/>
        <v>722.20864002723283</v>
      </c>
      <c r="Q110" s="69">
        <f t="shared" ca="1" si="81"/>
        <v>952.51281641937283</v>
      </c>
      <c r="R110" s="69">
        <f t="shared" ca="1" si="82"/>
        <v>783.98091680851542</v>
      </c>
      <c r="S110" s="69">
        <f t="shared" ca="1" si="83"/>
        <v>700.39549824910557</v>
      </c>
      <c r="T110" s="69">
        <f t="shared" ca="1" si="84"/>
        <v>803.55633880536107</v>
      </c>
      <c r="U110" s="69">
        <f t="shared" ca="1" si="85"/>
        <v>1696.3634940279615</v>
      </c>
      <c r="V110" s="69">
        <f t="shared" ca="1" si="86"/>
        <v>1913.0016802113075</v>
      </c>
      <c r="W110" s="69">
        <f t="shared" ca="1" si="87"/>
        <v>1178.0066067579939</v>
      </c>
      <c r="X110" s="69">
        <f t="shared" ca="1" si="88"/>
        <v>1488.9079933017254</v>
      </c>
      <c r="Y110" s="69">
        <f t="shared" ca="1" si="89"/>
        <v>1209.6295291447457</v>
      </c>
      <c r="AA110" s="20">
        <f t="shared" ca="1" si="49"/>
        <v>6.5656366631978552E+16</v>
      </c>
      <c r="AB110" s="20">
        <f t="shared" ca="1" si="50"/>
        <v>1682420454613273.8</v>
      </c>
      <c r="AC110" s="20">
        <f t="shared" ca="1" si="51"/>
        <v>401249217986917.5</v>
      </c>
      <c r="AD110" s="20">
        <f t="shared" ca="1" si="52"/>
        <v>303527941496259.44</v>
      </c>
      <c r="AE110" s="20">
        <f t="shared" ca="1" si="53"/>
        <v>6884972930287555</v>
      </c>
      <c r="AG110" s="16">
        <f t="shared" ca="1" si="54"/>
        <v>-1.1705893216831762E-4</v>
      </c>
      <c r="AH110" s="16">
        <f t="shared" ca="1" si="55"/>
        <v>2.488275017691389E-4</v>
      </c>
      <c r="AI110" s="16">
        <f t="shared" ca="1" si="56"/>
        <v>-7.2982687726694706E-4</v>
      </c>
      <c r="AJ110" s="16">
        <f t="shared" ca="1" si="57"/>
        <v>7.2870694947811069E-4</v>
      </c>
      <c r="AK110" s="16">
        <f t="shared" ca="1" si="58"/>
        <v>-2.0163865692617697E-4</v>
      </c>
      <c r="AM110" s="16">
        <f t="shared" ca="1" si="59"/>
        <v>1.3064864181198488E-4</v>
      </c>
      <c r="AO110" s="16">
        <f t="shared" ca="1" si="60"/>
        <v>-1.1705893216831762E-4</v>
      </c>
      <c r="AP110" s="16">
        <f t="shared" ca="1" si="61"/>
        <v>0</v>
      </c>
      <c r="AQ110" s="16">
        <f t="shared" ca="1" si="62"/>
        <v>-7.2982687726694706E-4</v>
      </c>
      <c r="AR110" s="16">
        <f t="shared" ca="1" si="63"/>
        <v>0</v>
      </c>
      <c r="AS110" s="16">
        <f t="shared" ca="1" si="64"/>
        <v>-2.0163865692617697E-4</v>
      </c>
    </row>
    <row r="111" spans="1:45" x14ac:dyDescent="0.25">
      <c r="A111" s="69">
        <f t="shared" ca="1" si="65"/>
        <v>2450.9551210076343</v>
      </c>
      <c r="B111" s="69">
        <f t="shared" ca="1" si="66"/>
        <v>2134.9389827175251</v>
      </c>
      <c r="C111" s="69">
        <f t="shared" ca="1" si="67"/>
        <v>2233.0584710913645</v>
      </c>
      <c r="D111" s="69">
        <f t="shared" ca="1" si="68"/>
        <v>2907.4180994969715</v>
      </c>
      <c r="E111" s="69">
        <f t="shared" ca="1" si="69"/>
        <v>1932.4025263279518</v>
      </c>
      <c r="F111" s="69">
        <f t="shared" ca="1" si="70"/>
        <v>1223.7615309885557</v>
      </c>
      <c r="G111" s="69">
        <f t="shared" ca="1" si="71"/>
        <v>963.65101687875529</v>
      </c>
      <c r="H111" s="69">
        <f t="shared" ca="1" si="72"/>
        <v>1189.1390193546383</v>
      </c>
      <c r="I111" s="69">
        <f t="shared" ca="1" si="73"/>
        <v>1043.718138004471</v>
      </c>
      <c r="J111" s="69">
        <f t="shared" ca="1" si="74"/>
        <v>1149.7678547678747</v>
      </c>
      <c r="K111" s="69">
        <f t="shared" ca="1" si="75"/>
        <v>1178.1853473949345</v>
      </c>
      <c r="L111" s="69">
        <f t="shared" ca="1" si="76"/>
        <v>956.13097945855816</v>
      </c>
      <c r="M111" s="69">
        <f t="shared" ca="1" si="77"/>
        <v>984.0532144339503</v>
      </c>
      <c r="N111" s="69">
        <f t="shared" ca="1" si="78"/>
        <v>574.25683671908791</v>
      </c>
      <c r="O111" s="69">
        <f t="shared" ca="1" si="79"/>
        <v>629.85629376615395</v>
      </c>
      <c r="P111" s="69">
        <f t="shared" ca="1" si="80"/>
        <v>722.2907346640385</v>
      </c>
      <c r="Q111" s="69">
        <f t="shared" ca="1" si="81"/>
        <v>952.83976141042342</v>
      </c>
      <c r="R111" s="69">
        <f t="shared" ca="1" si="82"/>
        <v>783.98091680851542</v>
      </c>
      <c r="S111" s="69">
        <f t="shared" ca="1" si="83"/>
        <v>700.58593081931326</v>
      </c>
      <c r="T111" s="69">
        <f t="shared" ca="1" si="84"/>
        <v>803.55633880536107</v>
      </c>
      <c r="U111" s="69">
        <f t="shared" ca="1" si="85"/>
        <v>1696.7493192024635</v>
      </c>
      <c r="V111" s="69">
        <f t="shared" ca="1" si="86"/>
        <v>1912.6542090443315</v>
      </c>
      <c r="W111" s="69">
        <f t="shared" ca="1" si="87"/>
        <v>1177.7152013971001</v>
      </c>
      <c r="X111" s="69">
        <f t="shared" ca="1" si="88"/>
        <v>1488.9079933017254</v>
      </c>
      <c r="Y111" s="69">
        <f t="shared" ca="1" si="89"/>
        <v>1209.6295291447457</v>
      </c>
      <c r="AA111" s="20">
        <f t="shared" ca="1" si="49"/>
        <v>6.5648681417630832E+16</v>
      </c>
      <c r="AB111" s="20">
        <f t="shared" ca="1" si="50"/>
        <v>1682839139179877.5</v>
      </c>
      <c r="AC111" s="20">
        <f t="shared" ca="1" si="51"/>
        <v>400956482359306.5</v>
      </c>
      <c r="AD111" s="20">
        <f t="shared" ca="1" si="52"/>
        <v>303749205024932.88</v>
      </c>
      <c r="AE111" s="20">
        <f t="shared" ca="1" si="53"/>
        <v>6883584793548636</v>
      </c>
      <c r="AG111" s="16">
        <f t="shared" ca="1" si="54"/>
        <v>-3.1604603209538159E-4</v>
      </c>
      <c r="AH111" s="16">
        <f t="shared" ca="1" si="55"/>
        <v>2.4856109941117803E-4</v>
      </c>
      <c r="AI111" s="16">
        <f t="shared" ca="1" si="56"/>
        <v>-1.3418002604796188E-5</v>
      </c>
      <c r="AJ111" s="16">
        <f t="shared" ca="1" si="57"/>
        <v>5.1068653857100214E-4</v>
      </c>
      <c r="AK111" s="16">
        <f t="shared" ca="1" si="58"/>
        <v>-3.5280320261109647E-4</v>
      </c>
      <c r="AM111" s="16">
        <f t="shared" ca="1" si="59"/>
        <v>4.2978360328200236E-4</v>
      </c>
      <c r="AO111" s="16">
        <f t="shared" ca="1" si="60"/>
        <v>-3.1604603209538159E-4</v>
      </c>
      <c r="AP111" s="16">
        <f t="shared" ca="1" si="61"/>
        <v>0</v>
      </c>
      <c r="AQ111" s="16">
        <f t="shared" ca="1" si="62"/>
        <v>-1.3418002604796188E-5</v>
      </c>
      <c r="AR111" s="16">
        <f t="shared" ca="1" si="63"/>
        <v>0</v>
      </c>
      <c r="AS111" s="16">
        <f t="shared" ca="1" si="64"/>
        <v>-3.5280320261109647E-4</v>
      </c>
    </row>
    <row r="112" spans="1:45" x14ac:dyDescent="0.25">
      <c r="A112" s="69">
        <f t="shared" ca="1" si="65"/>
        <v>2450.6345648055362</v>
      </c>
      <c r="B112" s="69">
        <f t="shared" ca="1" si="66"/>
        <v>2135.3959192247826</v>
      </c>
      <c r="C112" s="69">
        <f t="shared" ca="1" si="67"/>
        <v>2232.8278745255138</v>
      </c>
      <c r="D112" s="69">
        <f t="shared" ca="1" si="68"/>
        <v>2907.2427115510332</v>
      </c>
      <c r="E112" s="69">
        <f t="shared" ca="1" si="69"/>
        <v>1931.9471941569495</v>
      </c>
      <c r="F112" s="69">
        <f t="shared" ca="1" si="70"/>
        <v>1223.9816747067323</v>
      </c>
      <c r="G112" s="69">
        <f t="shared" ca="1" si="71"/>
        <v>964.03045957059669</v>
      </c>
      <c r="H112" s="69">
        <f t="shared" ca="1" si="72"/>
        <v>1188.7526220200709</v>
      </c>
      <c r="I112" s="69">
        <f t="shared" ca="1" si="73"/>
        <v>1043.718138004471</v>
      </c>
      <c r="J112" s="69">
        <f t="shared" ca="1" si="74"/>
        <v>1149.7678547678747</v>
      </c>
      <c r="K112" s="69">
        <f t="shared" ca="1" si="75"/>
        <v>1178.0034910245413</v>
      </c>
      <c r="L112" s="69">
        <f t="shared" ca="1" si="76"/>
        <v>956.13097945855816</v>
      </c>
      <c r="M112" s="69">
        <f t="shared" ca="1" si="77"/>
        <v>984.18166045380951</v>
      </c>
      <c r="N112" s="69">
        <f t="shared" ca="1" si="78"/>
        <v>574.03765087098554</v>
      </c>
      <c r="O112" s="69">
        <f t="shared" ca="1" si="79"/>
        <v>630.10336354014169</v>
      </c>
      <c r="P112" s="69">
        <f t="shared" ca="1" si="80"/>
        <v>722.2907346640385</v>
      </c>
      <c r="Q112" s="69">
        <f t="shared" ca="1" si="81"/>
        <v>953.00895025016541</v>
      </c>
      <c r="R112" s="69">
        <f t="shared" ca="1" si="82"/>
        <v>783.98091680851542</v>
      </c>
      <c r="S112" s="69">
        <f t="shared" ca="1" si="83"/>
        <v>700.81936258856661</v>
      </c>
      <c r="T112" s="69">
        <f t="shared" ca="1" si="84"/>
        <v>803.55633880536107</v>
      </c>
      <c r="U112" s="69">
        <f t="shared" ca="1" si="85"/>
        <v>1696.7493192024635</v>
      </c>
      <c r="V112" s="69">
        <f t="shared" ca="1" si="86"/>
        <v>1912.5802859444316</v>
      </c>
      <c r="W112" s="69">
        <f t="shared" ca="1" si="87"/>
        <v>1177.4418783686381</v>
      </c>
      <c r="X112" s="69">
        <f t="shared" ca="1" si="88"/>
        <v>1488.5194174130729</v>
      </c>
      <c r="Y112" s="69">
        <f t="shared" ca="1" si="89"/>
        <v>1209.8460329327536</v>
      </c>
      <c r="AA112" s="20">
        <f t="shared" ca="1" si="49"/>
        <v>6.5627936690673488E+16</v>
      </c>
      <c r="AB112" s="20">
        <f t="shared" ca="1" si="50"/>
        <v>1683257479515857.3</v>
      </c>
      <c r="AC112" s="20">
        <f t="shared" ca="1" si="51"/>
        <v>400951102360276.31</v>
      </c>
      <c r="AD112" s="20">
        <f t="shared" ca="1" si="52"/>
        <v>303904365270793.06</v>
      </c>
      <c r="AE112" s="20">
        <f t="shared" ca="1" si="53"/>
        <v>6881156671137894</v>
      </c>
      <c r="AG112" s="16">
        <f t="shared" ca="1" si="54"/>
        <v>8.1278938688520878E-5</v>
      </c>
      <c r="AH112" s="16">
        <f t="shared" ca="1" si="55"/>
        <v>-2.0152471366686293E-4</v>
      </c>
      <c r="AI112" s="16">
        <f t="shared" ca="1" si="56"/>
        <v>-3.790678038842456E-4</v>
      </c>
      <c r="AJ112" s="16">
        <f t="shared" ca="1" si="57"/>
        <v>9.3367948635312539E-4</v>
      </c>
      <c r="AK112" s="16">
        <f t="shared" ca="1" si="58"/>
        <v>4.6720137418645427E-4</v>
      </c>
      <c r="AM112" s="16">
        <f t="shared" ca="1" si="59"/>
        <v>4.3436590749053772E-4</v>
      </c>
      <c r="AO112" s="16">
        <f t="shared" ca="1" si="60"/>
        <v>0</v>
      </c>
      <c r="AP112" s="16">
        <f t="shared" ca="1" si="61"/>
        <v>-2.0152471366686293E-4</v>
      </c>
      <c r="AQ112" s="16">
        <f t="shared" ca="1" si="62"/>
        <v>-3.790678038842456E-4</v>
      </c>
      <c r="AR112" s="16">
        <f t="shared" ca="1" si="63"/>
        <v>0</v>
      </c>
      <c r="AS112" s="16">
        <f t="shared" ca="1" si="64"/>
        <v>0</v>
      </c>
    </row>
    <row r="113" spans="1:45" x14ac:dyDescent="0.25">
      <c r="A113" s="69">
        <f t="shared" ca="1" si="65"/>
        <v>2450.6345648055362</v>
      </c>
      <c r="B113" s="69">
        <f t="shared" ca="1" si="66"/>
        <v>2135.4475005649888</v>
      </c>
      <c r="C113" s="69">
        <f t="shared" ca="1" si="67"/>
        <v>2232.8278745255138</v>
      </c>
      <c r="D113" s="69">
        <f t="shared" ca="1" si="68"/>
        <v>2907.4442476953441</v>
      </c>
      <c r="E113" s="69">
        <f t="shared" ca="1" si="69"/>
        <v>1931.9236325489787</v>
      </c>
      <c r="F113" s="69">
        <f t="shared" ca="1" si="70"/>
        <v>1223.9816747067323</v>
      </c>
      <c r="G113" s="69">
        <f t="shared" ca="1" si="71"/>
        <v>963.99628996998479</v>
      </c>
      <c r="H113" s="69">
        <f t="shared" ca="1" si="72"/>
        <v>1188.7526220200709</v>
      </c>
      <c r="I113" s="69">
        <f t="shared" ca="1" si="73"/>
        <v>1043.5448121469651</v>
      </c>
      <c r="J113" s="69">
        <f t="shared" ca="1" si="74"/>
        <v>1149.7678547678747</v>
      </c>
      <c r="K113" s="69">
        <f t="shared" ca="1" si="75"/>
        <v>1178.0034910245413</v>
      </c>
      <c r="L113" s="69">
        <f t="shared" ca="1" si="76"/>
        <v>956.00169253256558</v>
      </c>
      <c r="M113" s="69">
        <f t="shared" ca="1" si="77"/>
        <v>984.18166045380951</v>
      </c>
      <c r="N113" s="69">
        <f t="shared" ca="1" si="78"/>
        <v>573.89769469953035</v>
      </c>
      <c r="O113" s="69">
        <f t="shared" ca="1" si="79"/>
        <v>630.10336354014169</v>
      </c>
      <c r="P113" s="69">
        <f t="shared" ca="1" si="80"/>
        <v>722.49854185954462</v>
      </c>
      <c r="Q113" s="69">
        <f t="shared" ca="1" si="81"/>
        <v>953.05745149039774</v>
      </c>
      <c r="R113" s="69">
        <f t="shared" ca="1" si="82"/>
        <v>783.98091680851542</v>
      </c>
      <c r="S113" s="69">
        <f t="shared" ca="1" si="83"/>
        <v>701.23656090950453</v>
      </c>
      <c r="T113" s="69">
        <f t="shared" ca="1" si="84"/>
        <v>803.55633880536107</v>
      </c>
      <c r="U113" s="69">
        <f t="shared" ca="1" si="85"/>
        <v>1696.4310006493854</v>
      </c>
      <c r="V113" s="69">
        <f t="shared" ca="1" si="86"/>
        <v>1912.5802859444316</v>
      </c>
      <c r="W113" s="69">
        <f t="shared" ca="1" si="87"/>
        <v>1177.7871756560069</v>
      </c>
      <c r="X113" s="69">
        <f t="shared" ca="1" si="88"/>
        <v>1488.5194174130729</v>
      </c>
      <c r="Y113" s="69">
        <f t="shared" ca="1" si="89"/>
        <v>1210.2836000213106</v>
      </c>
      <c r="AA113" s="20">
        <f t="shared" ca="1" si="49"/>
        <v>6.5633271076499696E+16</v>
      </c>
      <c r="AB113" s="20">
        <f t="shared" ca="1" si="50"/>
        <v>1682918295712377.5</v>
      </c>
      <c r="AC113" s="20">
        <f t="shared" ca="1" si="51"/>
        <v>400799143509613.13</v>
      </c>
      <c r="AD113" s="20">
        <f t="shared" ca="1" si="52"/>
        <v>304188247049133.06</v>
      </c>
      <c r="AE113" s="20">
        <f t="shared" ca="1" si="53"/>
        <v>6884372308107155</v>
      </c>
      <c r="AG113" s="16">
        <f t="shared" ca="1" si="54"/>
        <v>1.9327102042902678E-4</v>
      </c>
      <c r="AH113" s="16">
        <f t="shared" ca="1" si="55"/>
        <v>1.0034393165760077E-3</v>
      </c>
      <c r="AI113" s="16">
        <f t="shared" ca="1" si="56"/>
        <v>1.7156151448954028E-4</v>
      </c>
      <c r="AJ113" s="16">
        <f t="shared" ca="1" si="57"/>
        <v>-1.0927855126734347E-3</v>
      </c>
      <c r="AK113" s="16">
        <f t="shared" ca="1" si="58"/>
        <v>-6.3659273774207561E-4</v>
      </c>
      <c r="AM113" s="16">
        <f t="shared" ca="1" si="59"/>
        <v>2.7548633882114011E-4</v>
      </c>
      <c r="AO113" s="16">
        <f t="shared" ca="1" si="60"/>
        <v>0</v>
      </c>
      <c r="AP113" s="16">
        <f t="shared" ca="1" si="61"/>
        <v>0</v>
      </c>
      <c r="AQ113" s="16">
        <f t="shared" ca="1" si="62"/>
        <v>0</v>
      </c>
      <c r="AR113" s="16">
        <f t="shared" ca="1" si="63"/>
        <v>-1.0927855126734347E-3</v>
      </c>
      <c r="AS113" s="16">
        <f t="shared" ca="1" si="64"/>
        <v>-6.3659273774207561E-4</v>
      </c>
    </row>
    <row r="114" spans="1:45" x14ac:dyDescent="0.25">
      <c r="A114" s="69">
        <f t="shared" ca="1" si="65"/>
        <v>2450.5366341067456</v>
      </c>
      <c r="B114" s="69">
        <f t="shared" ca="1" si="66"/>
        <v>2135.683117226054</v>
      </c>
      <c r="C114" s="69">
        <f t="shared" ca="1" si="67"/>
        <v>2232.8961825868132</v>
      </c>
      <c r="D114" s="69">
        <f t="shared" ca="1" si="68"/>
        <v>2907.7126496020724</v>
      </c>
      <c r="E114" s="69">
        <f t="shared" ca="1" si="69"/>
        <v>1931.9236325489787</v>
      </c>
      <c r="F114" s="69">
        <f t="shared" ca="1" si="70"/>
        <v>1224.4531037876143</v>
      </c>
      <c r="G114" s="69">
        <f t="shared" ca="1" si="71"/>
        <v>963.99628996998479</v>
      </c>
      <c r="H114" s="69">
        <f t="shared" ca="1" si="72"/>
        <v>1188.7526220200709</v>
      </c>
      <c r="I114" s="69">
        <f t="shared" ca="1" si="73"/>
        <v>1043.8040409286559</v>
      </c>
      <c r="J114" s="69">
        <f t="shared" ca="1" si="74"/>
        <v>1150.1933157680364</v>
      </c>
      <c r="K114" s="69">
        <f t="shared" ca="1" si="75"/>
        <v>1178.0034910245413</v>
      </c>
      <c r="L114" s="69">
        <f t="shared" ca="1" si="76"/>
        <v>955.9211896773536</v>
      </c>
      <c r="M114" s="69">
        <f t="shared" ca="1" si="77"/>
        <v>983.86370216354806</v>
      </c>
      <c r="N114" s="69">
        <f t="shared" ca="1" si="78"/>
        <v>573.89769469953035</v>
      </c>
      <c r="O114" s="69">
        <f t="shared" ca="1" si="79"/>
        <v>630.46823208139301</v>
      </c>
      <c r="P114" s="69">
        <f t="shared" ca="1" si="80"/>
        <v>721.99969837698029</v>
      </c>
      <c r="Q114" s="69">
        <f t="shared" ca="1" si="81"/>
        <v>953.05745149039774</v>
      </c>
      <c r="R114" s="69">
        <f t="shared" ca="1" si="82"/>
        <v>783.80754852871667</v>
      </c>
      <c r="S114" s="69">
        <f t="shared" ca="1" si="83"/>
        <v>701.47590045882851</v>
      </c>
      <c r="T114" s="69">
        <f t="shared" ca="1" si="84"/>
        <v>803.13683566268276</v>
      </c>
      <c r="U114" s="69">
        <f t="shared" ca="1" si="85"/>
        <v>1696.4310006493854</v>
      </c>
      <c r="V114" s="69">
        <f t="shared" ca="1" si="86"/>
        <v>1912.6257757266078</v>
      </c>
      <c r="W114" s="69">
        <f t="shared" ca="1" si="87"/>
        <v>1177.3316437604758</v>
      </c>
      <c r="X114" s="69">
        <f t="shared" ca="1" si="88"/>
        <v>1488.112314103965</v>
      </c>
      <c r="Y114" s="69">
        <f t="shared" ca="1" si="89"/>
        <v>1210.2836000213106</v>
      </c>
      <c r="AA114" s="20">
        <f t="shared" ca="1" si="49"/>
        <v>6.5645957311676072E+16</v>
      </c>
      <c r="AB114" s="20">
        <f t="shared" ca="1" si="50"/>
        <v>1684607849637532</v>
      </c>
      <c r="AC114" s="20">
        <f t="shared" ca="1" si="51"/>
        <v>400867911116448.44</v>
      </c>
      <c r="AD114" s="20">
        <f t="shared" ca="1" si="52"/>
        <v>303856016101277.56</v>
      </c>
      <c r="AE114" s="20">
        <f t="shared" ca="1" si="53"/>
        <v>6879991161342963</v>
      </c>
      <c r="AG114" s="16">
        <f t="shared" ca="1" si="54"/>
        <v>1.6913077703594048E-4</v>
      </c>
      <c r="AH114" s="16">
        <f t="shared" ca="1" si="55"/>
        <v>7.7660697872913007E-4</v>
      </c>
      <c r="AI114" s="16">
        <f t="shared" ca="1" si="56"/>
        <v>-9.9726678236929821E-5</v>
      </c>
      <c r="AJ114" s="16">
        <f t="shared" ca="1" si="57"/>
        <v>2.598581801767982E-4</v>
      </c>
      <c r="AK114" s="16">
        <f t="shared" ca="1" si="58"/>
        <v>2.0157969100566465E-4</v>
      </c>
      <c r="AM114" s="16">
        <f t="shared" ca="1" si="59"/>
        <v>1.105869257704939E-3</v>
      </c>
      <c r="AO114" s="16">
        <f t="shared" ca="1" si="60"/>
        <v>0</v>
      </c>
      <c r="AP114" s="16">
        <f t="shared" ca="1" si="61"/>
        <v>0</v>
      </c>
      <c r="AQ114" s="16">
        <f t="shared" ca="1" si="62"/>
        <v>-9.9726678236929821E-5</v>
      </c>
      <c r="AR114" s="16">
        <f t="shared" ca="1" si="63"/>
        <v>0</v>
      </c>
      <c r="AS114" s="16">
        <f t="shared" ca="1" si="64"/>
        <v>0</v>
      </c>
    </row>
    <row r="115" spans="1:45" x14ac:dyDescent="0.25">
      <c r="A115" s="69">
        <f t="shared" ca="1" si="65"/>
        <v>2450.5366341067456</v>
      </c>
      <c r="B115" s="69">
        <f t="shared" ca="1" si="66"/>
        <v>2135.404286182255</v>
      </c>
      <c r="C115" s="69">
        <f t="shared" ca="1" si="67"/>
        <v>2232.8961825868132</v>
      </c>
      <c r="D115" s="69">
        <f t="shared" ca="1" si="68"/>
        <v>2907.9851147595773</v>
      </c>
      <c r="E115" s="69">
        <f t="shared" ca="1" si="69"/>
        <v>1932.3216452602899</v>
      </c>
      <c r="F115" s="69">
        <f t="shared" ca="1" si="70"/>
        <v>1224.6848897317557</v>
      </c>
      <c r="G115" s="69">
        <f t="shared" ca="1" si="71"/>
        <v>963.99047611453921</v>
      </c>
      <c r="H115" s="69">
        <f t="shared" ca="1" si="72"/>
        <v>1189.0600163611875</v>
      </c>
      <c r="I115" s="69">
        <f t="shared" ca="1" si="73"/>
        <v>1043.8040409286559</v>
      </c>
      <c r="J115" s="69">
        <f t="shared" ca="1" si="74"/>
        <v>1150.5784720706849</v>
      </c>
      <c r="K115" s="69">
        <f t="shared" ca="1" si="75"/>
        <v>1178.3612036439831</v>
      </c>
      <c r="L115" s="69">
        <f t="shared" ca="1" si="76"/>
        <v>955.83335351144376</v>
      </c>
      <c r="M115" s="69">
        <f t="shared" ca="1" si="77"/>
        <v>983.93471809385869</v>
      </c>
      <c r="N115" s="69">
        <f t="shared" ca="1" si="78"/>
        <v>573.6775736578777</v>
      </c>
      <c r="O115" s="69">
        <f t="shared" ca="1" si="79"/>
        <v>630.46823208139301</v>
      </c>
      <c r="P115" s="69">
        <f t="shared" ca="1" si="80"/>
        <v>721.87667012708368</v>
      </c>
      <c r="Q115" s="69">
        <f t="shared" ca="1" si="81"/>
        <v>953.05745149039774</v>
      </c>
      <c r="R115" s="69">
        <f t="shared" ca="1" si="82"/>
        <v>784.14651797438739</v>
      </c>
      <c r="S115" s="69">
        <f t="shared" ca="1" si="83"/>
        <v>701.47590045882851</v>
      </c>
      <c r="T115" s="69">
        <f t="shared" ca="1" si="84"/>
        <v>803.13514935776527</v>
      </c>
      <c r="U115" s="69">
        <f t="shared" ca="1" si="85"/>
        <v>1695.9744580227411</v>
      </c>
      <c r="V115" s="69">
        <f t="shared" ca="1" si="86"/>
        <v>1912.9566214711222</v>
      </c>
      <c r="W115" s="69">
        <f t="shared" ca="1" si="87"/>
        <v>1177.3316437604758</v>
      </c>
      <c r="X115" s="69">
        <f t="shared" ca="1" si="88"/>
        <v>1488.5554960098498</v>
      </c>
      <c r="Y115" s="69">
        <f t="shared" ca="1" si="89"/>
        <v>1210.2836000213106</v>
      </c>
      <c r="AA115" s="20">
        <f t="shared" ca="1" si="49"/>
        <v>6.5657061002406912E+16</v>
      </c>
      <c r="AB115" s="20">
        <f t="shared" ca="1" si="50"/>
        <v>1685916635990510.8</v>
      </c>
      <c r="AC115" s="20">
        <f t="shared" ca="1" si="51"/>
        <v>400827935884592.69</v>
      </c>
      <c r="AD115" s="20">
        <f t="shared" ca="1" si="52"/>
        <v>303934985832678.38</v>
      </c>
      <c r="AE115" s="20">
        <f t="shared" ca="1" si="53"/>
        <v>6881378167626840</v>
      </c>
      <c r="AG115" s="16">
        <f t="shared" ca="1" si="54"/>
        <v>-2.8475656849357272E-5</v>
      </c>
      <c r="AH115" s="16">
        <f t="shared" ca="1" si="55"/>
        <v>-7.5279348859809685E-4</v>
      </c>
      <c r="AI115" s="16">
        <f t="shared" ca="1" si="56"/>
        <v>-1.2640129445311225E-3</v>
      </c>
      <c r="AJ115" s="16">
        <f t="shared" ca="1" si="57"/>
        <v>-7.5302697344131113E-4</v>
      </c>
      <c r="AK115" s="16">
        <f t="shared" ca="1" si="58"/>
        <v>-1.5020102921230327E-4</v>
      </c>
      <c r="AM115" s="16">
        <f t="shared" ca="1" si="59"/>
        <v>-2.7983090634198875E-3</v>
      </c>
      <c r="AO115" s="16">
        <f t="shared" ca="1" si="60"/>
        <v>-2.8475656849357272E-5</v>
      </c>
      <c r="AP115" s="16">
        <f t="shared" ca="1" si="61"/>
        <v>-7.5279348859809685E-4</v>
      </c>
      <c r="AQ115" s="16">
        <f t="shared" ca="1" si="62"/>
        <v>-1.2640129445311225E-3</v>
      </c>
      <c r="AR115" s="16">
        <f t="shared" ca="1" si="63"/>
        <v>-7.5302697344131113E-4</v>
      </c>
      <c r="AS115" s="16">
        <f t="shared" ca="1" si="64"/>
        <v>-1.5020102921230327E-4</v>
      </c>
    </row>
    <row r="116" spans="1:45" x14ac:dyDescent="0.25">
      <c r="A116" s="69">
        <f t="shared" ca="1" si="65"/>
        <v>2450.5366341067456</v>
      </c>
      <c r="B116" s="69">
        <f t="shared" ca="1" si="66"/>
        <v>2135.404286182255</v>
      </c>
      <c r="C116" s="69">
        <f t="shared" ca="1" si="67"/>
        <v>2233.0991856007936</v>
      </c>
      <c r="D116" s="69">
        <f t="shared" ca="1" si="68"/>
        <v>2908.3472647163981</v>
      </c>
      <c r="E116" s="69">
        <f t="shared" ca="1" si="69"/>
        <v>1931.8503808430514</v>
      </c>
      <c r="F116" s="69">
        <f t="shared" ca="1" si="70"/>
        <v>1224.3895317660219</v>
      </c>
      <c r="G116" s="69">
        <f t="shared" ca="1" si="71"/>
        <v>963.69658843657589</v>
      </c>
      <c r="H116" s="69">
        <f t="shared" ca="1" si="72"/>
        <v>1188.6059034010405</v>
      </c>
      <c r="I116" s="69">
        <f t="shared" ca="1" si="73"/>
        <v>1043.9870363943635</v>
      </c>
      <c r="J116" s="69">
        <f t="shared" ca="1" si="74"/>
        <v>1150.5784720706849</v>
      </c>
      <c r="K116" s="69">
        <f t="shared" ca="1" si="75"/>
        <v>1178.3612036439831</v>
      </c>
      <c r="L116" s="69">
        <f t="shared" ca="1" si="76"/>
        <v>955.7925476671353</v>
      </c>
      <c r="M116" s="69">
        <f t="shared" ca="1" si="77"/>
        <v>983.93471809385869</v>
      </c>
      <c r="N116" s="69">
        <f t="shared" ca="1" si="78"/>
        <v>573.32280830707748</v>
      </c>
      <c r="O116" s="69">
        <f t="shared" ca="1" si="79"/>
        <v>630.08834830993283</v>
      </c>
      <c r="P116" s="69">
        <f t="shared" ca="1" si="80"/>
        <v>721.53018228670305</v>
      </c>
      <c r="Q116" s="69">
        <f t="shared" ca="1" si="81"/>
        <v>953.05745149039774</v>
      </c>
      <c r="R116" s="69">
        <f t="shared" ca="1" si="82"/>
        <v>784.18097316577337</v>
      </c>
      <c r="S116" s="69">
        <f t="shared" ca="1" si="83"/>
        <v>701.05855420714715</v>
      </c>
      <c r="T116" s="69">
        <f t="shared" ca="1" si="84"/>
        <v>803.35866332717671</v>
      </c>
      <c r="U116" s="69">
        <f t="shared" ca="1" si="85"/>
        <v>1695.9744580227411</v>
      </c>
      <c r="V116" s="69">
        <f t="shared" ca="1" si="86"/>
        <v>1912.9566214711222</v>
      </c>
      <c r="W116" s="69">
        <f t="shared" ca="1" si="87"/>
        <v>1177.4138179889665</v>
      </c>
      <c r="X116" s="69">
        <f t="shared" ca="1" si="88"/>
        <v>1488.2280563641302</v>
      </c>
      <c r="Y116" s="69">
        <f t="shared" ca="1" si="89"/>
        <v>1210.2836000213106</v>
      </c>
      <c r="AA116" s="20">
        <f t="shared" ca="1" si="49"/>
        <v>6.5655191401087256E+16</v>
      </c>
      <c r="AB116" s="20">
        <f t="shared" ca="1" si="50"/>
        <v>1684647966507593.5</v>
      </c>
      <c r="AC116" s="20">
        <f t="shared" ca="1" si="51"/>
        <v>400321604257385.44</v>
      </c>
      <c r="AD116" s="20">
        <f t="shared" ca="1" si="52"/>
        <v>303706200741657.25</v>
      </c>
      <c r="AE116" s="20">
        <f t="shared" ca="1" si="53"/>
        <v>6880344655162924</v>
      </c>
      <c r="AG116" s="16">
        <f t="shared" ca="1" si="54"/>
        <v>-6.7115959145360698E-6</v>
      </c>
      <c r="AH116" s="16">
        <f t="shared" ca="1" si="55"/>
        <v>1.6941227462194806E-4</v>
      </c>
      <c r="AI116" s="16">
        <f t="shared" ca="1" si="56"/>
        <v>-1.5112933874177572E-5</v>
      </c>
      <c r="AJ116" s="16">
        <f t="shared" ca="1" si="57"/>
        <v>-3.1801444550819678E-4</v>
      </c>
      <c r="AK116" s="16">
        <f t="shared" ca="1" si="58"/>
        <v>-1.8835769867089195E-4</v>
      </c>
      <c r="AM116" s="16">
        <f t="shared" ca="1" si="59"/>
        <v>-1.7042670067496236E-4</v>
      </c>
      <c r="AO116" s="16">
        <f t="shared" ca="1" si="60"/>
        <v>-6.7115959145360698E-6</v>
      </c>
      <c r="AP116" s="16">
        <f t="shared" ca="1" si="61"/>
        <v>0</v>
      </c>
      <c r="AQ116" s="16">
        <f t="shared" ca="1" si="62"/>
        <v>-1.5112933874177572E-5</v>
      </c>
      <c r="AR116" s="16">
        <f t="shared" ca="1" si="63"/>
        <v>-3.1801444550819678E-4</v>
      </c>
      <c r="AS116" s="16">
        <f t="shared" ca="1" si="64"/>
        <v>-1.8835769867089195E-4</v>
      </c>
    </row>
    <row r="117" spans="1:45" x14ac:dyDescent="0.25">
      <c r="A117" s="69">
        <f t="shared" ca="1" si="65"/>
        <v>2450.7772929513289</v>
      </c>
      <c r="B117" s="69">
        <f t="shared" ca="1" si="66"/>
        <v>2135.1802654884332</v>
      </c>
      <c r="C117" s="69">
        <f t="shared" ca="1" si="67"/>
        <v>2233.0991856007936</v>
      </c>
      <c r="D117" s="69">
        <f t="shared" ca="1" si="68"/>
        <v>2908.3472647163981</v>
      </c>
      <c r="E117" s="69">
        <f t="shared" ca="1" si="69"/>
        <v>1931.8503808430514</v>
      </c>
      <c r="F117" s="69">
        <f t="shared" ca="1" si="70"/>
        <v>1224.3895317660219</v>
      </c>
      <c r="G117" s="69">
        <f t="shared" ca="1" si="71"/>
        <v>963.55849515760883</v>
      </c>
      <c r="H117" s="69">
        <f t="shared" ca="1" si="72"/>
        <v>1188.6059034010405</v>
      </c>
      <c r="I117" s="69">
        <f t="shared" ca="1" si="73"/>
        <v>1044.3135609147253</v>
      </c>
      <c r="J117" s="69">
        <f t="shared" ca="1" si="74"/>
        <v>1150.5784720706849</v>
      </c>
      <c r="K117" s="69">
        <f t="shared" ca="1" si="75"/>
        <v>1178.3612036439831</v>
      </c>
      <c r="L117" s="69">
        <f t="shared" ca="1" si="76"/>
        <v>955.7925476671353</v>
      </c>
      <c r="M117" s="69">
        <f t="shared" ca="1" si="77"/>
        <v>983.60881762472309</v>
      </c>
      <c r="N117" s="69">
        <f t="shared" ca="1" si="78"/>
        <v>573.49060166783192</v>
      </c>
      <c r="O117" s="69">
        <f t="shared" ca="1" si="79"/>
        <v>630.10317961619899</v>
      </c>
      <c r="P117" s="69">
        <f t="shared" ca="1" si="80"/>
        <v>721.53018228670305</v>
      </c>
      <c r="Q117" s="69">
        <f t="shared" ca="1" si="81"/>
        <v>953.13984075670771</v>
      </c>
      <c r="R117" s="69">
        <f t="shared" ca="1" si="82"/>
        <v>783.86386900370735</v>
      </c>
      <c r="S117" s="69">
        <f t="shared" ca="1" si="83"/>
        <v>701.05855420714715</v>
      </c>
      <c r="T117" s="69">
        <f t="shared" ca="1" si="84"/>
        <v>803.35866332717671</v>
      </c>
      <c r="U117" s="69">
        <f t="shared" ca="1" si="85"/>
        <v>1695.9744580227411</v>
      </c>
      <c r="V117" s="69">
        <f t="shared" ca="1" si="86"/>
        <v>1912.5859951197012</v>
      </c>
      <c r="W117" s="69">
        <f t="shared" ca="1" si="87"/>
        <v>1177.0350178629217</v>
      </c>
      <c r="X117" s="69">
        <f t="shared" ca="1" si="88"/>
        <v>1488.2595883479453</v>
      </c>
      <c r="Y117" s="69">
        <f t="shared" ca="1" si="89"/>
        <v>1210.6539949060721</v>
      </c>
      <c r="AA117" s="20">
        <f t="shared" ca="1" si="49"/>
        <v>6.5654750751451616E+16</v>
      </c>
      <c r="AB117" s="20">
        <f t="shared" ca="1" si="50"/>
        <v>1684933390728037.3</v>
      </c>
      <c r="AC117" s="20">
        <f t="shared" ca="1" si="51"/>
        <v>400315554269168.56</v>
      </c>
      <c r="AD117" s="20">
        <f t="shared" ca="1" si="52"/>
        <v>303609633138391.25</v>
      </c>
      <c r="AE117" s="20">
        <f t="shared" ca="1" si="53"/>
        <v>6879048811322528</v>
      </c>
      <c r="AG117" s="16">
        <f t="shared" ca="1" si="54"/>
        <v>1.6855032698254527E-4</v>
      </c>
      <c r="AH117" s="16">
        <f t="shared" ca="1" si="55"/>
        <v>8.1504456656322644E-5</v>
      </c>
      <c r="AI117" s="16">
        <f t="shared" ca="1" si="56"/>
        <v>2.0170905143928401E-4</v>
      </c>
      <c r="AJ117" s="16">
        <f t="shared" ca="1" si="57"/>
        <v>-9.2361296234420495E-4</v>
      </c>
      <c r="AK117" s="16">
        <f t="shared" ca="1" si="58"/>
        <v>-2.2656330006564187E-4</v>
      </c>
      <c r="AM117" s="16">
        <f t="shared" ca="1" si="59"/>
        <v>-4.7184912726605304E-4</v>
      </c>
      <c r="AO117" s="16">
        <f t="shared" ca="1" si="60"/>
        <v>0</v>
      </c>
      <c r="AP117" s="16">
        <f t="shared" ca="1" si="61"/>
        <v>0</v>
      </c>
      <c r="AQ117" s="16">
        <f t="shared" ca="1" si="62"/>
        <v>0</v>
      </c>
      <c r="AR117" s="16">
        <f t="shared" ca="1" si="63"/>
        <v>-9.2361296234420495E-4</v>
      </c>
      <c r="AS117" s="16">
        <f t="shared" ca="1" si="64"/>
        <v>-2.2656330006564187E-4</v>
      </c>
    </row>
    <row r="118" spans="1:45" x14ac:dyDescent="0.25">
      <c r="A118" s="69">
        <f t="shared" ca="1" si="65"/>
        <v>2450.7772929513289</v>
      </c>
      <c r="B118" s="69">
        <f t="shared" ca="1" si="66"/>
        <v>2135.1802654884332</v>
      </c>
      <c r="C118" s="69">
        <f t="shared" ca="1" si="67"/>
        <v>2233.1828262935351</v>
      </c>
      <c r="D118" s="69">
        <f t="shared" ca="1" si="68"/>
        <v>2908.7285625333116</v>
      </c>
      <c r="E118" s="69">
        <f t="shared" ca="1" si="69"/>
        <v>1931.8503808430514</v>
      </c>
      <c r="F118" s="69">
        <f t="shared" ca="1" si="70"/>
        <v>1224.3895317660219</v>
      </c>
      <c r="G118" s="69">
        <f t="shared" ca="1" si="71"/>
        <v>963.87777230707934</v>
      </c>
      <c r="H118" s="69">
        <f t="shared" ca="1" si="72"/>
        <v>1188.3616311583673</v>
      </c>
      <c r="I118" s="69">
        <f t="shared" ca="1" si="73"/>
        <v>1044.3135609147253</v>
      </c>
      <c r="J118" s="69">
        <f t="shared" ca="1" si="74"/>
        <v>1150.5275484721021</v>
      </c>
      <c r="K118" s="69">
        <f t="shared" ca="1" si="75"/>
        <v>1178.3612036439831</v>
      </c>
      <c r="L118" s="69">
        <f t="shared" ca="1" si="76"/>
        <v>955.67412026574664</v>
      </c>
      <c r="M118" s="69">
        <f t="shared" ca="1" si="77"/>
        <v>983.61630444766206</v>
      </c>
      <c r="N118" s="69">
        <f t="shared" ca="1" si="78"/>
        <v>573.22400364511589</v>
      </c>
      <c r="O118" s="69">
        <f t="shared" ca="1" si="79"/>
        <v>630.59673554818528</v>
      </c>
      <c r="P118" s="69">
        <f t="shared" ca="1" si="80"/>
        <v>721.14656727286058</v>
      </c>
      <c r="Q118" s="69">
        <f t="shared" ca="1" si="81"/>
        <v>952.71484078675462</v>
      </c>
      <c r="R118" s="69">
        <f t="shared" ca="1" si="82"/>
        <v>783.55027940324339</v>
      </c>
      <c r="S118" s="69">
        <f t="shared" ca="1" si="83"/>
        <v>701.1781421411481</v>
      </c>
      <c r="T118" s="69">
        <f t="shared" ca="1" si="84"/>
        <v>803.58665678514785</v>
      </c>
      <c r="U118" s="69">
        <f t="shared" ca="1" si="85"/>
        <v>1695.5517622217194</v>
      </c>
      <c r="V118" s="69">
        <f t="shared" ca="1" si="86"/>
        <v>1912.5859951197012</v>
      </c>
      <c r="W118" s="69">
        <f t="shared" ca="1" si="87"/>
        <v>1176.723369977108</v>
      </c>
      <c r="X118" s="69">
        <f t="shared" ca="1" si="88"/>
        <v>1488.5389839368374</v>
      </c>
      <c r="Y118" s="69">
        <f t="shared" ca="1" si="89"/>
        <v>1210.7748190977543</v>
      </c>
      <c r="AA118" s="20">
        <f t="shared" ca="1" si="49"/>
        <v>6.5665817813811024E+16</v>
      </c>
      <c r="AB118" s="20">
        <f t="shared" ca="1" si="50"/>
        <v>1685070725905189.3</v>
      </c>
      <c r="AC118" s="20">
        <f t="shared" ca="1" si="51"/>
        <v>400396309684171.88</v>
      </c>
      <c r="AD118" s="20">
        <f t="shared" ca="1" si="52"/>
        <v>303329344804626.44</v>
      </c>
      <c r="AE118" s="20">
        <f t="shared" ca="1" si="53"/>
        <v>6877490447863172</v>
      </c>
      <c r="AG118" s="16">
        <f t="shared" ca="1" si="54"/>
        <v>-2.4841661900262005E-4</v>
      </c>
      <c r="AH118" s="16">
        <f t="shared" ca="1" si="55"/>
        <v>1.6861386285551484E-4</v>
      </c>
      <c r="AI118" s="16">
        <f t="shared" ca="1" si="56"/>
        <v>1.7939438808810988E-3</v>
      </c>
      <c r="AJ118" s="16">
        <f t="shared" ca="1" si="57"/>
        <v>2.8081590974119217E-4</v>
      </c>
      <c r="AK118" s="16">
        <f t="shared" ca="1" si="58"/>
        <v>-1.9098924256564289E-4</v>
      </c>
      <c r="AM118" s="16">
        <f t="shared" ca="1" si="59"/>
        <v>1.9949570344751861E-3</v>
      </c>
      <c r="AO118" s="16">
        <f t="shared" ca="1" si="60"/>
        <v>-2.4841661900262005E-4</v>
      </c>
      <c r="AP118" s="16">
        <f t="shared" ca="1" si="61"/>
        <v>0</v>
      </c>
      <c r="AQ118" s="16">
        <f t="shared" ca="1" si="62"/>
        <v>0</v>
      </c>
      <c r="AR118" s="16">
        <f t="shared" ca="1" si="63"/>
        <v>0</v>
      </c>
      <c r="AS118" s="16">
        <f t="shared" ca="1" si="64"/>
        <v>-1.9098924256564289E-4</v>
      </c>
    </row>
    <row r="119" spans="1:45" x14ac:dyDescent="0.25">
      <c r="A119" s="69">
        <f t="shared" ca="1" si="65"/>
        <v>2451.1026621436868</v>
      </c>
      <c r="B119" s="69">
        <f t="shared" ca="1" si="66"/>
        <v>2135.0978948833231</v>
      </c>
      <c r="C119" s="69">
        <f t="shared" ca="1" si="67"/>
        <v>2232.7106969788133</v>
      </c>
      <c r="D119" s="69">
        <f t="shared" ca="1" si="68"/>
        <v>2908.3470988173408</v>
      </c>
      <c r="E119" s="69">
        <f t="shared" ca="1" si="69"/>
        <v>1931.8503808430514</v>
      </c>
      <c r="F119" s="69">
        <f t="shared" ca="1" si="70"/>
        <v>1224.3895317660219</v>
      </c>
      <c r="G119" s="69">
        <f t="shared" ca="1" si="71"/>
        <v>963.94507918045133</v>
      </c>
      <c r="H119" s="69">
        <f t="shared" ca="1" si="72"/>
        <v>1187.8912887627043</v>
      </c>
      <c r="I119" s="69">
        <f t="shared" ca="1" si="73"/>
        <v>1044.6826393512742</v>
      </c>
      <c r="J119" s="69">
        <f t="shared" ca="1" si="74"/>
        <v>1150.6901308701738</v>
      </c>
      <c r="K119" s="69">
        <f t="shared" ca="1" si="75"/>
        <v>1178.726191344618</v>
      </c>
      <c r="L119" s="69">
        <f t="shared" ca="1" si="76"/>
        <v>955.67412026574664</v>
      </c>
      <c r="M119" s="69">
        <f t="shared" ca="1" si="77"/>
        <v>984.01108868555571</v>
      </c>
      <c r="N119" s="69">
        <f t="shared" ca="1" si="78"/>
        <v>573.51586628940061</v>
      </c>
      <c r="O119" s="69">
        <f t="shared" ca="1" si="79"/>
        <v>630.95876431998079</v>
      </c>
      <c r="P119" s="69">
        <f t="shared" ca="1" si="80"/>
        <v>721.07955297473143</v>
      </c>
      <c r="Q119" s="69">
        <f t="shared" ca="1" si="81"/>
        <v>953.06291791870956</v>
      </c>
      <c r="R119" s="69">
        <f t="shared" ca="1" si="82"/>
        <v>783.57944467448624</v>
      </c>
      <c r="S119" s="69">
        <f t="shared" ca="1" si="83"/>
        <v>700.77240244997142</v>
      </c>
      <c r="T119" s="69">
        <f t="shared" ca="1" si="84"/>
        <v>804.02880080283217</v>
      </c>
      <c r="U119" s="69">
        <f t="shared" ca="1" si="85"/>
        <v>1695.2532347322301</v>
      </c>
      <c r="V119" s="69">
        <f t="shared" ca="1" si="86"/>
        <v>1912.8335155248835</v>
      </c>
      <c r="W119" s="69">
        <f t="shared" ca="1" si="87"/>
        <v>1176.6734604962137</v>
      </c>
      <c r="X119" s="69">
        <f t="shared" ca="1" si="88"/>
        <v>1488.3873065086789</v>
      </c>
      <c r="Y119" s="69">
        <f t="shared" ca="1" si="89"/>
        <v>1210.7748190977543</v>
      </c>
      <c r="AA119" s="20">
        <f t="shared" ca="1" si="49"/>
        <v>6.5649507359343528E+16</v>
      </c>
      <c r="AB119" s="20">
        <f t="shared" ca="1" si="50"/>
        <v>1685354876144630.5</v>
      </c>
      <c r="AC119" s="20">
        <f t="shared" ca="1" si="51"/>
        <v>401115242863938.5</v>
      </c>
      <c r="AD119" s="20">
        <f t="shared" ca="1" si="52"/>
        <v>303414536471566.81</v>
      </c>
      <c r="AE119" s="20">
        <f t="shared" ca="1" si="53"/>
        <v>6876177046598531</v>
      </c>
      <c r="AG119" s="16">
        <f t="shared" ca="1" si="54"/>
        <v>2.249039069724566E-4</v>
      </c>
      <c r="AH119" s="16">
        <f t="shared" ca="1" si="55"/>
        <v>-4.8264274488141645E-5</v>
      </c>
      <c r="AI119" s="16">
        <f t="shared" ca="1" si="56"/>
        <v>-2.6458287278588731E-5</v>
      </c>
      <c r="AJ119" s="16">
        <f t="shared" ca="1" si="57"/>
        <v>1.5677682425121672E-3</v>
      </c>
      <c r="AK119" s="16">
        <f t="shared" ca="1" si="58"/>
        <v>-2.5209489840524122E-4</v>
      </c>
      <c r="AM119" s="16">
        <f t="shared" ca="1" si="59"/>
        <v>1.7179495877178935E-3</v>
      </c>
      <c r="AO119" s="16">
        <f t="shared" ca="1" si="60"/>
        <v>0</v>
      </c>
      <c r="AP119" s="16">
        <f t="shared" ca="1" si="61"/>
        <v>-4.8264274488141645E-5</v>
      </c>
      <c r="AQ119" s="16">
        <f t="shared" ca="1" si="62"/>
        <v>-2.6458287278588731E-5</v>
      </c>
      <c r="AR119" s="16">
        <f t="shared" ca="1" si="63"/>
        <v>0</v>
      </c>
      <c r="AS119" s="16">
        <f t="shared" ca="1" si="64"/>
        <v>-2.5209489840524122E-4</v>
      </c>
    </row>
    <row r="120" spans="1:45" x14ac:dyDescent="0.25">
      <c r="A120" s="69">
        <f t="shared" ca="1" si="65"/>
        <v>2451.1026621436868</v>
      </c>
      <c r="B120" s="69">
        <f t="shared" ca="1" si="66"/>
        <v>2135.3328328274329</v>
      </c>
      <c r="C120" s="69">
        <f t="shared" ca="1" si="67"/>
        <v>2232.7901837793602</v>
      </c>
      <c r="D120" s="69">
        <f t="shared" ca="1" si="68"/>
        <v>2908.6091158245022</v>
      </c>
      <c r="E120" s="69">
        <f t="shared" ca="1" si="69"/>
        <v>1931.8294901090644</v>
      </c>
      <c r="F120" s="69">
        <f t="shared" ca="1" si="70"/>
        <v>1224.3895317660219</v>
      </c>
      <c r="G120" s="69">
        <f t="shared" ca="1" si="71"/>
        <v>964.31592744134991</v>
      </c>
      <c r="H120" s="69">
        <f t="shared" ca="1" si="72"/>
        <v>1187.8423011192524</v>
      </c>
      <c r="I120" s="69">
        <f t="shared" ca="1" si="73"/>
        <v>1044.3356525048509</v>
      </c>
      <c r="J120" s="69">
        <f t="shared" ca="1" si="74"/>
        <v>1150.621702874143</v>
      </c>
      <c r="K120" s="69">
        <f t="shared" ca="1" si="75"/>
        <v>1178.726191344618</v>
      </c>
      <c r="L120" s="69">
        <f t="shared" ca="1" si="76"/>
        <v>955.67412026574664</v>
      </c>
      <c r="M120" s="69">
        <f t="shared" ca="1" si="77"/>
        <v>984.08992713332736</v>
      </c>
      <c r="N120" s="69">
        <f t="shared" ca="1" si="78"/>
        <v>573.46330184986061</v>
      </c>
      <c r="O120" s="69">
        <f t="shared" ca="1" si="79"/>
        <v>630.94935214731254</v>
      </c>
      <c r="P120" s="69">
        <f t="shared" ca="1" si="80"/>
        <v>721.52568796746834</v>
      </c>
      <c r="Q120" s="69">
        <f t="shared" ca="1" si="81"/>
        <v>953.45199982820702</v>
      </c>
      <c r="R120" s="69">
        <f t="shared" ca="1" si="82"/>
        <v>784.04879695076738</v>
      </c>
      <c r="S120" s="69">
        <f t="shared" ca="1" si="83"/>
        <v>700.47470810745278</v>
      </c>
      <c r="T120" s="69">
        <f t="shared" ca="1" si="84"/>
        <v>804.32408511375672</v>
      </c>
      <c r="U120" s="69">
        <f t="shared" ca="1" si="85"/>
        <v>1695.0636869697555</v>
      </c>
      <c r="V120" s="69">
        <f t="shared" ca="1" si="86"/>
        <v>1912.5990066807685</v>
      </c>
      <c r="W120" s="69">
        <f t="shared" ca="1" si="87"/>
        <v>1176.8108522963414</v>
      </c>
      <c r="X120" s="69">
        <f t="shared" ca="1" si="88"/>
        <v>1488.0360277794582</v>
      </c>
      <c r="Y120" s="69">
        <f t="shared" ca="1" si="89"/>
        <v>1210.8978547648585</v>
      </c>
      <c r="AA120" s="20">
        <f t="shared" ca="1" si="49"/>
        <v>6.5664273850498E+16</v>
      </c>
      <c r="AB120" s="20">
        <f t="shared" ca="1" si="50"/>
        <v>1685273535677213.5</v>
      </c>
      <c r="AC120" s="20">
        <f t="shared" ca="1" si="51"/>
        <v>401104630182008.31</v>
      </c>
      <c r="AD120" s="20">
        <f t="shared" ca="1" si="52"/>
        <v>303890593221982.75</v>
      </c>
      <c r="AE120" s="20">
        <f t="shared" ca="1" si="53"/>
        <v>6874443815923037</v>
      </c>
      <c r="AG120" s="16">
        <f t="shared" ca="1" si="54"/>
        <v>1.2647347362472076E-4</v>
      </c>
      <c r="AH120" s="16">
        <f t="shared" ca="1" si="55"/>
        <v>-8.5981252307096182E-4</v>
      </c>
      <c r="AI120" s="16">
        <f t="shared" ca="1" si="56"/>
        <v>-6.4190975376359253E-4</v>
      </c>
      <c r="AJ120" s="16">
        <f t="shared" ca="1" si="57"/>
        <v>1.29663463934249E-4</v>
      </c>
      <c r="AK120" s="16">
        <f t="shared" ca="1" si="58"/>
        <v>-5.4087270251362916E-4</v>
      </c>
      <c r="AM120" s="16">
        <f t="shared" ca="1" si="59"/>
        <v>-1.2455853392755846E-3</v>
      </c>
      <c r="AO120" s="16">
        <f t="shared" ca="1" si="60"/>
        <v>0</v>
      </c>
      <c r="AP120" s="16">
        <f t="shared" ca="1" si="61"/>
        <v>-8.5981252307096182E-4</v>
      </c>
      <c r="AQ120" s="16">
        <f t="shared" ca="1" si="62"/>
        <v>-6.4190975376359253E-4</v>
      </c>
      <c r="AR120" s="16">
        <f t="shared" ca="1" si="63"/>
        <v>0</v>
      </c>
      <c r="AS120" s="16">
        <f t="shared" ca="1" si="64"/>
        <v>-5.4087270251362916E-4</v>
      </c>
    </row>
    <row r="121" spans="1:45" x14ac:dyDescent="0.25">
      <c r="A121" s="69">
        <f t="shared" ca="1" si="65"/>
        <v>2451.1510981284137</v>
      </c>
      <c r="B121" s="69">
        <f t="shared" ca="1" si="66"/>
        <v>2135.4838430692394</v>
      </c>
      <c r="C121" s="69">
        <f t="shared" ca="1" si="67"/>
        <v>2232.7901837793602</v>
      </c>
      <c r="D121" s="69">
        <f t="shared" ca="1" si="68"/>
        <v>2908.6091158245022</v>
      </c>
      <c r="E121" s="69">
        <f t="shared" ca="1" si="69"/>
        <v>1931.899028540138</v>
      </c>
      <c r="F121" s="69">
        <f t="shared" ca="1" si="70"/>
        <v>1223.8976005299705</v>
      </c>
      <c r="G121" s="69">
        <f t="shared" ca="1" si="71"/>
        <v>964.13561753711576</v>
      </c>
      <c r="H121" s="69">
        <f t="shared" ca="1" si="72"/>
        <v>1188.1250173163851</v>
      </c>
      <c r="I121" s="69">
        <f t="shared" ca="1" si="73"/>
        <v>1043.909531136821</v>
      </c>
      <c r="J121" s="69">
        <f t="shared" ca="1" si="74"/>
        <v>1150.5057019682461</v>
      </c>
      <c r="K121" s="69">
        <f t="shared" ca="1" si="75"/>
        <v>1178.7328833537549</v>
      </c>
      <c r="L121" s="69">
        <f t="shared" ca="1" si="76"/>
        <v>955.59369379656346</v>
      </c>
      <c r="M121" s="69">
        <f t="shared" ca="1" si="77"/>
        <v>984.00593801235084</v>
      </c>
      <c r="N121" s="69">
        <f t="shared" ca="1" si="78"/>
        <v>573.46330184986061</v>
      </c>
      <c r="O121" s="69">
        <f t="shared" ca="1" si="79"/>
        <v>630.64778244304603</v>
      </c>
      <c r="P121" s="69">
        <f t="shared" ca="1" si="80"/>
        <v>721.55491756968593</v>
      </c>
      <c r="Q121" s="69">
        <f t="shared" ca="1" si="81"/>
        <v>953.45199982820702</v>
      </c>
      <c r="R121" s="69">
        <f t="shared" ca="1" si="82"/>
        <v>783.89980049172436</v>
      </c>
      <c r="S121" s="69">
        <f t="shared" ca="1" si="83"/>
        <v>700.47470810745278</v>
      </c>
      <c r="T121" s="69">
        <f t="shared" ca="1" si="84"/>
        <v>804.5486887329406</v>
      </c>
      <c r="U121" s="69">
        <f t="shared" ca="1" si="85"/>
        <v>1695.0214085741829</v>
      </c>
      <c r="V121" s="69">
        <f t="shared" ca="1" si="86"/>
        <v>1912.5990066807685</v>
      </c>
      <c r="W121" s="69">
        <f t="shared" ca="1" si="87"/>
        <v>1176.434983387441</v>
      </c>
      <c r="X121" s="69">
        <f t="shared" ca="1" si="88"/>
        <v>1487.7436825555487</v>
      </c>
      <c r="Y121" s="69">
        <f t="shared" ca="1" si="89"/>
        <v>1210.8978547648585</v>
      </c>
      <c r="AA121" s="20">
        <f t="shared" ca="1" si="49"/>
        <v>6.56725791644948E+16</v>
      </c>
      <c r="AB121" s="20">
        <f t="shared" ca="1" si="50"/>
        <v>1683825139150404.8</v>
      </c>
      <c r="AC121" s="20">
        <f t="shared" ca="1" si="51"/>
        <v>400847239827142.5</v>
      </c>
      <c r="AD121" s="20">
        <f t="shared" ca="1" si="52"/>
        <v>303929999283664.94</v>
      </c>
      <c r="AE121" s="20">
        <f t="shared" ca="1" si="53"/>
        <v>6870726622272948</v>
      </c>
      <c r="AG121" s="16">
        <f t="shared" ca="1" si="54"/>
        <v>-1.091624063533123E-4</v>
      </c>
      <c r="AH121" s="16">
        <f t="shared" ca="1" si="55"/>
        <v>7.2100311754570798E-4</v>
      </c>
      <c r="AI121" s="16">
        <f t="shared" ca="1" si="56"/>
        <v>-9.3208175308874655E-5</v>
      </c>
      <c r="AJ121" s="16">
        <f t="shared" ca="1" si="57"/>
        <v>-3.9805540582978831E-4</v>
      </c>
      <c r="AK121" s="16">
        <f t="shared" ca="1" si="58"/>
        <v>1.1015822110258418E-4</v>
      </c>
      <c r="AM121" s="16">
        <f t="shared" ca="1" si="59"/>
        <v>1.2057713005373272E-4</v>
      </c>
      <c r="AO121" s="16">
        <f t="shared" ca="1" si="60"/>
        <v>-1.091624063533123E-4</v>
      </c>
      <c r="AP121" s="16">
        <f t="shared" ca="1" si="61"/>
        <v>0</v>
      </c>
      <c r="AQ121" s="16">
        <f t="shared" ca="1" si="62"/>
        <v>-9.3208175308874655E-5</v>
      </c>
      <c r="AR121" s="16">
        <f t="shared" ca="1" si="63"/>
        <v>-3.9805540582978831E-4</v>
      </c>
      <c r="AS121" s="16">
        <f t="shared" ca="1" si="64"/>
        <v>0</v>
      </c>
    </row>
    <row r="122" spans="1:45" x14ac:dyDescent="0.25">
      <c r="A122" s="69">
        <f t="shared" ca="1" si="65"/>
        <v>2451.1390000699639</v>
      </c>
      <c r="B122" s="69">
        <f t="shared" ca="1" si="66"/>
        <v>2135.4838430692394</v>
      </c>
      <c r="C122" s="69">
        <f t="shared" ca="1" si="67"/>
        <v>2232.4996074479191</v>
      </c>
      <c r="D122" s="69">
        <f t="shared" ca="1" si="68"/>
        <v>2908.6845143325886</v>
      </c>
      <c r="E122" s="69">
        <f t="shared" ca="1" si="69"/>
        <v>1931.899028540138</v>
      </c>
      <c r="F122" s="69">
        <f t="shared" ca="1" si="70"/>
        <v>1224.2800045766796</v>
      </c>
      <c r="G122" s="69">
        <f t="shared" ca="1" si="71"/>
        <v>964.13561753711576</v>
      </c>
      <c r="H122" s="69">
        <f t="shared" ca="1" si="72"/>
        <v>1188.1336624948412</v>
      </c>
      <c r="I122" s="69">
        <f t="shared" ca="1" si="73"/>
        <v>1044.0284484711308</v>
      </c>
      <c r="J122" s="69">
        <f t="shared" ca="1" si="74"/>
        <v>1150.8364266958602</v>
      </c>
      <c r="K122" s="69">
        <f t="shared" ca="1" si="75"/>
        <v>1178.3282044324196</v>
      </c>
      <c r="L122" s="69">
        <f t="shared" ca="1" si="76"/>
        <v>955.52621447971239</v>
      </c>
      <c r="M122" s="69">
        <f t="shared" ca="1" si="77"/>
        <v>984.29914824711125</v>
      </c>
      <c r="N122" s="69">
        <f t="shared" ca="1" si="78"/>
        <v>573.81393430030448</v>
      </c>
      <c r="O122" s="69">
        <f t="shared" ca="1" si="79"/>
        <v>630.27682522112536</v>
      </c>
      <c r="P122" s="69">
        <f t="shared" ca="1" si="80"/>
        <v>721.48744532308854</v>
      </c>
      <c r="Q122" s="69">
        <f t="shared" ca="1" si="81"/>
        <v>953.45199982820702</v>
      </c>
      <c r="R122" s="69">
        <f t="shared" ca="1" si="82"/>
        <v>783.89980049172436</v>
      </c>
      <c r="S122" s="69">
        <f t="shared" ca="1" si="83"/>
        <v>700.12201422112105</v>
      </c>
      <c r="T122" s="69">
        <f t="shared" ca="1" si="84"/>
        <v>804.70888407339999</v>
      </c>
      <c r="U122" s="69">
        <f t="shared" ca="1" si="85"/>
        <v>1695.4564024378865</v>
      </c>
      <c r="V122" s="69">
        <f t="shared" ca="1" si="86"/>
        <v>1912.5990066807685</v>
      </c>
      <c r="W122" s="69">
        <f t="shared" ca="1" si="87"/>
        <v>1176.328116037781</v>
      </c>
      <c r="X122" s="69">
        <f t="shared" ca="1" si="88"/>
        <v>1487.7430117492747</v>
      </c>
      <c r="Y122" s="69">
        <f t="shared" ca="1" si="89"/>
        <v>1210.8310826723941</v>
      </c>
      <c r="AA122" s="20">
        <f t="shared" ca="1" si="49"/>
        <v>6.5665410578998912E+16</v>
      </c>
      <c r="AB122" s="20">
        <f t="shared" ca="1" si="50"/>
        <v>1685039620094795.8</v>
      </c>
      <c r="AC122" s="20">
        <f t="shared" ca="1" si="51"/>
        <v>400809879328519.63</v>
      </c>
      <c r="AD122" s="20">
        <f t="shared" ca="1" si="52"/>
        <v>303809042379828.06</v>
      </c>
      <c r="AE122" s="20">
        <f t="shared" ca="1" si="53"/>
        <v>6871483530984433</v>
      </c>
      <c r="AG122" s="16">
        <f t="shared" ca="1" si="54"/>
        <v>-1.7067977607885013E-4</v>
      </c>
      <c r="AH122" s="16">
        <f t="shared" ca="1" si="55"/>
        <v>1.446431582321851E-4</v>
      </c>
      <c r="AI122" s="16">
        <f t="shared" ca="1" si="56"/>
        <v>1.8335518731940842E-4</v>
      </c>
      <c r="AJ122" s="16">
        <f t="shared" ca="1" si="57"/>
        <v>5.4069739811548234E-4</v>
      </c>
      <c r="AK122" s="16">
        <f t="shared" ca="1" si="58"/>
        <v>-6.3919965212871465E-4</v>
      </c>
      <c r="AM122" s="16">
        <f t="shared" ca="1" si="59"/>
        <v>6.9801596758822576E-4</v>
      </c>
      <c r="AO122" s="16">
        <f t="shared" ca="1" si="60"/>
        <v>-1.7067977607885013E-4</v>
      </c>
      <c r="AP122" s="16">
        <f t="shared" ca="1" si="61"/>
        <v>0</v>
      </c>
      <c r="AQ122" s="16">
        <f t="shared" ca="1" si="62"/>
        <v>0</v>
      </c>
      <c r="AR122" s="16">
        <f t="shared" ca="1" si="63"/>
        <v>0</v>
      </c>
      <c r="AS122" s="16">
        <f t="shared" ca="1" si="64"/>
        <v>-6.3919965212871465E-4</v>
      </c>
    </row>
    <row r="123" spans="1:45" x14ac:dyDescent="0.25">
      <c r="A123" s="69">
        <f t="shared" ca="1" si="65"/>
        <v>2451.0738458559908</v>
      </c>
      <c r="B123" s="69">
        <f t="shared" ca="1" si="66"/>
        <v>2135.00002206513</v>
      </c>
      <c r="C123" s="69">
        <f t="shared" ca="1" si="67"/>
        <v>2232.4996074479191</v>
      </c>
      <c r="D123" s="69">
        <f t="shared" ca="1" si="68"/>
        <v>2908.6845143325886</v>
      </c>
      <c r="E123" s="69">
        <f t="shared" ca="1" si="69"/>
        <v>1932.0583977624021</v>
      </c>
      <c r="F123" s="69">
        <f t="shared" ca="1" si="70"/>
        <v>1224.4571011106943</v>
      </c>
      <c r="G123" s="69">
        <f t="shared" ca="1" si="71"/>
        <v>964.13561753711576</v>
      </c>
      <c r="H123" s="69">
        <f t="shared" ca="1" si="72"/>
        <v>1188.1336624948412</v>
      </c>
      <c r="I123" s="69">
        <f t="shared" ca="1" si="73"/>
        <v>1044.0284484711308</v>
      </c>
      <c r="J123" s="69">
        <f t="shared" ca="1" si="74"/>
        <v>1150.8364266958602</v>
      </c>
      <c r="K123" s="69">
        <f t="shared" ca="1" si="75"/>
        <v>1178.3282044324196</v>
      </c>
      <c r="L123" s="69">
        <f t="shared" ca="1" si="76"/>
        <v>955.04958983008146</v>
      </c>
      <c r="M123" s="69">
        <f t="shared" ca="1" si="77"/>
        <v>984.78506046462644</v>
      </c>
      <c r="N123" s="69">
        <f t="shared" ca="1" si="78"/>
        <v>573.92225009476147</v>
      </c>
      <c r="O123" s="69">
        <f t="shared" ca="1" si="79"/>
        <v>630.27682522112536</v>
      </c>
      <c r="P123" s="69">
        <f t="shared" ca="1" si="80"/>
        <v>721.92864150803666</v>
      </c>
      <c r="Q123" s="69">
        <f t="shared" ca="1" si="81"/>
        <v>953.45199982820702</v>
      </c>
      <c r="R123" s="69">
        <f t="shared" ca="1" si="82"/>
        <v>784.05526745972293</v>
      </c>
      <c r="S123" s="69">
        <f t="shared" ca="1" si="83"/>
        <v>700.12201422112105</v>
      </c>
      <c r="T123" s="69">
        <f t="shared" ca="1" si="84"/>
        <v>804.49250260247538</v>
      </c>
      <c r="U123" s="69">
        <f t="shared" ca="1" si="85"/>
        <v>1695.4564024378865</v>
      </c>
      <c r="V123" s="69">
        <f t="shared" ca="1" si="86"/>
        <v>1912.5990066807685</v>
      </c>
      <c r="W123" s="69">
        <f t="shared" ca="1" si="87"/>
        <v>1175.8418215622335</v>
      </c>
      <c r="X123" s="69">
        <f t="shared" ca="1" si="88"/>
        <v>1487.7430117492747</v>
      </c>
      <c r="Y123" s="69">
        <f t="shared" ca="1" si="89"/>
        <v>1210.5578122157754</v>
      </c>
      <c r="AA123" s="20">
        <f t="shared" ca="1" si="49"/>
        <v>6.5654203777839528E+16</v>
      </c>
      <c r="AB123" s="20">
        <f t="shared" ca="1" si="50"/>
        <v>1685283367174941.3</v>
      </c>
      <c r="AC123" s="20">
        <f t="shared" ca="1" si="51"/>
        <v>400883376636873.88</v>
      </c>
      <c r="AD123" s="20">
        <f t="shared" ca="1" si="52"/>
        <v>303973355556417.19</v>
      </c>
      <c r="AE123" s="20">
        <f t="shared" ca="1" si="53"/>
        <v>6867092684565071</v>
      </c>
      <c r="AG123" s="16">
        <f t="shared" ca="1" si="54"/>
        <v>-3.3155409465057082E-4</v>
      </c>
      <c r="AH123" s="16">
        <f t="shared" ca="1" si="55"/>
        <v>-1.5548885231727217E-4</v>
      </c>
      <c r="AI123" s="16">
        <f t="shared" ca="1" si="56"/>
        <v>3.8858780269039421E-4</v>
      </c>
      <c r="AJ123" s="16">
        <f t="shared" ca="1" si="57"/>
        <v>4.0779316070311232E-4</v>
      </c>
      <c r="AK123" s="16">
        <f t="shared" ca="1" si="58"/>
        <v>3.2563426679136238E-4</v>
      </c>
      <c r="AM123" s="16">
        <f t="shared" ca="1" si="59"/>
        <v>3.0933801642566355E-4</v>
      </c>
      <c r="AO123" s="16">
        <f t="shared" ca="1" si="60"/>
        <v>-3.3155409465057082E-4</v>
      </c>
      <c r="AP123" s="16">
        <f t="shared" ca="1" si="61"/>
        <v>-1.5548885231727217E-4</v>
      </c>
      <c r="AQ123" s="16">
        <f t="shared" ca="1" si="62"/>
        <v>0</v>
      </c>
      <c r="AR123" s="16">
        <f t="shared" ca="1" si="63"/>
        <v>0</v>
      </c>
      <c r="AS123" s="16">
        <f t="shared" ca="1" si="64"/>
        <v>0</v>
      </c>
    </row>
    <row r="124" spans="1:45" x14ac:dyDescent="0.25">
      <c r="A124" s="69">
        <f t="shared" ca="1" si="65"/>
        <v>2451.0738458559908</v>
      </c>
      <c r="B124" s="69">
        <f t="shared" ca="1" si="66"/>
        <v>2135.201275808161</v>
      </c>
      <c r="C124" s="69">
        <f t="shared" ca="1" si="67"/>
        <v>2232.0347432722092</v>
      </c>
      <c r="D124" s="69">
        <f t="shared" ca="1" si="68"/>
        <v>2908.3824695882872</v>
      </c>
      <c r="E124" s="69">
        <f t="shared" ca="1" si="69"/>
        <v>1931.8386997291236</v>
      </c>
      <c r="F124" s="69">
        <f t="shared" ca="1" si="70"/>
        <v>1224.0720015339548</v>
      </c>
      <c r="G124" s="69">
        <f t="shared" ca="1" si="71"/>
        <v>964.13561753711576</v>
      </c>
      <c r="H124" s="69">
        <f t="shared" ca="1" si="72"/>
        <v>1188.3226703846906</v>
      </c>
      <c r="I124" s="69">
        <f t="shared" ca="1" si="73"/>
        <v>1044.0284484711308</v>
      </c>
      <c r="J124" s="69">
        <f t="shared" ca="1" si="74"/>
        <v>1150.8364266958602</v>
      </c>
      <c r="K124" s="69">
        <f t="shared" ca="1" si="75"/>
        <v>1178.3055812028745</v>
      </c>
      <c r="L124" s="69">
        <f t="shared" ca="1" si="76"/>
        <v>955.04958983008146</v>
      </c>
      <c r="M124" s="69">
        <f t="shared" ca="1" si="77"/>
        <v>984.78506046462644</v>
      </c>
      <c r="N124" s="69">
        <f t="shared" ca="1" si="78"/>
        <v>573.92225009476147</v>
      </c>
      <c r="O124" s="69">
        <f t="shared" ca="1" si="79"/>
        <v>630.53389659117283</v>
      </c>
      <c r="P124" s="69">
        <f t="shared" ca="1" si="80"/>
        <v>722.40031612707367</v>
      </c>
      <c r="Q124" s="69">
        <f t="shared" ca="1" si="81"/>
        <v>953.56687046033335</v>
      </c>
      <c r="R124" s="69">
        <f t="shared" ca="1" si="82"/>
        <v>783.92763432812501</v>
      </c>
      <c r="S124" s="69">
        <f t="shared" ca="1" si="83"/>
        <v>699.97989037022944</v>
      </c>
      <c r="T124" s="69">
        <f t="shared" ca="1" si="84"/>
        <v>804.49250260247538</v>
      </c>
      <c r="U124" s="69">
        <f t="shared" ca="1" si="85"/>
        <v>1695.4564024378865</v>
      </c>
      <c r="V124" s="69">
        <f t="shared" ca="1" si="86"/>
        <v>1912.686829297277</v>
      </c>
      <c r="W124" s="69">
        <f t="shared" ca="1" si="87"/>
        <v>1175.586674340529</v>
      </c>
      <c r="X124" s="69">
        <f t="shared" ca="1" si="88"/>
        <v>1487.9147657122026</v>
      </c>
      <c r="Y124" s="69">
        <f t="shared" ca="1" si="89"/>
        <v>1211.0194770889916</v>
      </c>
      <c r="AA124" s="20">
        <f t="shared" ca="1" si="49"/>
        <v>6.5632439465968696E+16</v>
      </c>
      <c r="AB124" s="20">
        <f t="shared" ca="1" si="50"/>
        <v>1685021344769659.3</v>
      </c>
      <c r="AC124" s="20">
        <f t="shared" ca="1" si="51"/>
        <v>401039185298048.31</v>
      </c>
      <c r="AD124" s="20">
        <f t="shared" ca="1" si="52"/>
        <v>304097339089949.44</v>
      </c>
      <c r="AE124" s="20">
        <f t="shared" ca="1" si="53"/>
        <v>6869329209381194</v>
      </c>
      <c r="AG124" s="16">
        <f t="shared" ca="1" si="54"/>
        <v>3.1024759842541262E-4</v>
      </c>
      <c r="AH124" s="16">
        <f t="shared" ca="1" si="55"/>
        <v>9.1847710015334808E-4</v>
      </c>
      <c r="AI124" s="16">
        <f t="shared" ca="1" si="56"/>
        <v>2.7688794946602871E-4</v>
      </c>
      <c r="AJ124" s="16">
        <f t="shared" ca="1" si="57"/>
        <v>8.7674768111965838E-4</v>
      </c>
      <c r="AK124" s="16">
        <f t="shared" ca="1" si="58"/>
        <v>-3.3322240029818597E-4</v>
      </c>
      <c r="AM124" s="16">
        <f t="shared" ca="1" si="59"/>
        <v>2.3823603291644479E-3</v>
      </c>
      <c r="AO124" s="16">
        <f t="shared" ca="1" si="60"/>
        <v>0</v>
      </c>
      <c r="AP124" s="16">
        <f t="shared" ca="1" si="61"/>
        <v>0</v>
      </c>
      <c r="AQ124" s="16">
        <f t="shared" ca="1" si="62"/>
        <v>0</v>
      </c>
      <c r="AR124" s="16">
        <f t="shared" ca="1" si="63"/>
        <v>0</v>
      </c>
      <c r="AS124" s="16">
        <f t="shared" ca="1" si="64"/>
        <v>-3.3322240029818597E-4</v>
      </c>
    </row>
    <row r="125" spans="1:45" x14ac:dyDescent="0.25">
      <c r="A125" s="69">
        <f t="shared" ca="1" si="65"/>
        <v>2451.0738458559908</v>
      </c>
      <c r="B125" s="69">
        <f t="shared" ca="1" si="66"/>
        <v>2135.6196721518213</v>
      </c>
      <c r="C125" s="69">
        <f t="shared" ca="1" si="67"/>
        <v>2232.0347432722092</v>
      </c>
      <c r="D125" s="69">
        <f t="shared" ca="1" si="68"/>
        <v>2908.3824695882872</v>
      </c>
      <c r="E125" s="69">
        <f t="shared" ca="1" si="69"/>
        <v>1932.0595506540549</v>
      </c>
      <c r="F125" s="69">
        <f t="shared" ca="1" si="70"/>
        <v>1224.5681587088889</v>
      </c>
      <c r="G125" s="69">
        <f t="shared" ca="1" si="71"/>
        <v>964.13561753711576</v>
      </c>
      <c r="H125" s="69">
        <f t="shared" ca="1" si="72"/>
        <v>1188.4403462619682</v>
      </c>
      <c r="I125" s="69">
        <f t="shared" ca="1" si="73"/>
        <v>1044.2041816919143</v>
      </c>
      <c r="J125" s="69">
        <f t="shared" ca="1" si="74"/>
        <v>1151.1194473835515</v>
      </c>
      <c r="K125" s="69">
        <f t="shared" ca="1" si="75"/>
        <v>1178.0496413128672</v>
      </c>
      <c r="L125" s="69">
        <f t="shared" ca="1" si="76"/>
        <v>955.16031751203798</v>
      </c>
      <c r="M125" s="69">
        <f t="shared" ca="1" si="77"/>
        <v>985.05989478749154</v>
      </c>
      <c r="N125" s="69">
        <f t="shared" ca="1" si="78"/>
        <v>574.25504242867032</v>
      </c>
      <c r="O125" s="69">
        <f t="shared" ca="1" si="79"/>
        <v>630.23097232208318</v>
      </c>
      <c r="P125" s="69">
        <f t="shared" ca="1" si="80"/>
        <v>722.81437802957635</v>
      </c>
      <c r="Q125" s="69">
        <f t="shared" ca="1" si="81"/>
        <v>953.83557849568695</v>
      </c>
      <c r="R125" s="69">
        <f t="shared" ca="1" si="82"/>
        <v>783.96945194125658</v>
      </c>
      <c r="S125" s="69">
        <f t="shared" ca="1" si="83"/>
        <v>699.95794046544461</v>
      </c>
      <c r="T125" s="69">
        <f t="shared" ca="1" si="84"/>
        <v>804.49250260247538</v>
      </c>
      <c r="U125" s="69">
        <f t="shared" ca="1" si="85"/>
        <v>1694.9807686510401</v>
      </c>
      <c r="V125" s="69">
        <f t="shared" ca="1" si="86"/>
        <v>1912.4476798987071</v>
      </c>
      <c r="W125" s="69">
        <f t="shared" ca="1" si="87"/>
        <v>1175.9218124107249</v>
      </c>
      <c r="X125" s="69">
        <f t="shared" ca="1" si="88"/>
        <v>1487.9167615270192</v>
      </c>
      <c r="Y125" s="69">
        <f t="shared" ca="1" si="89"/>
        <v>1210.7603588684901</v>
      </c>
      <c r="AA125" s="20">
        <f t="shared" ca="1" si="49"/>
        <v>6.5652804931696872E+16</v>
      </c>
      <c r="AB125" s="20">
        <f t="shared" ca="1" si="50"/>
        <v>1686569709247907.8</v>
      </c>
      <c r="AC125" s="20">
        <f t="shared" ca="1" si="51"/>
        <v>401150243590362.88</v>
      </c>
      <c r="AD125" s="20">
        <f t="shared" ca="1" si="52"/>
        <v>304364072638755.19</v>
      </c>
      <c r="AE125" s="20">
        <f t="shared" ca="1" si="53"/>
        <v>6867040576346679</v>
      </c>
      <c r="AG125" s="16">
        <f t="shared" ca="1" si="54"/>
        <v>3.1790889379338961E-4</v>
      </c>
      <c r="AH125" s="16">
        <f t="shared" ca="1" si="55"/>
        <v>9.3809556672591401E-5</v>
      </c>
      <c r="AI125" s="16">
        <f t="shared" ca="1" si="56"/>
        <v>1.0027864285933733E-4</v>
      </c>
      <c r="AJ125" s="16">
        <f t="shared" ca="1" si="57"/>
        <v>-6.3599982897777406E-4</v>
      </c>
      <c r="AK125" s="16">
        <f t="shared" ca="1" si="58"/>
        <v>-2.0386338041616979E-4</v>
      </c>
      <c r="AM125" s="16">
        <f t="shared" ca="1" si="59"/>
        <v>-1.2400273565245574E-4</v>
      </c>
      <c r="AO125" s="16">
        <f t="shared" ca="1" si="60"/>
        <v>0</v>
      </c>
      <c r="AP125" s="16">
        <f t="shared" ca="1" si="61"/>
        <v>0</v>
      </c>
      <c r="AQ125" s="16">
        <f t="shared" ca="1" si="62"/>
        <v>0</v>
      </c>
      <c r="AR125" s="16">
        <f t="shared" ca="1" si="63"/>
        <v>-6.3599982897777406E-4</v>
      </c>
      <c r="AS125" s="16">
        <f t="shared" ca="1" si="64"/>
        <v>-2.0386338041616979E-4</v>
      </c>
    </row>
    <row r="126" spans="1:45" x14ac:dyDescent="0.25">
      <c r="A126" s="69">
        <f t="shared" ca="1" si="65"/>
        <v>2450.8387260258555</v>
      </c>
      <c r="B126" s="69">
        <f t="shared" ca="1" si="66"/>
        <v>2136.0739134021824</v>
      </c>
      <c r="C126" s="69">
        <f t="shared" ca="1" si="67"/>
        <v>2232.0347432722092</v>
      </c>
      <c r="D126" s="69">
        <f t="shared" ca="1" si="68"/>
        <v>2908.3636954457047</v>
      </c>
      <c r="E126" s="69">
        <f t="shared" ca="1" si="69"/>
        <v>1932.4607244074768</v>
      </c>
      <c r="F126" s="69">
        <f t="shared" ca="1" si="70"/>
        <v>1224.4119543117467</v>
      </c>
      <c r="G126" s="69">
        <f t="shared" ca="1" si="71"/>
        <v>963.90818426884948</v>
      </c>
      <c r="H126" s="69">
        <f t="shared" ca="1" si="72"/>
        <v>1188.7367988881188</v>
      </c>
      <c r="I126" s="69">
        <f t="shared" ca="1" si="73"/>
        <v>1044.1434926983288</v>
      </c>
      <c r="J126" s="69">
        <f t="shared" ca="1" si="74"/>
        <v>1151.4256900107873</v>
      </c>
      <c r="K126" s="69">
        <f t="shared" ca="1" si="75"/>
        <v>1178.3053989424536</v>
      </c>
      <c r="L126" s="69">
        <f t="shared" ca="1" si="76"/>
        <v>955.2733886682571</v>
      </c>
      <c r="M126" s="69">
        <f t="shared" ca="1" si="77"/>
        <v>985.05989478749154</v>
      </c>
      <c r="N126" s="69">
        <f t="shared" ca="1" si="78"/>
        <v>574.08174985876349</v>
      </c>
      <c r="O126" s="69">
        <f t="shared" ca="1" si="79"/>
        <v>630.27297374250099</v>
      </c>
      <c r="P126" s="69">
        <f t="shared" ca="1" si="80"/>
        <v>722.73899591740712</v>
      </c>
      <c r="Q126" s="69">
        <f t="shared" ca="1" si="81"/>
        <v>954.00278465346094</v>
      </c>
      <c r="R126" s="69">
        <f t="shared" ca="1" si="82"/>
        <v>783.96945194125658</v>
      </c>
      <c r="S126" s="69">
        <f t="shared" ca="1" si="83"/>
        <v>699.60531407884469</v>
      </c>
      <c r="T126" s="69">
        <f t="shared" ca="1" si="84"/>
        <v>804.32914379144165</v>
      </c>
      <c r="U126" s="69">
        <f t="shared" ca="1" si="85"/>
        <v>1694.9807686510401</v>
      </c>
      <c r="V126" s="69">
        <f t="shared" ca="1" si="86"/>
        <v>1912.442366498926</v>
      </c>
      <c r="W126" s="69">
        <f t="shared" ca="1" si="87"/>
        <v>1175.9218124107249</v>
      </c>
      <c r="X126" s="69">
        <f t="shared" ca="1" si="88"/>
        <v>1487.9167615270192</v>
      </c>
      <c r="Y126" s="69">
        <f t="shared" ca="1" si="89"/>
        <v>1210.5169175354331</v>
      </c>
      <c r="AA126" s="20">
        <f t="shared" ca="1" si="49"/>
        <v>6.5673679860274048E+16</v>
      </c>
      <c r="AB126" s="20">
        <f t="shared" ca="1" si="50"/>
        <v>1686727933025964.8</v>
      </c>
      <c r="AC126" s="20">
        <f t="shared" ca="1" si="51"/>
        <v>401190472409384.75</v>
      </c>
      <c r="AD126" s="20">
        <f t="shared" ca="1" si="52"/>
        <v>304170558684553.81</v>
      </c>
      <c r="AE126" s="20">
        <f t="shared" ca="1" si="53"/>
        <v>6865640780929691</v>
      </c>
      <c r="AG126" s="16">
        <f t="shared" ca="1" si="54"/>
        <v>-1.8669343381783431E-4</v>
      </c>
      <c r="AH126" s="16">
        <f t="shared" ca="1" si="55"/>
        <v>-4.7654172746971609E-5</v>
      </c>
      <c r="AI126" s="16">
        <f t="shared" ca="1" si="56"/>
        <v>2.0890551304736534E-4</v>
      </c>
      <c r="AJ126" s="16">
        <f t="shared" ca="1" si="57"/>
        <v>6.0956351022283855E-5</v>
      </c>
      <c r="AK126" s="16">
        <f t="shared" ca="1" si="58"/>
        <v>-1.5290860639780661E-4</v>
      </c>
      <c r="AM126" s="16">
        <f t="shared" ca="1" si="59"/>
        <v>3.5514257504843287E-5</v>
      </c>
      <c r="AO126" s="16">
        <f t="shared" ca="1" si="60"/>
        <v>-1.8669343381783431E-4</v>
      </c>
      <c r="AP126" s="16">
        <f t="shared" ca="1" si="61"/>
        <v>-4.7654172746971609E-5</v>
      </c>
      <c r="AQ126" s="16">
        <f t="shared" ca="1" si="62"/>
        <v>0</v>
      </c>
      <c r="AR126" s="16">
        <f t="shared" ca="1" si="63"/>
        <v>0</v>
      </c>
      <c r="AS126" s="16">
        <f t="shared" ca="1" si="64"/>
        <v>-1.5290860639780661E-4</v>
      </c>
    </row>
    <row r="127" spans="1:45" x14ac:dyDescent="0.25">
      <c r="A127" s="69">
        <f t="shared" ca="1" si="65"/>
        <v>2450.6225427585578</v>
      </c>
      <c r="B127" s="69">
        <f t="shared" ca="1" si="66"/>
        <v>2136.1788956349187</v>
      </c>
      <c r="C127" s="69">
        <f t="shared" ca="1" si="67"/>
        <v>2231.6322851222471</v>
      </c>
      <c r="D127" s="69">
        <f t="shared" ca="1" si="68"/>
        <v>2907.9651014634819</v>
      </c>
      <c r="E127" s="69">
        <f t="shared" ca="1" si="69"/>
        <v>1932.7888045200402</v>
      </c>
      <c r="F127" s="69">
        <f t="shared" ca="1" si="70"/>
        <v>1224.7393905469173</v>
      </c>
      <c r="G127" s="69">
        <f t="shared" ca="1" si="71"/>
        <v>963.47901046552693</v>
      </c>
      <c r="H127" s="69">
        <f t="shared" ca="1" si="72"/>
        <v>1188.7367988881188</v>
      </c>
      <c r="I127" s="69">
        <f t="shared" ca="1" si="73"/>
        <v>1044.279554417802</v>
      </c>
      <c r="J127" s="69">
        <f t="shared" ca="1" si="74"/>
        <v>1151.4256900107873</v>
      </c>
      <c r="K127" s="69">
        <f t="shared" ca="1" si="75"/>
        <v>1178.3053989424536</v>
      </c>
      <c r="L127" s="69">
        <f t="shared" ca="1" si="76"/>
        <v>955.2733886682571</v>
      </c>
      <c r="M127" s="69">
        <f t="shared" ca="1" si="77"/>
        <v>985.05989478749154</v>
      </c>
      <c r="N127" s="69">
        <f t="shared" ca="1" si="78"/>
        <v>574.2016912290195</v>
      </c>
      <c r="O127" s="69">
        <f t="shared" ca="1" si="79"/>
        <v>630.27297374250099</v>
      </c>
      <c r="P127" s="69">
        <f t="shared" ca="1" si="80"/>
        <v>723.12924986556345</v>
      </c>
      <c r="Q127" s="69">
        <f t="shared" ca="1" si="81"/>
        <v>954.00278465346094</v>
      </c>
      <c r="R127" s="69">
        <f t="shared" ca="1" si="82"/>
        <v>783.71429705473463</v>
      </c>
      <c r="S127" s="69">
        <f t="shared" ca="1" si="83"/>
        <v>699.17223927575412</v>
      </c>
      <c r="T127" s="69">
        <f t="shared" ca="1" si="84"/>
        <v>804.7039472364736</v>
      </c>
      <c r="U127" s="69">
        <f t="shared" ca="1" si="85"/>
        <v>1694.6142318458622</v>
      </c>
      <c r="V127" s="69">
        <f t="shared" ca="1" si="86"/>
        <v>1912.1699513231724</v>
      </c>
      <c r="W127" s="69">
        <f t="shared" ca="1" si="87"/>
        <v>1176.2682811938971</v>
      </c>
      <c r="X127" s="69">
        <f t="shared" ca="1" si="88"/>
        <v>1487.6213285856197</v>
      </c>
      <c r="Y127" s="69">
        <f t="shared" ca="1" si="89"/>
        <v>1210.6498381877511</v>
      </c>
      <c r="AA127" s="20">
        <f t="shared" ca="1" si="49"/>
        <v>6.5661420159907872E+16</v>
      </c>
      <c r="AB127" s="20">
        <f t="shared" ca="1" si="50"/>
        <v>1686647555316849</v>
      </c>
      <c r="AC127" s="20">
        <f t="shared" ca="1" si="51"/>
        <v>401274292065742.5</v>
      </c>
      <c r="AD127" s="20">
        <f t="shared" ca="1" si="52"/>
        <v>304189100377010.88</v>
      </c>
      <c r="AE127" s="20">
        <f t="shared" ca="1" si="53"/>
        <v>6864591045624678</v>
      </c>
      <c r="AG127" s="16">
        <f t="shared" ca="1" si="54"/>
        <v>-2.393924705333143E-4</v>
      </c>
      <c r="AH127" s="16">
        <f t="shared" ca="1" si="55"/>
        <v>-1.4654646293162192E-3</v>
      </c>
      <c r="AI127" s="16">
        <f t="shared" ca="1" si="56"/>
        <v>-2.0795979650098644E-4</v>
      </c>
      <c r="AJ127" s="16">
        <f t="shared" ca="1" si="57"/>
        <v>-6.7501956154034635E-4</v>
      </c>
      <c r="AK127" s="16">
        <f t="shared" ca="1" si="58"/>
        <v>2.6580114060027581E-4</v>
      </c>
      <c r="AM127" s="16">
        <f t="shared" ca="1" si="59"/>
        <v>-2.5878364578908663E-3</v>
      </c>
      <c r="AO127" s="16">
        <f t="shared" ca="1" si="60"/>
        <v>-2.393924705333143E-4</v>
      </c>
      <c r="AP127" s="16">
        <f t="shared" ca="1" si="61"/>
        <v>-1.4654646293162192E-3</v>
      </c>
      <c r="AQ127" s="16">
        <f t="shared" ca="1" si="62"/>
        <v>-2.0795979650098644E-4</v>
      </c>
      <c r="AR127" s="16">
        <f t="shared" ca="1" si="63"/>
        <v>-6.7501956154034635E-4</v>
      </c>
      <c r="AS127" s="16">
        <f t="shared" ca="1" si="64"/>
        <v>0</v>
      </c>
    </row>
    <row r="128" spans="1:45" x14ac:dyDescent="0.25">
      <c r="A128" s="69">
        <f t="shared" ca="1" si="65"/>
        <v>2450.6225427585578</v>
      </c>
      <c r="B128" s="69">
        <f t="shared" ca="1" si="66"/>
        <v>2135.6812667015324</v>
      </c>
      <c r="C128" s="69">
        <f t="shared" ca="1" si="67"/>
        <v>2231.4080912019776</v>
      </c>
      <c r="D128" s="69">
        <f t="shared" ca="1" si="68"/>
        <v>2907.9651014634819</v>
      </c>
      <c r="E128" s="69">
        <f t="shared" ca="1" si="69"/>
        <v>1932.9706003722863</v>
      </c>
      <c r="F128" s="69">
        <f t="shared" ca="1" si="70"/>
        <v>1224.293398394627</v>
      </c>
      <c r="G128" s="69">
        <f t="shared" ca="1" si="71"/>
        <v>963.15630570662734</v>
      </c>
      <c r="H128" s="69">
        <f t="shared" ca="1" si="72"/>
        <v>1188.4030766910184</v>
      </c>
      <c r="I128" s="69">
        <f t="shared" ca="1" si="73"/>
        <v>1044.1965746278793</v>
      </c>
      <c r="J128" s="69">
        <f t="shared" ca="1" si="74"/>
        <v>1150.9582924370748</v>
      </c>
      <c r="K128" s="69">
        <f t="shared" ca="1" si="75"/>
        <v>1178.0603842689573</v>
      </c>
      <c r="L128" s="69">
        <f t="shared" ca="1" si="76"/>
        <v>955.2733886682571</v>
      </c>
      <c r="M128" s="69">
        <f t="shared" ca="1" si="77"/>
        <v>985.05989478749154</v>
      </c>
      <c r="N128" s="69">
        <f t="shared" ca="1" si="78"/>
        <v>574.2016912290195</v>
      </c>
      <c r="O128" s="69">
        <f t="shared" ca="1" si="79"/>
        <v>630.27297374250099</v>
      </c>
      <c r="P128" s="69">
        <f t="shared" ca="1" si="80"/>
        <v>722.97077774688364</v>
      </c>
      <c r="Q128" s="69">
        <f t="shared" ca="1" si="81"/>
        <v>953.83228908752073</v>
      </c>
      <c r="R128" s="69">
        <f t="shared" ca="1" si="82"/>
        <v>783.71429705473463</v>
      </c>
      <c r="S128" s="69">
        <f t="shared" ca="1" si="83"/>
        <v>699.17223927575412</v>
      </c>
      <c r="T128" s="69">
        <f t="shared" ca="1" si="84"/>
        <v>804.48098190535723</v>
      </c>
      <c r="U128" s="69">
        <f t="shared" ca="1" si="85"/>
        <v>1694.1950051649467</v>
      </c>
      <c r="V128" s="69">
        <f t="shared" ca="1" si="86"/>
        <v>1912.1699513231724</v>
      </c>
      <c r="W128" s="69">
        <f t="shared" ca="1" si="87"/>
        <v>1176.4065230809522</v>
      </c>
      <c r="X128" s="69">
        <f t="shared" ca="1" si="88"/>
        <v>1487.6213285856197</v>
      </c>
      <c r="Y128" s="69">
        <f t="shared" ca="1" si="89"/>
        <v>1211.128987747431</v>
      </c>
      <c r="AA128" s="20">
        <f t="shared" ca="1" si="49"/>
        <v>6.5645703191654056E+16</v>
      </c>
      <c r="AB128" s="20">
        <f t="shared" ca="1" si="50"/>
        <v>1684177643208854.5</v>
      </c>
      <c r="AC128" s="20">
        <f t="shared" ca="1" si="51"/>
        <v>401190851822032.19</v>
      </c>
      <c r="AD128" s="20">
        <f t="shared" ca="1" si="52"/>
        <v>303983836070354.25</v>
      </c>
      <c r="AE128" s="20">
        <f t="shared" ca="1" si="53"/>
        <v>6866415904268370</v>
      </c>
      <c r="AG128" s="16">
        <f t="shared" ca="1" si="54"/>
        <v>2.4085444549133513E-4</v>
      </c>
      <c r="AH128" s="16">
        <f t="shared" ca="1" si="55"/>
        <v>-3.6264441503487205E-4</v>
      </c>
      <c r="AI128" s="16">
        <f t="shared" ca="1" si="56"/>
        <v>6.3992777044939817E-4</v>
      </c>
      <c r="AJ128" s="16">
        <f t="shared" ca="1" si="57"/>
        <v>8.4808790822328691E-4</v>
      </c>
      <c r="AK128" s="16">
        <f t="shared" ca="1" si="58"/>
        <v>-3.6596560467772038E-4</v>
      </c>
      <c r="AM128" s="16">
        <f t="shared" ca="1" si="59"/>
        <v>1.3662257091291482E-3</v>
      </c>
      <c r="AO128" s="16">
        <f t="shared" ca="1" si="60"/>
        <v>0</v>
      </c>
      <c r="AP128" s="16">
        <f t="shared" ca="1" si="61"/>
        <v>-3.6264441503487205E-4</v>
      </c>
      <c r="AQ128" s="16">
        <f t="shared" ca="1" si="62"/>
        <v>0</v>
      </c>
      <c r="AR128" s="16">
        <f t="shared" ca="1" si="63"/>
        <v>0</v>
      </c>
      <c r="AS128" s="16">
        <f t="shared" ca="1" si="64"/>
        <v>-3.6596560467772038E-4</v>
      </c>
    </row>
    <row r="129" spans="1:45" x14ac:dyDescent="0.25">
      <c r="A129" s="69">
        <f t="shared" ca="1" si="65"/>
        <v>2451.0310528630434</v>
      </c>
      <c r="B129" s="69">
        <f t="shared" ca="1" si="66"/>
        <v>2135.6812667015324</v>
      </c>
      <c r="C129" s="69">
        <f t="shared" ca="1" si="67"/>
        <v>2231.5886813913876</v>
      </c>
      <c r="D129" s="69">
        <f t="shared" ca="1" si="68"/>
        <v>2907.9454556271999</v>
      </c>
      <c r="E129" s="69">
        <f t="shared" ca="1" si="69"/>
        <v>1932.9706003722863</v>
      </c>
      <c r="F129" s="69">
        <f t="shared" ca="1" si="70"/>
        <v>1223.8024560010604</v>
      </c>
      <c r="G129" s="69">
        <f t="shared" ca="1" si="71"/>
        <v>963.15630570662734</v>
      </c>
      <c r="H129" s="69">
        <f t="shared" ca="1" si="72"/>
        <v>1188.4487557572022</v>
      </c>
      <c r="I129" s="69">
        <f t="shared" ca="1" si="73"/>
        <v>1044.1965746278793</v>
      </c>
      <c r="J129" s="69">
        <f t="shared" ca="1" si="74"/>
        <v>1150.9582924370748</v>
      </c>
      <c r="K129" s="69">
        <f t="shared" ca="1" si="75"/>
        <v>1178.3430286647756</v>
      </c>
      <c r="L129" s="69">
        <f t="shared" ca="1" si="76"/>
        <v>955.2733886682571</v>
      </c>
      <c r="M129" s="69">
        <f t="shared" ca="1" si="77"/>
        <v>985.20514112168917</v>
      </c>
      <c r="N129" s="69">
        <f t="shared" ca="1" si="78"/>
        <v>574.2016912290195</v>
      </c>
      <c r="O129" s="69">
        <f t="shared" ca="1" si="79"/>
        <v>630.43219743508951</v>
      </c>
      <c r="P129" s="69">
        <f t="shared" ca="1" si="80"/>
        <v>722.97077774688364</v>
      </c>
      <c r="Q129" s="69">
        <f t="shared" ca="1" si="81"/>
        <v>954.15475308890677</v>
      </c>
      <c r="R129" s="69">
        <f t="shared" ca="1" si="82"/>
        <v>783.7363027994794</v>
      </c>
      <c r="S129" s="69">
        <f t="shared" ca="1" si="83"/>
        <v>699.57542936283892</v>
      </c>
      <c r="T129" s="69">
        <f t="shared" ca="1" si="84"/>
        <v>804.40495648694559</v>
      </c>
      <c r="U129" s="69">
        <f t="shared" ca="1" si="85"/>
        <v>1694.1950051649467</v>
      </c>
      <c r="V129" s="69">
        <f t="shared" ca="1" si="86"/>
        <v>1912.1699513231724</v>
      </c>
      <c r="W129" s="69">
        <f t="shared" ca="1" si="87"/>
        <v>1176.4065230809522</v>
      </c>
      <c r="X129" s="69">
        <f t="shared" ca="1" si="88"/>
        <v>1487.6213285856197</v>
      </c>
      <c r="Y129" s="69">
        <f t="shared" ca="1" si="89"/>
        <v>1210.685837288946</v>
      </c>
      <c r="AA129" s="20">
        <f t="shared" ca="1" si="49"/>
        <v>6.5661516155330024E+16</v>
      </c>
      <c r="AB129" s="20">
        <f t="shared" ca="1" si="50"/>
        <v>1683566996323151.8</v>
      </c>
      <c r="AC129" s="20">
        <f t="shared" ca="1" si="51"/>
        <v>401447667152230.19</v>
      </c>
      <c r="AD129" s="20">
        <f t="shared" ca="1" si="52"/>
        <v>304241750437590.13</v>
      </c>
      <c r="AE129" s="20">
        <f t="shared" ca="1" si="53"/>
        <v>6863903491976278</v>
      </c>
      <c r="AG129" s="16">
        <f t="shared" ca="1" si="54"/>
        <v>2.9365823250571816E-4</v>
      </c>
      <c r="AH129" s="16">
        <f t="shared" ca="1" si="55"/>
        <v>-3.6009145605663971E-4</v>
      </c>
      <c r="AI129" s="16">
        <f t="shared" ca="1" si="56"/>
        <v>-1.8143742423894758E-4</v>
      </c>
      <c r="AJ129" s="16">
        <f t="shared" ca="1" si="57"/>
        <v>-7.3076816195585305E-4</v>
      </c>
      <c r="AK129" s="16">
        <f t="shared" ca="1" si="58"/>
        <v>3.6176083469147255E-4</v>
      </c>
      <c r="AM129" s="16">
        <f t="shared" ca="1" si="59"/>
        <v>-9.7863880974572229E-4</v>
      </c>
      <c r="AO129" s="16">
        <f t="shared" ca="1" si="60"/>
        <v>0</v>
      </c>
      <c r="AP129" s="16">
        <f t="shared" ca="1" si="61"/>
        <v>-3.6009145605663971E-4</v>
      </c>
      <c r="AQ129" s="16">
        <f t="shared" ca="1" si="62"/>
        <v>-1.8143742423894758E-4</v>
      </c>
      <c r="AR129" s="16">
        <f t="shared" ca="1" si="63"/>
        <v>-7.3076816195585305E-4</v>
      </c>
      <c r="AS129" s="16">
        <f t="shared" ca="1" si="64"/>
        <v>0</v>
      </c>
    </row>
    <row r="130" spans="1:45" x14ac:dyDescent="0.25">
      <c r="A130" s="69">
        <f t="shared" ca="1" si="65"/>
        <v>2451.0310528630434</v>
      </c>
      <c r="B130" s="69">
        <f t="shared" ca="1" si="66"/>
        <v>2135.2488716897919</v>
      </c>
      <c r="C130" s="69">
        <f t="shared" ca="1" si="67"/>
        <v>2232.0641207857457</v>
      </c>
      <c r="D130" s="69">
        <f t="shared" ca="1" si="68"/>
        <v>2908.4373056685172</v>
      </c>
      <c r="E130" s="69">
        <f t="shared" ca="1" si="69"/>
        <v>1933.1909488955712</v>
      </c>
      <c r="F130" s="69">
        <f t="shared" ca="1" si="70"/>
        <v>1223.7934759712352</v>
      </c>
      <c r="G130" s="69">
        <f t="shared" ca="1" si="71"/>
        <v>963.15630570662734</v>
      </c>
      <c r="H130" s="69">
        <f t="shared" ca="1" si="72"/>
        <v>1188.4723351202651</v>
      </c>
      <c r="I130" s="69">
        <f t="shared" ca="1" si="73"/>
        <v>1044.1965746278793</v>
      </c>
      <c r="J130" s="69">
        <f t="shared" ca="1" si="74"/>
        <v>1150.529532306821</v>
      </c>
      <c r="K130" s="69">
        <f t="shared" ca="1" si="75"/>
        <v>1178.3430286647756</v>
      </c>
      <c r="L130" s="69">
        <f t="shared" ca="1" si="76"/>
        <v>955.73250118058729</v>
      </c>
      <c r="M130" s="69">
        <f t="shared" ca="1" si="77"/>
        <v>985.12365636054642</v>
      </c>
      <c r="N130" s="69">
        <f t="shared" ca="1" si="78"/>
        <v>573.86919921422964</v>
      </c>
      <c r="O130" s="69">
        <f t="shared" ca="1" si="79"/>
        <v>630.43219743508951</v>
      </c>
      <c r="P130" s="69">
        <f t="shared" ca="1" si="80"/>
        <v>722.57802530300978</v>
      </c>
      <c r="Q130" s="69">
        <f t="shared" ca="1" si="81"/>
        <v>954.15475308890677</v>
      </c>
      <c r="R130" s="69">
        <f t="shared" ca="1" si="82"/>
        <v>783.7363027994794</v>
      </c>
      <c r="S130" s="69">
        <f t="shared" ca="1" si="83"/>
        <v>699.57542936283892</v>
      </c>
      <c r="T130" s="69">
        <f t="shared" ca="1" si="84"/>
        <v>804.25424721589081</v>
      </c>
      <c r="U130" s="69">
        <f t="shared" ca="1" si="85"/>
        <v>1694.442945899644</v>
      </c>
      <c r="V130" s="69">
        <f t="shared" ca="1" si="86"/>
        <v>1912.1699513231724</v>
      </c>
      <c r="W130" s="69">
        <f t="shared" ca="1" si="87"/>
        <v>1176.4943897818521</v>
      </c>
      <c r="X130" s="69">
        <f t="shared" ca="1" si="88"/>
        <v>1487.8307057076768</v>
      </c>
      <c r="Y130" s="69">
        <f t="shared" ca="1" si="89"/>
        <v>1210.685837288946</v>
      </c>
      <c r="AA130" s="20">
        <f t="shared" ca="1" si="49"/>
        <v>6.5680801031550592E+16</v>
      </c>
      <c r="AB130" s="20">
        <f t="shared" ca="1" si="50"/>
        <v>1682960867369555</v>
      </c>
      <c r="AC130" s="20">
        <f t="shared" ca="1" si="51"/>
        <v>401374836128871.81</v>
      </c>
      <c r="AD130" s="20">
        <f t="shared" ca="1" si="52"/>
        <v>304019501468958.25</v>
      </c>
      <c r="AE130" s="20">
        <f t="shared" ca="1" si="53"/>
        <v>6866387032629561</v>
      </c>
      <c r="AG130" s="16">
        <f t="shared" ca="1" si="54"/>
        <v>-2.3832433232116694E-4</v>
      </c>
      <c r="AH130" s="16">
        <f t="shared" ca="1" si="55"/>
        <v>8.9364397772415517E-4</v>
      </c>
      <c r="AI130" s="16">
        <f t="shared" ca="1" si="56"/>
        <v>1.1265928651368807E-4</v>
      </c>
      <c r="AJ130" s="16">
        <f t="shared" ca="1" si="57"/>
        <v>7.2915148644860041E-4</v>
      </c>
      <c r="AK130" s="16">
        <f t="shared" ca="1" si="58"/>
        <v>2.6240363484007795E-5</v>
      </c>
      <c r="AM130" s="16">
        <f t="shared" ca="1" si="59"/>
        <v>1.4971304183652766E-3</v>
      </c>
      <c r="AO130" s="16">
        <f t="shared" ca="1" si="60"/>
        <v>-2.3832433232116694E-4</v>
      </c>
      <c r="AP130" s="16">
        <f t="shared" ca="1" si="61"/>
        <v>0</v>
      </c>
      <c r="AQ130" s="16">
        <f t="shared" ca="1" si="62"/>
        <v>0</v>
      </c>
      <c r="AR130" s="16">
        <f t="shared" ca="1" si="63"/>
        <v>0</v>
      </c>
      <c r="AS130" s="16">
        <f t="shared" ca="1" si="64"/>
        <v>0</v>
      </c>
    </row>
    <row r="131" spans="1:45" x14ac:dyDescent="0.25">
      <c r="A131" s="69">
        <f t="shared" ca="1" si="65"/>
        <v>2451.0310528630434</v>
      </c>
      <c r="B131" s="69">
        <f t="shared" ca="1" si="66"/>
        <v>2135.0659026460048</v>
      </c>
      <c r="C131" s="69">
        <f t="shared" ca="1" si="67"/>
        <v>2232.0641207857457</v>
      </c>
      <c r="D131" s="69">
        <f t="shared" ca="1" si="68"/>
        <v>2908.4373056685172</v>
      </c>
      <c r="E131" s="69">
        <f t="shared" ca="1" si="69"/>
        <v>1932.895906809395</v>
      </c>
      <c r="F131" s="69">
        <f t="shared" ca="1" si="70"/>
        <v>1223.7934759712352</v>
      </c>
      <c r="G131" s="69">
        <f t="shared" ca="1" si="71"/>
        <v>963.41709580990062</v>
      </c>
      <c r="H131" s="69">
        <f t="shared" ca="1" si="72"/>
        <v>1188.6474410408084</v>
      </c>
      <c r="I131" s="69">
        <f t="shared" ca="1" si="73"/>
        <v>1044.6933004912862</v>
      </c>
      <c r="J131" s="69">
        <f t="shared" ca="1" si="74"/>
        <v>1150.529532306821</v>
      </c>
      <c r="K131" s="69">
        <f t="shared" ca="1" si="75"/>
        <v>1178.8084170511829</v>
      </c>
      <c r="L131" s="69">
        <f t="shared" ca="1" si="76"/>
        <v>955.73250118058729</v>
      </c>
      <c r="M131" s="69">
        <f t="shared" ca="1" si="77"/>
        <v>985.12365636054642</v>
      </c>
      <c r="N131" s="69">
        <f t="shared" ca="1" si="78"/>
        <v>574.15671430256589</v>
      </c>
      <c r="O131" s="69">
        <f t="shared" ca="1" si="79"/>
        <v>629.93869901844914</v>
      </c>
      <c r="P131" s="69">
        <f t="shared" ca="1" si="80"/>
        <v>722.79216713708092</v>
      </c>
      <c r="Q131" s="69">
        <f t="shared" ca="1" si="81"/>
        <v>954.15475308890677</v>
      </c>
      <c r="R131" s="69">
        <f t="shared" ca="1" si="82"/>
        <v>783.7363027994794</v>
      </c>
      <c r="S131" s="69">
        <f t="shared" ca="1" si="83"/>
        <v>699.67702670768949</v>
      </c>
      <c r="T131" s="69">
        <f t="shared" ca="1" si="84"/>
        <v>804.48560066343475</v>
      </c>
      <c r="U131" s="69">
        <f t="shared" ca="1" si="85"/>
        <v>1694.442945899644</v>
      </c>
      <c r="V131" s="69">
        <f t="shared" ca="1" si="86"/>
        <v>1912.1699513231724</v>
      </c>
      <c r="W131" s="69">
        <f t="shared" ca="1" si="87"/>
        <v>1176.5252618273219</v>
      </c>
      <c r="X131" s="69">
        <f t="shared" ca="1" si="88"/>
        <v>1487.8307057076768</v>
      </c>
      <c r="Y131" s="69">
        <f t="shared" ca="1" si="89"/>
        <v>1210.685837288946</v>
      </c>
      <c r="AA131" s="20">
        <f t="shared" ref="AA131:AA194" ca="1" si="90">A131*B131*C131*D131*E131</f>
        <v>6.5665149563635328E+16</v>
      </c>
      <c r="AB131" s="20">
        <f t="shared" ref="AB131:AB194" ca="1" si="91">F131*G131*H131*I131*J131</f>
        <v>1684465507419551.3</v>
      </c>
      <c r="AC131" s="20">
        <f t="shared" ref="AC131:AC194" ca="1" si="92">K131*L131*M131*N131*O131</f>
        <v>401420057278778.06</v>
      </c>
      <c r="AD131" s="20">
        <f t="shared" ref="AD131:AD194" ca="1" si="93">P131*Q131*R131*S131*T131</f>
        <v>304241258577801.5</v>
      </c>
      <c r="AE131" s="20">
        <f t="shared" ref="AE131:AE194" ca="1" si="94">U131*V131*W131*X131*Y131</f>
        <v>6866567211485088</v>
      </c>
      <c r="AG131" s="16">
        <f t="shared" ca="1" si="54"/>
        <v>1.2904107028127425E-4</v>
      </c>
      <c r="AH131" s="16">
        <f t="shared" ca="1" si="55"/>
        <v>3.4726682819469402E-4</v>
      </c>
      <c r="AI131" s="16">
        <f t="shared" ca="1" si="56"/>
        <v>4.2823992606968905E-4</v>
      </c>
      <c r="AJ131" s="16">
        <f t="shared" ca="1" si="57"/>
        <v>7.6855293623006768E-4</v>
      </c>
      <c r="AK131" s="16">
        <f t="shared" ca="1" si="58"/>
        <v>-1.448436124096969E-4</v>
      </c>
      <c r="AM131" s="16">
        <f t="shared" ca="1" si="59"/>
        <v>1.673100760775725E-3</v>
      </c>
      <c r="AO131" s="16">
        <f t="shared" ca="1" si="60"/>
        <v>0</v>
      </c>
      <c r="AP131" s="16">
        <f t="shared" ca="1" si="61"/>
        <v>0</v>
      </c>
      <c r="AQ131" s="16">
        <f t="shared" ca="1" si="62"/>
        <v>0</v>
      </c>
      <c r="AR131" s="16">
        <f t="shared" ca="1" si="63"/>
        <v>0</v>
      </c>
      <c r="AS131" s="16">
        <f t="shared" ca="1" si="64"/>
        <v>-1.448436124096969E-4</v>
      </c>
    </row>
    <row r="132" spans="1:45" x14ac:dyDescent="0.25">
      <c r="A132" s="69">
        <f t="shared" ca="1" si="65"/>
        <v>2451.0594103664725</v>
      </c>
      <c r="B132" s="69">
        <f t="shared" ca="1" si="66"/>
        <v>2135.0659026460048</v>
      </c>
      <c r="C132" s="69">
        <f t="shared" ca="1" si="67"/>
        <v>2232.0563883389905</v>
      </c>
      <c r="D132" s="69">
        <f t="shared" ca="1" si="68"/>
        <v>2908.4373056685172</v>
      </c>
      <c r="E132" s="69">
        <f t="shared" ca="1" si="69"/>
        <v>1933.1296772174967</v>
      </c>
      <c r="F132" s="69">
        <f t="shared" ca="1" si="70"/>
        <v>1223.7934759712352</v>
      </c>
      <c r="G132" s="69">
        <f t="shared" ca="1" si="71"/>
        <v>963.30315613846665</v>
      </c>
      <c r="H132" s="69">
        <f t="shared" ca="1" si="72"/>
        <v>1188.8342492325405</v>
      </c>
      <c r="I132" s="69">
        <f t="shared" ca="1" si="73"/>
        <v>1044.9930839721462</v>
      </c>
      <c r="J132" s="69">
        <f t="shared" ca="1" si="74"/>
        <v>1150.5542400330251</v>
      </c>
      <c r="K132" s="69">
        <f t="shared" ca="1" si="75"/>
        <v>1179.2817713095455</v>
      </c>
      <c r="L132" s="69">
        <f t="shared" ca="1" si="76"/>
        <v>955.73250118058729</v>
      </c>
      <c r="M132" s="69">
        <f t="shared" ca="1" si="77"/>
        <v>985.15002586863511</v>
      </c>
      <c r="N132" s="69">
        <f t="shared" ca="1" si="78"/>
        <v>574.15671430256589</v>
      </c>
      <c r="O132" s="69">
        <f t="shared" ca="1" si="79"/>
        <v>629.93869901844914</v>
      </c>
      <c r="P132" s="69">
        <f t="shared" ca="1" si="80"/>
        <v>723.20523636748635</v>
      </c>
      <c r="Q132" s="69">
        <f t="shared" ca="1" si="81"/>
        <v>953.79088851013842</v>
      </c>
      <c r="R132" s="69">
        <f t="shared" ca="1" si="82"/>
        <v>783.54682482168835</v>
      </c>
      <c r="S132" s="69">
        <f t="shared" ca="1" si="83"/>
        <v>699.82566972888105</v>
      </c>
      <c r="T132" s="69">
        <f t="shared" ca="1" si="84"/>
        <v>804.97488826619747</v>
      </c>
      <c r="U132" s="69">
        <f t="shared" ca="1" si="85"/>
        <v>1694.442945899644</v>
      </c>
      <c r="V132" s="69">
        <f t="shared" ca="1" si="86"/>
        <v>1911.8256101440479</v>
      </c>
      <c r="W132" s="69">
        <f t="shared" ca="1" si="87"/>
        <v>1176.5252618273219</v>
      </c>
      <c r="X132" s="69">
        <f t="shared" ca="1" si="88"/>
        <v>1488.2107474010779</v>
      </c>
      <c r="Y132" s="69">
        <f t="shared" ca="1" si="89"/>
        <v>1210.4193348020108</v>
      </c>
      <c r="AA132" s="20">
        <f t="shared" ca="1" si="90"/>
        <v>6.5673623611553544E+16</v>
      </c>
      <c r="AB132" s="20">
        <f t="shared" ca="1" si="91"/>
        <v>1685050567993701.5</v>
      </c>
      <c r="AC132" s="20">
        <f t="shared" ca="1" si="92"/>
        <v>401591998187783.38</v>
      </c>
      <c r="AD132" s="20">
        <f t="shared" ca="1" si="93"/>
        <v>304475173967069.44</v>
      </c>
      <c r="AE132" s="20">
        <f t="shared" ca="1" si="94"/>
        <v>6865572705111009</v>
      </c>
      <c r="AG132" s="16">
        <f t="shared" ref="AG132:AG195" ca="1" si="95">LN(AA133/AA132)</f>
        <v>-2.8232002682847501E-4</v>
      </c>
      <c r="AH132" s="16">
        <f t="shared" ref="AH132:AH195" ca="1" si="96">LN(AB133/AB132)</f>
        <v>3.49284248968545E-4</v>
      </c>
      <c r="AI132" s="16">
        <f t="shared" ref="AI132:AI195" ca="1" si="97">LN(AC133/AC132)</f>
        <v>-7.0367119642348339E-4</v>
      </c>
      <c r="AJ132" s="16">
        <f t="shared" ref="AJ132:AJ195" ca="1" si="98">LN(AD133/AD132)</f>
        <v>1.0591106720827677E-4</v>
      </c>
      <c r="AK132" s="16">
        <f t="shared" ref="AK132:AK195" ca="1" si="99">LN(AE133/AE132)</f>
        <v>-3.570488079906677E-4</v>
      </c>
      <c r="AM132" s="16">
        <f t="shared" ref="AM132:AM195" ca="1" si="100">AG132+AH132+AI132+AJ132</f>
        <v>-5.307959070751366E-4</v>
      </c>
      <c r="AO132" s="16">
        <f t="shared" ref="AO132:AO195" ca="1" si="101">MIN(AG132,0)</f>
        <v>-2.8232002682847501E-4</v>
      </c>
      <c r="AP132" s="16">
        <f t="shared" ref="AP132:AP195" ca="1" si="102">MIN(AH132,0)</f>
        <v>0</v>
      </c>
      <c r="AQ132" s="16">
        <f t="shared" ref="AQ132:AQ195" ca="1" si="103">MIN(AI132,0)</f>
        <v>-7.0367119642348339E-4</v>
      </c>
      <c r="AR132" s="16">
        <f t="shared" ref="AR132:AR195" ca="1" si="104">MIN(AJ132,0)</f>
        <v>0</v>
      </c>
      <c r="AS132" s="16">
        <f t="shared" ref="AS132:AS195" ca="1" si="105">MIN(AK132,0)</f>
        <v>-3.570488079906677E-4</v>
      </c>
    </row>
    <row r="133" spans="1:45" x14ac:dyDescent="0.25">
      <c r="A133" s="69">
        <f t="shared" ref="A133:A196" ca="1" si="106">A132+ $A$1 * RAND()  * RANDBETWEEN(-1,1)</f>
        <v>2450.65337240914</v>
      </c>
      <c r="B133" s="69">
        <f t="shared" ref="B133:B196" ca="1" si="107">B132+ $A$1 * RAND()  * RANDBETWEEN(-1,1)</f>
        <v>2135.202990816616</v>
      </c>
      <c r="C133" s="69">
        <f t="shared" ref="C133:C196" ca="1" si="108">C132+ $A$1 * RAND()  * RANDBETWEEN(-1,1)</f>
        <v>2231.6385106833341</v>
      </c>
      <c r="D133" s="69">
        <f t="shared" ref="D133:D196" ca="1" si="109">D132+ $A$1 * RAND()  * RANDBETWEEN(-1,1)</f>
        <v>2908.4373056685172</v>
      </c>
      <c r="E133" s="69">
        <f t="shared" ref="E133:E196" ca="1" si="110">E132+ $A$1 * RAND()  * RANDBETWEEN(-1,1)</f>
        <v>1933.1420105050966</v>
      </c>
      <c r="F133" s="69">
        <f t="shared" ref="F133:F196" ca="1" si="111">F132+ $A$1 * RAND()  * RANDBETWEEN(-1,1)</f>
        <v>1223.793397829746</v>
      </c>
      <c r="G133" s="69">
        <f t="shared" ref="G133:G196" ca="1" si="112">G132+ $A$1 * RAND()  * RANDBETWEEN(-1,1)</f>
        <v>963.48274964101199</v>
      </c>
      <c r="H133" s="69">
        <f t="shared" ref="H133:H196" ca="1" si="113">H132+ $A$1 * RAND()  * RANDBETWEEN(-1,1)</f>
        <v>1188.8342492325405</v>
      </c>
      <c r="I133" s="69">
        <f t="shared" ref="I133:I196" ca="1" si="114">I132+ $A$1 * RAND()  * RANDBETWEEN(-1,1)</f>
        <v>1045.1888650528799</v>
      </c>
      <c r="J133" s="69">
        <f t="shared" ref="J133:J196" ca="1" si="115">J132+ $A$1 * RAND()  * RANDBETWEEN(-1,1)</f>
        <v>1150.5261626960767</v>
      </c>
      <c r="K133" s="69">
        <f t="shared" ref="K133:K196" ca="1" si="116">K132+ $A$1 * RAND()  * RANDBETWEEN(-1,1)</f>
        <v>1179.2817713095455</v>
      </c>
      <c r="L133" s="69">
        <f t="shared" ref="L133:L196" ca="1" si="117">L132+ $A$1 * RAND()  * RANDBETWEEN(-1,1)</f>
        <v>956.03050426519258</v>
      </c>
      <c r="M133" s="69">
        <f t="shared" ref="M133:M196" ca="1" si="118">M132+ $A$1 * RAND()  * RANDBETWEEN(-1,1)</f>
        <v>984.74778243638559</v>
      </c>
      <c r="N133" s="69">
        <f t="shared" ref="N133:N196" ca="1" si="119">N132+ $A$1 * RAND()  * RANDBETWEEN(-1,1)</f>
        <v>574.15671430256589</v>
      </c>
      <c r="O133" s="69">
        <f t="shared" ref="O133:O196" ca="1" si="120">O132+ $A$1 * RAND()  * RANDBETWEEN(-1,1)</f>
        <v>629.55641808479743</v>
      </c>
      <c r="P133" s="69">
        <f t="shared" ref="P133:P196" ca="1" si="121">P132+ $A$1 * RAND()  * RANDBETWEEN(-1,1)</f>
        <v>723.20523636748635</v>
      </c>
      <c r="Q133" s="69">
        <f t="shared" ref="Q133:Q196" ca="1" si="122">Q132+ $A$1 * RAND()  * RANDBETWEEN(-1,1)</f>
        <v>954.12878496247095</v>
      </c>
      <c r="R133" s="69">
        <f t="shared" ref="R133:R196" ca="1" si="123">R132+ $A$1 * RAND()  * RANDBETWEEN(-1,1)</f>
        <v>783.13703734678518</v>
      </c>
      <c r="S133" s="69">
        <f t="shared" ref="S133:S196" ca="1" si="124">S132+ $A$1 * RAND()  * RANDBETWEEN(-1,1)</f>
        <v>700.01803220015836</v>
      </c>
      <c r="T133" s="69">
        <f t="shared" ref="T133:T196" ca="1" si="125">T132+ $A$1 * RAND()  * RANDBETWEEN(-1,1)</f>
        <v>804.97488826619747</v>
      </c>
      <c r="U133" s="69">
        <f t="shared" ref="U133:U196" ca="1" si="126">U132+ $A$1 * RAND()  * RANDBETWEEN(-1,1)</f>
        <v>1694.442945899644</v>
      </c>
      <c r="V133" s="69">
        <f t="shared" ref="V133:V196" ca="1" si="127">V132+ $A$1 * RAND()  * RANDBETWEEN(-1,1)</f>
        <v>1911.4298289060494</v>
      </c>
      <c r="W133" s="69">
        <f t="shared" ref="W133:W196" ca="1" si="128">W132+ $A$1 * RAND()  * RANDBETWEEN(-1,1)</f>
        <v>1176.5252618273219</v>
      </c>
      <c r="X133" s="69">
        <f t="shared" ref="X133:X196" ca="1" si="129">X132+ $A$1 * RAND()  * RANDBETWEEN(-1,1)</f>
        <v>1488.2107474010779</v>
      </c>
      <c r="Y133" s="69">
        <f t="shared" ref="Y133:Y196" ca="1" si="130">Y132+ $A$1 * RAND()  * RANDBETWEEN(-1,1)</f>
        <v>1210.2377734887802</v>
      </c>
      <c r="AA133" s="20">
        <f t="shared" ca="1" si="90"/>
        <v>6.5655085249372192E+16</v>
      </c>
      <c r="AB133" s="20">
        <f t="shared" ca="1" si="91"/>
        <v>1685639232415437.8</v>
      </c>
      <c r="AC133" s="20">
        <f t="shared" ca="1" si="92"/>
        <v>401309508867399.81</v>
      </c>
      <c r="AD133" s="20">
        <f t="shared" ca="1" si="93"/>
        <v>304507422965415.5</v>
      </c>
      <c r="AE133" s="20">
        <f t="shared" ca="1" si="94"/>
        <v>6863121798133221</v>
      </c>
      <c r="AG133" s="16">
        <f t="shared" ca="1" si="95"/>
        <v>1.8755076363194216E-4</v>
      </c>
      <c r="AH133" s="16">
        <f t="shared" ca="1" si="96"/>
        <v>7.8274160478279079E-4</v>
      </c>
      <c r="AI133" s="16">
        <f t="shared" ca="1" si="97"/>
        <v>1.4980419325098552E-4</v>
      </c>
      <c r="AJ133" s="16">
        <f t="shared" ca="1" si="98"/>
        <v>-6.3142843509801606E-4</v>
      </c>
      <c r="AK133" s="16">
        <f t="shared" ca="1" si="99"/>
        <v>4.1455389490163886E-4</v>
      </c>
      <c r="AM133" s="16">
        <f t="shared" ca="1" si="100"/>
        <v>4.8866812656770233E-4</v>
      </c>
      <c r="AO133" s="16">
        <f t="shared" ca="1" si="101"/>
        <v>0</v>
      </c>
      <c r="AP133" s="16">
        <f t="shared" ca="1" si="102"/>
        <v>0</v>
      </c>
      <c r="AQ133" s="16">
        <f t="shared" ca="1" si="103"/>
        <v>0</v>
      </c>
      <c r="AR133" s="16">
        <f t="shared" ca="1" si="104"/>
        <v>-6.3142843509801606E-4</v>
      </c>
      <c r="AS133" s="16">
        <f t="shared" ca="1" si="105"/>
        <v>0</v>
      </c>
    </row>
    <row r="134" spans="1:45" x14ac:dyDescent="0.25">
      <c r="A134" s="69">
        <f t="shared" ca="1" si="106"/>
        <v>2450.65337240914</v>
      </c>
      <c r="B134" s="69">
        <f t="shared" ca="1" si="107"/>
        <v>2135.3442646579078</v>
      </c>
      <c r="C134" s="69">
        <f t="shared" ca="1" si="108"/>
        <v>2231.4005302864143</v>
      </c>
      <c r="D134" s="69">
        <f t="shared" ca="1" si="109"/>
        <v>2908.4373056685172</v>
      </c>
      <c r="E134" s="69">
        <f t="shared" ca="1" si="110"/>
        <v>1933.5828825363906</v>
      </c>
      <c r="F134" s="69">
        <f t="shared" ca="1" si="111"/>
        <v>1223.793397829746</v>
      </c>
      <c r="G134" s="69">
        <f t="shared" ca="1" si="112"/>
        <v>963.75790427265929</v>
      </c>
      <c r="H134" s="69">
        <f t="shared" ca="1" si="113"/>
        <v>1189.2982577234079</v>
      </c>
      <c r="I134" s="69">
        <f t="shared" ca="1" si="114"/>
        <v>1045.0226242012836</v>
      </c>
      <c r="J134" s="69">
        <f t="shared" ca="1" si="115"/>
        <v>1150.8322845393998</v>
      </c>
      <c r="K134" s="69">
        <f t="shared" ca="1" si="116"/>
        <v>1179.7443899917389</v>
      </c>
      <c r="L134" s="69">
        <f t="shared" ca="1" si="117"/>
        <v>956.03050426519258</v>
      </c>
      <c r="M134" s="69">
        <f t="shared" ca="1" si="118"/>
        <v>984.45524485127373</v>
      </c>
      <c r="N134" s="69">
        <f t="shared" ca="1" si="119"/>
        <v>574.09948737152081</v>
      </c>
      <c r="O134" s="69">
        <f t="shared" ca="1" si="120"/>
        <v>629.65361746925214</v>
      </c>
      <c r="P134" s="69">
        <f t="shared" ca="1" si="121"/>
        <v>722.97270916083994</v>
      </c>
      <c r="Q134" s="69">
        <f t="shared" ca="1" si="122"/>
        <v>954.12878496247095</v>
      </c>
      <c r="R134" s="69">
        <f t="shared" ca="1" si="123"/>
        <v>783.21292355819355</v>
      </c>
      <c r="S134" s="69">
        <f t="shared" ca="1" si="124"/>
        <v>699.78724034558911</v>
      </c>
      <c r="T134" s="69">
        <f t="shared" ca="1" si="125"/>
        <v>804.91290702530785</v>
      </c>
      <c r="U134" s="69">
        <f t="shared" ca="1" si="126"/>
        <v>1694.442945899644</v>
      </c>
      <c r="V134" s="69">
        <f t="shared" ca="1" si="127"/>
        <v>1911.6006207669502</v>
      </c>
      <c r="W134" s="69">
        <f t="shared" ca="1" si="128"/>
        <v>1176.7921695141099</v>
      </c>
      <c r="X134" s="69">
        <f t="shared" ca="1" si="129"/>
        <v>1488.1030080502428</v>
      </c>
      <c r="Y134" s="69">
        <f t="shared" ca="1" si="130"/>
        <v>1210.4444604597074</v>
      </c>
      <c r="AA134" s="20">
        <f t="shared" ca="1" si="90"/>
        <v>6.566740006553752E+16</v>
      </c>
      <c r="AB134" s="20">
        <f t="shared" ca="1" si="91"/>
        <v>1686959168890508.8</v>
      </c>
      <c r="AC134" s="20">
        <f t="shared" ca="1" si="92"/>
        <v>401369631217797.31</v>
      </c>
      <c r="AD134" s="20">
        <f t="shared" ca="1" si="93"/>
        <v>304315209010921.31</v>
      </c>
      <c r="AE134" s="20">
        <f t="shared" ca="1" si="94"/>
        <v>6865967521817986</v>
      </c>
      <c r="AG134" s="16">
        <f t="shared" ca="1" si="95"/>
        <v>-2.4708740404315703E-5</v>
      </c>
      <c r="AH134" s="16">
        <f t="shared" ca="1" si="96"/>
        <v>6.9961678668817306E-4</v>
      </c>
      <c r="AI134" s="16">
        <f t="shared" ca="1" si="97"/>
        <v>3.9889910571864893E-4</v>
      </c>
      <c r="AJ134" s="16">
        <f t="shared" ca="1" si="98"/>
        <v>4.3163053823490983E-4</v>
      </c>
      <c r="AK134" s="16">
        <f t="shared" ca="1" si="99"/>
        <v>1.3023495546368537E-4</v>
      </c>
      <c r="AM134" s="16">
        <f t="shared" ca="1" si="100"/>
        <v>1.5054376902374161E-3</v>
      </c>
      <c r="AO134" s="16">
        <f t="shared" ca="1" si="101"/>
        <v>-2.4708740404315703E-5</v>
      </c>
      <c r="AP134" s="16">
        <f t="shared" ca="1" si="102"/>
        <v>0</v>
      </c>
      <c r="AQ134" s="16">
        <f t="shared" ca="1" si="103"/>
        <v>0</v>
      </c>
      <c r="AR134" s="16">
        <f t="shared" ca="1" si="104"/>
        <v>0</v>
      </c>
      <c r="AS134" s="16">
        <f t="shared" ca="1" si="105"/>
        <v>0</v>
      </c>
    </row>
    <row r="135" spans="1:45" x14ac:dyDescent="0.25">
      <c r="A135" s="69">
        <f t="shared" ca="1" si="106"/>
        <v>2450.65337240914</v>
      </c>
      <c r="B135" s="69">
        <f t="shared" ca="1" si="107"/>
        <v>2135.7842355858406</v>
      </c>
      <c r="C135" s="69">
        <f t="shared" ca="1" si="108"/>
        <v>2230.906891412651</v>
      </c>
      <c r="D135" s="69">
        <f t="shared" ca="1" si="109"/>
        <v>2908.4373056685172</v>
      </c>
      <c r="E135" s="69">
        <f t="shared" ca="1" si="110"/>
        <v>1933.564549533048</v>
      </c>
      <c r="F135" s="69">
        <f t="shared" ca="1" si="111"/>
        <v>1224.2316543650745</v>
      </c>
      <c r="G135" s="69">
        <f t="shared" ca="1" si="112"/>
        <v>963.91248032110957</v>
      </c>
      <c r="H135" s="69">
        <f t="shared" ca="1" si="113"/>
        <v>1189.7022327421982</v>
      </c>
      <c r="I135" s="69">
        <f t="shared" ca="1" si="114"/>
        <v>1044.8570788429906</v>
      </c>
      <c r="J135" s="69">
        <f t="shared" ca="1" si="115"/>
        <v>1150.8322845393998</v>
      </c>
      <c r="K135" s="69">
        <f t="shared" ca="1" si="116"/>
        <v>1179.4830449912326</v>
      </c>
      <c r="L135" s="69">
        <f t="shared" ca="1" si="117"/>
        <v>956.36815666867369</v>
      </c>
      <c r="M135" s="69">
        <f t="shared" ca="1" si="118"/>
        <v>984.45524485127373</v>
      </c>
      <c r="N135" s="69">
        <f t="shared" ca="1" si="119"/>
        <v>574.09948737152081</v>
      </c>
      <c r="O135" s="69">
        <f t="shared" ca="1" si="120"/>
        <v>629.8219660151475</v>
      </c>
      <c r="P135" s="69">
        <f t="shared" ca="1" si="121"/>
        <v>722.97270916083994</v>
      </c>
      <c r="Q135" s="69">
        <f t="shared" ca="1" si="122"/>
        <v>954.12878496247095</v>
      </c>
      <c r="R135" s="69">
        <f t="shared" ca="1" si="123"/>
        <v>783.21292355819355</v>
      </c>
      <c r="S135" s="69">
        <f t="shared" ca="1" si="124"/>
        <v>699.78724034558911</v>
      </c>
      <c r="T135" s="69">
        <f t="shared" ca="1" si="125"/>
        <v>805.26040700700639</v>
      </c>
      <c r="U135" s="69">
        <f t="shared" ca="1" si="126"/>
        <v>1694.442945899644</v>
      </c>
      <c r="V135" s="69">
        <f t="shared" ca="1" si="127"/>
        <v>1912.0488833653708</v>
      </c>
      <c r="W135" s="69">
        <f t="shared" ca="1" si="128"/>
        <v>1176.3624059764338</v>
      </c>
      <c r="X135" s="69">
        <f t="shared" ca="1" si="129"/>
        <v>1488.4915018248623</v>
      </c>
      <c r="Y135" s="69">
        <f t="shared" ca="1" si="130"/>
        <v>1210.4444604597074</v>
      </c>
      <c r="AA135" s="20">
        <f t="shared" ca="1" si="90"/>
        <v>6.56657775268418E+16</v>
      </c>
      <c r="AB135" s="20">
        <f t="shared" ca="1" si="91"/>
        <v>1688139806792413</v>
      </c>
      <c r="AC135" s="20">
        <f t="shared" ca="1" si="92"/>
        <v>401529769142066.69</v>
      </c>
      <c r="AD135" s="20">
        <f t="shared" ca="1" si="93"/>
        <v>304446589100169.38</v>
      </c>
      <c r="AE135" s="20">
        <f t="shared" ca="1" si="94"/>
        <v>6866861769022263</v>
      </c>
      <c r="AG135" s="16">
        <f t="shared" ca="1" si="95"/>
        <v>1.8735273595172134E-4</v>
      </c>
      <c r="AH135" s="16">
        <f t="shared" ca="1" si="96"/>
        <v>-2.0698958239682646E-4</v>
      </c>
      <c r="AI135" s="16">
        <f t="shared" ca="1" si="97"/>
        <v>2.2438992116676393E-4</v>
      </c>
      <c r="AJ135" s="16">
        <f t="shared" ca="1" si="98"/>
        <v>8.5670517469877924E-4</v>
      </c>
      <c r="AK135" s="16">
        <f t="shared" ca="1" si="99"/>
        <v>-3.8945530329906873E-4</v>
      </c>
      <c r="AM135" s="16">
        <f t="shared" ca="1" si="100"/>
        <v>1.061458249420438E-3</v>
      </c>
      <c r="AO135" s="16">
        <f t="shared" ca="1" si="101"/>
        <v>0</v>
      </c>
      <c r="AP135" s="16">
        <f t="shared" ca="1" si="102"/>
        <v>-2.0698958239682646E-4</v>
      </c>
      <c r="AQ135" s="16">
        <f t="shared" ca="1" si="103"/>
        <v>0</v>
      </c>
      <c r="AR135" s="16">
        <f t="shared" ca="1" si="104"/>
        <v>0</v>
      </c>
      <c r="AS135" s="16">
        <f t="shared" ca="1" si="105"/>
        <v>-3.8945530329906873E-4</v>
      </c>
    </row>
    <row r="136" spans="1:45" x14ac:dyDescent="0.25">
      <c r="A136" s="69">
        <f t="shared" ca="1" si="106"/>
        <v>2450.2818823588791</v>
      </c>
      <c r="B136" s="69">
        <f t="shared" ca="1" si="107"/>
        <v>2135.9017059997636</v>
      </c>
      <c r="C136" s="69">
        <f t="shared" ca="1" si="108"/>
        <v>2230.906891412651</v>
      </c>
      <c r="D136" s="69">
        <f t="shared" ca="1" si="109"/>
        <v>2908.5402191614662</v>
      </c>
      <c r="E136" s="69">
        <f t="shared" ca="1" si="110"/>
        <v>1934.0452334784741</v>
      </c>
      <c r="F136" s="69">
        <f t="shared" ca="1" si="111"/>
        <v>1224.7202963959473</v>
      </c>
      <c r="G136" s="69">
        <f t="shared" ca="1" si="112"/>
        <v>963.91248032110957</v>
      </c>
      <c r="H136" s="69">
        <f t="shared" ca="1" si="113"/>
        <v>1189.6018321565939</v>
      </c>
      <c r="I136" s="69">
        <f t="shared" ca="1" si="114"/>
        <v>1044.5174428230273</v>
      </c>
      <c r="J136" s="69">
        <f t="shared" ca="1" si="115"/>
        <v>1150.6061118456967</v>
      </c>
      <c r="K136" s="69">
        <f t="shared" ca="1" si="116"/>
        <v>1179.6179559042084</v>
      </c>
      <c r="L136" s="69">
        <f t="shared" ca="1" si="117"/>
        <v>956.36815666867369</v>
      </c>
      <c r="M136" s="69">
        <f t="shared" ca="1" si="118"/>
        <v>984.19960817866763</v>
      </c>
      <c r="N136" s="69">
        <f t="shared" ca="1" si="119"/>
        <v>574.09948737152081</v>
      </c>
      <c r="O136" s="69">
        <f t="shared" ca="1" si="120"/>
        <v>630.05486811661899</v>
      </c>
      <c r="P136" s="69">
        <f t="shared" ca="1" si="121"/>
        <v>722.97270916083994</v>
      </c>
      <c r="Q136" s="69">
        <f t="shared" ca="1" si="122"/>
        <v>954.12878496247095</v>
      </c>
      <c r="R136" s="69">
        <f t="shared" ca="1" si="123"/>
        <v>783.6499907147612</v>
      </c>
      <c r="S136" s="69">
        <f t="shared" ca="1" si="124"/>
        <v>699.88677772256278</v>
      </c>
      <c r="T136" s="69">
        <f t="shared" ca="1" si="125"/>
        <v>805.38651067536887</v>
      </c>
      <c r="U136" s="69">
        <f t="shared" ca="1" si="126"/>
        <v>1694.0774643210916</v>
      </c>
      <c r="V136" s="69">
        <f t="shared" ca="1" si="127"/>
        <v>1911.7051857386598</v>
      </c>
      <c r="W136" s="69">
        <f t="shared" ca="1" si="128"/>
        <v>1176.3624059764338</v>
      </c>
      <c r="X136" s="69">
        <f t="shared" ca="1" si="129"/>
        <v>1488.500480334515</v>
      </c>
      <c r="Y136" s="69">
        <f t="shared" ca="1" si="130"/>
        <v>1210.4444604597074</v>
      </c>
      <c r="AA136" s="20">
        <f t="shared" ca="1" si="90"/>
        <v>6.5678081342460624E+16</v>
      </c>
      <c r="AB136" s="20">
        <f t="shared" ca="1" si="91"/>
        <v>1687790415600193.5</v>
      </c>
      <c r="AC136" s="20">
        <f t="shared" ca="1" si="92"/>
        <v>401619878484746.63</v>
      </c>
      <c r="AD136" s="20">
        <f t="shared" ca="1" si="93"/>
        <v>304707521823719</v>
      </c>
      <c r="AE136" s="20">
        <f t="shared" ca="1" si="94"/>
        <v>6864187953988814</v>
      </c>
      <c r="AG136" s="16">
        <f t="shared" ca="1" si="95"/>
        <v>7.2336442543937578E-5</v>
      </c>
      <c r="AH136" s="16">
        <f t="shared" ca="1" si="96"/>
        <v>-7.9189619816843072E-4</v>
      </c>
      <c r="AI136" s="16">
        <f t="shared" ca="1" si="97"/>
        <v>3.1667859643352662E-4</v>
      </c>
      <c r="AJ136" s="16">
        <f t="shared" ca="1" si="98"/>
        <v>1.8086194101696063E-4</v>
      </c>
      <c r="AK136" s="16">
        <f t="shared" ca="1" si="99"/>
        <v>3.5117781130201335E-4</v>
      </c>
      <c r="AM136" s="16">
        <f t="shared" ca="1" si="100"/>
        <v>-2.2201921817400588E-4</v>
      </c>
      <c r="AO136" s="16">
        <f t="shared" ca="1" si="101"/>
        <v>0</v>
      </c>
      <c r="AP136" s="16">
        <f t="shared" ca="1" si="102"/>
        <v>-7.9189619816843072E-4</v>
      </c>
      <c r="AQ136" s="16">
        <f t="shared" ca="1" si="103"/>
        <v>0</v>
      </c>
      <c r="AR136" s="16">
        <f t="shared" ca="1" si="104"/>
        <v>0</v>
      </c>
      <c r="AS136" s="16">
        <f t="shared" ca="1" si="105"/>
        <v>0</v>
      </c>
    </row>
    <row r="137" spans="1:45" x14ac:dyDescent="0.25">
      <c r="A137" s="69">
        <f t="shared" ca="1" si="106"/>
        <v>2450.2818823588791</v>
      </c>
      <c r="B137" s="69">
        <f t="shared" ca="1" si="107"/>
        <v>2135.9377812816324</v>
      </c>
      <c r="C137" s="69">
        <f t="shared" ca="1" si="108"/>
        <v>2230.906891412651</v>
      </c>
      <c r="D137" s="69">
        <f t="shared" ca="1" si="109"/>
        <v>2909.0154610920981</v>
      </c>
      <c r="E137" s="69">
        <f t="shared" ca="1" si="110"/>
        <v>1933.8364928642934</v>
      </c>
      <c r="F137" s="69">
        <f t="shared" ca="1" si="111"/>
        <v>1224.7202963959473</v>
      </c>
      <c r="G137" s="69">
        <f t="shared" ca="1" si="112"/>
        <v>963.75917754997147</v>
      </c>
      <c r="H137" s="69">
        <f t="shared" ca="1" si="113"/>
        <v>1189.2062865550552</v>
      </c>
      <c r="I137" s="69">
        <f t="shared" ca="1" si="114"/>
        <v>1044.5758920243543</v>
      </c>
      <c r="J137" s="69">
        <f t="shared" ca="1" si="115"/>
        <v>1150.196292859436</v>
      </c>
      <c r="K137" s="69">
        <f t="shared" ca="1" si="116"/>
        <v>1180.0432576450287</v>
      </c>
      <c r="L137" s="69">
        <f t="shared" ca="1" si="117"/>
        <v>956.3262702297983</v>
      </c>
      <c r="M137" s="69">
        <f t="shared" ca="1" si="118"/>
        <v>984.19960817866763</v>
      </c>
      <c r="N137" s="69">
        <f t="shared" ca="1" si="119"/>
        <v>574.09948737152081</v>
      </c>
      <c r="O137" s="69">
        <f t="shared" ca="1" si="120"/>
        <v>630.05486811661899</v>
      </c>
      <c r="P137" s="69">
        <f t="shared" ca="1" si="121"/>
        <v>722.97270916083994</v>
      </c>
      <c r="Q137" s="69">
        <f t="shared" ca="1" si="122"/>
        <v>954.12878496247095</v>
      </c>
      <c r="R137" s="69">
        <f t="shared" ca="1" si="123"/>
        <v>783.8426988402523</v>
      </c>
      <c r="S137" s="69">
        <f t="shared" ca="1" si="124"/>
        <v>700.200029459603</v>
      </c>
      <c r="T137" s="69">
        <f t="shared" ca="1" si="125"/>
        <v>804.97386104372958</v>
      </c>
      <c r="U137" s="69">
        <f t="shared" ca="1" si="126"/>
        <v>1694.0024232745207</v>
      </c>
      <c r="V137" s="69">
        <f t="shared" ca="1" si="127"/>
        <v>1911.8893624815994</v>
      </c>
      <c r="W137" s="69">
        <f t="shared" ca="1" si="128"/>
        <v>1176.6909485949557</v>
      </c>
      <c r="X137" s="69">
        <f t="shared" ca="1" si="129"/>
        <v>1488.6496352329807</v>
      </c>
      <c r="Y137" s="69">
        <f t="shared" ca="1" si="130"/>
        <v>1210.3472538645276</v>
      </c>
      <c r="AA137" s="20">
        <f t="shared" ca="1" si="90"/>
        <v>6.5682832433054472E+16</v>
      </c>
      <c r="AB137" s="20">
        <f t="shared" ca="1" si="91"/>
        <v>1686454389853447.8</v>
      </c>
      <c r="AC137" s="20">
        <f t="shared" ca="1" si="92"/>
        <v>401747083044582.69</v>
      </c>
      <c r="AD137" s="20">
        <f t="shared" ca="1" si="93"/>
        <v>304762636801509.19</v>
      </c>
      <c r="AE137" s="20">
        <f t="shared" ca="1" si="94"/>
        <v>6866598927806338</v>
      </c>
      <c r="AG137" s="16">
        <f t="shared" ca="1" si="95"/>
        <v>3.714786905822458E-4</v>
      </c>
      <c r="AH137" s="16">
        <f t="shared" ca="1" si="96"/>
        <v>-5.2529377793847267E-4</v>
      </c>
      <c r="AI137" s="16">
        <f t="shared" ca="1" si="97"/>
        <v>4.2863361696860017E-4</v>
      </c>
      <c r="AJ137" s="16">
        <f t="shared" ca="1" si="98"/>
        <v>2.1979123917876958E-3</v>
      </c>
      <c r="AK137" s="16">
        <f t="shared" ca="1" si="99"/>
        <v>9.3199140883725579E-4</v>
      </c>
      <c r="AM137" s="16">
        <f t="shared" ca="1" si="100"/>
        <v>2.4727309214000693E-3</v>
      </c>
      <c r="AO137" s="16">
        <f t="shared" ca="1" si="101"/>
        <v>0</v>
      </c>
      <c r="AP137" s="16">
        <f t="shared" ca="1" si="102"/>
        <v>-5.2529377793847267E-4</v>
      </c>
      <c r="AQ137" s="16">
        <f t="shared" ca="1" si="103"/>
        <v>0</v>
      </c>
      <c r="AR137" s="16">
        <f t="shared" ca="1" si="104"/>
        <v>0</v>
      </c>
      <c r="AS137" s="16">
        <f t="shared" ca="1" si="105"/>
        <v>0</v>
      </c>
    </row>
    <row r="138" spans="1:45" x14ac:dyDescent="0.25">
      <c r="A138" s="69">
        <f t="shared" ca="1" si="106"/>
        <v>2450.4697884544771</v>
      </c>
      <c r="B138" s="69">
        <f t="shared" ca="1" si="107"/>
        <v>2136.2317432250188</v>
      </c>
      <c r="C138" s="69">
        <f t="shared" ca="1" si="108"/>
        <v>2231.0652951098909</v>
      </c>
      <c r="D138" s="69">
        <f t="shared" ca="1" si="109"/>
        <v>2909.3050288036243</v>
      </c>
      <c r="E138" s="69">
        <f t="shared" ca="1" si="110"/>
        <v>1933.8106545381058</v>
      </c>
      <c r="F138" s="69">
        <f t="shared" ca="1" si="111"/>
        <v>1224.5496372425114</v>
      </c>
      <c r="G138" s="69">
        <f t="shared" ca="1" si="112"/>
        <v>963.75917754997147</v>
      </c>
      <c r="H138" s="69">
        <f t="shared" ca="1" si="113"/>
        <v>1188.7474144316784</v>
      </c>
      <c r="I138" s="69">
        <f t="shared" ca="1" si="114"/>
        <v>1044.5758920243543</v>
      </c>
      <c r="J138" s="69">
        <f t="shared" ca="1" si="115"/>
        <v>1150.196292859436</v>
      </c>
      <c r="K138" s="69">
        <f t="shared" ca="1" si="116"/>
        <v>1180.4039511193832</v>
      </c>
      <c r="L138" s="69">
        <f t="shared" ca="1" si="117"/>
        <v>956.69913500287191</v>
      </c>
      <c r="M138" s="69">
        <f t="shared" ca="1" si="118"/>
        <v>983.93706094471372</v>
      </c>
      <c r="N138" s="69">
        <f t="shared" ca="1" si="119"/>
        <v>574.09948737152081</v>
      </c>
      <c r="O138" s="69">
        <f t="shared" ca="1" si="120"/>
        <v>630.05486811661899</v>
      </c>
      <c r="P138" s="69">
        <f t="shared" ca="1" si="121"/>
        <v>723.38526926054749</v>
      </c>
      <c r="Q138" s="69">
        <f t="shared" ca="1" si="122"/>
        <v>954.41436986450867</v>
      </c>
      <c r="R138" s="69">
        <f t="shared" ca="1" si="123"/>
        <v>784.00936150106327</v>
      </c>
      <c r="S138" s="69">
        <f t="shared" ca="1" si="124"/>
        <v>700.648169868222</v>
      </c>
      <c r="T138" s="69">
        <f t="shared" ca="1" si="125"/>
        <v>805.35691690555791</v>
      </c>
      <c r="U138" s="69">
        <f t="shared" ca="1" si="126"/>
        <v>1694.3634982293695</v>
      </c>
      <c r="V138" s="69">
        <f t="shared" ca="1" si="127"/>
        <v>1912.1180995490715</v>
      </c>
      <c r="W138" s="69">
        <f t="shared" ca="1" si="128"/>
        <v>1177.1336779513183</v>
      </c>
      <c r="X138" s="69">
        <f t="shared" ca="1" si="129"/>
        <v>1488.9817219165639</v>
      </c>
      <c r="Y138" s="69">
        <f t="shared" ca="1" si="130"/>
        <v>1210.3472538645276</v>
      </c>
      <c r="AA138" s="20">
        <f t="shared" ca="1" si="90"/>
        <v>6.5707236738199456E+16</v>
      </c>
      <c r="AB138" s="20">
        <f t="shared" ca="1" si="91"/>
        <v>1685568738489621.3</v>
      </c>
      <c r="AC138" s="20">
        <f t="shared" ca="1" si="92"/>
        <v>401919322261016.75</v>
      </c>
      <c r="AD138" s="20">
        <f t="shared" ca="1" si="93"/>
        <v>305433215043649.69</v>
      </c>
      <c r="AE138" s="20">
        <f t="shared" ca="1" si="94"/>
        <v>6873001522132993</v>
      </c>
      <c r="AG138" s="16">
        <f t="shared" ca="1" si="95"/>
        <v>1.3066296012388619E-4</v>
      </c>
      <c r="AH138" s="16">
        <f t="shared" ca="1" si="96"/>
        <v>-2.278800719849303E-4</v>
      </c>
      <c r="AI138" s="16">
        <f t="shared" ca="1" si="97"/>
        <v>-4.1304443056989023E-4</v>
      </c>
      <c r="AJ138" s="16">
        <f t="shared" ca="1" si="98"/>
        <v>-2.9252958324013672E-4</v>
      </c>
      <c r="AK138" s="16">
        <f t="shared" ca="1" si="99"/>
        <v>6.0229871501587531E-4</v>
      </c>
      <c r="AM138" s="16">
        <f t="shared" ca="1" si="100"/>
        <v>-8.0279112567107095E-4</v>
      </c>
      <c r="AO138" s="16">
        <f t="shared" ca="1" si="101"/>
        <v>0</v>
      </c>
      <c r="AP138" s="16">
        <f t="shared" ca="1" si="102"/>
        <v>-2.278800719849303E-4</v>
      </c>
      <c r="AQ138" s="16">
        <f t="shared" ca="1" si="103"/>
        <v>-4.1304443056989023E-4</v>
      </c>
      <c r="AR138" s="16">
        <f t="shared" ca="1" si="104"/>
        <v>-2.9252958324013672E-4</v>
      </c>
      <c r="AS138" s="16">
        <f t="shared" ca="1" si="105"/>
        <v>0</v>
      </c>
    </row>
    <row r="139" spans="1:45" x14ac:dyDescent="0.25">
      <c r="A139" s="69">
        <f t="shared" ca="1" si="106"/>
        <v>2450.4697884544771</v>
      </c>
      <c r="B139" s="69">
        <f t="shared" ca="1" si="107"/>
        <v>2135.7631719153128</v>
      </c>
      <c r="C139" s="69">
        <f t="shared" ca="1" si="108"/>
        <v>2231.5372960954687</v>
      </c>
      <c r="D139" s="69">
        <f t="shared" ca="1" si="109"/>
        <v>2909.3050288036243</v>
      </c>
      <c r="E139" s="69">
        <f t="shared" ca="1" si="110"/>
        <v>1934.0784973853304</v>
      </c>
      <c r="F139" s="69">
        <f t="shared" ca="1" si="111"/>
        <v>1224.4798334665306</v>
      </c>
      <c r="G139" s="69">
        <f t="shared" ca="1" si="112"/>
        <v>963.83652538212243</v>
      </c>
      <c r="H139" s="69">
        <f t="shared" ca="1" si="113"/>
        <v>1188.7474144316784</v>
      </c>
      <c r="I139" s="69">
        <f t="shared" ca="1" si="114"/>
        <v>1044.2799565471964</v>
      </c>
      <c r="J139" s="69">
        <f t="shared" ca="1" si="115"/>
        <v>1150.2333516037231</v>
      </c>
      <c r="K139" s="69">
        <f t="shared" ca="1" si="116"/>
        <v>1180.4039511193832</v>
      </c>
      <c r="L139" s="69">
        <f t="shared" ca="1" si="117"/>
        <v>956.56279691656084</v>
      </c>
      <c r="M139" s="69">
        <f t="shared" ca="1" si="118"/>
        <v>983.94585591674479</v>
      </c>
      <c r="N139" s="69">
        <f t="shared" ca="1" si="119"/>
        <v>574.09948737152081</v>
      </c>
      <c r="O139" s="69">
        <f t="shared" ca="1" si="120"/>
        <v>629.87881509946214</v>
      </c>
      <c r="P139" s="69">
        <f t="shared" ca="1" si="121"/>
        <v>723.38526926054749</v>
      </c>
      <c r="Q139" s="69">
        <f t="shared" ca="1" si="122"/>
        <v>954.38058904493994</v>
      </c>
      <c r="R139" s="69">
        <f t="shared" ca="1" si="123"/>
        <v>784.00936150106327</v>
      </c>
      <c r="S139" s="69">
        <f t="shared" ca="1" si="124"/>
        <v>700.648169868222</v>
      </c>
      <c r="T139" s="69">
        <f t="shared" ca="1" si="125"/>
        <v>805.1498583456347</v>
      </c>
      <c r="U139" s="69">
        <f t="shared" ca="1" si="126"/>
        <v>1694.7010955085734</v>
      </c>
      <c r="V139" s="69">
        <f t="shared" ca="1" si="127"/>
        <v>1912.1180995490715</v>
      </c>
      <c r="W139" s="69">
        <f t="shared" ca="1" si="128"/>
        <v>1177.6082423945381</v>
      </c>
      <c r="X139" s="69">
        <f t="shared" ca="1" si="129"/>
        <v>1488.9817219165639</v>
      </c>
      <c r="Y139" s="69">
        <f t="shared" ca="1" si="130"/>
        <v>1210.3472538645276</v>
      </c>
      <c r="AA139" s="20">
        <f t="shared" ca="1" si="90"/>
        <v>6.5715822801181216E+16</v>
      </c>
      <c r="AB139" s="20">
        <f t="shared" ca="1" si="91"/>
        <v>1685184674726059.8</v>
      </c>
      <c r="AC139" s="20">
        <f t="shared" ca="1" si="92"/>
        <v>401753346003562.5</v>
      </c>
      <c r="AD139" s="20">
        <f t="shared" ca="1" si="93"/>
        <v>305343879859774.38</v>
      </c>
      <c r="AE139" s="20">
        <f t="shared" ca="1" si="94"/>
        <v>6877142369006272</v>
      </c>
      <c r="AG139" s="16">
        <f t="shared" ca="1" si="95"/>
        <v>-1.8906010985575623E-4</v>
      </c>
      <c r="AH139" s="16">
        <f t="shared" ca="1" si="96"/>
        <v>9.1108241550302854E-5</v>
      </c>
      <c r="AI139" s="16">
        <f t="shared" ca="1" si="97"/>
        <v>-1.4122727896329975E-3</v>
      </c>
      <c r="AJ139" s="16">
        <f t="shared" ca="1" si="98"/>
        <v>-4.8844384835147476E-4</v>
      </c>
      <c r="AK139" s="16">
        <f t="shared" ca="1" si="99"/>
        <v>7.9555345088897444E-4</v>
      </c>
      <c r="AM139" s="16">
        <f t="shared" ca="1" si="100"/>
        <v>-1.9986685062899257E-3</v>
      </c>
      <c r="AO139" s="16">
        <f t="shared" ca="1" si="101"/>
        <v>-1.8906010985575623E-4</v>
      </c>
      <c r="AP139" s="16">
        <f t="shared" ca="1" si="102"/>
        <v>0</v>
      </c>
      <c r="AQ139" s="16">
        <f t="shared" ca="1" si="103"/>
        <v>-1.4122727896329975E-3</v>
      </c>
      <c r="AR139" s="16">
        <f t="shared" ca="1" si="104"/>
        <v>-4.8844384835147476E-4</v>
      </c>
      <c r="AS139" s="16">
        <f t="shared" ca="1" si="105"/>
        <v>0</v>
      </c>
    </row>
    <row r="140" spans="1:45" x14ac:dyDescent="0.25">
      <c r="A140" s="69">
        <f t="shared" ca="1" si="106"/>
        <v>2450.4697884544771</v>
      </c>
      <c r="B140" s="69">
        <f t="shared" ca="1" si="107"/>
        <v>2135.4969423990278</v>
      </c>
      <c r="C140" s="69">
        <f t="shared" ca="1" si="108"/>
        <v>2231.4520064038334</v>
      </c>
      <c r="D140" s="69">
        <f t="shared" ca="1" si="109"/>
        <v>2909.2288689909965</v>
      </c>
      <c r="E140" s="69">
        <f t="shared" ca="1" si="110"/>
        <v>1934.0784973853304</v>
      </c>
      <c r="F140" s="69">
        <f t="shared" ca="1" si="111"/>
        <v>1224.7686735033683</v>
      </c>
      <c r="G140" s="69">
        <f t="shared" ca="1" si="112"/>
        <v>964.05244202351776</v>
      </c>
      <c r="H140" s="69">
        <f t="shared" ca="1" si="113"/>
        <v>1189.021581773228</v>
      </c>
      <c r="I140" s="69">
        <f t="shared" ca="1" si="114"/>
        <v>1044.0808288218254</v>
      </c>
      <c r="J140" s="69">
        <f t="shared" ca="1" si="115"/>
        <v>1149.7634034067373</v>
      </c>
      <c r="K140" s="69">
        <f t="shared" ca="1" si="116"/>
        <v>1180.4039511193832</v>
      </c>
      <c r="L140" s="69">
        <f t="shared" ca="1" si="117"/>
        <v>956.1045931606418</v>
      </c>
      <c r="M140" s="69">
        <f t="shared" ca="1" si="118"/>
        <v>983.94585591674479</v>
      </c>
      <c r="N140" s="69">
        <f t="shared" ca="1" si="119"/>
        <v>573.84548597064736</v>
      </c>
      <c r="O140" s="69">
        <f t="shared" ca="1" si="120"/>
        <v>629.56986288725466</v>
      </c>
      <c r="P140" s="69">
        <f t="shared" ca="1" si="121"/>
        <v>723.23015047512638</v>
      </c>
      <c r="Q140" s="69">
        <f t="shared" ca="1" si="122"/>
        <v>954.38058904493994</v>
      </c>
      <c r="R140" s="69">
        <f t="shared" ca="1" si="123"/>
        <v>783.79458308829135</v>
      </c>
      <c r="S140" s="69">
        <f t="shared" ca="1" si="124"/>
        <v>700.648169868222</v>
      </c>
      <c r="T140" s="69">
        <f t="shared" ca="1" si="125"/>
        <v>805.1498583456347</v>
      </c>
      <c r="U140" s="69">
        <f t="shared" ca="1" si="126"/>
        <v>1694.7010955085734</v>
      </c>
      <c r="V140" s="69">
        <f t="shared" ca="1" si="127"/>
        <v>1912.3212148491666</v>
      </c>
      <c r="W140" s="69">
        <f t="shared" ca="1" si="128"/>
        <v>1177.6082423945381</v>
      </c>
      <c r="X140" s="69">
        <f t="shared" ca="1" si="129"/>
        <v>1489.3971466067992</v>
      </c>
      <c r="Y140" s="69">
        <f t="shared" ca="1" si="130"/>
        <v>1210.8440502662136</v>
      </c>
      <c r="AA140" s="20">
        <f t="shared" ca="1" si="90"/>
        <v>6.5703399734893304E+16</v>
      </c>
      <c r="AB140" s="20">
        <f t="shared" ca="1" si="91"/>
        <v>1685338215932790</v>
      </c>
      <c r="AC140" s="20">
        <f t="shared" ca="1" si="92"/>
        <v>401186361147737.94</v>
      </c>
      <c r="AD140" s="20">
        <f t="shared" ca="1" si="93"/>
        <v>305194772938168.88</v>
      </c>
      <c r="AE140" s="20">
        <f t="shared" ca="1" si="94"/>
        <v>6882615680217326</v>
      </c>
      <c r="AG140" s="16">
        <f t="shared" ca="1" si="95"/>
        <v>-9.0455428517070556E-5</v>
      </c>
      <c r="AH140" s="16">
        <f t="shared" ca="1" si="96"/>
        <v>-8.2618430267418464E-4</v>
      </c>
      <c r="AI140" s="16">
        <f t="shared" ca="1" si="97"/>
        <v>-8.7289667083823757E-4</v>
      </c>
      <c r="AJ140" s="16">
        <f t="shared" ca="1" si="98"/>
        <v>-5.427244479179116E-4</v>
      </c>
      <c r="AK140" s="16">
        <f t="shared" ca="1" si="99"/>
        <v>-3.1337262626650081E-4</v>
      </c>
      <c r="AM140" s="16">
        <f t="shared" ca="1" si="100"/>
        <v>-2.3322608499474042E-3</v>
      </c>
      <c r="AO140" s="16">
        <f t="shared" ca="1" si="101"/>
        <v>-9.0455428517070556E-5</v>
      </c>
      <c r="AP140" s="16">
        <f t="shared" ca="1" si="102"/>
        <v>-8.2618430267418464E-4</v>
      </c>
      <c r="AQ140" s="16">
        <f t="shared" ca="1" si="103"/>
        <v>-8.7289667083823757E-4</v>
      </c>
      <c r="AR140" s="16">
        <f t="shared" ca="1" si="104"/>
        <v>-5.427244479179116E-4</v>
      </c>
      <c r="AS140" s="16">
        <f t="shared" ca="1" si="105"/>
        <v>-3.1337262626650081E-4</v>
      </c>
    </row>
    <row r="141" spans="1:45" x14ac:dyDescent="0.25">
      <c r="A141" s="69">
        <f t="shared" ca="1" si="106"/>
        <v>2450.4697884544771</v>
      </c>
      <c r="B141" s="69">
        <f t="shared" ca="1" si="107"/>
        <v>2135.4969423990278</v>
      </c>
      <c r="C141" s="69">
        <f t="shared" ca="1" si="108"/>
        <v>2231.2501685851794</v>
      </c>
      <c r="D141" s="69">
        <f t="shared" ca="1" si="109"/>
        <v>2909.2288689909965</v>
      </c>
      <c r="E141" s="69">
        <f t="shared" ca="1" si="110"/>
        <v>1934.0784973853304</v>
      </c>
      <c r="F141" s="69">
        <f t="shared" ca="1" si="111"/>
        <v>1224.8139032797835</v>
      </c>
      <c r="G141" s="69">
        <f t="shared" ca="1" si="112"/>
        <v>963.65455628423877</v>
      </c>
      <c r="H141" s="69">
        <f t="shared" ca="1" si="113"/>
        <v>1189.021581773228</v>
      </c>
      <c r="I141" s="69">
        <f t="shared" ca="1" si="114"/>
        <v>1043.9743011629862</v>
      </c>
      <c r="J141" s="69">
        <f t="shared" ca="1" si="115"/>
        <v>1149.3630447005776</v>
      </c>
      <c r="K141" s="69">
        <f t="shared" ca="1" si="116"/>
        <v>1180.4039511193832</v>
      </c>
      <c r="L141" s="69">
        <f t="shared" ca="1" si="117"/>
        <v>955.62032782703875</v>
      </c>
      <c r="M141" s="69">
        <f t="shared" ca="1" si="118"/>
        <v>984.02301043937689</v>
      </c>
      <c r="N141" s="69">
        <f t="shared" ca="1" si="119"/>
        <v>573.84548597064736</v>
      </c>
      <c r="O141" s="69">
        <f t="shared" ca="1" si="120"/>
        <v>629.28996775560154</v>
      </c>
      <c r="P141" s="69">
        <f t="shared" ca="1" si="121"/>
        <v>723.23015047512638</v>
      </c>
      <c r="Q141" s="69">
        <f t="shared" ca="1" si="122"/>
        <v>954.38058904493994</v>
      </c>
      <c r="R141" s="69">
        <f t="shared" ca="1" si="123"/>
        <v>783.71867821116439</v>
      </c>
      <c r="S141" s="69">
        <f t="shared" ca="1" si="124"/>
        <v>700.21342912204079</v>
      </c>
      <c r="T141" s="69">
        <f t="shared" ca="1" si="125"/>
        <v>805.29061028518709</v>
      </c>
      <c r="U141" s="69">
        <f t="shared" ca="1" si="126"/>
        <v>1694.7010955085734</v>
      </c>
      <c r="V141" s="69">
        <f t="shared" ca="1" si="127"/>
        <v>1912.232480949508</v>
      </c>
      <c r="W141" s="69">
        <f t="shared" ca="1" si="128"/>
        <v>1177.6082423945381</v>
      </c>
      <c r="X141" s="69">
        <f t="shared" ca="1" si="129"/>
        <v>1488.9995747245596</v>
      </c>
      <c r="Y141" s="69">
        <f t="shared" ca="1" si="130"/>
        <v>1210.8440502662136</v>
      </c>
      <c r="AA141" s="20">
        <f t="shared" ca="1" si="90"/>
        <v>6.5697456774505824E+16</v>
      </c>
      <c r="AB141" s="20">
        <f t="shared" ca="1" si="91"/>
        <v>1683946390985220.8</v>
      </c>
      <c r="AC141" s="20">
        <f t="shared" ca="1" si="92"/>
        <v>400836319705937.13</v>
      </c>
      <c r="AD141" s="20">
        <f t="shared" ca="1" si="93"/>
        <v>305029181212922</v>
      </c>
      <c r="AE141" s="20">
        <f t="shared" ca="1" si="94"/>
        <v>6880459194775434</v>
      </c>
      <c r="AG141" s="16">
        <f t="shared" ca="1" si="95"/>
        <v>1.3035659240393738E-4</v>
      </c>
      <c r="AH141" s="16">
        <f t="shared" ca="1" si="96"/>
        <v>-2.9615449311610743E-4</v>
      </c>
      <c r="AI141" s="16">
        <f t="shared" ca="1" si="97"/>
        <v>3.5913984606926528E-4</v>
      </c>
      <c r="AJ141" s="16">
        <f t="shared" ca="1" si="98"/>
        <v>3.5107217823720322E-4</v>
      </c>
      <c r="AK141" s="16">
        <f t="shared" ca="1" si="99"/>
        <v>2.937428026675545E-6</v>
      </c>
      <c r="AM141" s="16">
        <f t="shared" ca="1" si="100"/>
        <v>5.4441412359429843E-4</v>
      </c>
      <c r="AO141" s="16">
        <f t="shared" ca="1" si="101"/>
        <v>0</v>
      </c>
      <c r="AP141" s="16">
        <f t="shared" ca="1" si="102"/>
        <v>-2.9615449311610743E-4</v>
      </c>
      <c r="AQ141" s="16">
        <f t="shared" ca="1" si="103"/>
        <v>0</v>
      </c>
      <c r="AR141" s="16">
        <f t="shared" ca="1" si="104"/>
        <v>0</v>
      </c>
      <c r="AS141" s="16">
        <f t="shared" ca="1" si="105"/>
        <v>0</v>
      </c>
    </row>
    <row r="142" spans="1:45" x14ac:dyDescent="0.25">
      <c r="A142" s="69">
        <f t="shared" ca="1" si="106"/>
        <v>2450.4378689764644</v>
      </c>
      <c r="B142" s="69">
        <f t="shared" ca="1" si="107"/>
        <v>2135.4969423990278</v>
      </c>
      <c r="C142" s="69">
        <f t="shared" ca="1" si="108"/>
        <v>2231.2660907034583</v>
      </c>
      <c r="D142" s="69">
        <f t="shared" ca="1" si="109"/>
        <v>2909.2288689909965</v>
      </c>
      <c r="E142" s="69">
        <f t="shared" ca="1" si="110"/>
        <v>1934.3420269578455</v>
      </c>
      <c r="F142" s="69">
        <f t="shared" ca="1" si="111"/>
        <v>1224.8139032797835</v>
      </c>
      <c r="G142" s="69">
        <f t="shared" ca="1" si="112"/>
        <v>963.62823855196575</v>
      </c>
      <c r="H142" s="69">
        <f t="shared" ca="1" si="113"/>
        <v>1188.5541888916671</v>
      </c>
      <c r="I142" s="69">
        <f t="shared" ca="1" si="114"/>
        <v>1044.1041001097187</v>
      </c>
      <c r="J142" s="69">
        <f t="shared" ca="1" si="115"/>
        <v>1149.3630447005776</v>
      </c>
      <c r="K142" s="69">
        <f t="shared" ca="1" si="116"/>
        <v>1180.4137641754037</v>
      </c>
      <c r="L142" s="69">
        <f t="shared" ca="1" si="117"/>
        <v>955.86152603922687</v>
      </c>
      <c r="M142" s="69">
        <f t="shared" ca="1" si="118"/>
        <v>983.65901161122645</v>
      </c>
      <c r="N142" s="69">
        <f t="shared" ca="1" si="119"/>
        <v>574.2258594334163</v>
      </c>
      <c r="O142" s="69">
        <f t="shared" ca="1" si="120"/>
        <v>629.16777510202485</v>
      </c>
      <c r="P142" s="69">
        <f t="shared" ca="1" si="121"/>
        <v>723.23015047512638</v>
      </c>
      <c r="Q142" s="69">
        <f t="shared" ca="1" si="122"/>
        <v>954.81430308087386</v>
      </c>
      <c r="R142" s="69">
        <f t="shared" ca="1" si="123"/>
        <v>783.87351776819435</v>
      </c>
      <c r="S142" s="69">
        <f t="shared" ca="1" si="124"/>
        <v>700.16271513628442</v>
      </c>
      <c r="T142" s="69">
        <f t="shared" ca="1" si="125"/>
        <v>805.10670944123444</v>
      </c>
      <c r="U142" s="69">
        <f t="shared" ca="1" si="126"/>
        <v>1694.5003035878003</v>
      </c>
      <c r="V142" s="69">
        <f t="shared" ca="1" si="127"/>
        <v>1911.9580725252115</v>
      </c>
      <c r="W142" s="69">
        <f t="shared" ca="1" si="128"/>
        <v>1178.007307950649</v>
      </c>
      <c r="X142" s="69">
        <f t="shared" ca="1" si="129"/>
        <v>1488.7314912672675</v>
      </c>
      <c r="Y142" s="69">
        <f t="shared" ca="1" si="130"/>
        <v>1210.9726206501373</v>
      </c>
      <c r="AA142" s="20">
        <f t="shared" ca="1" si="90"/>
        <v>6.570602142931804E+16</v>
      </c>
      <c r="AB142" s="20">
        <f t="shared" ca="1" si="91"/>
        <v>1683447756535424.8</v>
      </c>
      <c r="AC142" s="20">
        <f t="shared" ca="1" si="92"/>
        <v>400980301853410.81</v>
      </c>
      <c r="AD142" s="20">
        <f t="shared" ca="1" si="93"/>
        <v>305136287271874.94</v>
      </c>
      <c r="AE142" s="20">
        <f t="shared" ca="1" si="94"/>
        <v>6880479405658793</v>
      </c>
      <c r="AG142" s="16">
        <f t="shared" ca="1" si="95"/>
        <v>-2.075377719311412E-4</v>
      </c>
      <c r="AH142" s="16">
        <f t="shared" ca="1" si="96"/>
        <v>5.4624080020797803E-4</v>
      </c>
      <c r="AI142" s="16">
        <f t="shared" ca="1" si="97"/>
        <v>5.8741032848006022E-4</v>
      </c>
      <c r="AJ142" s="16">
        <f t="shared" ca="1" si="98"/>
        <v>5.9073551074018983E-4</v>
      </c>
      <c r="AK142" s="16">
        <f t="shared" ca="1" si="99"/>
        <v>2.0484446101292299E-4</v>
      </c>
      <c r="AM142" s="16">
        <f t="shared" ca="1" si="100"/>
        <v>1.5168488674970869E-3</v>
      </c>
      <c r="AO142" s="16">
        <f t="shared" ca="1" si="101"/>
        <v>-2.075377719311412E-4</v>
      </c>
      <c r="AP142" s="16">
        <f t="shared" ca="1" si="102"/>
        <v>0</v>
      </c>
      <c r="AQ142" s="16">
        <f t="shared" ca="1" si="103"/>
        <v>0</v>
      </c>
      <c r="AR142" s="16">
        <f t="shared" ca="1" si="104"/>
        <v>0</v>
      </c>
      <c r="AS142" s="16">
        <f t="shared" ca="1" si="105"/>
        <v>0</v>
      </c>
    </row>
    <row r="143" spans="1:45" x14ac:dyDescent="0.25">
      <c r="A143" s="69">
        <f t="shared" ca="1" si="106"/>
        <v>2450.4378689764644</v>
      </c>
      <c r="B143" s="69">
        <f t="shared" ca="1" si="107"/>
        <v>2135.0537921084392</v>
      </c>
      <c r="C143" s="69">
        <f t="shared" ca="1" si="108"/>
        <v>2231.2660907034583</v>
      </c>
      <c r="D143" s="69">
        <f t="shared" ca="1" si="109"/>
        <v>2909.2288689909965</v>
      </c>
      <c r="E143" s="69">
        <f t="shared" ca="1" si="110"/>
        <v>1934.3420269578455</v>
      </c>
      <c r="F143" s="69">
        <f t="shared" ca="1" si="111"/>
        <v>1224.7938229979791</v>
      </c>
      <c r="G143" s="69">
        <f t="shared" ca="1" si="112"/>
        <v>963.68532064900512</v>
      </c>
      <c r="H143" s="69">
        <f t="shared" ca="1" si="113"/>
        <v>1189.0147132058021</v>
      </c>
      <c r="I143" s="69">
        <f t="shared" ca="1" si="114"/>
        <v>1044.5439370059555</v>
      </c>
      <c r="J143" s="69">
        <f t="shared" ca="1" si="115"/>
        <v>1149.0123593580356</v>
      </c>
      <c r="K143" s="69">
        <f t="shared" ca="1" si="116"/>
        <v>1180.0480972447419</v>
      </c>
      <c r="L143" s="69">
        <f t="shared" ca="1" si="117"/>
        <v>955.58035928010395</v>
      </c>
      <c r="M143" s="69">
        <f t="shared" ca="1" si="118"/>
        <v>984.06224238554012</v>
      </c>
      <c r="N143" s="69">
        <f t="shared" ca="1" si="119"/>
        <v>574.2258594334163</v>
      </c>
      <c r="O143" s="69">
        <f t="shared" ca="1" si="120"/>
        <v>629.65971533338177</v>
      </c>
      <c r="P143" s="69">
        <f t="shared" ca="1" si="121"/>
        <v>723.2327743890171</v>
      </c>
      <c r="Q143" s="69">
        <f t="shared" ca="1" si="122"/>
        <v>955.03148817393628</v>
      </c>
      <c r="R143" s="69">
        <f t="shared" ca="1" si="123"/>
        <v>784.20218865508173</v>
      </c>
      <c r="S143" s="69">
        <f t="shared" ca="1" si="124"/>
        <v>700.16271513628442</v>
      </c>
      <c r="T143" s="69">
        <f t="shared" ca="1" si="125"/>
        <v>805.0587807107097</v>
      </c>
      <c r="U143" s="69">
        <f t="shared" ca="1" si="126"/>
        <v>1694.8474481432811</v>
      </c>
      <c r="V143" s="69">
        <f t="shared" ca="1" si="127"/>
        <v>1911.9580725252115</v>
      </c>
      <c r="W143" s="69">
        <f t="shared" ca="1" si="128"/>
        <v>1178.007307950649</v>
      </c>
      <c r="X143" s="69">
        <f t="shared" ca="1" si="129"/>
        <v>1488.7314912672675</v>
      </c>
      <c r="Y143" s="69">
        <f t="shared" ca="1" si="130"/>
        <v>1210.9726206501373</v>
      </c>
      <c r="AA143" s="20">
        <f t="shared" ca="1" si="90"/>
        <v>6.5692386362972728E+16</v>
      </c>
      <c r="AB143" s="20">
        <f t="shared" ca="1" si="91"/>
        <v>1684367575583538.3</v>
      </c>
      <c r="AC143" s="20">
        <f t="shared" ca="1" si="92"/>
        <v>401215911017089.88</v>
      </c>
      <c r="AD143" s="20">
        <f t="shared" ca="1" si="93"/>
        <v>305316595364334.94</v>
      </c>
      <c r="AE143" s="20">
        <f t="shared" ca="1" si="94"/>
        <v>6881888978120783</v>
      </c>
      <c r="AG143" s="16">
        <f t="shared" ca="1" si="95"/>
        <v>-6.6071846743269154E-5</v>
      </c>
      <c r="AH143" s="16">
        <f t="shared" ca="1" si="96"/>
        <v>1.1472003610745964E-5</v>
      </c>
      <c r="AI143" s="16">
        <f t="shared" ca="1" si="97"/>
        <v>5.1596112855913881E-4</v>
      </c>
      <c r="AJ143" s="16">
        <f t="shared" ca="1" si="98"/>
        <v>-8.721776719847737E-5</v>
      </c>
      <c r="AK143" s="16">
        <f t="shared" ca="1" si="99"/>
        <v>3.124066581275004E-4</v>
      </c>
      <c r="AM143" s="16">
        <f t="shared" ca="1" si="100"/>
        <v>3.7414351822813826E-4</v>
      </c>
      <c r="AO143" s="16">
        <f t="shared" ca="1" si="101"/>
        <v>-6.6071846743269154E-5</v>
      </c>
      <c r="AP143" s="16">
        <f t="shared" ca="1" si="102"/>
        <v>0</v>
      </c>
      <c r="AQ143" s="16">
        <f t="shared" ca="1" si="103"/>
        <v>0</v>
      </c>
      <c r="AR143" s="16">
        <f t="shared" ca="1" si="104"/>
        <v>-8.721776719847737E-5</v>
      </c>
      <c r="AS143" s="16">
        <f t="shared" ca="1" si="105"/>
        <v>0</v>
      </c>
    </row>
    <row r="144" spans="1:45" x14ac:dyDescent="0.25">
      <c r="A144" s="69">
        <f t="shared" ca="1" si="106"/>
        <v>2450.4378689764644</v>
      </c>
      <c r="B144" s="69">
        <f t="shared" ca="1" si="107"/>
        <v>2135.1865926762839</v>
      </c>
      <c r="C144" s="69">
        <f t="shared" ca="1" si="108"/>
        <v>2231.2660907034583</v>
      </c>
      <c r="D144" s="69">
        <f t="shared" ca="1" si="109"/>
        <v>2908.9957461494923</v>
      </c>
      <c r="E144" s="69">
        <f t="shared" ca="1" si="110"/>
        <v>1934.2489203628463</v>
      </c>
      <c r="F144" s="69">
        <f t="shared" ca="1" si="111"/>
        <v>1224.6390959906485</v>
      </c>
      <c r="G144" s="69">
        <f t="shared" ca="1" si="112"/>
        <v>963.68532064900512</v>
      </c>
      <c r="H144" s="69">
        <f t="shared" ca="1" si="113"/>
        <v>1189.5019886015018</v>
      </c>
      <c r="I144" s="69">
        <f t="shared" ca="1" si="114"/>
        <v>1044.3316659818522</v>
      </c>
      <c r="J144" s="69">
        <f t="shared" ca="1" si="115"/>
        <v>1148.9334456340446</v>
      </c>
      <c r="K144" s="69">
        <f t="shared" ca="1" si="116"/>
        <v>1179.972314744241</v>
      </c>
      <c r="L144" s="69">
        <f t="shared" ca="1" si="117"/>
        <v>955.58035928010395</v>
      </c>
      <c r="M144" s="69">
        <f t="shared" ca="1" si="118"/>
        <v>984.06224238554012</v>
      </c>
      <c r="N144" s="69">
        <f t="shared" ca="1" si="119"/>
        <v>574.55911219756899</v>
      </c>
      <c r="O144" s="69">
        <f t="shared" ca="1" si="120"/>
        <v>629.65971533338177</v>
      </c>
      <c r="P144" s="69">
        <f t="shared" ca="1" si="121"/>
        <v>723.64886089138429</v>
      </c>
      <c r="Q144" s="69">
        <f t="shared" ca="1" si="122"/>
        <v>955.03148817393628</v>
      </c>
      <c r="R144" s="69">
        <f t="shared" ca="1" si="123"/>
        <v>784.20218865508173</v>
      </c>
      <c r="S144" s="69">
        <f t="shared" ca="1" si="124"/>
        <v>699.69910393656744</v>
      </c>
      <c r="T144" s="69">
        <f t="shared" ca="1" si="125"/>
        <v>805.0587807107097</v>
      </c>
      <c r="U144" s="69">
        <f t="shared" ca="1" si="126"/>
        <v>1694.8474481432811</v>
      </c>
      <c r="V144" s="69">
        <f t="shared" ca="1" si="127"/>
        <v>1911.9580725252115</v>
      </c>
      <c r="W144" s="69">
        <f t="shared" ca="1" si="128"/>
        <v>1178.351999901834</v>
      </c>
      <c r="X144" s="69">
        <f t="shared" ca="1" si="129"/>
        <v>1489.0156935270118</v>
      </c>
      <c r="Y144" s="69">
        <f t="shared" ca="1" si="130"/>
        <v>1210.7655129144152</v>
      </c>
      <c r="AA144" s="20">
        <f t="shared" ca="1" si="90"/>
        <v>6.5688046089075288E+16</v>
      </c>
      <c r="AB144" s="20">
        <f t="shared" ca="1" si="91"/>
        <v>1684386898765284.8</v>
      </c>
      <c r="AC144" s="20">
        <f t="shared" ca="1" si="92"/>
        <v>401422976245544.94</v>
      </c>
      <c r="AD144" s="20">
        <f t="shared" ca="1" si="93"/>
        <v>305289967493827.19</v>
      </c>
      <c r="AE144" s="20">
        <f t="shared" ca="1" si="94"/>
        <v>6884039261922042</v>
      </c>
      <c r="AG144" s="16">
        <f t="shared" ca="1" si="95"/>
        <v>3.2988928375919495E-4</v>
      </c>
      <c r="AH144" s="16">
        <f t="shared" ca="1" si="96"/>
        <v>-5.7718668873676131E-5</v>
      </c>
      <c r="AI144" s="16">
        <f t="shared" ca="1" si="97"/>
        <v>2.1754893870284083E-4</v>
      </c>
      <c r="AJ144" s="16">
        <f t="shared" ca="1" si="98"/>
        <v>2.4732687363721495E-4</v>
      </c>
      <c r="AK144" s="16">
        <f t="shared" ca="1" si="99"/>
        <v>-5.5856566239037363E-6</v>
      </c>
      <c r="AM144" s="16">
        <f t="shared" ca="1" si="100"/>
        <v>7.3704642722557457E-4</v>
      </c>
      <c r="AO144" s="16">
        <f t="shared" ca="1" si="101"/>
        <v>0</v>
      </c>
      <c r="AP144" s="16">
        <f t="shared" ca="1" si="102"/>
        <v>-5.7718668873676131E-5</v>
      </c>
      <c r="AQ144" s="16">
        <f t="shared" ca="1" si="103"/>
        <v>0</v>
      </c>
      <c r="AR144" s="16">
        <f t="shared" ca="1" si="104"/>
        <v>0</v>
      </c>
      <c r="AS144" s="16">
        <f t="shared" ca="1" si="105"/>
        <v>-5.5856566239037363E-6</v>
      </c>
    </row>
    <row r="145" spans="1:45" x14ac:dyDescent="0.25">
      <c r="A145" s="69">
        <f t="shared" ca="1" si="106"/>
        <v>2450.4378689764644</v>
      </c>
      <c r="B145" s="69">
        <f t="shared" ca="1" si="107"/>
        <v>2135.4908686301687</v>
      </c>
      <c r="C145" s="69">
        <f t="shared" ca="1" si="108"/>
        <v>2231.4220526381228</v>
      </c>
      <c r="D145" s="69">
        <f t="shared" ca="1" si="109"/>
        <v>2909.3365949990794</v>
      </c>
      <c r="E145" s="69">
        <f t="shared" ca="1" si="110"/>
        <v>1934.2495667108551</v>
      </c>
      <c r="F145" s="69">
        <f t="shared" ca="1" si="111"/>
        <v>1224.6390959906485</v>
      </c>
      <c r="G145" s="69">
        <f t="shared" ca="1" si="112"/>
        <v>963.79495620320313</v>
      </c>
      <c r="H145" s="69">
        <f t="shared" ca="1" si="113"/>
        <v>1189.3297267914711</v>
      </c>
      <c r="I145" s="69">
        <f t="shared" ca="1" si="114"/>
        <v>1044.3316659818522</v>
      </c>
      <c r="J145" s="69">
        <f t="shared" ca="1" si="115"/>
        <v>1148.902826682938</v>
      </c>
      <c r="K145" s="69">
        <f t="shared" ca="1" si="116"/>
        <v>1179.6542969059542</v>
      </c>
      <c r="L145" s="69">
        <f t="shared" ca="1" si="117"/>
        <v>955.95158526075545</v>
      </c>
      <c r="M145" s="69">
        <f t="shared" ca="1" si="118"/>
        <v>983.73003282696197</v>
      </c>
      <c r="N145" s="69">
        <f t="shared" ca="1" si="119"/>
        <v>574.55911219756899</v>
      </c>
      <c r="O145" s="69">
        <f t="shared" ca="1" si="120"/>
        <v>629.93452001482137</v>
      </c>
      <c r="P145" s="69">
        <f t="shared" ca="1" si="121"/>
        <v>723.56673008015628</v>
      </c>
      <c r="Q145" s="69">
        <f t="shared" ca="1" si="122"/>
        <v>954.95053878413648</v>
      </c>
      <c r="R145" s="69">
        <f t="shared" ca="1" si="123"/>
        <v>784.10579804813199</v>
      </c>
      <c r="S145" s="69">
        <f t="shared" ca="1" si="124"/>
        <v>699.69910393656744</v>
      </c>
      <c r="T145" s="69">
        <f t="shared" ca="1" si="125"/>
        <v>805.51659989408097</v>
      </c>
      <c r="U145" s="69">
        <f t="shared" ca="1" si="126"/>
        <v>1694.955791347146</v>
      </c>
      <c r="V145" s="69">
        <f t="shared" ca="1" si="127"/>
        <v>1912.0820798821376</v>
      </c>
      <c r="W145" s="69">
        <f t="shared" ca="1" si="128"/>
        <v>1178.351999901834</v>
      </c>
      <c r="X145" s="69">
        <f t="shared" ca="1" si="129"/>
        <v>1488.8156348017353</v>
      </c>
      <c r="Y145" s="69">
        <f t="shared" ca="1" si="130"/>
        <v>1210.7655129144152</v>
      </c>
      <c r="AA145" s="20">
        <f t="shared" ca="1" si="90"/>
        <v>6.5709719446258736E+16</v>
      </c>
      <c r="AB145" s="20">
        <f t="shared" ca="1" si="91"/>
        <v>1684289681001286.8</v>
      </c>
      <c r="AC145" s="20">
        <f t="shared" ca="1" si="92"/>
        <v>401510314887868.06</v>
      </c>
      <c r="AD145" s="20">
        <f t="shared" ca="1" si="93"/>
        <v>305365483245192.63</v>
      </c>
      <c r="AE145" s="20">
        <f t="shared" ca="1" si="94"/>
        <v>6884000810149929</v>
      </c>
      <c r="AG145" s="16">
        <f t="shared" ca="1" si="95"/>
        <v>9.4424090160028571E-6</v>
      </c>
      <c r="AH145" s="16">
        <f t="shared" ca="1" si="96"/>
        <v>1.8050753957204885E-4</v>
      </c>
      <c r="AI145" s="16">
        <f t="shared" ca="1" si="97"/>
        <v>-8.2094428780218854E-4</v>
      </c>
      <c r="AJ145" s="16">
        <f t="shared" ca="1" si="98"/>
        <v>-1.4966825231515189E-3</v>
      </c>
      <c r="AK145" s="16">
        <f t="shared" ca="1" si="99"/>
        <v>4.1637056571596664E-4</v>
      </c>
      <c r="AM145" s="16">
        <f t="shared" ca="1" si="100"/>
        <v>-2.1276768623656557E-3</v>
      </c>
      <c r="AO145" s="16">
        <f t="shared" ca="1" si="101"/>
        <v>0</v>
      </c>
      <c r="AP145" s="16">
        <f t="shared" ca="1" si="102"/>
        <v>0</v>
      </c>
      <c r="AQ145" s="16">
        <f t="shared" ca="1" si="103"/>
        <v>-8.2094428780218854E-4</v>
      </c>
      <c r="AR145" s="16">
        <f t="shared" ca="1" si="104"/>
        <v>-1.4966825231515189E-3</v>
      </c>
      <c r="AS145" s="16">
        <f t="shared" ca="1" si="105"/>
        <v>0</v>
      </c>
    </row>
    <row r="146" spans="1:45" x14ac:dyDescent="0.25">
      <c r="A146" s="69">
        <f t="shared" ca="1" si="106"/>
        <v>2450.6401891277496</v>
      </c>
      <c r="B146" s="69">
        <f t="shared" ca="1" si="107"/>
        <v>2135.2012934190984</v>
      </c>
      <c r="C146" s="69">
        <f t="shared" ca="1" si="108"/>
        <v>2231.2786044966438</v>
      </c>
      <c r="D146" s="69">
        <f t="shared" ca="1" si="109"/>
        <v>2909.5810855170821</v>
      </c>
      <c r="E146" s="69">
        <f t="shared" ca="1" si="110"/>
        <v>1934.3322498338603</v>
      </c>
      <c r="F146" s="69">
        <f t="shared" ca="1" si="111"/>
        <v>1224.8646406397179</v>
      </c>
      <c r="G146" s="69">
        <f t="shared" ca="1" si="112"/>
        <v>963.79495620320313</v>
      </c>
      <c r="H146" s="69">
        <f t="shared" ca="1" si="113"/>
        <v>1189.3297267914711</v>
      </c>
      <c r="I146" s="69">
        <f t="shared" ca="1" si="114"/>
        <v>1044.3278564301256</v>
      </c>
      <c r="J146" s="69">
        <f t="shared" ca="1" si="115"/>
        <v>1148.902826682938</v>
      </c>
      <c r="K146" s="69">
        <f t="shared" ca="1" si="116"/>
        <v>1179.6542969059542</v>
      </c>
      <c r="L146" s="69">
        <f t="shared" ca="1" si="117"/>
        <v>955.95158526075545</v>
      </c>
      <c r="M146" s="69">
        <f t="shared" ca="1" si="118"/>
        <v>983.70172250366375</v>
      </c>
      <c r="N146" s="69">
        <f t="shared" ca="1" si="119"/>
        <v>574.55911219756899</v>
      </c>
      <c r="O146" s="69">
        <f t="shared" ca="1" si="120"/>
        <v>629.43570532939407</v>
      </c>
      <c r="P146" s="69">
        <f t="shared" ca="1" si="121"/>
        <v>723.32720655804451</v>
      </c>
      <c r="Q146" s="69">
        <f t="shared" ca="1" si="122"/>
        <v>954.79877520567663</v>
      </c>
      <c r="R146" s="69">
        <f t="shared" ca="1" si="123"/>
        <v>784.10579804813199</v>
      </c>
      <c r="S146" s="69">
        <f t="shared" ca="1" si="124"/>
        <v>699.2063168320102</v>
      </c>
      <c r="T146" s="69">
        <f t="shared" ca="1" si="125"/>
        <v>805.27326755070419</v>
      </c>
      <c r="U146" s="69">
        <f t="shared" ca="1" si="126"/>
        <v>1694.955791347146</v>
      </c>
      <c r="V146" s="69">
        <f t="shared" ca="1" si="127"/>
        <v>1912.3306914792299</v>
      </c>
      <c r="W146" s="69">
        <f t="shared" ca="1" si="128"/>
        <v>1178.351999901834</v>
      </c>
      <c r="X146" s="69">
        <f t="shared" ca="1" si="129"/>
        <v>1488.8110468373281</v>
      </c>
      <c r="Y146" s="69">
        <f t="shared" ca="1" si="130"/>
        <v>1211.1160066833536</v>
      </c>
      <c r="AA146" s="20">
        <f t="shared" ca="1" si="90"/>
        <v>6.5710339907235392E+16</v>
      </c>
      <c r="AB146" s="20">
        <f t="shared" ca="1" si="91"/>
        <v>1684593735428763.5</v>
      </c>
      <c r="AC146" s="20">
        <f t="shared" ca="1" si="92"/>
        <v>401180832550193.25</v>
      </c>
      <c r="AD146" s="20">
        <f t="shared" ca="1" si="93"/>
        <v>304908789910963.38</v>
      </c>
      <c r="AE146" s="20">
        <f t="shared" ca="1" si="94"/>
        <v>6886867702264968</v>
      </c>
      <c r="AG146" s="16">
        <f t="shared" ca="1" si="95"/>
        <v>4.4081384520905521E-5</v>
      </c>
      <c r="AH146" s="16">
        <f t="shared" ca="1" si="96"/>
        <v>-2.8603875454586547E-4</v>
      </c>
      <c r="AI146" s="16">
        <f t="shared" ca="1" si="97"/>
        <v>4.464689533473126E-4</v>
      </c>
      <c r="AJ146" s="16">
        <f t="shared" ca="1" si="98"/>
        <v>2.1601636334333017E-4</v>
      </c>
      <c r="AK146" s="16">
        <f t="shared" ca="1" si="99"/>
        <v>3.5005905696622547E-4</v>
      </c>
      <c r="AM146" s="16">
        <f t="shared" ca="1" si="100"/>
        <v>4.2052794666568282E-4</v>
      </c>
      <c r="AO146" s="16">
        <f t="shared" ca="1" si="101"/>
        <v>0</v>
      </c>
      <c r="AP146" s="16">
        <f t="shared" ca="1" si="102"/>
        <v>-2.8603875454586547E-4</v>
      </c>
      <c r="AQ146" s="16">
        <f t="shared" ca="1" si="103"/>
        <v>0</v>
      </c>
      <c r="AR146" s="16">
        <f t="shared" ca="1" si="104"/>
        <v>0</v>
      </c>
      <c r="AS146" s="16">
        <f t="shared" ca="1" si="105"/>
        <v>0</v>
      </c>
    </row>
    <row r="147" spans="1:45" x14ac:dyDescent="0.25">
      <c r="A147" s="69">
        <f t="shared" ca="1" si="106"/>
        <v>2451.0397886313867</v>
      </c>
      <c r="B147" s="69">
        <f t="shared" ca="1" si="107"/>
        <v>2134.8063611415487</v>
      </c>
      <c r="C147" s="69">
        <f t="shared" ca="1" si="108"/>
        <v>2231.7527805830928</v>
      </c>
      <c r="D147" s="69">
        <f t="shared" ca="1" si="109"/>
        <v>2909.8264615416069</v>
      </c>
      <c r="E147" s="69">
        <f t="shared" ca="1" si="110"/>
        <v>1933.88584638833</v>
      </c>
      <c r="F147" s="69">
        <f t="shared" ca="1" si="111"/>
        <v>1224.5129098481482</v>
      </c>
      <c r="G147" s="69">
        <f t="shared" ca="1" si="112"/>
        <v>963.79495620320313</v>
      </c>
      <c r="H147" s="69">
        <f t="shared" ca="1" si="113"/>
        <v>1189.6547286235996</v>
      </c>
      <c r="I147" s="69">
        <f t="shared" ca="1" si="114"/>
        <v>1044.0437689950495</v>
      </c>
      <c r="J147" s="69">
        <f t="shared" ca="1" si="115"/>
        <v>1148.902826682938</v>
      </c>
      <c r="K147" s="69">
        <f t="shared" ca="1" si="116"/>
        <v>1180.0565912592081</v>
      </c>
      <c r="L147" s="69">
        <f t="shared" ca="1" si="117"/>
        <v>956.16569464991198</v>
      </c>
      <c r="M147" s="69">
        <f t="shared" ca="1" si="118"/>
        <v>983.70172250366375</v>
      </c>
      <c r="N147" s="69">
        <f t="shared" ca="1" si="119"/>
        <v>574.2217138307542</v>
      </c>
      <c r="O147" s="69">
        <f t="shared" ca="1" si="120"/>
        <v>629.73094982444388</v>
      </c>
      <c r="P147" s="69">
        <f t="shared" ca="1" si="121"/>
        <v>723.50195340374546</v>
      </c>
      <c r="Q147" s="69">
        <f t="shared" ca="1" si="122"/>
        <v>954.69217794526401</v>
      </c>
      <c r="R147" s="69">
        <f t="shared" ca="1" si="123"/>
        <v>784.10579804813199</v>
      </c>
      <c r="S147" s="69">
        <f t="shared" ca="1" si="124"/>
        <v>699.2063168320102</v>
      </c>
      <c r="T147" s="69">
        <f t="shared" ca="1" si="125"/>
        <v>805.3426109409055</v>
      </c>
      <c r="U147" s="69">
        <f t="shared" ca="1" si="126"/>
        <v>1695.1557400938468</v>
      </c>
      <c r="V147" s="69">
        <f t="shared" ca="1" si="127"/>
        <v>1912.7684252045483</v>
      </c>
      <c r="W147" s="69">
        <f t="shared" ca="1" si="128"/>
        <v>1178.3557996523482</v>
      </c>
      <c r="X147" s="69">
        <f t="shared" ca="1" si="129"/>
        <v>1488.8110468373281</v>
      </c>
      <c r="Y147" s="69">
        <f t="shared" ca="1" si="130"/>
        <v>1211.1160066833536</v>
      </c>
      <c r="AA147" s="20">
        <f t="shared" ca="1" si="90"/>
        <v>6.5713236573839904E+16</v>
      </c>
      <c r="AB147" s="20">
        <f t="shared" ca="1" si="91"/>
        <v>1684111945243383</v>
      </c>
      <c r="AC147" s="20">
        <f t="shared" ca="1" si="92"/>
        <v>401359987327151.88</v>
      </c>
      <c r="AD147" s="20">
        <f t="shared" ca="1" si="93"/>
        <v>304974662313413.63</v>
      </c>
      <c r="AE147" s="20">
        <f t="shared" ca="1" si="94"/>
        <v>6889278934690525</v>
      </c>
      <c r="AG147" s="16">
        <f t="shared" ca="1" si="95"/>
        <v>-2.2964247673468053E-6</v>
      </c>
      <c r="AH147" s="16">
        <f t="shared" ca="1" si="96"/>
        <v>1.0381187251466645E-3</v>
      </c>
      <c r="AI147" s="16">
        <f t="shared" ca="1" si="97"/>
        <v>4.3199574591752156E-4</v>
      </c>
      <c r="AJ147" s="16">
        <f t="shared" ca="1" si="98"/>
        <v>7.7288450662104296E-5</v>
      </c>
      <c r="AK147" s="16">
        <f t="shared" ca="1" si="99"/>
        <v>-4.7378479976312372E-4</v>
      </c>
      <c r="AM147" s="16">
        <f t="shared" ca="1" si="100"/>
        <v>1.5451064969589435E-3</v>
      </c>
      <c r="AO147" s="16">
        <f t="shared" ca="1" si="101"/>
        <v>-2.2964247673468053E-6</v>
      </c>
      <c r="AP147" s="16">
        <f t="shared" ca="1" si="102"/>
        <v>0</v>
      </c>
      <c r="AQ147" s="16">
        <f t="shared" ca="1" si="103"/>
        <v>0</v>
      </c>
      <c r="AR147" s="16">
        <f t="shared" ca="1" si="104"/>
        <v>0</v>
      </c>
      <c r="AS147" s="16">
        <f t="shared" ca="1" si="105"/>
        <v>-4.7378479976312372E-4</v>
      </c>
    </row>
    <row r="148" spans="1:45" x14ac:dyDescent="0.25">
      <c r="A148" s="69">
        <f t="shared" ca="1" si="106"/>
        <v>2450.9951828863941</v>
      </c>
      <c r="B148" s="69">
        <f t="shared" ca="1" si="107"/>
        <v>2134.8736303999076</v>
      </c>
      <c r="C148" s="69">
        <f t="shared" ca="1" si="108"/>
        <v>2231.9404435211713</v>
      </c>
      <c r="D148" s="69">
        <f t="shared" ca="1" si="109"/>
        <v>2909.6475350101214</v>
      </c>
      <c r="E148" s="69">
        <f t="shared" ca="1" si="110"/>
        <v>1933.8119741631861</v>
      </c>
      <c r="F148" s="69">
        <f t="shared" ca="1" si="111"/>
        <v>1224.5129098481482</v>
      </c>
      <c r="G148" s="69">
        <f t="shared" ca="1" si="112"/>
        <v>963.79495620320313</v>
      </c>
      <c r="H148" s="69">
        <f t="shared" ca="1" si="113"/>
        <v>1189.8689665634054</v>
      </c>
      <c r="I148" s="69">
        <f t="shared" ca="1" si="114"/>
        <v>1044.5340231293649</v>
      </c>
      <c r="J148" s="69">
        <f t="shared" ca="1" si="115"/>
        <v>1149.3493640058209</v>
      </c>
      <c r="K148" s="69">
        <f t="shared" ca="1" si="116"/>
        <v>1180.3554917343058</v>
      </c>
      <c r="L148" s="69">
        <f t="shared" ca="1" si="117"/>
        <v>956.20474474120942</v>
      </c>
      <c r="M148" s="69">
        <f t="shared" ca="1" si="118"/>
        <v>984.16801834155956</v>
      </c>
      <c r="N148" s="69">
        <f t="shared" ca="1" si="119"/>
        <v>573.9385049643123</v>
      </c>
      <c r="O148" s="69">
        <f t="shared" ca="1" si="120"/>
        <v>629.83002194850803</v>
      </c>
      <c r="P148" s="69">
        <f t="shared" ca="1" si="121"/>
        <v>723.43668469636862</v>
      </c>
      <c r="Q148" s="69">
        <f t="shared" ca="1" si="122"/>
        <v>955.07200612610836</v>
      </c>
      <c r="R148" s="69">
        <f t="shared" ca="1" si="123"/>
        <v>783.76060142575727</v>
      </c>
      <c r="S148" s="69">
        <f t="shared" ca="1" si="124"/>
        <v>698.96284680489043</v>
      </c>
      <c r="T148" s="69">
        <f t="shared" ca="1" si="125"/>
        <v>805.79239058609141</v>
      </c>
      <c r="U148" s="69">
        <f t="shared" ca="1" si="126"/>
        <v>1694.7331492492622</v>
      </c>
      <c r="V148" s="69">
        <f t="shared" ca="1" si="127"/>
        <v>1913.0533596849716</v>
      </c>
      <c r="W148" s="69">
        <f t="shared" ca="1" si="128"/>
        <v>1177.9158674298778</v>
      </c>
      <c r="X148" s="69">
        <f t="shared" ca="1" si="129"/>
        <v>1488.8110468373281</v>
      </c>
      <c r="Y148" s="69">
        <f t="shared" ca="1" si="130"/>
        <v>1211.1160066833536</v>
      </c>
      <c r="AA148" s="20">
        <f t="shared" ca="1" si="90"/>
        <v>6.5713085668509168E+16</v>
      </c>
      <c r="AB148" s="20">
        <f t="shared" ca="1" si="91"/>
        <v>1685861161178799</v>
      </c>
      <c r="AC148" s="20">
        <f t="shared" ca="1" si="92"/>
        <v>401533410590617.75</v>
      </c>
      <c r="AD148" s="20">
        <f t="shared" ca="1" si="93"/>
        <v>304998234243462.25</v>
      </c>
      <c r="AE148" s="20">
        <f t="shared" ca="1" si="94"/>
        <v>6886015672153077</v>
      </c>
      <c r="AG148" s="16">
        <f t="shared" ca="1" si="95"/>
        <v>-5.7022250692326303E-4</v>
      </c>
      <c r="AH148" s="16">
        <f t="shared" ca="1" si="96"/>
        <v>-9.4111890876148057E-4</v>
      </c>
      <c r="AI148" s="16">
        <f t="shared" ca="1" si="97"/>
        <v>-5.6175376694986095E-4</v>
      </c>
      <c r="AJ148" s="16">
        <f t="shared" ca="1" si="98"/>
        <v>7.5318974916500437E-4</v>
      </c>
      <c r="AK148" s="16">
        <f t="shared" ca="1" si="99"/>
        <v>-3.0170654158016104E-4</v>
      </c>
      <c r="AM148" s="16">
        <f t="shared" ca="1" si="100"/>
        <v>-1.3199054334696002E-3</v>
      </c>
      <c r="AO148" s="16">
        <f t="shared" ca="1" si="101"/>
        <v>-5.7022250692326303E-4</v>
      </c>
      <c r="AP148" s="16">
        <f t="shared" ca="1" si="102"/>
        <v>-9.4111890876148057E-4</v>
      </c>
      <c r="AQ148" s="16">
        <f t="shared" ca="1" si="103"/>
        <v>-5.6175376694986095E-4</v>
      </c>
      <c r="AR148" s="16">
        <f t="shared" ca="1" si="104"/>
        <v>0</v>
      </c>
      <c r="AS148" s="16">
        <f t="shared" ca="1" si="105"/>
        <v>-3.0170654158016104E-4</v>
      </c>
    </row>
    <row r="149" spans="1:45" x14ac:dyDescent="0.25">
      <c r="A149" s="69">
        <f t="shared" ca="1" si="106"/>
        <v>2450.6111314350919</v>
      </c>
      <c r="B149" s="69">
        <f t="shared" ca="1" si="107"/>
        <v>2134.616656150587</v>
      </c>
      <c r="C149" s="69">
        <f t="shared" ca="1" si="108"/>
        <v>2231.665834041497</v>
      </c>
      <c r="D149" s="69">
        <f t="shared" ca="1" si="109"/>
        <v>2909.1526536382316</v>
      </c>
      <c r="E149" s="69">
        <f t="shared" ca="1" si="110"/>
        <v>1933.8119741631861</v>
      </c>
      <c r="F149" s="69">
        <f t="shared" ca="1" si="111"/>
        <v>1224.2999556379873</v>
      </c>
      <c r="G149" s="69">
        <f t="shared" ca="1" si="112"/>
        <v>963.34703908795393</v>
      </c>
      <c r="H149" s="69">
        <f t="shared" ca="1" si="113"/>
        <v>1189.8689665634054</v>
      </c>
      <c r="I149" s="69">
        <f t="shared" ca="1" si="114"/>
        <v>1044.5340231293649</v>
      </c>
      <c r="J149" s="69">
        <f t="shared" ca="1" si="115"/>
        <v>1149.0019184824112</v>
      </c>
      <c r="K149" s="69">
        <f t="shared" ca="1" si="116"/>
        <v>1180.391797309044</v>
      </c>
      <c r="L149" s="69">
        <f t="shared" ca="1" si="117"/>
        <v>956.20474474120942</v>
      </c>
      <c r="M149" s="69">
        <f t="shared" ca="1" si="118"/>
        <v>984.21877742133347</v>
      </c>
      <c r="N149" s="69">
        <f t="shared" ca="1" si="119"/>
        <v>573.78823151919778</v>
      </c>
      <c r="O149" s="69">
        <f t="shared" ca="1" si="120"/>
        <v>629.58933243134027</v>
      </c>
      <c r="P149" s="69">
        <f t="shared" ca="1" si="121"/>
        <v>723.71059152547912</v>
      </c>
      <c r="Q149" s="69">
        <f t="shared" ca="1" si="122"/>
        <v>955.01793960412442</v>
      </c>
      <c r="R149" s="69">
        <f t="shared" ca="1" si="123"/>
        <v>783.76060142575727</v>
      </c>
      <c r="S149" s="69">
        <f t="shared" ca="1" si="124"/>
        <v>699.26434230822019</v>
      </c>
      <c r="T149" s="69">
        <f t="shared" ca="1" si="125"/>
        <v>805.79239058609141</v>
      </c>
      <c r="U149" s="69">
        <f t="shared" ca="1" si="126"/>
        <v>1694.7331492492622</v>
      </c>
      <c r="V149" s="69">
        <f t="shared" ca="1" si="127"/>
        <v>1913.0533596849716</v>
      </c>
      <c r="W149" s="69">
        <f t="shared" ca="1" si="128"/>
        <v>1177.9755853737024</v>
      </c>
      <c r="X149" s="69">
        <f t="shared" ca="1" si="129"/>
        <v>1488.447489638939</v>
      </c>
      <c r="Y149" s="69">
        <f t="shared" ca="1" si="130"/>
        <v>1210.984994716905</v>
      </c>
      <c r="AA149" s="20">
        <f t="shared" ca="1" si="90"/>
        <v>6.5675625269457968E+16</v>
      </c>
      <c r="AB149" s="20">
        <f t="shared" ca="1" si="91"/>
        <v>1684275311715974.5</v>
      </c>
      <c r="AC149" s="20">
        <f t="shared" ca="1" si="92"/>
        <v>401307911028206.56</v>
      </c>
      <c r="AD149" s="20">
        <f t="shared" ca="1" si="93"/>
        <v>305228042320687.81</v>
      </c>
      <c r="AE149" s="20">
        <f t="shared" ca="1" si="94"/>
        <v>6883938429553962</v>
      </c>
      <c r="AG149" s="16">
        <f t="shared" ca="1" si="95"/>
        <v>-5.1140738210837312E-4</v>
      </c>
      <c r="AH149" s="16">
        <f t="shared" ca="1" si="96"/>
        <v>-1.1929841315013318E-5</v>
      </c>
      <c r="AI149" s="16">
        <f t="shared" ca="1" si="97"/>
        <v>-6.2951365983063962E-4</v>
      </c>
      <c r="AJ149" s="16">
        <f t="shared" ca="1" si="98"/>
        <v>-9.7721318090602974E-4</v>
      </c>
      <c r="AK149" s="16">
        <f t="shared" ca="1" si="99"/>
        <v>-5.8480822113109448E-4</v>
      </c>
      <c r="AM149" s="16">
        <f t="shared" ca="1" si="100"/>
        <v>-2.1300640641600558E-3</v>
      </c>
      <c r="AO149" s="16">
        <f t="shared" ca="1" si="101"/>
        <v>-5.1140738210837312E-4</v>
      </c>
      <c r="AP149" s="16">
        <f t="shared" ca="1" si="102"/>
        <v>-1.1929841315013318E-5</v>
      </c>
      <c r="AQ149" s="16">
        <f t="shared" ca="1" si="103"/>
        <v>-6.2951365983063962E-4</v>
      </c>
      <c r="AR149" s="16">
        <f t="shared" ca="1" si="104"/>
        <v>-9.7721318090602974E-4</v>
      </c>
      <c r="AS149" s="16">
        <f t="shared" ca="1" si="105"/>
        <v>-5.8480822113109448E-4</v>
      </c>
    </row>
    <row r="150" spans="1:45" x14ac:dyDescent="0.25">
      <c r="A150" s="69">
        <f t="shared" ca="1" si="106"/>
        <v>2450.4399236943459</v>
      </c>
      <c r="B150" s="69">
        <f t="shared" ca="1" si="107"/>
        <v>2134.1470120296867</v>
      </c>
      <c r="C150" s="69">
        <f t="shared" ca="1" si="108"/>
        <v>2231.1715656072324</v>
      </c>
      <c r="D150" s="69">
        <f t="shared" ca="1" si="109"/>
        <v>2909.1526536382316</v>
      </c>
      <c r="E150" s="69">
        <f t="shared" ca="1" si="110"/>
        <v>1933.8119741631861</v>
      </c>
      <c r="F150" s="69">
        <f t="shared" ca="1" si="111"/>
        <v>1224.7164110694364</v>
      </c>
      <c r="G150" s="69">
        <f t="shared" ca="1" si="112"/>
        <v>963.42181468512388</v>
      </c>
      <c r="H150" s="69">
        <f t="shared" ca="1" si="113"/>
        <v>1189.8689665634054</v>
      </c>
      <c r="I150" s="69">
        <f t="shared" ca="1" si="114"/>
        <v>1044.5340231293649</v>
      </c>
      <c r="J150" s="69">
        <f t="shared" ca="1" si="115"/>
        <v>1148.5083585821847</v>
      </c>
      <c r="K150" s="69">
        <f t="shared" ca="1" si="116"/>
        <v>1180.1735161454117</v>
      </c>
      <c r="L150" s="69">
        <f t="shared" ca="1" si="117"/>
        <v>956.20474474120942</v>
      </c>
      <c r="M150" s="69">
        <f t="shared" ca="1" si="118"/>
        <v>984.12794800006714</v>
      </c>
      <c r="N150" s="69">
        <f t="shared" ca="1" si="119"/>
        <v>573.58613078665655</v>
      </c>
      <c r="O150" s="69">
        <f t="shared" ca="1" si="120"/>
        <v>629.58933243134027</v>
      </c>
      <c r="P150" s="69">
        <f t="shared" ca="1" si="121"/>
        <v>723.31957072799275</v>
      </c>
      <c r="Q150" s="69">
        <f t="shared" ca="1" si="122"/>
        <v>955.01793960412442</v>
      </c>
      <c r="R150" s="69">
        <f t="shared" ca="1" si="123"/>
        <v>783.74118229943974</v>
      </c>
      <c r="S150" s="69">
        <f t="shared" ca="1" si="124"/>
        <v>699.03122132867497</v>
      </c>
      <c r="T150" s="69">
        <f t="shared" ca="1" si="125"/>
        <v>805.72909475086385</v>
      </c>
      <c r="U150" s="69">
        <f t="shared" ca="1" si="126"/>
        <v>1694.7331492492622</v>
      </c>
      <c r="V150" s="69">
        <f t="shared" ca="1" si="127"/>
        <v>1912.67739496429</v>
      </c>
      <c r="W150" s="69">
        <f t="shared" ca="1" si="128"/>
        <v>1177.6543275833776</v>
      </c>
      <c r="X150" s="69">
        <f t="shared" ca="1" si="129"/>
        <v>1488.0585006989179</v>
      </c>
      <c r="Y150" s="69">
        <f t="shared" ca="1" si="130"/>
        <v>1211.1616508224013</v>
      </c>
      <c r="AA150" s="20">
        <f t="shared" ca="1" si="90"/>
        <v>6.5642046856726496E+16</v>
      </c>
      <c r="AB150" s="20">
        <f t="shared" ca="1" si="91"/>
        <v>1684255218698628.5</v>
      </c>
      <c r="AC150" s="20">
        <f t="shared" ca="1" si="92"/>
        <v>401055361716377.19</v>
      </c>
      <c r="AD150" s="20">
        <f t="shared" ca="1" si="93"/>
        <v>304929915145177.25</v>
      </c>
      <c r="AE150" s="20">
        <f t="shared" ca="1" si="94"/>
        <v>6879913822692890</v>
      </c>
      <c r="AG150" s="16">
        <f t="shared" ca="1" si="95"/>
        <v>-2.3083879355488454E-4</v>
      </c>
      <c r="AH150" s="16">
        <f t="shared" ca="1" si="96"/>
        <v>3.4101085270293279E-5</v>
      </c>
      <c r="AI150" s="16">
        <f t="shared" ca="1" si="97"/>
        <v>-4.1692866372988334E-4</v>
      </c>
      <c r="AJ150" s="16">
        <f t="shared" ca="1" si="98"/>
        <v>-1.2738865020822663E-3</v>
      </c>
      <c r="AK150" s="16">
        <f t="shared" ca="1" si="99"/>
        <v>-5.6744803644827042E-4</v>
      </c>
      <c r="AM150" s="16">
        <f t="shared" ca="1" si="100"/>
        <v>-1.887552874096741E-3</v>
      </c>
      <c r="AO150" s="16">
        <f t="shared" ca="1" si="101"/>
        <v>-2.3083879355488454E-4</v>
      </c>
      <c r="AP150" s="16">
        <f t="shared" ca="1" si="102"/>
        <v>0</v>
      </c>
      <c r="AQ150" s="16">
        <f t="shared" ca="1" si="103"/>
        <v>-4.1692866372988334E-4</v>
      </c>
      <c r="AR150" s="16">
        <f t="shared" ca="1" si="104"/>
        <v>-1.2738865020822663E-3</v>
      </c>
      <c r="AS150" s="16">
        <f t="shared" ca="1" si="105"/>
        <v>-5.6744803644827042E-4</v>
      </c>
    </row>
    <row r="151" spans="1:45" x14ac:dyDescent="0.25">
      <c r="A151" s="69">
        <f t="shared" ca="1" si="106"/>
        <v>2450.0758092966357</v>
      </c>
      <c r="B151" s="69">
        <f t="shared" ca="1" si="107"/>
        <v>2134.1470120296867</v>
      </c>
      <c r="C151" s="69">
        <f t="shared" ca="1" si="108"/>
        <v>2230.8726168340972</v>
      </c>
      <c r="D151" s="69">
        <f t="shared" ca="1" si="109"/>
        <v>2908.8135842556626</v>
      </c>
      <c r="E151" s="69">
        <f t="shared" ca="1" si="110"/>
        <v>1934.1374997020296</v>
      </c>
      <c r="F151" s="69">
        <f t="shared" ca="1" si="111"/>
        <v>1224.7164110694364</v>
      </c>
      <c r="G151" s="69">
        <f t="shared" ca="1" si="112"/>
        <v>963.42181468512388</v>
      </c>
      <c r="H151" s="69">
        <f t="shared" ca="1" si="113"/>
        <v>1190.0967290819531</v>
      </c>
      <c r="I151" s="69">
        <f t="shared" ca="1" si="114"/>
        <v>1044.5340231293649</v>
      </c>
      <c r="J151" s="69">
        <f t="shared" ca="1" si="115"/>
        <v>1148.3277138627236</v>
      </c>
      <c r="K151" s="69">
        <f t="shared" ca="1" si="116"/>
        <v>1179.6976559275317</v>
      </c>
      <c r="L151" s="69">
        <f t="shared" ca="1" si="117"/>
        <v>956.19170671816539</v>
      </c>
      <c r="M151" s="69">
        <f t="shared" ca="1" si="118"/>
        <v>984.12794800006714</v>
      </c>
      <c r="N151" s="69">
        <f t="shared" ca="1" si="119"/>
        <v>573.58613078665655</v>
      </c>
      <c r="O151" s="69">
        <f t="shared" ca="1" si="120"/>
        <v>629.58933243134027</v>
      </c>
      <c r="P151" s="69">
        <f t="shared" ca="1" si="121"/>
        <v>722.9617013234855</v>
      </c>
      <c r="Q151" s="69">
        <f t="shared" ca="1" si="122"/>
        <v>954.59303501108877</v>
      </c>
      <c r="R151" s="69">
        <f t="shared" ca="1" si="123"/>
        <v>783.74118229943974</v>
      </c>
      <c r="S151" s="69">
        <f t="shared" ca="1" si="124"/>
        <v>699.03122132867497</v>
      </c>
      <c r="T151" s="69">
        <f t="shared" ca="1" si="125"/>
        <v>805.46003631683948</v>
      </c>
      <c r="U151" s="69">
        <f t="shared" ca="1" si="126"/>
        <v>1694.294450248045</v>
      </c>
      <c r="V151" s="69">
        <f t="shared" ca="1" si="127"/>
        <v>1912.3398602100335</v>
      </c>
      <c r="W151" s="69">
        <f t="shared" ca="1" si="128"/>
        <v>1177.6543275833776</v>
      </c>
      <c r="X151" s="69">
        <f t="shared" ca="1" si="129"/>
        <v>1487.5916566395197</v>
      </c>
      <c r="Y151" s="69">
        <f t="shared" ca="1" si="130"/>
        <v>1211.3817508052946</v>
      </c>
      <c r="AA151" s="20">
        <f t="shared" ca="1" si="90"/>
        <v>6.5626895874608112E+16</v>
      </c>
      <c r="AB151" s="20">
        <f t="shared" ca="1" si="91"/>
        <v>1684312654608766</v>
      </c>
      <c r="AC151" s="20">
        <f t="shared" ca="1" si="92"/>
        <v>400888185093119.81</v>
      </c>
      <c r="AD151" s="20">
        <f t="shared" ca="1" si="93"/>
        <v>304541716355289</v>
      </c>
      <c r="AE151" s="20">
        <f t="shared" ca="1" si="94"/>
        <v>6876010936550535</v>
      </c>
      <c r="AG151" s="16">
        <f t="shared" ca="1" si="95"/>
        <v>-1.8320274961375419E-4</v>
      </c>
      <c r="AH151" s="16">
        <f t="shared" ca="1" si="96"/>
        <v>3.9018493976802134E-4</v>
      </c>
      <c r="AI151" s="16">
        <f t="shared" ca="1" si="97"/>
        <v>-1.171848673776477E-5</v>
      </c>
      <c r="AJ151" s="16">
        <f t="shared" ca="1" si="98"/>
        <v>4.9327386336361651E-4</v>
      </c>
      <c r="AK151" s="16">
        <f t="shared" ca="1" si="99"/>
        <v>-4.7271679293465807E-4</v>
      </c>
      <c r="AM151" s="16">
        <f t="shared" ca="1" si="100"/>
        <v>6.8853756678011885E-4</v>
      </c>
      <c r="AO151" s="16">
        <f t="shared" ca="1" si="101"/>
        <v>-1.8320274961375419E-4</v>
      </c>
      <c r="AP151" s="16">
        <f t="shared" ca="1" si="102"/>
        <v>0</v>
      </c>
      <c r="AQ151" s="16">
        <f t="shared" ca="1" si="103"/>
        <v>-1.171848673776477E-5</v>
      </c>
      <c r="AR151" s="16">
        <f t="shared" ca="1" si="104"/>
        <v>0</v>
      </c>
      <c r="AS151" s="16">
        <f t="shared" ca="1" si="105"/>
        <v>-4.7271679293465807E-4</v>
      </c>
    </row>
    <row r="152" spans="1:45" x14ac:dyDescent="0.25">
      <c r="A152" s="69">
        <f t="shared" ca="1" si="106"/>
        <v>2450.0758092966357</v>
      </c>
      <c r="B152" s="69">
        <f t="shared" ca="1" si="107"/>
        <v>2134.1470120296867</v>
      </c>
      <c r="C152" s="69">
        <f t="shared" ca="1" si="108"/>
        <v>2230.5259706169213</v>
      </c>
      <c r="D152" s="69">
        <f t="shared" ca="1" si="109"/>
        <v>2908.3986992365717</v>
      </c>
      <c r="E152" s="69">
        <f t="shared" ca="1" si="110"/>
        <v>1934.3596205847632</v>
      </c>
      <c r="F152" s="69">
        <f t="shared" ca="1" si="111"/>
        <v>1225.0880662716827</v>
      </c>
      <c r="G152" s="69">
        <f t="shared" ca="1" si="112"/>
        <v>963.4278180765981</v>
      </c>
      <c r="H152" s="69">
        <f t="shared" ca="1" si="113"/>
        <v>1190.5664411126509</v>
      </c>
      <c r="I152" s="69">
        <f t="shared" ca="1" si="114"/>
        <v>1044.2060192763461</v>
      </c>
      <c r="J152" s="69">
        <f t="shared" ca="1" si="115"/>
        <v>1148.3277138627236</v>
      </c>
      <c r="K152" s="69">
        <f t="shared" ca="1" si="116"/>
        <v>1179.6976559275317</v>
      </c>
      <c r="L152" s="69">
        <f t="shared" ca="1" si="117"/>
        <v>956.60154402923786</v>
      </c>
      <c r="M152" s="69">
        <f t="shared" ca="1" si="118"/>
        <v>984.12794800006714</v>
      </c>
      <c r="N152" s="69">
        <f t="shared" ca="1" si="119"/>
        <v>573.3336703315274</v>
      </c>
      <c r="O152" s="69">
        <f t="shared" ca="1" si="120"/>
        <v>629.58933243134027</v>
      </c>
      <c r="P152" s="69">
        <f t="shared" ca="1" si="121"/>
        <v>722.9617013234855</v>
      </c>
      <c r="Q152" s="69">
        <f t="shared" ca="1" si="122"/>
        <v>955.06402695986776</v>
      </c>
      <c r="R152" s="69">
        <f t="shared" ca="1" si="123"/>
        <v>783.74118229943974</v>
      </c>
      <c r="S152" s="69">
        <f t="shared" ca="1" si="124"/>
        <v>699.03122132867497</v>
      </c>
      <c r="T152" s="69">
        <f t="shared" ca="1" si="125"/>
        <v>805.46003631683948</v>
      </c>
      <c r="U152" s="69">
        <f t="shared" ca="1" si="126"/>
        <v>1693.8507839498022</v>
      </c>
      <c r="V152" s="69">
        <f t="shared" ca="1" si="127"/>
        <v>1911.9367365733349</v>
      </c>
      <c r="W152" s="69">
        <f t="shared" ca="1" si="128"/>
        <v>1177.6543275833776</v>
      </c>
      <c r="X152" s="69">
        <f t="shared" ca="1" si="129"/>
        <v>1487.5916566395197</v>
      </c>
      <c r="Y152" s="69">
        <f t="shared" ca="1" si="130"/>
        <v>1211.3817508052946</v>
      </c>
      <c r="AA152" s="20">
        <f t="shared" ca="1" si="90"/>
        <v>6.5614873948093888E+16</v>
      </c>
      <c r="AB152" s="20">
        <f t="shared" ca="1" si="91"/>
        <v>1684969976270622.3</v>
      </c>
      <c r="AC152" s="20">
        <f t="shared" ca="1" si="92"/>
        <v>400883487317764.94</v>
      </c>
      <c r="AD152" s="20">
        <f t="shared" ca="1" si="93"/>
        <v>304691975880772.56</v>
      </c>
      <c r="AE152" s="20">
        <f t="shared" ca="1" si="94"/>
        <v>6872761298852095</v>
      </c>
      <c r="AG152" s="16">
        <f t="shared" ca="1" si="95"/>
        <v>1.7398296530242959E-4</v>
      </c>
      <c r="AH152" s="16">
        <f t="shared" ca="1" si="96"/>
        <v>5.7646602688920243E-4</v>
      </c>
      <c r="AI152" s="16">
        <f t="shared" ca="1" si="97"/>
        <v>-2.5144919222449934E-4</v>
      </c>
      <c r="AJ152" s="16">
        <f t="shared" ca="1" si="98"/>
        <v>-1.0129579470650189E-3</v>
      </c>
      <c r="AK152" s="16">
        <f t="shared" ca="1" si="99"/>
        <v>9.69916840550407E-5</v>
      </c>
      <c r="AM152" s="16">
        <f t="shared" ca="1" si="100"/>
        <v>-5.139581470978863E-4</v>
      </c>
      <c r="AO152" s="16">
        <f t="shared" ca="1" si="101"/>
        <v>0</v>
      </c>
      <c r="AP152" s="16">
        <f t="shared" ca="1" si="102"/>
        <v>0</v>
      </c>
      <c r="AQ152" s="16">
        <f t="shared" ca="1" si="103"/>
        <v>-2.5144919222449934E-4</v>
      </c>
      <c r="AR152" s="16">
        <f t="shared" ca="1" si="104"/>
        <v>-1.0129579470650189E-3</v>
      </c>
      <c r="AS152" s="16">
        <f t="shared" ca="1" si="105"/>
        <v>0</v>
      </c>
    </row>
    <row r="153" spans="1:45" x14ac:dyDescent="0.25">
      <c r="A153" s="69">
        <f t="shared" ca="1" si="106"/>
        <v>2450.2270684929508</v>
      </c>
      <c r="B153" s="69">
        <f t="shared" ca="1" si="107"/>
        <v>2134.1470120296867</v>
      </c>
      <c r="C153" s="69">
        <f t="shared" ca="1" si="108"/>
        <v>2230.5988330955315</v>
      </c>
      <c r="D153" s="69">
        <f t="shared" ca="1" si="109"/>
        <v>2908.6788671892105</v>
      </c>
      <c r="E153" s="69">
        <f t="shared" ca="1" si="110"/>
        <v>1934.3272334837068</v>
      </c>
      <c r="F153" s="69">
        <f t="shared" ca="1" si="111"/>
        <v>1225.249795822331</v>
      </c>
      <c r="G153" s="69">
        <f t="shared" ca="1" si="112"/>
        <v>963.4278180765981</v>
      </c>
      <c r="H153" s="69">
        <f t="shared" ca="1" si="113"/>
        <v>1190.5664411126509</v>
      </c>
      <c r="I153" s="69">
        <f t="shared" ca="1" si="114"/>
        <v>1044.6702303501634</v>
      </c>
      <c r="J153" s="69">
        <f t="shared" ca="1" si="115"/>
        <v>1148.3277138627236</v>
      </c>
      <c r="K153" s="69">
        <f t="shared" ca="1" si="116"/>
        <v>1179.6976559275317</v>
      </c>
      <c r="L153" s="69">
        <f t="shared" ca="1" si="117"/>
        <v>956.70580879794511</v>
      </c>
      <c r="M153" s="69">
        <f t="shared" ca="1" si="118"/>
        <v>983.92891279147511</v>
      </c>
      <c r="N153" s="69">
        <f t="shared" ca="1" si="119"/>
        <v>573.49733483226657</v>
      </c>
      <c r="O153" s="69">
        <f t="shared" ca="1" si="120"/>
        <v>629.31011297047621</v>
      </c>
      <c r="P153" s="69">
        <f t="shared" ca="1" si="121"/>
        <v>722.83120906642102</v>
      </c>
      <c r="Q153" s="69">
        <f t="shared" ca="1" si="122"/>
        <v>954.85449529991513</v>
      </c>
      <c r="R153" s="69">
        <f t="shared" ca="1" si="123"/>
        <v>783.74118229943974</v>
      </c>
      <c r="S153" s="69">
        <f t="shared" ca="1" si="124"/>
        <v>699.03122132867497</v>
      </c>
      <c r="T153" s="69">
        <f t="shared" ca="1" si="125"/>
        <v>804.96641595442998</v>
      </c>
      <c r="U153" s="69">
        <f t="shared" ca="1" si="126"/>
        <v>1693.8507839498022</v>
      </c>
      <c r="V153" s="69">
        <f t="shared" ca="1" si="127"/>
        <v>1912.341460213252</v>
      </c>
      <c r="W153" s="69">
        <f t="shared" ca="1" si="128"/>
        <v>1177.3364337373628</v>
      </c>
      <c r="X153" s="69">
        <f t="shared" ca="1" si="129"/>
        <v>1487.8227066999457</v>
      </c>
      <c r="Y153" s="69">
        <f t="shared" ca="1" si="130"/>
        <v>1211.3817508052946</v>
      </c>
      <c r="AA153" s="20">
        <f t="shared" ca="1" si="90"/>
        <v>6.5626290811572408E+16</v>
      </c>
      <c r="AB153" s="20">
        <f t="shared" ca="1" si="91"/>
        <v>1685941584240857.3</v>
      </c>
      <c r="AC153" s="20">
        <f t="shared" ca="1" si="92"/>
        <v>400782698160909.81</v>
      </c>
      <c r="AD153" s="20">
        <f t="shared" ca="1" si="93"/>
        <v>304383491989379.38</v>
      </c>
      <c r="AE153" s="20">
        <f t="shared" ca="1" si="94"/>
        <v>6873427931872986</v>
      </c>
      <c r="AG153" s="16">
        <f t="shared" ca="1" si="95"/>
        <v>-7.1145905201994988E-4</v>
      </c>
      <c r="AH153" s="16">
        <f t="shared" ca="1" si="96"/>
        <v>-5.1771021510162586E-4</v>
      </c>
      <c r="AI153" s="16">
        <f t="shared" ca="1" si="97"/>
        <v>-5.0281419377547079E-4</v>
      </c>
      <c r="AJ153" s="16">
        <f t="shared" ca="1" si="98"/>
        <v>2.6219009817974903E-4</v>
      </c>
      <c r="AK153" s="16">
        <f t="shared" ca="1" si="99"/>
        <v>4.1075750126966823E-4</v>
      </c>
      <c r="AM153" s="16">
        <f t="shared" ca="1" si="100"/>
        <v>-1.4697933627172974E-3</v>
      </c>
      <c r="AO153" s="16">
        <f t="shared" ca="1" si="101"/>
        <v>-7.1145905201994988E-4</v>
      </c>
      <c r="AP153" s="16">
        <f t="shared" ca="1" si="102"/>
        <v>-5.1771021510162586E-4</v>
      </c>
      <c r="AQ153" s="16">
        <f t="shared" ca="1" si="103"/>
        <v>-5.0281419377547079E-4</v>
      </c>
      <c r="AR153" s="16">
        <f t="shared" ca="1" si="104"/>
        <v>0</v>
      </c>
      <c r="AS153" s="16">
        <f t="shared" ca="1" si="105"/>
        <v>0</v>
      </c>
    </row>
    <row r="154" spans="1:45" x14ac:dyDescent="0.25">
      <c r="A154" s="69">
        <f t="shared" ca="1" si="106"/>
        <v>2450.2270684929508</v>
      </c>
      <c r="B154" s="69">
        <f t="shared" ca="1" si="107"/>
        <v>2133.9039835463955</v>
      </c>
      <c r="C154" s="69">
        <f t="shared" ca="1" si="108"/>
        <v>2230.1242843649397</v>
      </c>
      <c r="D154" s="69">
        <f t="shared" ca="1" si="109"/>
        <v>2908.2158393706591</v>
      </c>
      <c r="E154" s="69">
        <f t="shared" ca="1" si="110"/>
        <v>1933.8908835066411</v>
      </c>
      <c r="F154" s="69">
        <f t="shared" ca="1" si="111"/>
        <v>1225.249795822331</v>
      </c>
      <c r="G154" s="69">
        <f t="shared" ca="1" si="112"/>
        <v>963.4278180765981</v>
      </c>
      <c r="H154" s="69">
        <f t="shared" ca="1" si="113"/>
        <v>1190.3746185118143</v>
      </c>
      <c r="I154" s="69">
        <f t="shared" ca="1" si="114"/>
        <v>1044.6702303501634</v>
      </c>
      <c r="J154" s="69">
        <f t="shared" ca="1" si="115"/>
        <v>1147.9183179257136</v>
      </c>
      <c r="K154" s="69">
        <f t="shared" ca="1" si="116"/>
        <v>1179.6976559275317</v>
      </c>
      <c r="L154" s="69">
        <f t="shared" ca="1" si="117"/>
        <v>956.35952123395066</v>
      </c>
      <c r="M154" s="69">
        <f t="shared" ca="1" si="118"/>
        <v>983.92891279147511</v>
      </c>
      <c r="N154" s="69">
        <f t="shared" ca="1" si="119"/>
        <v>573.12719147683822</v>
      </c>
      <c r="O154" s="69">
        <f t="shared" ca="1" si="120"/>
        <v>629.62788918926753</v>
      </c>
      <c r="P154" s="69">
        <f t="shared" ca="1" si="121"/>
        <v>722.83120906642102</v>
      </c>
      <c r="Q154" s="69">
        <f t="shared" ca="1" si="122"/>
        <v>954.85449529991513</v>
      </c>
      <c r="R154" s="69">
        <f t="shared" ca="1" si="123"/>
        <v>784.14606412874775</v>
      </c>
      <c r="S154" s="69">
        <f t="shared" ca="1" si="124"/>
        <v>699.03122132867497</v>
      </c>
      <c r="T154" s="69">
        <f t="shared" ca="1" si="125"/>
        <v>804.76175676013906</v>
      </c>
      <c r="U154" s="69">
        <f t="shared" ca="1" si="126"/>
        <v>1693.5036337099416</v>
      </c>
      <c r="V154" s="69">
        <f t="shared" ca="1" si="127"/>
        <v>1912.341460213252</v>
      </c>
      <c r="W154" s="69">
        <f t="shared" ca="1" si="128"/>
        <v>1177.503047563619</v>
      </c>
      <c r="X154" s="69">
        <f t="shared" ca="1" si="129"/>
        <v>1488.1271203055353</v>
      </c>
      <c r="Y154" s="69">
        <f t="shared" ca="1" si="130"/>
        <v>1211.7084267192731</v>
      </c>
      <c r="AA154" s="20">
        <f t="shared" ca="1" si="90"/>
        <v>6.5579616998146304E+16</v>
      </c>
      <c r="AB154" s="20">
        <f t="shared" ca="1" si="91"/>
        <v>1685068980957937.8</v>
      </c>
      <c r="AC154" s="20">
        <f t="shared" ca="1" si="92"/>
        <v>400581229586528.94</v>
      </c>
      <c r="AD154" s="20">
        <f t="shared" ca="1" si="93"/>
        <v>304463308790158.56</v>
      </c>
      <c r="AE154" s="20">
        <f t="shared" ca="1" si="94"/>
        <v>6876251823883148</v>
      </c>
      <c r="AG154" s="16">
        <f t="shared" ca="1" si="95"/>
        <v>-2.868164731014228E-4</v>
      </c>
      <c r="AH154" s="16">
        <f t="shared" ca="1" si="96"/>
        <v>7.6346755853148288E-4</v>
      </c>
      <c r="AI154" s="16">
        <f t="shared" ca="1" si="97"/>
        <v>-8.4466656613952637E-5</v>
      </c>
      <c r="AJ154" s="16">
        <f t="shared" ca="1" si="98"/>
        <v>-4.1590355063512031E-4</v>
      </c>
      <c r="AK154" s="16">
        <f t="shared" ca="1" si="99"/>
        <v>3.8470555926382253E-4</v>
      </c>
      <c r="AM154" s="16">
        <f t="shared" ca="1" si="100"/>
        <v>-2.3719121819012839E-5</v>
      </c>
      <c r="AO154" s="16">
        <f t="shared" ca="1" si="101"/>
        <v>-2.868164731014228E-4</v>
      </c>
      <c r="AP154" s="16">
        <f t="shared" ca="1" si="102"/>
        <v>0</v>
      </c>
      <c r="AQ154" s="16">
        <f t="shared" ca="1" si="103"/>
        <v>-8.4466656613952637E-5</v>
      </c>
      <c r="AR154" s="16">
        <f t="shared" ca="1" si="104"/>
        <v>-4.1590355063512031E-4</v>
      </c>
      <c r="AS154" s="16">
        <f t="shared" ca="1" si="105"/>
        <v>0</v>
      </c>
    </row>
    <row r="155" spans="1:45" x14ac:dyDescent="0.25">
      <c r="A155" s="69">
        <f t="shared" ca="1" si="106"/>
        <v>2449.8999763496167</v>
      </c>
      <c r="B155" s="69">
        <f t="shared" ca="1" si="107"/>
        <v>2133.9039835463955</v>
      </c>
      <c r="C155" s="69">
        <f t="shared" ca="1" si="108"/>
        <v>2229.7170835673755</v>
      </c>
      <c r="D155" s="69">
        <f t="shared" ca="1" si="109"/>
        <v>2907.7491019445638</v>
      </c>
      <c r="E155" s="69">
        <f t="shared" ca="1" si="110"/>
        <v>1934.2579649496083</v>
      </c>
      <c r="F155" s="69">
        <f t="shared" ca="1" si="111"/>
        <v>1225.249795822331</v>
      </c>
      <c r="G155" s="69">
        <f t="shared" ca="1" si="112"/>
        <v>963.90346955172413</v>
      </c>
      <c r="H155" s="69">
        <f t="shared" ca="1" si="113"/>
        <v>1190.5215266534713</v>
      </c>
      <c r="I155" s="69">
        <f t="shared" ca="1" si="114"/>
        <v>1044.5354090835426</v>
      </c>
      <c r="J155" s="69">
        <f t="shared" ca="1" si="115"/>
        <v>1148.2346598674071</v>
      </c>
      <c r="K155" s="69">
        <f t="shared" ca="1" si="116"/>
        <v>1179.4699995515825</v>
      </c>
      <c r="L155" s="69">
        <f t="shared" ca="1" si="117"/>
        <v>956.35952123395066</v>
      </c>
      <c r="M155" s="69">
        <f t="shared" ca="1" si="118"/>
        <v>983.92891279147511</v>
      </c>
      <c r="N155" s="69">
        <f t="shared" ca="1" si="119"/>
        <v>573.12719147683822</v>
      </c>
      <c r="O155" s="69">
        <f t="shared" ca="1" si="120"/>
        <v>629.69622675489518</v>
      </c>
      <c r="P155" s="69">
        <f t="shared" ca="1" si="121"/>
        <v>722.83120906642102</v>
      </c>
      <c r="Q155" s="69">
        <f t="shared" ca="1" si="122"/>
        <v>954.85449529991513</v>
      </c>
      <c r="R155" s="69">
        <f t="shared" ca="1" si="123"/>
        <v>784.63126905483693</v>
      </c>
      <c r="S155" s="69">
        <f t="shared" ca="1" si="124"/>
        <v>698.74160575752319</v>
      </c>
      <c r="T155" s="69">
        <f t="shared" ca="1" si="125"/>
        <v>804.26289077312993</v>
      </c>
      <c r="U155" s="69">
        <f t="shared" ca="1" si="126"/>
        <v>1693.8714812738303</v>
      </c>
      <c r="V155" s="69">
        <f t="shared" ca="1" si="127"/>
        <v>1912.5766531662371</v>
      </c>
      <c r="W155" s="69">
        <f t="shared" ca="1" si="128"/>
        <v>1177.1848228365877</v>
      </c>
      <c r="X155" s="69">
        <f t="shared" ca="1" si="129"/>
        <v>1488.5956999464379</v>
      </c>
      <c r="Y155" s="69">
        <f t="shared" ca="1" si="130"/>
        <v>1211.7084267192731</v>
      </c>
      <c r="AA155" s="20">
        <f t="shared" ca="1" si="90"/>
        <v>6.5560810380844304E+16</v>
      </c>
      <c r="AB155" s="20">
        <f t="shared" ca="1" si="91"/>
        <v>1686355967682579.8</v>
      </c>
      <c r="AC155" s="20">
        <f t="shared" ca="1" si="92"/>
        <v>400547395258319.88</v>
      </c>
      <c r="AD155" s="20">
        <f t="shared" ca="1" si="93"/>
        <v>304336707747731.06</v>
      </c>
      <c r="AE155" s="20">
        <f t="shared" ca="1" si="94"/>
        <v>6878897665088973</v>
      </c>
      <c r="AG155" s="16">
        <f t="shared" ca="1" si="95"/>
        <v>-2.0158099239073937E-6</v>
      </c>
      <c r="AH155" s="16">
        <f t="shared" ca="1" si="96"/>
        <v>-3.6241336929476731E-4</v>
      </c>
      <c r="AI155" s="16">
        <f t="shared" ca="1" si="97"/>
        <v>-1.7379741453939188E-4</v>
      </c>
      <c r="AJ155" s="16">
        <f t="shared" ca="1" si="98"/>
        <v>1.2355953581729309E-3</v>
      </c>
      <c r="AK155" s="16">
        <f t="shared" ca="1" si="99"/>
        <v>-3.9160898980213722E-4</v>
      </c>
      <c r="AM155" s="16">
        <f t="shared" ca="1" si="100"/>
        <v>6.9736876441486427E-4</v>
      </c>
      <c r="AO155" s="16">
        <f t="shared" ca="1" si="101"/>
        <v>-2.0158099239073937E-6</v>
      </c>
      <c r="AP155" s="16">
        <f t="shared" ca="1" si="102"/>
        <v>-3.6241336929476731E-4</v>
      </c>
      <c r="AQ155" s="16">
        <f t="shared" ca="1" si="103"/>
        <v>-1.7379741453939188E-4</v>
      </c>
      <c r="AR155" s="16">
        <f t="shared" ca="1" si="104"/>
        <v>0</v>
      </c>
      <c r="AS155" s="16">
        <f t="shared" ca="1" si="105"/>
        <v>-3.9160898980213722E-4</v>
      </c>
    </row>
    <row r="156" spans="1:45" x14ac:dyDescent="0.25">
      <c r="A156" s="69">
        <f t="shared" ca="1" si="106"/>
        <v>2449.8289700019368</v>
      </c>
      <c r="B156" s="69">
        <f t="shared" ca="1" si="107"/>
        <v>2133.7885114355572</v>
      </c>
      <c r="C156" s="69">
        <f t="shared" ca="1" si="108"/>
        <v>2229.6450143382935</v>
      </c>
      <c r="D156" s="69">
        <f t="shared" ca="1" si="109"/>
        <v>2908.0788744545375</v>
      </c>
      <c r="E156" s="69">
        <f t="shared" ca="1" si="110"/>
        <v>1934.2579649496083</v>
      </c>
      <c r="F156" s="69">
        <f t="shared" ca="1" si="111"/>
        <v>1225.249795822331</v>
      </c>
      <c r="G156" s="69">
        <f t="shared" ca="1" si="112"/>
        <v>963.90346955172413</v>
      </c>
      <c r="H156" s="69">
        <f t="shared" ca="1" si="113"/>
        <v>1190.1835937124156</v>
      </c>
      <c r="I156" s="69">
        <f t="shared" ca="1" si="114"/>
        <v>1044.8054610070437</v>
      </c>
      <c r="J156" s="69">
        <f t="shared" ca="1" si="115"/>
        <v>1147.8477417045788</v>
      </c>
      <c r="K156" s="69">
        <f t="shared" ca="1" si="116"/>
        <v>1179.9652805565902</v>
      </c>
      <c r="L156" s="69">
        <f t="shared" ca="1" si="117"/>
        <v>955.98076402542188</v>
      </c>
      <c r="M156" s="69">
        <f t="shared" ca="1" si="118"/>
        <v>983.92454627001223</v>
      </c>
      <c r="N156" s="69">
        <f t="shared" ca="1" si="119"/>
        <v>573.12719147683822</v>
      </c>
      <c r="O156" s="69">
        <f t="shared" ca="1" si="120"/>
        <v>629.57466263770289</v>
      </c>
      <c r="P156" s="69">
        <f t="shared" ca="1" si="121"/>
        <v>723.17252576580461</v>
      </c>
      <c r="Q156" s="69">
        <f t="shared" ca="1" si="122"/>
        <v>954.65031459092688</v>
      </c>
      <c r="R156" s="69">
        <f t="shared" ca="1" si="123"/>
        <v>784.90156114541674</v>
      </c>
      <c r="S156" s="69">
        <f t="shared" ca="1" si="124"/>
        <v>699.05349372658793</v>
      </c>
      <c r="T156" s="69">
        <f t="shared" ca="1" si="125"/>
        <v>804.41305194679376</v>
      </c>
      <c r="U156" s="69">
        <f t="shared" ca="1" si="126"/>
        <v>1693.4111925525763</v>
      </c>
      <c r="V156" s="69">
        <f t="shared" ca="1" si="127"/>
        <v>1912.9659846829225</v>
      </c>
      <c r="W156" s="69">
        <f t="shared" ca="1" si="128"/>
        <v>1177.5344102464414</v>
      </c>
      <c r="X156" s="69">
        <f t="shared" ca="1" si="129"/>
        <v>1488.2334687701559</v>
      </c>
      <c r="Y156" s="69">
        <f t="shared" ca="1" si="130"/>
        <v>1211.2517770719294</v>
      </c>
      <c r="AA156" s="20">
        <f t="shared" ca="1" si="90"/>
        <v>6.556067822284532E+16</v>
      </c>
      <c r="AB156" s="20">
        <f t="shared" ca="1" si="91"/>
        <v>1685744920467029.8</v>
      </c>
      <c r="AC156" s="20">
        <f t="shared" ca="1" si="92"/>
        <v>400477787205648.5</v>
      </c>
      <c r="AD156" s="20">
        <f t="shared" ca="1" si="93"/>
        <v>304712977181658</v>
      </c>
      <c r="AE156" s="20">
        <f t="shared" ca="1" si="94"/>
        <v>6876204354320170</v>
      </c>
      <c r="AG156" s="16">
        <f t="shared" ca="1" si="95"/>
        <v>-6.721569950732099E-5</v>
      </c>
      <c r="AH156" s="16">
        <f t="shared" ca="1" si="96"/>
        <v>-1.9314687166143926E-4</v>
      </c>
      <c r="AI156" s="16">
        <f t="shared" ca="1" si="97"/>
        <v>9.191911663090468E-4</v>
      </c>
      <c r="AJ156" s="16">
        <f t="shared" ca="1" si="98"/>
        <v>4.0873526386599733E-4</v>
      </c>
      <c r="AK156" s="16">
        <f t="shared" ca="1" si="99"/>
        <v>-2.0285514485083415E-4</v>
      </c>
      <c r="AM156" s="16">
        <f t="shared" ca="1" si="100"/>
        <v>1.0675638590062837E-3</v>
      </c>
      <c r="AO156" s="16">
        <f t="shared" ca="1" si="101"/>
        <v>-6.721569950732099E-5</v>
      </c>
      <c r="AP156" s="16">
        <f t="shared" ca="1" si="102"/>
        <v>-1.9314687166143926E-4</v>
      </c>
      <c r="AQ156" s="16">
        <f t="shared" ca="1" si="103"/>
        <v>0</v>
      </c>
      <c r="AR156" s="16">
        <f t="shared" ca="1" si="104"/>
        <v>0</v>
      </c>
      <c r="AS156" s="16">
        <f t="shared" ca="1" si="105"/>
        <v>-2.0285514485083415E-4</v>
      </c>
    </row>
    <row r="157" spans="1:45" x14ac:dyDescent="0.25">
      <c r="A157" s="69">
        <f t="shared" ca="1" si="106"/>
        <v>2449.71752797931</v>
      </c>
      <c r="B157" s="69">
        <f t="shared" ca="1" si="107"/>
        <v>2133.7885114355572</v>
      </c>
      <c r="C157" s="69">
        <f t="shared" ca="1" si="108"/>
        <v>2229.5965759393007</v>
      </c>
      <c r="D157" s="69">
        <f t="shared" ca="1" si="109"/>
        <v>2908.0788744545375</v>
      </c>
      <c r="E157" s="69">
        <f t="shared" ca="1" si="110"/>
        <v>1934.2579649496083</v>
      </c>
      <c r="F157" s="69">
        <f t="shared" ca="1" si="111"/>
        <v>1225.0364615917167</v>
      </c>
      <c r="G157" s="69">
        <f t="shared" ca="1" si="112"/>
        <v>963.90346955172413</v>
      </c>
      <c r="H157" s="69">
        <f t="shared" ca="1" si="113"/>
        <v>1190.1609604154601</v>
      </c>
      <c r="I157" s="69">
        <f t="shared" ca="1" si="114"/>
        <v>1044.8054610070437</v>
      </c>
      <c r="J157" s="69">
        <f t="shared" ca="1" si="115"/>
        <v>1147.8477417045788</v>
      </c>
      <c r="K157" s="69">
        <f t="shared" ca="1" si="116"/>
        <v>1179.9652805565902</v>
      </c>
      <c r="L157" s="69">
        <f t="shared" ca="1" si="117"/>
        <v>955.92599414932374</v>
      </c>
      <c r="M157" s="69">
        <f t="shared" ca="1" si="118"/>
        <v>983.92454627001223</v>
      </c>
      <c r="N157" s="69">
        <f t="shared" ca="1" si="119"/>
        <v>573.45646004941455</v>
      </c>
      <c r="O157" s="69">
        <f t="shared" ca="1" si="120"/>
        <v>629.82788905497796</v>
      </c>
      <c r="P157" s="69">
        <f t="shared" ca="1" si="121"/>
        <v>723.47549289445692</v>
      </c>
      <c r="Q157" s="69">
        <f t="shared" ca="1" si="122"/>
        <v>954.90482383204403</v>
      </c>
      <c r="R157" s="69">
        <f t="shared" ca="1" si="123"/>
        <v>784.90156114541674</v>
      </c>
      <c r="S157" s="69">
        <f t="shared" ca="1" si="124"/>
        <v>699.26752730995236</v>
      </c>
      <c r="T157" s="69">
        <f t="shared" ca="1" si="125"/>
        <v>803.94436694731314</v>
      </c>
      <c r="U157" s="69">
        <f t="shared" ca="1" si="126"/>
        <v>1692.9280783634317</v>
      </c>
      <c r="V157" s="69">
        <f t="shared" ca="1" si="127"/>
        <v>1913.1237651548729</v>
      </c>
      <c r="W157" s="69">
        <f t="shared" ca="1" si="128"/>
        <v>1177.5344102464414</v>
      </c>
      <c r="X157" s="69">
        <f t="shared" ca="1" si="129"/>
        <v>1488.2334687701559</v>
      </c>
      <c r="Y157" s="69">
        <f t="shared" ca="1" si="130"/>
        <v>1211.2517770719294</v>
      </c>
      <c r="AA157" s="20">
        <f t="shared" ca="1" si="90"/>
        <v>6.5556271664095024E+16</v>
      </c>
      <c r="AB157" s="20">
        <f t="shared" ca="1" si="91"/>
        <v>1685419355551157</v>
      </c>
      <c r="AC157" s="20">
        <f t="shared" ca="1" si="92"/>
        <v>400846072086124.63</v>
      </c>
      <c r="AD157" s="20">
        <f t="shared" ca="1" si="93"/>
        <v>304837549577621</v>
      </c>
      <c r="AE157" s="20">
        <f t="shared" ca="1" si="94"/>
        <v>6874809622358910</v>
      </c>
      <c r="AG157" s="16">
        <f t="shared" ca="1" si="95"/>
        <v>-1.5831662242928821E-4</v>
      </c>
      <c r="AH157" s="16">
        <f t="shared" ca="1" si="96"/>
        <v>-5.843970829254978E-4</v>
      </c>
      <c r="AI157" s="16">
        <f t="shared" ca="1" si="97"/>
        <v>1.432480621423731E-4</v>
      </c>
      <c r="AJ157" s="16">
        <f t="shared" ca="1" si="98"/>
        <v>9.1906321337777348E-4</v>
      </c>
      <c r="AK157" s="16">
        <f t="shared" ca="1" si="99"/>
        <v>-7.3440354364236052E-4</v>
      </c>
      <c r="AM157" s="16">
        <f t="shared" ca="1" si="100"/>
        <v>3.1959757016536059E-4</v>
      </c>
      <c r="AO157" s="16">
        <f t="shared" ca="1" si="101"/>
        <v>-1.5831662242928821E-4</v>
      </c>
      <c r="AP157" s="16">
        <f t="shared" ca="1" si="102"/>
        <v>-5.843970829254978E-4</v>
      </c>
      <c r="AQ157" s="16">
        <f t="shared" ca="1" si="103"/>
        <v>0</v>
      </c>
      <c r="AR157" s="16">
        <f t="shared" ca="1" si="104"/>
        <v>0</v>
      </c>
      <c r="AS157" s="16">
        <f t="shared" ca="1" si="105"/>
        <v>-7.3440354364236052E-4</v>
      </c>
    </row>
    <row r="158" spans="1:45" x14ac:dyDescent="0.25">
      <c r="A158" s="69">
        <f t="shared" ca="1" si="106"/>
        <v>2449.2874685398865</v>
      </c>
      <c r="B158" s="69">
        <f t="shared" ca="1" si="107"/>
        <v>2133.8154285899309</v>
      </c>
      <c r="C158" s="69">
        <f t="shared" ca="1" si="108"/>
        <v>2229.833026470817</v>
      </c>
      <c r="D158" s="69">
        <f t="shared" ca="1" si="109"/>
        <v>2907.803930058973</v>
      </c>
      <c r="E158" s="69">
        <f t="shared" ca="1" si="110"/>
        <v>1934.2447020888135</v>
      </c>
      <c r="F158" s="69">
        <f t="shared" ca="1" si="111"/>
        <v>1224.6893186316702</v>
      </c>
      <c r="G158" s="69">
        <f t="shared" ca="1" si="112"/>
        <v>963.66995180393212</v>
      </c>
      <c r="H158" s="69">
        <f t="shared" ca="1" si="113"/>
        <v>1189.8157050839859</v>
      </c>
      <c r="I158" s="69">
        <f t="shared" ca="1" si="114"/>
        <v>1045.0473008186307</v>
      </c>
      <c r="J158" s="69">
        <f t="shared" ca="1" si="115"/>
        <v>1147.8477417045788</v>
      </c>
      <c r="K158" s="69">
        <f t="shared" ca="1" si="116"/>
        <v>1180.3062596943857</v>
      </c>
      <c r="L158" s="69">
        <f t="shared" ca="1" si="117"/>
        <v>956.24569704526664</v>
      </c>
      <c r="M158" s="69">
        <f t="shared" ca="1" si="118"/>
        <v>984.28951026873494</v>
      </c>
      <c r="N158" s="69">
        <f t="shared" ca="1" si="119"/>
        <v>572.96869667947055</v>
      </c>
      <c r="O158" s="69">
        <f t="shared" ca="1" si="120"/>
        <v>629.82788905497796</v>
      </c>
      <c r="P158" s="69">
        <f t="shared" ca="1" si="121"/>
        <v>723.91756279768015</v>
      </c>
      <c r="Q158" s="69">
        <f t="shared" ca="1" si="122"/>
        <v>954.90482383204403</v>
      </c>
      <c r="R158" s="69">
        <f t="shared" ca="1" si="123"/>
        <v>784.90156114541674</v>
      </c>
      <c r="S158" s="69">
        <f t="shared" ca="1" si="124"/>
        <v>699.40725799310633</v>
      </c>
      <c r="T158" s="69">
        <f t="shared" ca="1" si="125"/>
        <v>804.0315264506371</v>
      </c>
      <c r="U158" s="69">
        <f t="shared" ca="1" si="126"/>
        <v>1692.9280783634317</v>
      </c>
      <c r="V158" s="69">
        <f t="shared" ca="1" si="127"/>
        <v>1912.9276288982044</v>
      </c>
      <c r="W158" s="69">
        <f t="shared" ca="1" si="128"/>
        <v>1177.5344102464414</v>
      </c>
      <c r="X158" s="69">
        <f t="shared" ca="1" si="129"/>
        <v>1487.8382629938808</v>
      </c>
      <c r="Y158" s="69">
        <f t="shared" ca="1" si="130"/>
        <v>1210.8081913982667</v>
      </c>
      <c r="AA158" s="20">
        <f t="shared" ca="1" si="90"/>
        <v>6.554589383809896E+16</v>
      </c>
      <c r="AB158" s="20">
        <f t="shared" ca="1" si="91"/>
        <v>1684434689142378.8</v>
      </c>
      <c r="AC158" s="20">
        <f t="shared" ca="1" si="92"/>
        <v>400903496622046.88</v>
      </c>
      <c r="AD158" s="20">
        <f t="shared" ca="1" si="93"/>
        <v>305117843339607</v>
      </c>
      <c r="AE158" s="20">
        <f t="shared" ca="1" si="94"/>
        <v>6869762591315967</v>
      </c>
      <c r="AG158" s="16">
        <f t="shared" ca="1" si="95"/>
        <v>1.2088951546679471E-4</v>
      </c>
      <c r="AH158" s="16">
        <f t="shared" ca="1" si="96"/>
        <v>-6.4877997889666581E-4</v>
      </c>
      <c r="AI158" s="16">
        <f t="shared" ca="1" si="97"/>
        <v>2.0636582221363522E-4</v>
      </c>
      <c r="AJ158" s="16">
        <f t="shared" ca="1" si="98"/>
        <v>-4.1579687389121304E-4</v>
      </c>
      <c r="AK158" s="16">
        <f t="shared" ca="1" si="99"/>
        <v>-2.0622904344079926E-4</v>
      </c>
      <c r="AM158" s="16">
        <f t="shared" ca="1" si="100"/>
        <v>-7.3732151510744897E-4</v>
      </c>
      <c r="AO158" s="16">
        <f t="shared" ca="1" si="101"/>
        <v>0</v>
      </c>
      <c r="AP158" s="16">
        <f t="shared" ca="1" si="102"/>
        <v>-6.4877997889666581E-4</v>
      </c>
      <c r="AQ158" s="16">
        <f t="shared" ca="1" si="103"/>
        <v>0</v>
      </c>
      <c r="AR158" s="16">
        <f t="shared" ca="1" si="104"/>
        <v>-4.1579687389121304E-4</v>
      </c>
      <c r="AS158" s="16">
        <f t="shared" ca="1" si="105"/>
        <v>-2.0622904344079926E-4</v>
      </c>
    </row>
    <row r="159" spans="1:45" x14ac:dyDescent="0.25">
      <c r="A159" s="69">
        <f t="shared" ca="1" si="106"/>
        <v>2449.6808958496003</v>
      </c>
      <c r="B159" s="69">
        <f t="shared" ca="1" si="107"/>
        <v>2133.748395525959</v>
      </c>
      <c r="C159" s="69">
        <f t="shared" ca="1" si="108"/>
        <v>2229.833026470817</v>
      </c>
      <c r="D159" s="69">
        <f t="shared" ca="1" si="109"/>
        <v>2907.5020343543997</v>
      </c>
      <c r="E159" s="69">
        <f t="shared" ca="1" si="110"/>
        <v>1934.4294626865658</v>
      </c>
      <c r="F159" s="69">
        <f t="shared" ca="1" si="111"/>
        <v>1224.31442545802</v>
      </c>
      <c r="G159" s="69">
        <f t="shared" ca="1" si="112"/>
        <v>963.3938790046459</v>
      </c>
      <c r="H159" s="69">
        <f t="shared" ca="1" si="113"/>
        <v>1190.0931173235879</v>
      </c>
      <c r="I159" s="69">
        <f t="shared" ca="1" si="114"/>
        <v>1045.0473008186307</v>
      </c>
      <c r="J159" s="69">
        <f t="shared" ca="1" si="115"/>
        <v>1147.5158011512276</v>
      </c>
      <c r="K159" s="69">
        <f t="shared" ca="1" si="116"/>
        <v>1180.3231568000899</v>
      </c>
      <c r="L159" s="69">
        <f t="shared" ca="1" si="117"/>
        <v>956.24569704526664</v>
      </c>
      <c r="M159" s="69">
        <f t="shared" ca="1" si="118"/>
        <v>984.56070067447558</v>
      </c>
      <c r="N159" s="69">
        <f t="shared" ca="1" si="119"/>
        <v>572.96869667947055</v>
      </c>
      <c r="O159" s="69">
        <f t="shared" ca="1" si="120"/>
        <v>629.77534411680222</v>
      </c>
      <c r="P159" s="69">
        <f t="shared" ca="1" si="121"/>
        <v>723.57545918224196</v>
      </c>
      <c r="Q159" s="69">
        <f t="shared" ca="1" si="122"/>
        <v>954.90482383204403</v>
      </c>
      <c r="R159" s="69">
        <f t="shared" ca="1" si="123"/>
        <v>784.90156114541674</v>
      </c>
      <c r="S159" s="69">
        <f t="shared" ca="1" si="124"/>
        <v>699.86185608330436</v>
      </c>
      <c r="T159" s="69">
        <f t="shared" ca="1" si="125"/>
        <v>803.5549754150303</v>
      </c>
      <c r="U159" s="69">
        <f t="shared" ca="1" si="126"/>
        <v>1693.2131991829328</v>
      </c>
      <c r="V159" s="69">
        <f t="shared" ca="1" si="127"/>
        <v>1912.9276288982044</v>
      </c>
      <c r="W159" s="69">
        <f t="shared" ca="1" si="128"/>
        <v>1177.1589085720232</v>
      </c>
      <c r="X159" s="69">
        <f t="shared" ca="1" si="129"/>
        <v>1487.8382629938808</v>
      </c>
      <c r="Y159" s="69">
        <f t="shared" ca="1" si="130"/>
        <v>1210.7407576999422</v>
      </c>
      <c r="AA159" s="20">
        <f t="shared" ca="1" si="90"/>
        <v>6.555381812841804E+16</v>
      </c>
      <c r="AB159" s="20">
        <f t="shared" ca="1" si="91"/>
        <v>1683342216065953.8</v>
      </c>
      <c r="AC159" s="20">
        <f t="shared" ca="1" si="92"/>
        <v>400986237938951.94</v>
      </c>
      <c r="AD159" s="20">
        <f t="shared" ca="1" si="93"/>
        <v>304991002665983.19</v>
      </c>
      <c r="AE159" s="20">
        <f t="shared" ca="1" si="94"/>
        <v>6868345992824991</v>
      </c>
      <c r="AG159" s="16">
        <f t="shared" ca="1" si="95"/>
        <v>-3.0612407059420763E-4</v>
      </c>
      <c r="AH159" s="16">
        <f t="shared" ca="1" si="96"/>
        <v>5.7008418162304359E-6</v>
      </c>
      <c r="AI159" s="16">
        <f t="shared" ca="1" si="97"/>
        <v>4.2120833899091445E-4</v>
      </c>
      <c r="AJ159" s="16">
        <f t="shared" ca="1" si="98"/>
        <v>-3.2519412999023863E-4</v>
      </c>
      <c r="AK159" s="16">
        <f t="shared" ca="1" si="99"/>
        <v>4.0800497160105114E-4</v>
      </c>
      <c r="AM159" s="16">
        <f t="shared" ca="1" si="100"/>
        <v>-2.0440901977730139E-4</v>
      </c>
      <c r="AO159" s="16">
        <f t="shared" ca="1" si="101"/>
        <v>-3.0612407059420763E-4</v>
      </c>
      <c r="AP159" s="16">
        <f t="shared" ca="1" si="102"/>
        <v>0</v>
      </c>
      <c r="AQ159" s="16">
        <f t="shared" ca="1" si="103"/>
        <v>0</v>
      </c>
      <c r="AR159" s="16">
        <f t="shared" ca="1" si="104"/>
        <v>-3.2519412999023863E-4</v>
      </c>
      <c r="AS159" s="16">
        <f t="shared" ca="1" si="105"/>
        <v>0</v>
      </c>
    </row>
    <row r="160" spans="1:45" x14ac:dyDescent="0.25">
      <c r="A160" s="69">
        <f t="shared" ca="1" si="106"/>
        <v>2449.8537272084814</v>
      </c>
      <c r="B160" s="69">
        <f t="shared" ca="1" si="107"/>
        <v>2133.7117757303072</v>
      </c>
      <c r="C160" s="69">
        <f t="shared" ca="1" si="108"/>
        <v>2229.4916062041098</v>
      </c>
      <c r="D160" s="69">
        <f t="shared" ca="1" si="109"/>
        <v>2907.3275502650204</v>
      </c>
      <c r="E160" s="69">
        <f t="shared" ca="1" si="110"/>
        <v>1934.1463372618502</v>
      </c>
      <c r="F160" s="69">
        <f t="shared" ca="1" si="111"/>
        <v>1224.0083857173884</v>
      </c>
      <c r="G160" s="69">
        <f t="shared" ca="1" si="112"/>
        <v>963.78549954846426</v>
      </c>
      <c r="H160" s="69">
        <f t="shared" ca="1" si="113"/>
        <v>1190.4004403373224</v>
      </c>
      <c r="I160" s="69">
        <f t="shared" ca="1" si="114"/>
        <v>1044.6815712375676</v>
      </c>
      <c r="J160" s="69">
        <f t="shared" ca="1" si="115"/>
        <v>1147.4482222149547</v>
      </c>
      <c r="K160" s="69">
        <f t="shared" ca="1" si="116"/>
        <v>1180.3231568000899</v>
      </c>
      <c r="L160" s="69">
        <f t="shared" ca="1" si="117"/>
        <v>956.3202813072611</v>
      </c>
      <c r="M160" s="69">
        <f t="shared" ca="1" si="118"/>
        <v>984.56070067447558</v>
      </c>
      <c r="N160" s="69">
        <f t="shared" ca="1" si="119"/>
        <v>573.36342566243184</v>
      </c>
      <c r="O160" s="69">
        <f t="shared" ca="1" si="120"/>
        <v>629.55781489251569</v>
      </c>
      <c r="P160" s="69">
        <f t="shared" ca="1" si="121"/>
        <v>723.89658112585118</v>
      </c>
      <c r="Q160" s="69">
        <f t="shared" ca="1" si="122"/>
        <v>954.60400661707615</v>
      </c>
      <c r="R160" s="69">
        <f t="shared" ca="1" si="123"/>
        <v>784.71749402260707</v>
      </c>
      <c r="S160" s="69">
        <f t="shared" ca="1" si="124"/>
        <v>699.86185608330436</v>
      </c>
      <c r="T160" s="69">
        <f t="shared" ca="1" si="125"/>
        <v>803.37878772854219</v>
      </c>
      <c r="U160" s="69">
        <f t="shared" ca="1" si="126"/>
        <v>1693.1262474132145</v>
      </c>
      <c r="V160" s="69">
        <f t="shared" ca="1" si="127"/>
        <v>1913.0717111053584</v>
      </c>
      <c r="W160" s="69">
        <f t="shared" ca="1" si="128"/>
        <v>1177.1589085720232</v>
      </c>
      <c r="X160" s="69">
        <f t="shared" ca="1" si="129"/>
        <v>1487.8382629938808</v>
      </c>
      <c r="Y160" s="69">
        <f t="shared" ca="1" si="130"/>
        <v>1211.2058222740063</v>
      </c>
      <c r="AA160" s="20">
        <f t="shared" ca="1" si="90"/>
        <v>6.553375359804412E+16</v>
      </c>
      <c r="AB160" s="20">
        <f t="shared" ca="1" si="91"/>
        <v>1683351812561004</v>
      </c>
      <c r="AC160" s="20">
        <f t="shared" ca="1" si="92"/>
        <v>401155172261967.56</v>
      </c>
      <c r="AD160" s="20">
        <f t="shared" ca="1" si="93"/>
        <v>304891837507054.06</v>
      </c>
      <c r="AE160" s="20">
        <f t="shared" ca="1" si="94"/>
        <v>6871148883894602</v>
      </c>
      <c r="AG160" s="16">
        <f t="shared" ca="1" si="95"/>
        <v>-7.0814227984471637E-5</v>
      </c>
      <c r="AH160" s="16">
        <f t="shared" ca="1" si="96"/>
        <v>1.5183525949316807E-4</v>
      </c>
      <c r="AI160" s="16">
        <f t="shared" ca="1" si="97"/>
        <v>-5.8031660461418369E-4</v>
      </c>
      <c r="AJ160" s="16">
        <f t="shared" ca="1" si="98"/>
        <v>3.2251540733164573E-4</v>
      </c>
      <c r="AK160" s="16">
        <f t="shared" ca="1" si="99"/>
        <v>-2.9687784422638847E-4</v>
      </c>
      <c r="AM160" s="16">
        <f t="shared" ca="1" si="100"/>
        <v>-1.7678016577384157E-4</v>
      </c>
      <c r="AO160" s="16">
        <f t="shared" ca="1" si="101"/>
        <v>-7.0814227984471637E-5</v>
      </c>
      <c r="AP160" s="16">
        <f t="shared" ca="1" si="102"/>
        <v>0</v>
      </c>
      <c r="AQ160" s="16">
        <f t="shared" ca="1" si="103"/>
        <v>-5.8031660461418369E-4</v>
      </c>
      <c r="AR160" s="16">
        <f t="shared" ca="1" si="104"/>
        <v>0</v>
      </c>
      <c r="AS160" s="16">
        <f t="shared" ca="1" si="105"/>
        <v>-2.9687784422638847E-4</v>
      </c>
    </row>
    <row r="161" spans="1:45" x14ac:dyDescent="0.25">
      <c r="A161" s="69">
        <f t="shared" ca="1" si="106"/>
        <v>2449.4300969869873</v>
      </c>
      <c r="B161" s="69">
        <f t="shared" ca="1" si="107"/>
        <v>2133.4929391213086</v>
      </c>
      <c r="C161" s="69">
        <f t="shared" ca="1" si="108"/>
        <v>2229.5312926139968</v>
      </c>
      <c r="D161" s="69">
        <f t="shared" ca="1" si="109"/>
        <v>2907.7469581883179</v>
      </c>
      <c r="E161" s="69">
        <f t="shared" ca="1" si="110"/>
        <v>1934.2288092030808</v>
      </c>
      <c r="F161" s="69">
        <f t="shared" ca="1" si="111"/>
        <v>1224.1472835227692</v>
      </c>
      <c r="G161" s="69">
        <f t="shared" ca="1" si="112"/>
        <v>963.78549954846426</v>
      </c>
      <c r="H161" s="69">
        <f t="shared" ca="1" si="113"/>
        <v>1190.4004403373224</v>
      </c>
      <c r="I161" s="69">
        <f t="shared" ca="1" si="114"/>
        <v>1044.9761377754585</v>
      </c>
      <c r="J161" s="69">
        <f t="shared" ca="1" si="115"/>
        <v>1147.1687789927601</v>
      </c>
      <c r="K161" s="69">
        <f t="shared" ca="1" si="116"/>
        <v>1180.3231568000899</v>
      </c>
      <c r="L161" s="69">
        <f t="shared" ca="1" si="117"/>
        <v>955.91355718127591</v>
      </c>
      <c r="M161" s="69">
        <f t="shared" ca="1" si="118"/>
        <v>984.56070067447558</v>
      </c>
      <c r="N161" s="69">
        <f t="shared" ca="1" si="119"/>
        <v>573.36342566243184</v>
      </c>
      <c r="O161" s="69">
        <f t="shared" ca="1" si="120"/>
        <v>629.46028821714822</v>
      </c>
      <c r="P161" s="69">
        <f t="shared" ca="1" si="121"/>
        <v>723.89658112585118</v>
      </c>
      <c r="Q161" s="69">
        <f t="shared" ca="1" si="122"/>
        <v>954.47937749693438</v>
      </c>
      <c r="R161" s="69">
        <f t="shared" ca="1" si="123"/>
        <v>784.71749402260707</v>
      </c>
      <c r="S161" s="69">
        <f t="shared" ca="1" si="124"/>
        <v>700.17902117182086</v>
      </c>
      <c r="T161" s="69">
        <f t="shared" ca="1" si="125"/>
        <v>803.37878772854219</v>
      </c>
      <c r="U161" s="69">
        <f t="shared" ca="1" si="126"/>
        <v>1693.1262474132145</v>
      </c>
      <c r="V161" s="69">
        <f t="shared" ca="1" si="127"/>
        <v>1912.8273156150353</v>
      </c>
      <c r="W161" s="69">
        <f t="shared" ca="1" si="128"/>
        <v>1176.8490683603918</v>
      </c>
      <c r="X161" s="69">
        <f t="shared" ca="1" si="129"/>
        <v>1488.2833138685357</v>
      </c>
      <c r="Y161" s="69">
        <f t="shared" ca="1" si="130"/>
        <v>1210.9576042161425</v>
      </c>
      <c r="AA161" s="20">
        <f t="shared" ca="1" si="90"/>
        <v>6.5529113040186848E+16</v>
      </c>
      <c r="AB161" s="20">
        <f t="shared" ca="1" si="91"/>
        <v>1683607424125215.5</v>
      </c>
      <c r="AC161" s="20">
        <f t="shared" ca="1" si="92"/>
        <v>400922442789397.06</v>
      </c>
      <c r="AD161" s="20">
        <f t="shared" ca="1" si="93"/>
        <v>304990185680767.94</v>
      </c>
      <c r="AE161" s="20">
        <f t="shared" ca="1" si="94"/>
        <v>6869109294795980</v>
      </c>
      <c r="AG161" s="16">
        <f t="shared" ca="1" si="95"/>
        <v>-2.1571814723789169E-4</v>
      </c>
      <c r="AH161" s="16">
        <f t="shared" ca="1" si="96"/>
        <v>1.7525526480257481E-4</v>
      </c>
      <c r="AI161" s="16">
        <f t="shared" ca="1" si="97"/>
        <v>-1.3335959292813031E-4</v>
      </c>
      <c r="AJ161" s="16">
        <f t="shared" ca="1" si="98"/>
        <v>7.8583124500844384E-4</v>
      </c>
      <c r="AK161" s="16">
        <f t="shared" ca="1" si="99"/>
        <v>-1.474845916632272E-4</v>
      </c>
      <c r="AM161" s="16">
        <f t="shared" ca="1" si="100"/>
        <v>6.1200876964499665E-4</v>
      </c>
      <c r="AO161" s="16">
        <f t="shared" ca="1" si="101"/>
        <v>-2.1571814723789169E-4</v>
      </c>
      <c r="AP161" s="16">
        <f t="shared" ca="1" si="102"/>
        <v>0</v>
      </c>
      <c r="AQ161" s="16">
        <f t="shared" ca="1" si="103"/>
        <v>-1.3335959292813031E-4</v>
      </c>
      <c r="AR161" s="16">
        <f t="shared" ca="1" si="104"/>
        <v>0</v>
      </c>
      <c r="AS161" s="16">
        <f t="shared" ca="1" si="105"/>
        <v>-1.474845916632272E-4</v>
      </c>
    </row>
    <row r="162" spans="1:45" x14ac:dyDescent="0.25">
      <c r="A162" s="69">
        <f t="shared" ca="1" si="106"/>
        <v>2449.4300969869873</v>
      </c>
      <c r="B162" s="69">
        <f t="shared" ca="1" si="107"/>
        <v>2133.7691875305595</v>
      </c>
      <c r="C162" s="69">
        <f t="shared" ca="1" si="108"/>
        <v>2229.2623479285871</v>
      </c>
      <c r="D162" s="69">
        <f t="shared" ca="1" si="109"/>
        <v>2907.7469581883179</v>
      </c>
      <c r="E162" s="69">
        <f t="shared" ca="1" si="110"/>
        <v>1933.7945154914835</v>
      </c>
      <c r="F162" s="69">
        <f t="shared" ca="1" si="111"/>
        <v>1223.8960540402977</v>
      </c>
      <c r="G162" s="69">
        <f t="shared" ca="1" si="112"/>
        <v>963.98876549854253</v>
      </c>
      <c r="H162" s="69">
        <f t="shared" ca="1" si="113"/>
        <v>1190.5877348723332</v>
      </c>
      <c r="I162" s="69">
        <f t="shared" ca="1" si="114"/>
        <v>1044.6625875949853</v>
      </c>
      <c r="J162" s="69">
        <f t="shared" ca="1" si="115"/>
        <v>1147.5272080284778</v>
      </c>
      <c r="K162" s="69">
        <f t="shared" ca="1" si="116"/>
        <v>1180.7728187289338</v>
      </c>
      <c r="L162" s="69">
        <f t="shared" ca="1" si="117"/>
        <v>955.47251938906425</v>
      </c>
      <c r="M162" s="69">
        <f t="shared" ca="1" si="118"/>
        <v>984.50874938142556</v>
      </c>
      <c r="N162" s="69">
        <f t="shared" ca="1" si="119"/>
        <v>573.36342566243184</v>
      </c>
      <c r="O162" s="69">
        <f t="shared" ca="1" si="120"/>
        <v>629.46028821714822</v>
      </c>
      <c r="P162" s="69">
        <f t="shared" ca="1" si="121"/>
        <v>724.36029570104495</v>
      </c>
      <c r="Q162" s="69">
        <f t="shared" ca="1" si="122"/>
        <v>954.61822147042813</v>
      </c>
      <c r="R162" s="69">
        <f t="shared" ca="1" si="123"/>
        <v>784.71749402260707</v>
      </c>
      <c r="S162" s="69">
        <f t="shared" ca="1" si="124"/>
        <v>700.17902117182086</v>
      </c>
      <c r="T162" s="69">
        <f t="shared" ca="1" si="125"/>
        <v>803.37878772854219</v>
      </c>
      <c r="U162" s="69">
        <f t="shared" ca="1" si="126"/>
        <v>1693.1262474132145</v>
      </c>
      <c r="V162" s="69">
        <f t="shared" ca="1" si="127"/>
        <v>1912.8273156150353</v>
      </c>
      <c r="W162" s="69">
        <f t="shared" ca="1" si="128"/>
        <v>1176.6129073045556</v>
      </c>
      <c r="X162" s="69">
        <f t="shared" ca="1" si="129"/>
        <v>1488.2833138685357</v>
      </c>
      <c r="Y162" s="69">
        <f t="shared" ca="1" si="130"/>
        <v>1211.0220384236</v>
      </c>
      <c r="AA162" s="20">
        <f t="shared" ca="1" si="90"/>
        <v>6.5514978745898376E+16</v>
      </c>
      <c r="AB162" s="20">
        <f t="shared" ca="1" si="91"/>
        <v>1683902511047167</v>
      </c>
      <c r="AC162" s="20">
        <f t="shared" ca="1" si="92"/>
        <v>400868979500631.38</v>
      </c>
      <c r="AD162" s="20">
        <f t="shared" ca="1" si="93"/>
        <v>305229950693177.38</v>
      </c>
      <c r="AE162" s="20">
        <f t="shared" ca="1" si="94"/>
        <v>6868096281720293</v>
      </c>
      <c r="AG162" s="16">
        <f t="shared" ca="1" si="95"/>
        <v>1.3627117864267429E-4</v>
      </c>
      <c r="AH162" s="16">
        <f t="shared" ca="1" si="96"/>
        <v>3.2553366503274049E-4</v>
      </c>
      <c r="AI162" s="16">
        <f t="shared" ca="1" si="97"/>
        <v>-1.0566965508096969E-3</v>
      </c>
      <c r="AJ162" s="16">
        <f t="shared" ca="1" si="98"/>
        <v>6.5009130252677974E-5</v>
      </c>
      <c r="AK162" s="16">
        <f t="shared" ca="1" si="99"/>
        <v>-2.2323309852940299E-4</v>
      </c>
      <c r="AM162" s="16">
        <f t="shared" ca="1" si="100"/>
        <v>-5.2988257688160408E-4</v>
      </c>
      <c r="AO162" s="16">
        <f t="shared" ca="1" si="101"/>
        <v>0</v>
      </c>
      <c r="AP162" s="16">
        <f t="shared" ca="1" si="102"/>
        <v>0</v>
      </c>
      <c r="AQ162" s="16">
        <f t="shared" ca="1" si="103"/>
        <v>-1.0566965508096969E-3</v>
      </c>
      <c r="AR162" s="16">
        <f t="shared" ca="1" si="104"/>
        <v>0</v>
      </c>
      <c r="AS162" s="16">
        <f t="shared" ca="1" si="105"/>
        <v>-2.2323309852940299E-4</v>
      </c>
    </row>
    <row r="163" spans="1:45" x14ac:dyDescent="0.25">
      <c r="A163" s="69">
        <f t="shared" ca="1" si="106"/>
        <v>2449.4300969869873</v>
      </c>
      <c r="B163" s="69">
        <f t="shared" ca="1" si="107"/>
        <v>2133.7691875305595</v>
      </c>
      <c r="C163" s="69">
        <f t="shared" ca="1" si="108"/>
        <v>2229.5334001736924</v>
      </c>
      <c r="D163" s="69">
        <f t="shared" ca="1" si="109"/>
        <v>2907.7469581883179</v>
      </c>
      <c r="E163" s="69">
        <f t="shared" ca="1" si="110"/>
        <v>1933.8229236409877</v>
      </c>
      <c r="F163" s="69">
        <f t="shared" ca="1" si="111"/>
        <v>1224.2945382648847</v>
      </c>
      <c r="G163" s="69">
        <f t="shared" ca="1" si="112"/>
        <v>963.98876549854253</v>
      </c>
      <c r="H163" s="69">
        <f t="shared" ca="1" si="113"/>
        <v>1190.5877348723332</v>
      </c>
      <c r="I163" s="69">
        <f t="shared" ca="1" si="114"/>
        <v>1044.6625875949853</v>
      </c>
      <c r="J163" s="69">
        <f t="shared" ca="1" si="115"/>
        <v>1147.5272080284778</v>
      </c>
      <c r="K163" s="69">
        <f t="shared" ca="1" si="116"/>
        <v>1180.7728187289338</v>
      </c>
      <c r="L163" s="69">
        <f t="shared" ca="1" si="117"/>
        <v>955.47251938906425</v>
      </c>
      <c r="M163" s="69">
        <f t="shared" ca="1" si="118"/>
        <v>984.39463424251699</v>
      </c>
      <c r="N163" s="69">
        <f t="shared" ca="1" si="119"/>
        <v>573.11562766993916</v>
      </c>
      <c r="O163" s="69">
        <f t="shared" ca="1" si="120"/>
        <v>629.14028741899403</v>
      </c>
      <c r="P163" s="69">
        <f t="shared" ca="1" si="121"/>
        <v>724.79853081418332</v>
      </c>
      <c r="Q163" s="69">
        <f t="shared" ca="1" si="122"/>
        <v>954.60370400239015</v>
      </c>
      <c r="R163" s="69">
        <f t="shared" ca="1" si="123"/>
        <v>784.24929013856422</v>
      </c>
      <c r="S163" s="69">
        <f t="shared" ca="1" si="124"/>
        <v>700.22960016109823</v>
      </c>
      <c r="T163" s="69">
        <f t="shared" ca="1" si="125"/>
        <v>803.37878772854219</v>
      </c>
      <c r="U163" s="69">
        <f t="shared" ca="1" si="126"/>
        <v>1692.8672679596987</v>
      </c>
      <c r="V163" s="69">
        <f t="shared" ca="1" si="127"/>
        <v>1913.226181334782</v>
      </c>
      <c r="W163" s="69">
        <f t="shared" ca="1" si="128"/>
        <v>1176.6129073045556</v>
      </c>
      <c r="X163" s="69">
        <f t="shared" ca="1" si="129"/>
        <v>1487.8684950274535</v>
      </c>
      <c r="Y163" s="69">
        <f t="shared" ca="1" si="130"/>
        <v>1211.0220384236</v>
      </c>
      <c r="AA163" s="20">
        <f t="shared" ca="1" si="90"/>
        <v>6.5523907157599608E+16</v>
      </c>
      <c r="AB163" s="20">
        <f t="shared" ca="1" si="91"/>
        <v>1684450767236227.8</v>
      </c>
      <c r="AC163" s="20">
        <f t="shared" ca="1" si="92"/>
        <v>400445606360530</v>
      </c>
      <c r="AD163" s="20">
        <f t="shared" ca="1" si="93"/>
        <v>305249794071792.44</v>
      </c>
      <c r="AE163" s="20">
        <f t="shared" ca="1" si="94"/>
        <v>6866563266422570</v>
      </c>
      <c r="AG163" s="16">
        <f t="shared" ca="1" si="95"/>
        <v>2.3836949360009466E-4</v>
      </c>
      <c r="AH163" s="16">
        <f t="shared" ca="1" si="96"/>
        <v>-3.1443757298008692E-4</v>
      </c>
      <c r="AI163" s="16">
        <f t="shared" ca="1" si="97"/>
        <v>5.280709208117251E-4</v>
      </c>
      <c r="AJ163" s="16">
        <f t="shared" ca="1" si="98"/>
        <v>6.230344597445487E-4</v>
      </c>
      <c r="AK163" s="16">
        <f t="shared" ca="1" si="99"/>
        <v>-5.7434190702566558E-5</v>
      </c>
      <c r="AM163" s="16">
        <f t="shared" ca="1" si="100"/>
        <v>1.0750373011762814E-3</v>
      </c>
      <c r="AO163" s="16">
        <f t="shared" ca="1" si="101"/>
        <v>0</v>
      </c>
      <c r="AP163" s="16">
        <f t="shared" ca="1" si="102"/>
        <v>-3.1443757298008692E-4</v>
      </c>
      <c r="AQ163" s="16">
        <f t="shared" ca="1" si="103"/>
        <v>0</v>
      </c>
      <c r="AR163" s="16">
        <f t="shared" ca="1" si="104"/>
        <v>0</v>
      </c>
      <c r="AS163" s="16">
        <f t="shared" ca="1" si="105"/>
        <v>-5.7434190702566558E-5</v>
      </c>
    </row>
    <row r="164" spans="1:45" x14ac:dyDescent="0.25">
      <c r="A164" s="69">
        <f t="shared" ca="1" si="106"/>
        <v>2449.7132680085515</v>
      </c>
      <c r="B164" s="69">
        <f t="shared" ca="1" si="107"/>
        <v>2133.7598602816824</v>
      </c>
      <c r="C164" s="69">
        <f t="shared" ca="1" si="108"/>
        <v>2229.5334001736924</v>
      </c>
      <c r="D164" s="69">
        <f t="shared" ca="1" si="109"/>
        <v>2907.7469581883179</v>
      </c>
      <c r="E164" s="69">
        <f t="shared" ca="1" si="110"/>
        <v>1934.0688065611678</v>
      </c>
      <c r="F164" s="69">
        <f t="shared" ca="1" si="111"/>
        <v>1224.6171023354134</v>
      </c>
      <c r="G164" s="69">
        <f t="shared" ca="1" si="112"/>
        <v>963.98876549854253</v>
      </c>
      <c r="H164" s="69">
        <f t="shared" ca="1" si="113"/>
        <v>1190.0895887530637</v>
      </c>
      <c r="I164" s="69">
        <f t="shared" ca="1" si="114"/>
        <v>1044.4961013735228</v>
      </c>
      <c r="J164" s="69">
        <f t="shared" ca="1" si="115"/>
        <v>1147.5272080284778</v>
      </c>
      <c r="K164" s="69">
        <f t="shared" ca="1" si="116"/>
        <v>1180.3093841143893</v>
      </c>
      <c r="L164" s="69">
        <f t="shared" ca="1" si="117"/>
        <v>955.37898400756887</v>
      </c>
      <c r="M164" s="69">
        <f t="shared" ca="1" si="118"/>
        <v>984.61671537789584</v>
      </c>
      <c r="N164" s="69">
        <f t="shared" ca="1" si="119"/>
        <v>573.1415852274331</v>
      </c>
      <c r="O164" s="69">
        <f t="shared" ca="1" si="120"/>
        <v>629.61084885428215</v>
      </c>
      <c r="P164" s="69">
        <f t="shared" ca="1" si="121"/>
        <v>724.90364245750618</v>
      </c>
      <c r="Q164" s="69">
        <f t="shared" ca="1" si="122"/>
        <v>954.62280022799939</v>
      </c>
      <c r="R164" s="69">
        <f t="shared" ca="1" si="123"/>
        <v>784.24929013856422</v>
      </c>
      <c r="S164" s="69">
        <f t="shared" ca="1" si="124"/>
        <v>700.22960016109823</v>
      </c>
      <c r="T164" s="69">
        <f t="shared" ca="1" si="125"/>
        <v>803.74683471605067</v>
      </c>
      <c r="U164" s="69">
        <f t="shared" ca="1" si="126"/>
        <v>1692.7869257248994</v>
      </c>
      <c r="V164" s="69">
        <f t="shared" ca="1" si="127"/>
        <v>1913.1695519299458</v>
      </c>
      <c r="W164" s="69">
        <f t="shared" ca="1" si="128"/>
        <v>1176.314193879037</v>
      </c>
      <c r="X164" s="69">
        <f t="shared" ca="1" si="129"/>
        <v>1487.8684950274535</v>
      </c>
      <c r="Y164" s="69">
        <f t="shared" ca="1" si="130"/>
        <v>1211.3533388015094</v>
      </c>
      <c r="AA164" s="20">
        <f t="shared" ca="1" si="90"/>
        <v>6.5539527919850088E+16</v>
      </c>
      <c r="AB164" s="20">
        <f t="shared" ca="1" si="91"/>
        <v>1683921195888101.5</v>
      </c>
      <c r="AC164" s="20">
        <f t="shared" ca="1" si="92"/>
        <v>400657125884355.31</v>
      </c>
      <c r="AD164" s="20">
        <f t="shared" ca="1" si="93"/>
        <v>305440034469336.94</v>
      </c>
      <c r="AE164" s="20">
        <f t="shared" ca="1" si="94"/>
        <v>6866168902243557</v>
      </c>
      <c r="AG164" s="16">
        <f t="shared" ca="1" si="95"/>
        <v>-8.1409336447379267E-5</v>
      </c>
      <c r="AH164" s="16">
        <f t="shared" ca="1" si="96"/>
        <v>-6.7537923358329088E-4</v>
      </c>
      <c r="AI164" s="16">
        <f t="shared" ca="1" si="97"/>
        <v>-4.4294242339850852E-4</v>
      </c>
      <c r="AJ164" s="16">
        <f t="shared" ca="1" si="98"/>
        <v>-3.7984897790903089E-4</v>
      </c>
      <c r="AK164" s="16">
        <f t="shared" ca="1" si="99"/>
        <v>-3.6123441569784324E-5</v>
      </c>
      <c r="AM164" s="16">
        <f t="shared" ca="1" si="100"/>
        <v>-1.5795799713382097E-3</v>
      </c>
      <c r="AO164" s="16">
        <f t="shared" ca="1" si="101"/>
        <v>-8.1409336447379267E-5</v>
      </c>
      <c r="AP164" s="16">
        <f t="shared" ca="1" si="102"/>
        <v>-6.7537923358329088E-4</v>
      </c>
      <c r="AQ164" s="16">
        <f t="shared" ca="1" si="103"/>
        <v>-4.4294242339850852E-4</v>
      </c>
      <c r="AR164" s="16">
        <f t="shared" ca="1" si="104"/>
        <v>-3.7984897790903089E-4</v>
      </c>
      <c r="AS164" s="16">
        <f t="shared" ca="1" si="105"/>
        <v>-3.6123441569784324E-5</v>
      </c>
    </row>
    <row r="165" spans="1:45" x14ac:dyDescent="0.25">
      <c r="A165" s="69">
        <f t="shared" ca="1" si="106"/>
        <v>2450.0659119587767</v>
      </c>
      <c r="B165" s="69">
        <f t="shared" ca="1" si="107"/>
        <v>2133.7598602816824</v>
      </c>
      <c r="C165" s="69">
        <f t="shared" ca="1" si="108"/>
        <v>2229.5334001736924</v>
      </c>
      <c r="D165" s="69">
        <f t="shared" ca="1" si="109"/>
        <v>2907.7469581883179</v>
      </c>
      <c r="E165" s="69">
        <f t="shared" ca="1" si="110"/>
        <v>1933.6330091423331</v>
      </c>
      <c r="F165" s="69">
        <f t="shared" ca="1" si="111"/>
        <v>1224.3314946391035</v>
      </c>
      <c r="G165" s="69">
        <f t="shared" ca="1" si="112"/>
        <v>963.68889964509924</v>
      </c>
      <c r="H165" s="69">
        <f t="shared" ca="1" si="113"/>
        <v>1190.0895887530637</v>
      </c>
      <c r="I165" s="69">
        <f t="shared" ca="1" si="114"/>
        <v>1044.3592669183195</v>
      </c>
      <c r="J165" s="69">
        <f t="shared" ca="1" si="115"/>
        <v>1147.5272080284778</v>
      </c>
      <c r="K165" s="69">
        <f t="shared" ca="1" si="116"/>
        <v>1180.5297022722129</v>
      </c>
      <c r="L165" s="69">
        <f t="shared" ca="1" si="117"/>
        <v>955.30933501939649</v>
      </c>
      <c r="M165" s="69">
        <f t="shared" ca="1" si="118"/>
        <v>984.61671537789584</v>
      </c>
      <c r="N165" s="69">
        <f t="shared" ca="1" si="119"/>
        <v>572.8752020824171</v>
      </c>
      <c r="O165" s="69">
        <f t="shared" ca="1" si="120"/>
        <v>629.55305542636745</v>
      </c>
      <c r="P165" s="69">
        <f t="shared" ca="1" si="121"/>
        <v>724.94806455062178</v>
      </c>
      <c r="Q165" s="69">
        <f t="shared" ca="1" si="122"/>
        <v>954.62280022799939</v>
      </c>
      <c r="R165" s="69">
        <f t="shared" ca="1" si="123"/>
        <v>784.24929013856422</v>
      </c>
      <c r="S165" s="69">
        <f t="shared" ca="1" si="124"/>
        <v>699.93651844342105</v>
      </c>
      <c r="T165" s="69">
        <f t="shared" ca="1" si="125"/>
        <v>803.72875978040747</v>
      </c>
      <c r="U165" s="69">
        <f t="shared" ca="1" si="126"/>
        <v>1693.1991744114371</v>
      </c>
      <c r="V165" s="69">
        <f t="shared" ca="1" si="127"/>
        <v>1913.0289177667601</v>
      </c>
      <c r="W165" s="69">
        <f t="shared" ca="1" si="128"/>
        <v>1176.314193879037</v>
      </c>
      <c r="X165" s="69">
        <f t="shared" ca="1" si="129"/>
        <v>1487.9167977529919</v>
      </c>
      <c r="Y165" s="69">
        <f t="shared" ca="1" si="130"/>
        <v>1211.0643697987043</v>
      </c>
      <c r="AA165" s="20">
        <f t="shared" ca="1" si="90"/>
        <v>6.553419260754612E+16</v>
      </c>
      <c r="AB165" s="20">
        <f t="shared" ca="1" si="91"/>
        <v>1682784294444436</v>
      </c>
      <c r="AC165" s="20">
        <f t="shared" ca="1" si="92"/>
        <v>400479697144323.19</v>
      </c>
      <c r="AD165" s="20">
        <f t="shared" ca="1" si="93"/>
        <v>305324035416886.75</v>
      </c>
      <c r="AE165" s="20">
        <f t="shared" ca="1" si="94"/>
        <v>6865920877072197</v>
      </c>
      <c r="AG165" s="16">
        <f t="shared" ca="1" si="95"/>
        <v>2.0833944253273166E-4</v>
      </c>
      <c r="AH165" s="16">
        <f t="shared" ca="1" si="96"/>
        <v>-5.0669804819347144E-4</v>
      </c>
      <c r="AI165" s="16">
        <f t="shared" ca="1" si="97"/>
        <v>1.1104669167522564E-3</v>
      </c>
      <c r="AJ165" s="16">
        <f t="shared" ca="1" si="98"/>
        <v>-1.2743565103737193E-3</v>
      </c>
      <c r="AK165" s="16">
        <f t="shared" ca="1" si="99"/>
        <v>-3.8896076550378633E-4</v>
      </c>
      <c r="AM165" s="16">
        <f t="shared" ca="1" si="100"/>
        <v>-4.6224819928220267E-4</v>
      </c>
      <c r="AO165" s="16">
        <f t="shared" ca="1" si="101"/>
        <v>0</v>
      </c>
      <c r="AP165" s="16">
        <f t="shared" ca="1" si="102"/>
        <v>-5.0669804819347144E-4</v>
      </c>
      <c r="AQ165" s="16">
        <f t="shared" ca="1" si="103"/>
        <v>0</v>
      </c>
      <c r="AR165" s="16">
        <f t="shared" ca="1" si="104"/>
        <v>-1.2743565103737193E-3</v>
      </c>
      <c r="AS165" s="16">
        <f t="shared" ca="1" si="105"/>
        <v>-3.8896076550378633E-4</v>
      </c>
    </row>
    <row r="166" spans="1:45" x14ac:dyDescent="0.25">
      <c r="A166" s="69">
        <f t="shared" ca="1" si="106"/>
        <v>2450.3722051031305</v>
      </c>
      <c r="B166" s="69">
        <f t="shared" ca="1" si="107"/>
        <v>2133.953791235037</v>
      </c>
      <c r="C166" s="69">
        <f t="shared" ca="1" si="108"/>
        <v>2229.5724241334897</v>
      </c>
      <c r="D166" s="69">
        <f t="shared" ca="1" si="109"/>
        <v>2907.7469581883179</v>
      </c>
      <c r="E166" s="69">
        <f t="shared" ca="1" si="110"/>
        <v>1933.5845667000826</v>
      </c>
      <c r="F166" s="69">
        <f t="shared" ca="1" si="111"/>
        <v>1224.3314946391035</v>
      </c>
      <c r="G166" s="69">
        <f t="shared" ca="1" si="112"/>
        <v>963.68889964509924</v>
      </c>
      <c r="H166" s="69">
        <f t="shared" ca="1" si="113"/>
        <v>1190.0895887530637</v>
      </c>
      <c r="I166" s="69">
        <f t="shared" ca="1" si="114"/>
        <v>1044.2256569795793</v>
      </c>
      <c r="J166" s="69">
        <f t="shared" ca="1" si="115"/>
        <v>1147.0926586358519</v>
      </c>
      <c r="K166" s="69">
        <f t="shared" ca="1" si="116"/>
        <v>1180.3406063516247</v>
      </c>
      <c r="L166" s="69">
        <f t="shared" ca="1" si="117"/>
        <v>955.76456319338058</v>
      </c>
      <c r="M166" s="69">
        <f t="shared" ca="1" si="118"/>
        <v>985.05867716457942</v>
      </c>
      <c r="N166" s="69">
        <f t="shared" ca="1" si="119"/>
        <v>573.07315413756828</v>
      </c>
      <c r="O166" s="69">
        <f t="shared" ca="1" si="120"/>
        <v>629.55305542636745</v>
      </c>
      <c r="P166" s="69">
        <f t="shared" ca="1" si="121"/>
        <v>724.94806455062178</v>
      </c>
      <c r="Q166" s="69">
        <f t="shared" ca="1" si="122"/>
        <v>954.28340140167188</v>
      </c>
      <c r="R166" s="69">
        <f t="shared" ca="1" si="123"/>
        <v>783.77948563055293</v>
      </c>
      <c r="S166" s="69">
        <f t="shared" ca="1" si="124"/>
        <v>699.98800392252917</v>
      </c>
      <c r="T166" s="69">
        <f t="shared" ca="1" si="125"/>
        <v>803.41288685185282</v>
      </c>
      <c r="U166" s="69">
        <f t="shared" ca="1" si="126"/>
        <v>1693.0700328158141</v>
      </c>
      <c r="V166" s="69">
        <f t="shared" ca="1" si="127"/>
        <v>1913.0289177667601</v>
      </c>
      <c r="W166" s="69">
        <f t="shared" ca="1" si="128"/>
        <v>1175.9464331143065</v>
      </c>
      <c r="X166" s="69">
        <f t="shared" ca="1" si="129"/>
        <v>1487.9167977529919</v>
      </c>
      <c r="Y166" s="69">
        <f t="shared" ca="1" si="130"/>
        <v>1211.0643697987043</v>
      </c>
      <c r="AA166" s="20">
        <f t="shared" ca="1" si="90"/>
        <v>6.5547847387065992E+16</v>
      </c>
      <c r="AB166" s="20">
        <f t="shared" ca="1" si="91"/>
        <v>1681931846911899.3</v>
      </c>
      <c r="AC166" s="20">
        <f t="shared" ca="1" si="92"/>
        <v>400924663613379.06</v>
      </c>
      <c r="AD166" s="20">
        <f t="shared" ca="1" si="93"/>
        <v>304935191560052.94</v>
      </c>
      <c r="AE166" s="20">
        <f t="shared" ca="1" si="94"/>
        <v>6863250822538853</v>
      </c>
      <c r="AG166" s="16">
        <f t="shared" ca="1" si="95"/>
        <v>1.8550628320555126E-4</v>
      </c>
      <c r="AH166" s="16">
        <f t="shared" ca="1" si="96"/>
        <v>7.5491303904832118E-4</v>
      </c>
      <c r="AI166" s="16">
        <f t="shared" ca="1" si="97"/>
        <v>-4.0269270991301521E-4</v>
      </c>
      <c r="AJ166" s="16">
        <f t="shared" ca="1" si="98"/>
        <v>-2.4178816184966388E-4</v>
      </c>
      <c r="AK166" s="16">
        <f t="shared" ca="1" si="99"/>
        <v>-3.3779001957976698E-4</v>
      </c>
      <c r="AM166" s="16">
        <f t="shared" ca="1" si="100"/>
        <v>2.9593845049119327E-4</v>
      </c>
      <c r="AO166" s="16">
        <f t="shared" ca="1" si="101"/>
        <v>0</v>
      </c>
      <c r="AP166" s="16">
        <f t="shared" ca="1" si="102"/>
        <v>0</v>
      </c>
      <c r="AQ166" s="16">
        <f t="shared" ca="1" si="103"/>
        <v>-4.0269270991301521E-4</v>
      </c>
      <c r="AR166" s="16">
        <f t="shared" ca="1" si="104"/>
        <v>-2.4178816184966388E-4</v>
      </c>
      <c r="AS166" s="16">
        <f t="shared" ca="1" si="105"/>
        <v>-3.3779001957976698E-4</v>
      </c>
    </row>
    <row r="167" spans="1:45" x14ac:dyDescent="0.25">
      <c r="A167" s="69">
        <f t="shared" ca="1" si="106"/>
        <v>2450.3722051031305</v>
      </c>
      <c r="B167" s="69">
        <f t="shared" ca="1" si="107"/>
        <v>2134.4535563310578</v>
      </c>
      <c r="C167" s="69">
        <f t="shared" ca="1" si="108"/>
        <v>2229.1849934715974</v>
      </c>
      <c r="D167" s="69">
        <f t="shared" ca="1" si="109"/>
        <v>2908.2288188400034</v>
      </c>
      <c r="E167" s="69">
        <f t="shared" ca="1" si="110"/>
        <v>1933.5061008023854</v>
      </c>
      <c r="F167" s="69">
        <f t="shared" ca="1" si="111"/>
        <v>1224.5253310290502</v>
      </c>
      <c r="G167" s="69">
        <f t="shared" ca="1" si="112"/>
        <v>963.68889964509924</v>
      </c>
      <c r="H167" s="69">
        <f t="shared" ca="1" si="113"/>
        <v>1190.1380889674426</v>
      </c>
      <c r="I167" s="69">
        <f t="shared" ca="1" si="114"/>
        <v>1044.4257743754156</v>
      </c>
      <c r="J167" s="69">
        <f t="shared" ca="1" si="115"/>
        <v>1147.5105394374066</v>
      </c>
      <c r="K167" s="69">
        <f t="shared" ca="1" si="116"/>
        <v>1180.330756592698</v>
      </c>
      <c r="L167" s="69">
        <f t="shared" ca="1" si="117"/>
        <v>955.76456319338058</v>
      </c>
      <c r="M167" s="69">
        <f t="shared" ca="1" si="118"/>
        <v>985.43163780584439</v>
      </c>
      <c r="N167" s="69">
        <f t="shared" ca="1" si="119"/>
        <v>572.78116727900704</v>
      </c>
      <c r="O167" s="69">
        <f t="shared" ca="1" si="120"/>
        <v>629.38734525825873</v>
      </c>
      <c r="P167" s="69">
        <f t="shared" ca="1" si="121"/>
        <v>724.5334738374969</v>
      </c>
      <c r="Q167" s="69">
        <f t="shared" ca="1" si="122"/>
        <v>954.28340140167188</v>
      </c>
      <c r="R167" s="69">
        <f t="shared" ca="1" si="123"/>
        <v>783.95361505749725</v>
      </c>
      <c r="S167" s="69">
        <f t="shared" ca="1" si="124"/>
        <v>700.06369350519071</v>
      </c>
      <c r="T167" s="69">
        <f t="shared" ca="1" si="125"/>
        <v>803.41288685185282</v>
      </c>
      <c r="U167" s="69">
        <f t="shared" ca="1" si="126"/>
        <v>1693.2008224056356</v>
      </c>
      <c r="V167" s="69">
        <f t="shared" ca="1" si="127"/>
        <v>1913.0289177667601</v>
      </c>
      <c r="W167" s="69">
        <f t="shared" ca="1" si="128"/>
        <v>1175.5760908137747</v>
      </c>
      <c r="X167" s="69">
        <f t="shared" ca="1" si="129"/>
        <v>1487.767930010303</v>
      </c>
      <c r="Y167" s="69">
        <f t="shared" ca="1" si="130"/>
        <v>1211.0643697987043</v>
      </c>
      <c r="AA167" s="20">
        <f t="shared" ca="1" si="90"/>
        <v>6.5560008052511944E+16</v>
      </c>
      <c r="AB167" s="20">
        <f t="shared" ca="1" si="91"/>
        <v>1683202038575725.5</v>
      </c>
      <c r="AC167" s="20">
        <f t="shared" ca="1" si="92"/>
        <v>400763246677010.69</v>
      </c>
      <c r="AD167" s="20">
        <f t="shared" ca="1" si="93"/>
        <v>304861470753370.69</v>
      </c>
      <c r="AE167" s="20">
        <f t="shared" ca="1" si="94"/>
        <v>6860932876420699</v>
      </c>
      <c r="AG167" s="16">
        <f t="shared" ca="1" si="95"/>
        <v>-2.2629008938023152E-4</v>
      </c>
      <c r="AH167" s="16">
        <f t="shared" ca="1" si="96"/>
        <v>6.1133885393407819E-4</v>
      </c>
      <c r="AI167" s="16">
        <f t="shared" ca="1" si="97"/>
        <v>3.3915187993819245E-4</v>
      </c>
      <c r="AJ167" s="16">
        <f t="shared" ca="1" si="98"/>
        <v>3.4204594083351425E-4</v>
      </c>
      <c r="AK167" s="16">
        <f t="shared" ca="1" si="99"/>
        <v>5.132585694410999E-4</v>
      </c>
      <c r="AM167" s="16">
        <f t="shared" ca="1" si="100"/>
        <v>1.0662465853255533E-3</v>
      </c>
      <c r="AO167" s="16">
        <f t="shared" ca="1" si="101"/>
        <v>-2.2629008938023152E-4</v>
      </c>
      <c r="AP167" s="16">
        <f t="shared" ca="1" si="102"/>
        <v>0</v>
      </c>
      <c r="AQ167" s="16">
        <f t="shared" ca="1" si="103"/>
        <v>0</v>
      </c>
      <c r="AR167" s="16">
        <f t="shared" ca="1" si="104"/>
        <v>0</v>
      </c>
      <c r="AS167" s="16">
        <f t="shared" ca="1" si="105"/>
        <v>0</v>
      </c>
    </row>
    <row r="168" spans="1:45" x14ac:dyDescent="0.25">
      <c r="A168" s="69">
        <f t="shared" ca="1" si="106"/>
        <v>2449.9115063334466</v>
      </c>
      <c r="B168" s="69">
        <f t="shared" ca="1" si="107"/>
        <v>2134.6517467636186</v>
      </c>
      <c r="C168" s="69">
        <f t="shared" ca="1" si="108"/>
        <v>2228.9943711378023</v>
      </c>
      <c r="D168" s="69">
        <f t="shared" ca="1" si="109"/>
        <v>2908.2582133236388</v>
      </c>
      <c r="E168" s="69">
        <f t="shared" ca="1" si="110"/>
        <v>1933.3984058090723</v>
      </c>
      <c r="F168" s="69">
        <f t="shared" ca="1" si="111"/>
        <v>1224.2671213304798</v>
      </c>
      <c r="G168" s="69">
        <f t="shared" ca="1" si="112"/>
        <v>963.68889964509924</v>
      </c>
      <c r="H168" s="69">
        <f t="shared" ca="1" si="113"/>
        <v>1190.4489828586409</v>
      </c>
      <c r="I168" s="69">
        <f t="shared" ca="1" si="114"/>
        <v>1044.7728408250837</v>
      </c>
      <c r="J168" s="69">
        <f t="shared" ca="1" si="115"/>
        <v>1147.773104822257</v>
      </c>
      <c r="K168" s="69">
        <f t="shared" ca="1" si="116"/>
        <v>1180.330756592698</v>
      </c>
      <c r="L168" s="69">
        <f t="shared" ca="1" si="117"/>
        <v>955.76456319338058</v>
      </c>
      <c r="M168" s="69">
        <f t="shared" ca="1" si="118"/>
        <v>985.34439093356843</v>
      </c>
      <c r="N168" s="69">
        <f t="shared" ca="1" si="119"/>
        <v>572.78116727900704</v>
      </c>
      <c r="O168" s="69">
        <f t="shared" ca="1" si="120"/>
        <v>629.65658708184844</v>
      </c>
      <c r="P168" s="69">
        <f t="shared" ca="1" si="121"/>
        <v>724.5334738374969</v>
      </c>
      <c r="Q168" s="69">
        <f t="shared" ca="1" si="122"/>
        <v>954.5421971756947</v>
      </c>
      <c r="R168" s="69">
        <f t="shared" ca="1" si="123"/>
        <v>784.21930719909028</v>
      </c>
      <c r="S168" s="69">
        <f t="shared" ca="1" si="124"/>
        <v>700.25238982750989</v>
      </c>
      <c r="T168" s="69">
        <f t="shared" ca="1" si="125"/>
        <v>802.98119084150187</v>
      </c>
      <c r="U168" s="69">
        <f t="shared" ca="1" si="126"/>
        <v>1693.2008224056356</v>
      </c>
      <c r="V168" s="69">
        <f t="shared" ca="1" si="127"/>
        <v>1913.0289177667601</v>
      </c>
      <c r="W168" s="69">
        <f t="shared" ca="1" si="128"/>
        <v>1175.8621488370936</v>
      </c>
      <c r="X168" s="69">
        <f t="shared" ca="1" si="129"/>
        <v>1488.1696128885014</v>
      </c>
      <c r="Y168" s="69">
        <f t="shared" ca="1" si="130"/>
        <v>1211.0643697987043</v>
      </c>
      <c r="AA168" s="20">
        <f t="shared" ca="1" si="90"/>
        <v>6.5545174150875736E+16</v>
      </c>
      <c r="AB168" s="20">
        <f t="shared" ca="1" si="91"/>
        <v>1684231359980954</v>
      </c>
      <c r="AC168" s="20">
        <f t="shared" ca="1" si="92"/>
        <v>400899189336832.63</v>
      </c>
      <c r="AD168" s="20">
        <f t="shared" ca="1" si="93"/>
        <v>304965765217690.69</v>
      </c>
      <c r="AE168" s="20">
        <f t="shared" ca="1" si="94"/>
        <v>6864455212871240</v>
      </c>
      <c r="AG168" s="16">
        <f t="shared" ca="1" si="95"/>
        <v>-1.1555008463291579E-4</v>
      </c>
      <c r="AH168" s="16">
        <f t="shared" ca="1" si="96"/>
        <v>-1.325926410698115E-4</v>
      </c>
      <c r="AI168" s="16">
        <f t="shared" ca="1" si="97"/>
        <v>-1.1991040019170296E-4</v>
      </c>
      <c r="AJ168" s="16">
        <f t="shared" ca="1" si="98"/>
        <v>9.5181040316912944E-5</v>
      </c>
      <c r="AK168" s="16">
        <f t="shared" ca="1" si="99"/>
        <v>5.6731492437166978E-4</v>
      </c>
      <c r="AM168" s="16">
        <f t="shared" ca="1" si="100"/>
        <v>-2.7287208557751731E-4</v>
      </c>
      <c r="AO168" s="16">
        <f t="shared" ca="1" si="101"/>
        <v>-1.1555008463291579E-4</v>
      </c>
      <c r="AP168" s="16">
        <f t="shared" ca="1" si="102"/>
        <v>-1.325926410698115E-4</v>
      </c>
      <c r="AQ168" s="16">
        <f t="shared" ca="1" si="103"/>
        <v>-1.1991040019170296E-4</v>
      </c>
      <c r="AR168" s="16">
        <f t="shared" ca="1" si="104"/>
        <v>0</v>
      </c>
      <c r="AS168" s="16">
        <f t="shared" ca="1" si="105"/>
        <v>0</v>
      </c>
    </row>
    <row r="169" spans="1:45" x14ac:dyDescent="0.25">
      <c r="A169" s="69">
        <f t="shared" ca="1" si="106"/>
        <v>2450.2476771626402</v>
      </c>
      <c r="B169" s="69">
        <f t="shared" ca="1" si="107"/>
        <v>2134.6517467636186</v>
      </c>
      <c r="C169" s="69">
        <f t="shared" ca="1" si="108"/>
        <v>2228.7666228016337</v>
      </c>
      <c r="D169" s="69">
        <f t="shared" ca="1" si="109"/>
        <v>2907.8203277057942</v>
      </c>
      <c r="E169" s="69">
        <f t="shared" ca="1" si="110"/>
        <v>1933.3984058090723</v>
      </c>
      <c r="F169" s="69">
        <f t="shared" ca="1" si="111"/>
        <v>1224.5037102574925</v>
      </c>
      <c r="G169" s="69">
        <f t="shared" ca="1" si="112"/>
        <v>963.67395612262453</v>
      </c>
      <c r="H169" s="69">
        <f t="shared" ca="1" si="113"/>
        <v>1190.4489828586409</v>
      </c>
      <c r="I169" s="69">
        <f t="shared" ca="1" si="114"/>
        <v>1044.8396931077564</v>
      </c>
      <c r="J169" s="69">
        <f t="shared" ca="1" si="115"/>
        <v>1147.3435714020161</v>
      </c>
      <c r="K169" s="69">
        <f t="shared" ca="1" si="116"/>
        <v>1180.0863428884081</v>
      </c>
      <c r="L169" s="69">
        <f t="shared" ca="1" si="117"/>
        <v>955.84789349365781</v>
      </c>
      <c r="M169" s="69">
        <f t="shared" ca="1" si="118"/>
        <v>985.34439093356843</v>
      </c>
      <c r="N169" s="69">
        <f t="shared" ca="1" si="119"/>
        <v>572.78116727900704</v>
      </c>
      <c r="O169" s="69">
        <f t="shared" ca="1" si="120"/>
        <v>629.65658708184844</v>
      </c>
      <c r="P169" s="69">
        <f t="shared" ca="1" si="121"/>
        <v>724.5334738374969</v>
      </c>
      <c r="Q169" s="69">
        <f t="shared" ca="1" si="122"/>
        <v>954.5421971756947</v>
      </c>
      <c r="R169" s="69">
        <f t="shared" ca="1" si="123"/>
        <v>784.21930719909028</v>
      </c>
      <c r="S169" s="69">
        <f t="shared" ca="1" si="124"/>
        <v>700.3190437505026</v>
      </c>
      <c r="T169" s="69">
        <f t="shared" ca="1" si="125"/>
        <v>802.98119084150187</v>
      </c>
      <c r="U169" s="69">
        <f t="shared" ca="1" si="126"/>
        <v>1693.2008224056356</v>
      </c>
      <c r="V169" s="69">
        <f t="shared" ca="1" si="127"/>
        <v>1912.9263284499327</v>
      </c>
      <c r="W169" s="69">
        <f t="shared" ca="1" si="128"/>
        <v>1176.243220612015</v>
      </c>
      <c r="X169" s="69">
        <f t="shared" ca="1" si="129"/>
        <v>1488.6115411907656</v>
      </c>
      <c r="Y169" s="69">
        <f t="shared" ca="1" si="130"/>
        <v>1211.0643697987043</v>
      </c>
      <c r="AA169" s="20">
        <f t="shared" ca="1" si="90"/>
        <v>6.5537600838012224E+16</v>
      </c>
      <c r="AB169" s="20">
        <f t="shared" ca="1" si="91"/>
        <v>1684008058101181.8</v>
      </c>
      <c r="AC169" s="20">
        <f t="shared" ca="1" si="92"/>
        <v>400851120236652.81</v>
      </c>
      <c r="AD169" s="20">
        <f t="shared" ca="1" si="93"/>
        <v>304994793557937.06</v>
      </c>
      <c r="AE169" s="20">
        <f t="shared" ca="1" si="94"/>
        <v>6868350625619600</v>
      </c>
      <c r="AG169" s="16">
        <f t="shared" ca="1" si="95"/>
        <v>3.2803799055668799E-4</v>
      </c>
      <c r="AH169" s="16">
        <f t="shared" ca="1" si="96"/>
        <v>6.3750393664322054E-4</v>
      </c>
      <c r="AI169" s="16">
        <f t="shared" ca="1" si="97"/>
        <v>-3.7769868565373842E-4</v>
      </c>
      <c r="AJ169" s="16">
        <f t="shared" ca="1" si="98"/>
        <v>5.9378200483400966E-4</v>
      </c>
      <c r="AK169" s="16">
        <f t="shared" ca="1" si="99"/>
        <v>-4.9621663595256823E-4</v>
      </c>
      <c r="AM169" s="16">
        <f t="shared" ca="1" si="100"/>
        <v>1.1816252463801797E-3</v>
      </c>
      <c r="AO169" s="16">
        <f t="shared" ca="1" si="101"/>
        <v>0</v>
      </c>
      <c r="AP169" s="16">
        <f t="shared" ca="1" si="102"/>
        <v>0</v>
      </c>
      <c r="AQ169" s="16">
        <f t="shared" ca="1" si="103"/>
        <v>-3.7769868565373842E-4</v>
      </c>
      <c r="AR169" s="16">
        <f t="shared" ca="1" si="104"/>
        <v>0</v>
      </c>
      <c r="AS169" s="16">
        <f t="shared" ca="1" si="105"/>
        <v>-4.9621663595256823E-4</v>
      </c>
    </row>
    <row r="170" spans="1:45" x14ac:dyDescent="0.25">
      <c r="A170" s="69">
        <f t="shared" ca="1" si="106"/>
        <v>2450.2476771626402</v>
      </c>
      <c r="B170" s="69">
        <f t="shared" ca="1" si="107"/>
        <v>2134.750459836865</v>
      </c>
      <c r="C170" s="69">
        <f t="shared" ca="1" si="108"/>
        <v>2229.037939306821</v>
      </c>
      <c r="D170" s="69">
        <f t="shared" ca="1" si="109"/>
        <v>2907.8946109130284</v>
      </c>
      <c r="E170" s="69">
        <f t="shared" ca="1" si="110"/>
        <v>1933.6585111861061</v>
      </c>
      <c r="F170" s="69">
        <f t="shared" ca="1" si="111"/>
        <v>1224.3458741728307</v>
      </c>
      <c r="G170" s="69">
        <f t="shared" ca="1" si="112"/>
        <v>963.99029492025556</v>
      </c>
      <c r="H170" s="69">
        <f t="shared" ca="1" si="113"/>
        <v>1190.727565718187</v>
      </c>
      <c r="I170" s="69">
        <f t="shared" ca="1" si="114"/>
        <v>1045.0530849924826</v>
      </c>
      <c r="J170" s="69">
        <f t="shared" ca="1" si="115"/>
        <v>1147.3435714020161</v>
      </c>
      <c r="K170" s="69">
        <f t="shared" ca="1" si="116"/>
        <v>1180.0739299471795</v>
      </c>
      <c r="L170" s="69">
        <f t="shared" ca="1" si="117"/>
        <v>955.84789349365781</v>
      </c>
      <c r="M170" s="69">
        <f t="shared" ca="1" si="118"/>
        <v>985.34439093356843</v>
      </c>
      <c r="N170" s="69">
        <f t="shared" ca="1" si="119"/>
        <v>572.78116727900704</v>
      </c>
      <c r="O170" s="69">
        <f t="shared" ca="1" si="120"/>
        <v>629.42543224277938</v>
      </c>
      <c r="P170" s="69">
        <f t="shared" ca="1" si="121"/>
        <v>724.91191620811185</v>
      </c>
      <c r="Q170" s="69">
        <f t="shared" ca="1" si="122"/>
        <v>954.84933644278442</v>
      </c>
      <c r="R170" s="69">
        <f t="shared" ca="1" si="123"/>
        <v>783.75790527688196</v>
      </c>
      <c r="S170" s="69">
        <f t="shared" ca="1" si="124"/>
        <v>700.55665172249167</v>
      </c>
      <c r="T170" s="69">
        <f t="shared" ca="1" si="125"/>
        <v>802.98053412202137</v>
      </c>
      <c r="U170" s="69">
        <f t="shared" ca="1" si="126"/>
        <v>1693.2008224056356</v>
      </c>
      <c r="V170" s="69">
        <f t="shared" ca="1" si="127"/>
        <v>1912.6949270006924</v>
      </c>
      <c r="W170" s="69">
        <f t="shared" ca="1" si="128"/>
        <v>1175.8490819759604</v>
      </c>
      <c r="X170" s="69">
        <f t="shared" ca="1" si="129"/>
        <v>1488.838838756895</v>
      </c>
      <c r="Y170" s="69">
        <f t="shared" ca="1" si="130"/>
        <v>1210.8309201134368</v>
      </c>
      <c r="AA170" s="20">
        <f t="shared" ca="1" si="90"/>
        <v>6.5559103187497968E+16</v>
      </c>
      <c r="AB170" s="20">
        <f t="shared" ca="1" si="91"/>
        <v>1685081962140216</v>
      </c>
      <c r="AC170" s="20">
        <f t="shared" ca="1" si="92"/>
        <v>400699747883765.5</v>
      </c>
      <c r="AD170" s="20">
        <f t="shared" ca="1" si="93"/>
        <v>305175947755648.63</v>
      </c>
      <c r="AE170" s="20">
        <f t="shared" ca="1" si="94"/>
        <v>6864943281238012</v>
      </c>
      <c r="AG170" s="16">
        <f t="shared" ca="1" si="95"/>
        <v>-1.5801655492591487E-4</v>
      </c>
      <c r="AH170" s="16">
        <f t="shared" ca="1" si="96"/>
        <v>7.7959185194041353E-5</v>
      </c>
      <c r="AI170" s="16">
        <f t="shared" ca="1" si="97"/>
        <v>-4.4826211462464219E-4</v>
      </c>
      <c r="AJ170" s="16">
        <f t="shared" ca="1" si="98"/>
        <v>-1.8526531749040499E-3</v>
      </c>
      <c r="AK170" s="16">
        <f t="shared" ca="1" si="99"/>
        <v>2.6629546588497849E-4</v>
      </c>
      <c r="AM170" s="16">
        <f t="shared" ca="1" si="100"/>
        <v>-2.3809726592605657E-3</v>
      </c>
      <c r="AO170" s="16">
        <f t="shared" ca="1" si="101"/>
        <v>-1.5801655492591487E-4</v>
      </c>
      <c r="AP170" s="16">
        <f t="shared" ca="1" si="102"/>
        <v>0</v>
      </c>
      <c r="AQ170" s="16">
        <f t="shared" ca="1" si="103"/>
        <v>-4.4826211462464219E-4</v>
      </c>
      <c r="AR170" s="16">
        <f t="shared" ca="1" si="104"/>
        <v>-1.8526531749040499E-3</v>
      </c>
      <c r="AS170" s="16">
        <f t="shared" ca="1" si="105"/>
        <v>0</v>
      </c>
    </row>
    <row r="171" spans="1:45" x14ac:dyDescent="0.25">
      <c r="A171" s="69">
        <f t="shared" ca="1" si="106"/>
        <v>2449.8622220254406</v>
      </c>
      <c r="B171" s="69">
        <f t="shared" ca="1" si="107"/>
        <v>2135.2006202740872</v>
      </c>
      <c r="C171" s="69">
        <f t="shared" ca="1" si="108"/>
        <v>2229.037939306821</v>
      </c>
      <c r="D171" s="69">
        <f t="shared" ca="1" si="109"/>
        <v>2907.8946109130284</v>
      </c>
      <c r="E171" s="69">
        <f t="shared" ca="1" si="110"/>
        <v>1933.2495047458212</v>
      </c>
      <c r="F171" s="69">
        <f t="shared" ca="1" si="111"/>
        <v>1224.3458741728307</v>
      </c>
      <c r="G171" s="69">
        <f t="shared" ca="1" si="112"/>
        <v>963.99029492025556</v>
      </c>
      <c r="H171" s="69">
        <f t="shared" ca="1" si="113"/>
        <v>1190.727565718187</v>
      </c>
      <c r="I171" s="69">
        <f t="shared" ca="1" si="114"/>
        <v>1045.3146196193686</v>
      </c>
      <c r="J171" s="69">
        <f t="shared" ca="1" si="115"/>
        <v>1147.1459365097212</v>
      </c>
      <c r="K171" s="69">
        <f t="shared" ca="1" si="116"/>
        <v>1179.8016234274169</v>
      </c>
      <c r="L171" s="69">
        <f t="shared" ca="1" si="117"/>
        <v>955.84435576352519</v>
      </c>
      <c r="M171" s="69">
        <f t="shared" ca="1" si="118"/>
        <v>985.76110140331639</v>
      </c>
      <c r="N171" s="69">
        <f t="shared" ca="1" si="119"/>
        <v>572.78116727900704</v>
      </c>
      <c r="O171" s="69">
        <f t="shared" ca="1" si="120"/>
        <v>629.02486777314391</v>
      </c>
      <c r="P171" s="69">
        <f t="shared" ca="1" si="121"/>
        <v>724.43640984214062</v>
      </c>
      <c r="Q171" s="69">
        <f t="shared" ca="1" si="122"/>
        <v>954.55529049517088</v>
      </c>
      <c r="R171" s="69">
        <f t="shared" ca="1" si="123"/>
        <v>783.54253371015204</v>
      </c>
      <c r="S171" s="69">
        <f t="shared" ca="1" si="124"/>
        <v>700.55665172249167</v>
      </c>
      <c r="T171" s="69">
        <f t="shared" ca="1" si="125"/>
        <v>802.48792935071572</v>
      </c>
      <c r="U171" s="69">
        <f t="shared" ca="1" si="126"/>
        <v>1693.0368526686814</v>
      </c>
      <c r="V171" s="69">
        <f t="shared" ca="1" si="127"/>
        <v>1912.7103328321375</v>
      </c>
      <c r="W171" s="69">
        <f t="shared" ca="1" si="128"/>
        <v>1176.3421314282386</v>
      </c>
      <c r="X171" s="69">
        <f t="shared" ca="1" si="129"/>
        <v>1489.2828993877358</v>
      </c>
      <c r="Y171" s="69">
        <f t="shared" ca="1" si="130"/>
        <v>1210.3922488081712</v>
      </c>
      <c r="AA171" s="20">
        <f t="shared" ca="1" si="90"/>
        <v>6.5548744582305352E+16</v>
      </c>
      <c r="AB171" s="20">
        <f t="shared" ca="1" si="91"/>
        <v>1685213334877758.8</v>
      </c>
      <c r="AC171" s="20">
        <f t="shared" ca="1" si="92"/>
        <v>400520169619522.81</v>
      </c>
      <c r="AD171" s="20">
        <f t="shared" ca="1" si="93"/>
        <v>304611085975185.94</v>
      </c>
      <c r="AE171" s="20">
        <f t="shared" ca="1" si="94"/>
        <v>6866771627936776</v>
      </c>
      <c r="AG171" s="16">
        <f t="shared" ca="1" si="95"/>
        <v>-5.075279281693695E-5</v>
      </c>
      <c r="AH171" s="16">
        <f t="shared" ca="1" si="96"/>
        <v>-5.1346906306380278E-4</v>
      </c>
      <c r="AI171" s="16">
        <f t="shared" ca="1" si="97"/>
        <v>-6.4534385373798291E-4</v>
      </c>
      <c r="AJ171" s="16">
        <f t="shared" ca="1" si="98"/>
        <v>-7.9470665428862009E-4</v>
      </c>
      <c r="AK171" s="16">
        <f t="shared" ca="1" si="99"/>
        <v>2.354391927682677E-4</v>
      </c>
      <c r="AM171" s="16">
        <f t="shared" ca="1" si="100"/>
        <v>-2.0042723639073427E-3</v>
      </c>
      <c r="AO171" s="16">
        <f t="shared" ca="1" si="101"/>
        <v>-5.075279281693695E-5</v>
      </c>
      <c r="AP171" s="16">
        <f t="shared" ca="1" si="102"/>
        <v>-5.1346906306380278E-4</v>
      </c>
      <c r="AQ171" s="16">
        <f t="shared" ca="1" si="103"/>
        <v>-6.4534385373798291E-4</v>
      </c>
      <c r="AR171" s="16">
        <f t="shared" ca="1" si="104"/>
        <v>-7.9470665428862009E-4</v>
      </c>
      <c r="AS171" s="16">
        <f t="shared" ca="1" si="105"/>
        <v>0</v>
      </c>
    </row>
    <row r="172" spans="1:45" x14ac:dyDescent="0.25">
      <c r="A172" s="69">
        <f t="shared" ca="1" si="106"/>
        <v>2449.8622220254406</v>
      </c>
      <c r="B172" s="69">
        <f t="shared" ca="1" si="107"/>
        <v>2135.1115877705415</v>
      </c>
      <c r="C172" s="69">
        <f t="shared" ca="1" si="108"/>
        <v>2229.1835215434539</v>
      </c>
      <c r="D172" s="69">
        <f t="shared" ca="1" si="109"/>
        <v>2908.1786982882099</v>
      </c>
      <c r="E172" s="69">
        <f t="shared" ca="1" si="110"/>
        <v>1932.9169092149691</v>
      </c>
      <c r="F172" s="69">
        <f t="shared" ca="1" si="111"/>
        <v>1224.3271596529803</v>
      </c>
      <c r="G172" s="69">
        <f t="shared" ca="1" si="112"/>
        <v>963.64421241413424</v>
      </c>
      <c r="H172" s="69">
        <f t="shared" ca="1" si="113"/>
        <v>1190.8543984489147</v>
      </c>
      <c r="I172" s="69">
        <f t="shared" ca="1" si="114"/>
        <v>1045.1182803012757</v>
      </c>
      <c r="J172" s="69">
        <f t="shared" ca="1" si="115"/>
        <v>1147.0796626131641</v>
      </c>
      <c r="K172" s="69">
        <f t="shared" ca="1" si="116"/>
        <v>1179.8016234274169</v>
      </c>
      <c r="L172" s="69">
        <f t="shared" ca="1" si="117"/>
        <v>955.70779093342821</v>
      </c>
      <c r="M172" s="69">
        <f t="shared" ca="1" si="118"/>
        <v>985.76110140331639</v>
      </c>
      <c r="N172" s="69">
        <f t="shared" ca="1" si="119"/>
        <v>572.86488600460382</v>
      </c>
      <c r="O172" s="69">
        <f t="shared" ca="1" si="120"/>
        <v>628.61700744507652</v>
      </c>
      <c r="P172" s="69">
        <f t="shared" ca="1" si="121"/>
        <v>724.43640984214062</v>
      </c>
      <c r="Q172" s="69">
        <f t="shared" ca="1" si="122"/>
        <v>954.72147992601754</v>
      </c>
      <c r="R172" s="69">
        <f t="shared" ca="1" si="123"/>
        <v>783.1066556747229</v>
      </c>
      <c r="S172" s="69">
        <f t="shared" ca="1" si="124"/>
        <v>700.55665172249167</v>
      </c>
      <c r="T172" s="69">
        <f t="shared" ca="1" si="125"/>
        <v>802.15709435339591</v>
      </c>
      <c r="U172" s="69">
        <f t="shared" ca="1" si="126"/>
        <v>1692.9142344545833</v>
      </c>
      <c r="V172" s="69">
        <f t="shared" ca="1" si="127"/>
        <v>1912.8888576584402</v>
      </c>
      <c r="W172" s="69">
        <f t="shared" ca="1" si="128"/>
        <v>1176.2282331659017</v>
      </c>
      <c r="X172" s="69">
        <f t="shared" ca="1" si="129"/>
        <v>1489.2828993877358</v>
      </c>
      <c r="Y172" s="69">
        <f t="shared" ca="1" si="130"/>
        <v>1210.7691799573081</v>
      </c>
      <c r="AA172" s="20">
        <f t="shared" ca="1" si="90"/>
        <v>6.5545417884872464E+16</v>
      </c>
      <c r="AB172" s="20">
        <f t="shared" ca="1" si="91"/>
        <v>1684348252081269.5</v>
      </c>
      <c r="AC172" s="20">
        <f t="shared" ca="1" si="92"/>
        <v>400261779773877.75</v>
      </c>
      <c r="AD172" s="20">
        <f t="shared" ca="1" si="93"/>
        <v>304369105682601.13</v>
      </c>
      <c r="AE172" s="20">
        <f t="shared" ca="1" si="94"/>
        <v>6868388525438834</v>
      </c>
      <c r="AG172" s="16">
        <f t="shared" ca="1" si="95"/>
        <v>7.5054965042862682E-5</v>
      </c>
      <c r="AH172" s="16">
        <f t="shared" ca="1" si="96"/>
        <v>1.3683540032815772E-4</v>
      </c>
      <c r="AI172" s="16">
        <f t="shared" ca="1" si="97"/>
        <v>-1.159946639454781E-3</v>
      </c>
      <c r="AJ172" s="16">
        <f t="shared" ca="1" si="98"/>
        <v>8.7942591198235338E-5</v>
      </c>
      <c r="AK172" s="16">
        <f t="shared" ca="1" si="99"/>
        <v>1.0422438562896864E-4</v>
      </c>
      <c r="AM172" s="16">
        <f t="shared" ca="1" si="100"/>
        <v>-8.6011368288552528E-4</v>
      </c>
      <c r="AO172" s="16">
        <f t="shared" ca="1" si="101"/>
        <v>0</v>
      </c>
      <c r="AP172" s="16">
        <f t="shared" ca="1" si="102"/>
        <v>0</v>
      </c>
      <c r="AQ172" s="16">
        <f t="shared" ca="1" si="103"/>
        <v>-1.159946639454781E-3</v>
      </c>
      <c r="AR172" s="16">
        <f t="shared" ca="1" si="104"/>
        <v>0</v>
      </c>
      <c r="AS172" s="16">
        <f t="shared" ca="1" si="105"/>
        <v>0</v>
      </c>
    </row>
    <row r="173" spans="1:45" x14ac:dyDescent="0.25">
      <c r="A173" s="69">
        <f t="shared" ca="1" si="106"/>
        <v>2449.5972034978959</v>
      </c>
      <c r="B173" s="69">
        <f t="shared" ca="1" si="107"/>
        <v>2135.1115877705415</v>
      </c>
      <c r="C173" s="69">
        <f t="shared" ca="1" si="108"/>
        <v>2229.6399538033038</v>
      </c>
      <c r="D173" s="69">
        <f t="shared" ca="1" si="109"/>
        <v>2908.5183555082699</v>
      </c>
      <c r="E173" s="69">
        <f t="shared" ca="1" si="110"/>
        <v>1932.6496412446143</v>
      </c>
      <c r="F173" s="69">
        <f t="shared" ca="1" si="111"/>
        <v>1224.3177309589819</v>
      </c>
      <c r="G173" s="69">
        <f t="shared" ca="1" si="112"/>
        <v>963.61744655469693</v>
      </c>
      <c r="H173" s="69">
        <f t="shared" ca="1" si="113"/>
        <v>1190.8543984489147</v>
      </c>
      <c r="I173" s="69">
        <f t="shared" ca="1" si="114"/>
        <v>1045.4528653637826</v>
      </c>
      <c r="J173" s="69">
        <f t="shared" ca="1" si="115"/>
        <v>1146.9101631243479</v>
      </c>
      <c r="K173" s="69">
        <f t="shared" ca="1" si="116"/>
        <v>1179.8016234274169</v>
      </c>
      <c r="L173" s="69">
        <f t="shared" ca="1" si="117"/>
        <v>955.70779093342821</v>
      </c>
      <c r="M173" s="69">
        <f t="shared" ca="1" si="118"/>
        <v>985.73131832241802</v>
      </c>
      <c r="N173" s="69">
        <f t="shared" ca="1" si="119"/>
        <v>572.63215325638271</v>
      </c>
      <c r="O173" s="69">
        <f t="shared" ca="1" si="120"/>
        <v>628.16243712619018</v>
      </c>
      <c r="P173" s="69">
        <f t="shared" ca="1" si="121"/>
        <v>724.50205643087156</v>
      </c>
      <c r="Q173" s="69">
        <f t="shared" ca="1" si="122"/>
        <v>954.58944763973932</v>
      </c>
      <c r="R173" s="69">
        <f t="shared" ca="1" si="123"/>
        <v>783.53522491450587</v>
      </c>
      <c r="S173" s="69">
        <f t="shared" ca="1" si="124"/>
        <v>700.64987352531057</v>
      </c>
      <c r="T173" s="69">
        <f t="shared" ca="1" si="125"/>
        <v>801.72040275935569</v>
      </c>
      <c r="U173" s="69">
        <f t="shared" ca="1" si="126"/>
        <v>1692.5598148842905</v>
      </c>
      <c r="V173" s="69">
        <f t="shared" ca="1" si="127"/>
        <v>1913.2127611946507</v>
      </c>
      <c r="W173" s="69">
        <f t="shared" ca="1" si="128"/>
        <v>1176.6983445287501</v>
      </c>
      <c r="X173" s="69">
        <f t="shared" ca="1" si="129"/>
        <v>1489.2828993877358</v>
      </c>
      <c r="Y173" s="69">
        <f t="shared" ca="1" si="130"/>
        <v>1210.4600995184053</v>
      </c>
      <c r="AA173" s="20">
        <f t="shared" ca="1" si="90"/>
        <v>6.5550337578541936E+16</v>
      </c>
      <c r="AB173" s="20">
        <f t="shared" ca="1" si="91"/>
        <v>1684578746318161</v>
      </c>
      <c r="AC173" s="20">
        <f t="shared" ca="1" si="92"/>
        <v>399797766634794.06</v>
      </c>
      <c r="AD173" s="20">
        <f t="shared" ca="1" si="93"/>
        <v>304395873867450.06</v>
      </c>
      <c r="AE173" s="20">
        <f t="shared" ca="1" si="94"/>
        <v>6869104416319154</v>
      </c>
      <c r="AG173" s="16">
        <f t="shared" ca="1" si="95"/>
        <v>-1.6470331977399693E-4</v>
      </c>
      <c r="AH173" s="16">
        <f t="shared" ca="1" si="96"/>
        <v>1.303758281963147E-3</v>
      </c>
      <c r="AI173" s="16">
        <f t="shared" ca="1" si="97"/>
        <v>-4.3695970264193547E-4</v>
      </c>
      <c r="AJ173" s="16">
        <f t="shared" ca="1" si="98"/>
        <v>1.4078438933331266E-4</v>
      </c>
      <c r="AK173" s="16">
        <f t="shared" ca="1" si="99"/>
        <v>3.2404414283069557E-6</v>
      </c>
      <c r="AM173" s="16">
        <f t="shared" ca="1" si="100"/>
        <v>8.4287964888052716E-4</v>
      </c>
      <c r="AO173" s="16">
        <f t="shared" ca="1" si="101"/>
        <v>-1.6470331977399693E-4</v>
      </c>
      <c r="AP173" s="16">
        <f t="shared" ca="1" si="102"/>
        <v>0</v>
      </c>
      <c r="AQ173" s="16">
        <f t="shared" ca="1" si="103"/>
        <v>-4.3695970264193547E-4</v>
      </c>
      <c r="AR173" s="16">
        <f t="shared" ca="1" si="104"/>
        <v>0</v>
      </c>
      <c r="AS173" s="16">
        <f t="shared" ca="1" si="105"/>
        <v>0</v>
      </c>
    </row>
    <row r="174" spans="1:45" x14ac:dyDescent="0.25">
      <c r="A174" s="69">
        <f t="shared" ca="1" si="106"/>
        <v>2449.5972034978959</v>
      </c>
      <c r="B174" s="69">
        <f t="shared" ca="1" si="107"/>
        <v>2135.394083215213</v>
      </c>
      <c r="C174" s="69">
        <f t="shared" ca="1" si="108"/>
        <v>2229.2202319822954</v>
      </c>
      <c r="D174" s="69">
        <f t="shared" ca="1" si="109"/>
        <v>2908.598775065002</v>
      </c>
      <c r="E174" s="69">
        <f t="shared" ca="1" si="110"/>
        <v>1932.3860668261027</v>
      </c>
      <c r="F174" s="69">
        <f t="shared" ca="1" si="111"/>
        <v>1224.6957977738596</v>
      </c>
      <c r="G174" s="69">
        <f t="shared" ca="1" si="112"/>
        <v>963.83930592360116</v>
      </c>
      <c r="H174" s="69">
        <f t="shared" ca="1" si="113"/>
        <v>1191.039969207292</v>
      </c>
      <c r="I174" s="69">
        <f t="shared" ca="1" si="114"/>
        <v>1045.9510670292316</v>
      </c>
      <c r="J174" s="69">
        <f t="shared" ca="1" si="115"/>
        <v>1147.0621993339842</v>
      </c>
      <c r="K174" s="69">
        <f t="shared" ca="1" si="116"/>
        <v>1180.1755375332987</v>
      </c>
      <c r="L174" s="69">
        <f t="shared" ca="1" si="117"/>
        <v>955.87122197133556</v>
      </c>
      <c r="M174" s="69">
        <f t="shared" ca="1" si="118"/>
        <v>985.36844225548828</v>
      </c>
      <c r="N174" s="69">
        <f t="shared" ca="1" si="119"/>
        <v>572.3134958869814</v>
      </c>
      <c r="O174" s="69">
        <f t="shared" ca="1" si="120"/>
        <v>628.16243712619018</v>
      </c>
      <c r="P174" s="69">
        <f t="shared" ca="1" si="121"/>
        <v>724.12979154767515</v>
      </c>
      <c r="Q174" s="69">
        <f t="shared" ca="1" si="122"/>
        <v>954.58944763973932</v>
      </c>
      <c r="R174" s="69">
        <f t="shared" ca="1" si="123"/>
        <v>783.53522491450587</v>
      </c>
      <c r="S174" s="69">
        <f t="shared" ca="1" si="124"/>
        <v>701.1087659364905</v>
      </c>
      <c r="T174" s="69">
        <f t="shared" ca="1" si="125"/>
        <v>801.72040275935569</v>
      </c>
      <c r="U174" s="69">
        <f t="shared" ca="1" si="126"/>
        <v>1692.3496617614808</v>
      </c>
      <c r="V174" s="69">
        <f t="shared" ca="1" si="127"/>
        <v>1913.2127611946507</v>
      </c>
      <c r="W174" s="69">
        <f t="shared" ca="1" si="128"/>
        <v>1177.0604903295084</v>
      </c>
      <c r="X174" s="69">
        <f t="shared" ca="1" si="129"/>
        <v>1489.0143970165097</v>
      </c>
      <c r="Y174" s="69">
        <f t="shared" ca="1" si="130"/>
        <v>1210.4600995184053</v>
      </c>
      <c r="AA174" s="20">
        <f t="shared" ca="1" si="90"/>
        <v>6.5539542109379656E+16</v>
      </c>
      <c r="AB174" s="20">
        <f t="shared" ca="1" si="91"/>
        <v>1686776462144093.5</v>
      </c>
      <c r="AC174" s="20">
        <f t="shared" ca="1" si="92"/>
        <v>399623109283459.56</v>
      </c>
      <c r="AD174" s="20">
        <f t="shared" ca="1" si="93"/>
        <v>304438731071409.94</v>
      </c>
      <c r="AE174" s="20">
        <f t="shared" ca="1" si="94"/>
        <v>6869126675285744</v>
      </c>
      <c r="AG174" s="16">
        <f t="shared" ca="1" si="95"/>
        <v>-1.3569869707027855E-4</v>
      </c>
      <c r="AH174" s="16">
        <f t="shared" ca="1" si="96"/>
        <v>-8.9168334706765673E-4</v>
      </c>
      <c r="AI174" s="16">
        <f t="shared" ca="1" si="97"/>
        <v>-9.237402814844365E-4</v>
      </c>
      <c r="AJ174" s="16">
        <f t="shared" ca="1" si="98"/>
        <v>-5.0293204994593572E-4</v>
      </c>
      <c r="AK174" s="16">
        <f t="shared" ca="1" si="99"/>
        <v>1.4341972643306373E-4</v>
      </c>
      <c r="AM174" s="16">
        <f t="shared" ca="1" si="100"/>
        <v>-2.4540543755683076E-3</v>
      </c>
      <c r="AO174" s="16">
        <f t="shared" ca="1" si="101"/>
        <v>-1.3569869707027855E-4</v>
      </c>
      <c r="AP174" s="16">
        <f t="shared" ca="1" si="102"/>
        <v>-8.9168334706765673E-4</v>
      </c>
      <c r="AQ174" s="16">
        <f t="shared" ca="1" si="103"/>
        <v>-9.237402814844365E-4</v>
      </c>
      <c r="AR174" s="16">
        <f t="shared" ca="1" si="104"/>
        <v>-5.0293204994593572E-4</v>
      </c>
      <c r="AS174" s="16">
        <f t="shared" ca="1" si="105"/>
        <v>0</v>
      </c>
    </row>
    <row r="175" spans="1:45" x14ac:dyDescent="0.25">
      <c r="A175" s="69">
        <f t="shared" ca="1" si="106"/>
        <v>2449.1105749705989</v>
      </c>
      <c r="B175" s="69">
        <f t="shared" ca="1" si="107"/>
        <v>2134.9334003987419</v>
      </c>
      <c r="C175" s="69">
        <f t="shared" ca="1" si="108"/>
        <v>2229.7172489369113</v>
      </c>
      <c r="D175" s="69">
        <f t="shared" ca="1" si="109"/>
        <v>2908.598775065002</v>
      </c>
      <c r="E175" s="69">
        <f t="shared" ca="1" si="110"/>
        <v>1932.4939102467379</v>
      </c>
      <c r="F175" s="69">
        <f t="shared" ca="1" si="111"/>
        <v>1224.4543900626784</v>
      </c>
      <c r="G175" s="69">
        <f t="shared" ca="1" si="112"/>
        <v>963.47035335437226</v>
      </c>
      <c r="H175" s="69">
        <f t="shared" ca="1" si="113"/>
        <v>1191.039969207292</v>
      </c>
      <c r="I175" s="69">
        <f t="shared" ca="1" si="114"/>
        <v>1045.6251163510092</v>
      </c>
      <c r="J175" s="69">
        <f t="shared" ca="1" si="115"/>
        <v>1147.0621993339842</v>
      </c>
      <c r="K175" s="69">
        <f t="shared" ca="1" si="116"/>
        <v>1180.0007547745338</v>
      </c>
      <c r="L175" s="69">
        <f t="shared" ca="1" si="117"/>
        <v>955.87122197133556</v>
      </c>
      <c r="M175" s="69">
        <f t="shared" ca="1" si="118"/>
        <v>985.00332471138574</v>
      </c>
      <c r="N175" s="69">
        <f t="shared" ca="1" si="119"/>
        <v>572.08174292949116</v>
      </c>
      <c r="O175" s="69">
        <f t="shared" ca="1" si="120"/>
        <v>628.16243712619018</v>
      </c>
      <c r="P175" s="69">
        <f t="shared" ca="1" si="121"/>
        <v>724.12979154767515</v>
      </c>
      <c r="Q175" s="69">
        <f t="shared" ca="1" si="122"/>
        <v>954.58944763973932</v>
      </c>
      <c r="R175" s="69">
        <f t="shared" ca="1" si="123"/>
        <v>783.44629038996993</v>
      </c>
      <c r="S175" s="69">
        <f t="shared" ca="1" si="124"/>
        <v>700.83579231530416</v>
      </c>
      <c r="T175" s="69">
        <f t="shared" ca="1" si="125"/>
        <v>801.72040275935569</v>
      </c>
      <c r="U175" s="69">
        <f t="shared" ca="1" si="126"/>
        <v>1692.2081965474058</v>
      </c>
      <c r="V175" s="69">
        <f t="shared" ca="1" si="127"/>
        <v>1913.2127611946507</v>
      </c>
      <c r="W175" s="69">
        <f t="shared" ca="1" si="128"/>
        <v>1177.0604903295084</v>
      </c>
      <c r="X175" s="69">
        <f t="shared" ca="1" si="129"/>
        <v>1489.0143970165097</v>
      </c>
      <c r="Y175" s="69">
        <f t="shared" ca="1" si="130"/>
        <v>1210.7349223769941</v>
      </c>
      <c r="AA175" s="20">
        <f t="shared" ca="1" si="90"/>
        <v>6.5530649082308568E+16</v>
      </c>
      <c r="AB175" s="20">
        <f t="shared" ca="1" si="91"/>
        <v>1685273062040604.8</v>
      </c>
      <c r="AC175" s="20">
        <f t="shared" ca="1" si="92"/>
        <v>399254131765937.56</v>
      </c>
      <c r="AD175" s="20">
        <f t="shared" ca="1" si="93"/>
        <v>304285657572320.13</v>
      </c>
      <c r="AE175" s="20">
        <f t="shared" ca="1" si="94"/>
        <v>6870111914204007</v>
      </c>
      <c r="AG175" s="16">
        <f t="shared" ca="1" si="95"/>
        <v>2.702082537571059E-4</v>
      </c>
      <c r="AH175" s="16">
        <f t="shared" ca="1" si="96"/>
        <v>2.3215220600461244E-4</v>
      </c>
      <c r="AI175" s="16">
        <f t="shared" ca="1" si="97"/>
        <v>1.170780341310872E-5</v>
      </c>
      <c r="AJ175" s="16">
        <f t="shared" ca="1" si="98"/>
        <v>1.5159265252162114E-3</v>
      </c>
      <c r="AK175" s="16">
        <f t="shared" ca="1" si="99"/>
        <v>-1.8649025577418131E-4</v>
      </c>
      <c r="AM175" s="16">
        <f t="shared" ca="1" si="100"/>
        <v>2.0299947883910385E-3</v>
      </c>
      <c r="AO175" s="16">
        <f t="shared" ca="1" si="101"/>
        <v>0</v>
      </c>
      <c r="AP175" s="16">
        <f t="shared" ca="1" si="102"/>
        <v>0</v>
      </c>
      <c r="AQ175" s="16">
        <f t="shared" ca="1" si="103"/>
        <v>0</v>
      </c>
      <c r="AR175" s="16">
        <f t="shared" ca="1" si="104"/>
        <v>0</v>
      </c>
      <c r="AS175" s="16">
        <f t="shared" ca="1" si="105"/>
        <v>-1.8649025577418131E-4</v>
      </c>
    </row>
    <row r="176" spans="1:45" x14ac:dyDescent="0.25">
      <c r="A176" s="69">
        <f t="shared" ca="1" si="106"/>
        <v>2449.1105749705989</v>
      </c>
      <c r="B176" s="69">
        <f t="shared" ca="1" si="107"/>
        <v>2135.1653150007601</v>
      </c>
      <c r="C176" s="69">
        <f t="shared" ca="1" si="108"/>
        <v>2229.5146306931179</v>
      </c>
      <c r="D176" s="69">
        <f t="shared" ca="1" si="109"/>
        <v>2908.598775065002</v>
      </c>
      <c r="E176" s="69">
        <f t="shared" ca="1" si="110"/>
        <v>1932.9818521653594</v>
      </c>
      <c r="F176" s="69">
        <f t="shared" ca="1" si="111"/>
        <v>1224.7126505332449</v>
      </c>
      <c r="G176" s="69">
        <f t="shared" ca="1" si="112"/>
        <v>963.47035335437226</v>
      </c>
      <c r="H176" s="69">
        <f t="shared" ca="1" si="113"/>
        <v>1191.039969207292</v>
      </c>
      <c r="I176" s="69">
        <f t="shared" ca="1" si="114"/>
        <v>1046.0267537829918</v>
      </c>
      <c r="J176" s="69">
        <f t="shared" ca="1" si="115"/>
        <v>1146.6461402764326</v>
      </c>
      <c r="K176" s="69">
        <f t="shared" ca="1" si="116"/>
        <v>1180.2631660894226</v>
      </c>
      <c r="L176" s="69">
        <f t="shared" ca="1" si="117"/>
        <v>955.79401201260737</v>
      </c>
      <c r="M176" s="69">
        <f t="shared" ca="1" si="118"/>
        <v>985.00332471138574</v>
      </c>
      <c r="N176" s="69">
        <f t="shared" ca="1" si="119"/>
        <v>572.45375078607958</v>
      </c>
      <c r="O176" s="69">
        <f t="shared" ca="1" si="120"/>
        <v>627.67270463008856</v>
      </c>
      <c r="P176" s="69">
        <f t="shared" ca="1" si="121"/>
        <v>724.38402993615773</v>
      </c>
      <c r="Q176" s="69">
        <f t="shared" ca="1" si="122"/>
        <v>954.58944763973932</v>
      </c>
      <c r="R176" s="69">
        <f t="shared" ca="1" si="123"/>
        <v>783.84818827156778</v>
      </c>
      <c r="S176" s="69">
        <f t="shared" ca="1" si="124"/>
        <v>701.03422508356277</v>
      </c>
      <c r="T176" s="69">
        <f t="shared" ca="1" si="125"/>
        <v>802.01624423672047</v>
      </c>
      <c r="U176" s="69">
        <f t="shared" ca="1" si="126"/>
        <v>1692.2081965474058</v>
      </c>
      <c r="V176" s="69">
        <f t="shared" ca="1" si="127"/>
        <v>1912.758263001534</v>
      </c>
      <c r="W176" s="69">
        <f t="shared" ca="1" si="128"/>
        <v>1177.1206344135976</v>
      </c>
      <c r="X176" s="69">
        <f t="shared" ca="1" si="129"/>
        <v>1489.0143970165097</v>
      </c>
      <c r="Y176" s="69">
        <f t="shared" ca="1" si="130"/>
        <v>1210.7349223769941</v>
      </c>
      <c r="AA176" s="20">
        <f t="shared" ca="1" si="90"/>
        <v>6.5548358397058432E+16</v>
      </c>
      <c r="AB176" s="20">
        <f t="shared" ca="1" si="91"/>
        <v>1685664347316790.3</v>
      </c>
      <c r="AC176" s="20">
        <f t="shared" ca="1" si="92"/>
        <v>399258806182187.69</v>
      </c>
      <c r="AD176" s="20">
        <f t="shared" ca="1" si="93"/>
        <v>304747282077890.81</v>
      </c>
      <c r="AE176" s="20">
        <f t="shared" ca="1" si="94"/>
        <v>6868830824734994</v>
      </c>
      <c r="AG176" s="16">
        <f t="shared" ca="1" si="95"/>
        <v>1.9748363470849096E-4</v>
      </c>
      <c r="AH176" s="16">
        <f t="shared" ca="1" si="96"/>
        <v>-2.5365481972820087E-4</v>
      </c>
      <c r="AI176" s="16">
        <f t="shared" ca="1" si="97"/>
        <v>-1.3349229555397266E-4</v>
      </c>
      <c r="AJ176" s="16">
        <f t="shared" ca="1" si="98"/>
        <v>6.2057484928362025E-4</v>
      </c>
      <c r="AK176" s="16">
        <f t="shared" ca="1" si="99"/>
        <v>3.1195307205529474E-4</v>
      </c>
      <c r="AM176" s="16">
        <f t="shared" ca="1" si="100"/>
        <v>4.3091136870993766E-4</v>
      </c>
      <c r="AO176" s="16">
        <f t="shared" ca="1" si="101"/>
        <v>0</v>
      </c>
      <c r="AP176" s="16">
        <f t="shared" ca="1" si="102"/>
        <v>-2.5365481972820087E-4</v>
      </c>
      <c r="AQ176" s="16">
        <f t="shared" ca="1" si="103"/>
        <v>-1.3349229555397266E-4</v>
      </c>
      <c r="AR176" s="16">
        <f t="shared" ca="1" si="104"/>
        <v>0</v>
      </c>
      <c r="AS176" s="16">
        <f t="shared" ca="1" si="105"/>
        <v>0</v>
      </c>
    </row>
    <row r="177" spans="1:45" x14ac:dyDescent="0.25">
      <c r="A177" s="69">
        <f t="shared" ca="1" si="106"/>
        <v>2449.1105749705989</v>
      </c>
      <c r="B177" s="69">
        <f t="shared" ca="1" si="107"/>
        <v>2135.4779309676628</v>
      </c>
      <c r="C177" s="69">
        <f t="shared" ca="1" si="108"/>
        <v>2229.6285202156755</v>
      </c>
      <c r="D177" s="69">
        <f t="shared" ca="1" si="109"/>
        <v>2908.598775065002</v>
      </c>
      <c r="E177" s="69">
        <f t="shared" ca="1" si="110"/>
        <v>1932.9818521653594</v>
      </c>
      <c r="F177" s="69">
        <f t="shared" ca="1" si="111"/>
        <v>1224.4020356627998</v>
      </c>
      <c r="G177" s="69">
        <f t="shared" ca="1" si="112"/>
        <v>963.47035335437226</v>
      </c>
      <c r="H177" s="69">
        <f t="shared" ca="1" si="113"/>
        <v>1191.039969207292</v>
      </c>
      <c r="I177" s="69">
        <f t="shared" ca="1" si="114"/>
        <v>1046.0267537829918</v>
      </c>
      <c r="J177" s="69">
        <f t="shared" ca="1" si="115"/>
        <v>1146.6461402764326</v>
      </c>
      <c r="K177" s="69">
        <f t="shared" ca="1" si="116"/>
        <v>1179.9726364098681</v>
      </c>
      <c r="L177" s="69">
        <f t="shared" ca="1" si="117"/>
        <v>955.79401201260737</v>
      </c>
      <c r="M177" s="69">
        <f t="shared" ca="1" si="118"/>
        <v>985.50209144387031</v>
      </c>
      <c r="N177" s="69">
        <f t="shared" ca="1" si="119"/>
        <v>572.25623023428034</v>
      </c>
      <c r="O177" s="69">
        <f t="shared" ca="1" si="120"/>
        <v>627.64230333644514</v>
      </c>
      <c r="P177" s="69">
        <f t="shared" ca="1" si="121"/>
        <v>724.38402993615773</v>
      </c>
      <c r="Q177" s="69">
        <f t="shared" ca="1" si="122"/>
        <v>955.02891914919383</v>
      </c>
      <c r="R177" s="69">
        <f t="shared" ca="1" si="123"/>
        <v>783.84818827156778</v>
      </c>
      <c r="S177" s="69">
        <f t="shared" ca="1" si="124"/>
        <v>700.8152091020969</v>
      </c>
      <c r="T177" s="69">
        <f t="shared" ca="1" si="125"/>
        <v>802.39550348847035</v>
      </c>
      <c r="U177" s="69">
        <f t="shared" ca="1" si="126"/>
        <v>1691.8769659187817</v>
      </c>
      <c r="V177" s="69">
        <f t="shared" ca="1" si="127"/>
        <v>1912.6355998831982</v>
      </c>
      <c r="W177" s="69">
        <f t="shared" ca="1" si="128"/>
        <v>1177.1206344135976</v>
      </c>
      <c r="X177" s="69">
        <f t="shared" ca="1" si="129"/>
        <v>1489.2785152856309</v>
      </c>
      <c r="Y177" s="69">
        <f t="shared" ca="1" si="130"/>
        <v>1211.2126269643215</v>
      </c>
      <c r="AA177" s="20">
        <f t="shared" ca="1" si="90"/>
        <v>6.5561304403393976E+16</v>
      </c>
      <c r="AB177" s="20">
        <f t="shared" ca="1" si="91"/>
        <v>1685236824654533.5</v>
      </c>
      <c r="AC177" s="20">
        <f t="shared" ca="1" si="92"/>
        <v>399205511764906.5</v>
      </c>
      <c r="AD177" s="20">
        <f t="shared" ca="1" si="93"/>
        <v>304936459269768.38</v>
      </c>
      <c r="AE177" s="20">
        <f t="shared" ca="1" si="94"/>
        <v>6870973911866126</v>
      </c>
      <c r="AG177" s="16">
        <f t="shared" ca="1" si="95"/>
        <v>1.9290069738859842E-4</v>
      </c>
      <c r="AH177" s="16">
        <f t="shared" ca="1" si="96"/>
        <v>8.1547006437727412E-4</v>
      </c>
      <c r="AI177" s="16">
        <f t="shared" ca="1" si="97"/>
        <v>3.6482189868899641E-4</v>
      </c>
      <c r="AJ177" s="16">
        <f t="shared" ca="1" si="98"/>
        <v>-7.9124580913016228E-5</v>
      </c>
      <c r="AK177" s="16">
        <f t="shared" ca="1" si="99"/>
        <v>9.5487081864103457E-5</v>
      </c>
      <c r="AM177" s="16">
        <f t="shared" ca="1" si="100"/>
        <v>1.2940680795418529E-3</v>
      </c>
      <c r="AO177" s="16">
        <f t="shared" ca="1" si="101"/>
        <v>0</v>
      </c>
      <c r="AP177" s="16">
        <f t="shared" ca="1" si="102"/>
        <v>0</v>
      </c>
      <c r="AQ177" s="16">
        <f t="shared" ca="1" si="103"/>
        <v>0</v>
      </c>
      <c r="AR177" s="16">
        <f t="shared" ca="1" si="104"/>
        <v>-7.9124580913016228E-5</v>
      </c>
      <c r="AS177" s="16">
        <f t="shared" ca="1" si="105"/>
        <v>0</v>
      </c>
    </row>
    <row r="178" spans="1:45" x14ac:dyDescent="0.25">
      <c r="A178" s="69">
        <f t="shared" ca="1" si="106"/>
        <v>2449.1157559740827</v>
      </c>
      <c r="B178" s="69">
        <f t="shared" ca="1" si="107"/>
        <v>2135.4882295622092</v>
      </c>
      <c r="C178" s="69">
        <f t="shared" ca="1" si="108"/>
        <v>2230.1055250226523</v>
      </c>
      <c r="D178" s="69">
        <f t="shared" ca="1" si="109"/>
        <v>2908.598775065002</v>
      </c>
      <c r="E178" s="69">
        <f t="shared" ca="1" si="110"/>
        <v>1932.9278190651396</v>
      </c>
      <c r="F178" s="69">
        <f t="shared" ca="1" si="111"/>
        <v>1224.8514578206266</v>
      </c>
      <c r="G178" s="69">
        <f t="shared" ca="1" si="112"/>
        <v>963.77071758966031</v>
      </c>
      <c r="H178" s="69">
        <f t="shared" ca="1" si="113"/>
        <v>1191.039969207292</v>
      </c>
      <c r="I178" s="69">
        <f t="shared" ca="1" si="114"/>
        <v>1046.4917271021013</v>
      </c>
      <c r="J178" s="69">
        <f t="shared" ca="1" si="115"/>
        <v>1146.2934450440355</v>
      </c>
      <c r="K178" s="69">
        <f t="shared" ca="1" si="116"/>
        <v>1179.9726364098681</v>
      </c>
      <c r="L178" s="69">
        <f t="shared" ca="1" si="117"/>
        <v>955.79401201260737</v>
      </c>
      <c r="M178" s="69">
        <f t="shared" ca="1" si="118"/>
        <v>985.39834191824173</v>
      </c>
      <c r="N178" s="69">
        <f t="shared" ca="1" si="119"/>
        <v>572.64595721398132</v>
      </c>
      <c r="O178" s="69">
        <f t="shared" ca="1" si="120"/>
        <v>627.51007256005948</v>
      </c>
      <c r="P178" s="69">
        <f t="shared" ca="1" si="121"/>
        <v>724.38402993615773</v>
      </c>
      <c r="Q178" s="69">
        <f t="shared" ca="1" si="122"/>
        <v>954.62983583315179</v>
      </c>
      <c r="R178" s="69">
        <f t="shared" ca="1" si="123"/>
        <v>783.74736648217356</v>
      </c>
      <c r="S178" s="69">
        <f t="shared" ca="1" si="124"/>
        <v>700.8152091020969</v>
      </c>
      <c r="T178" s="69">
        <f t="shared" ca="1" si="125"/>
        <v>802.77068763443935</v>
      </c>
      <c r="U178" s="69">
        <f t="shared" ca="1" si="126"/>
        <v>1691.9927192069445</v>
      </c>
      <c r="V178" s="69">
        <f t="shared" ca="1" si="127"/>
        <v>1912.6873801023012</v>
      </c>
      <c r="W178" s="69">
        <f t="shared" ca="1" si="128"/>
        <v>1177.1206344135976</v>
      </c>
      <c r="X178" s="69">
        <f t="shared" ca="1" si="129"/>
        <v>1489.2785152856309</v>
      </c>
      <c r="Y178" s="69">
        <f t="shared" ca="1" si="130"/>
        <v>1211.2126269643215</v>
      </c>
      <c r="AA178" s="20">
        <f t="shared" ca="1" si="90"/>
        <v>6.5573952444603864E+16</v>
      </c>
      <c r="AB178" s="20">
        <f t="shared" ca="1" si="91"/>
        <v>1686611645322788</v>
      </c>
      <c r="AC178" s="20">
        <f t="shared" ca="1" si="92"/>
        <v>399351177247039</v>
      </c>
      <c r="AD178" s="20">
        <f t="shared" ca="1" si="93"/>
        <v>304912332254756.13</v>
      </c>
      <c r="AE178" s="20">
        <f t="shared" ca="1" si="94"/>
        <v>6871630032439555</v>
      </c>
      <c r="AG178" s="16">
        <f t="shared" ca="1" si="95"/>
        <v>5.7369098964763948E-5</v>
      </c>
      <c r="AH178" s="16">
        <f t="shared" ca="1" si="96"/>
        <v>6.3156241381061089E-4</v>
      </c>
      <c r="AI178" s="16">
        <f t="shared" ca="1" si="97"/>
        <v>-8.6739255420879933E-4</v>
      </c>
      <c r="AJ178" s="16">
        <f t="shared" ca="1" si="98"/>
        <v>-3.4346551065442791E-4</v>
      </c>
      <c r="AK178" s="16">
        <f t="shared" ca="1" si="99"/>
        <v>-5.0488834353347911E-4</v>
      </c>
      <c r="AM178" s="16">
        <f t="shared" ca="1" si="100"/>
        <v>-5.2192655208785246E-4</v>
      </c>
      <c r="AO178" s="16">
        <f t="shared" ca="1" si="101"/>
        <v>0</v>
      </c>
      <c r="AP178" s="16">
        <f t="shared" ca="1" si="102"/>
        <v>0</v>
      </c>
      <c r="AQ178" s="16">
        <f t="shared" ca="1" si="103"/>
        <v>-8.6739255420879933E-4</v>
      </c>
      <c r="AR178" s="16">
        <f t="shared" ca="1" si="104"/>
        <v>-3.4346551065442791E-4</v>
      </c>
      <c r="AS178" s="16">
        <f t="shared" ca="1" si="105"/>
        <v>-5.0488834353347911E-4</v>
      </c>
    </row>
    <row r="179" spans="1:45" x14ac:dyDescent="0.25">
      <c r="A179" s="69">
        <f t="shared" ca="1" si="106"/>
        <v>2449.1157559740827</v>
      </c>
      <c r="B179" s="69">
        <f t="shared" ca="1" si="107"/>
        <v>2135.4882295622092</v>
      </c>
      <c r="C179" s="69">
        <f t="shared" ca="1" si="108"/>
        <v>2230.1055250226523</v>
      </c>
      <c r="D179" s="69">
        <f t="shared" ca="1" si="109"/>
        <v>2908.5369691273791</v>
      </c>
      <c r="E179" s="69">
        <f t="shared" ca="1" si="110"/>
        <v>1933.0797893316851</v>
      </c>
      <c r="F179" s="69">
        <f t="shared" ca="1" si="111"/>
        <v>1224.8514578206266</v>
      </c>
      <c r="G179" s="69">
        <f t="shared" ca="1" si="112"/>
        <v>964.23096873545524</v>
      </c>
      <c r="H179" s="69">
        <f t="shared" ca="1" si="113"/>
        <v>1191.039969207292</v>
      </c>
      <c r="I179" s="69">
        <f t="shared" ca="1" si="114"/>
        <v>1046.4917271021013</v>
      </c>
      <c r="J179" s="69">
        <f t="shared" ca="1" si="115"/>
        <v>1146.4701298463233</v>
      </c>
      <c r="K179" s="69">
        <f t="shared" ca="1" si="116"/>
        <v>1179.9726364098681</v>
      </c>
      <c r="L179" s="69">
        <f t="shared" ca="1" si="117"/>
        <v>955.42500588981795</v>
      </c>
      <c r="M179" s="69">
        <f t="shared" ca="1" si="118"/>
        <v>985.77502138839714</v>
      </c>
      <c r="N179" s="69">
        <f t="shared" ca="1" si="119"/>
        <v>572.4447803468363</v>
      </c>
      <c r="O179" s="69">
        <f t="shared" ca="1" si="120"/>
        <v>627.18883173843233</v>
      </c>
      <c r="P179" s="69">
        <f t="shared" ca="1" si="121"/>
        <v>724.04620757106545</v>
      </c>
      <c r="Q179" s="69">
        <f t="shared" ca="1" si="122"/>
        <v>954.61911590973989</v>
      </c>
      <c r="R179" s="69">
        <f t="shared" ca="1" si="123"/>
        <v>783.74736648217356</v>
      </c>
      <c r="S179" s="69">
        <f t="shared" ca="1" si="124"/>
        <v>700.8152091020969</v>
      </c>
      <c r="T179" s="69">
        <f t="shared" ca="1" si="125"/>
        <v>802.87845145194353</v>
      </c>
      <c r="U179" s="69">
        <f t="shared" ca="1" si="126"/>
        <v>1691.9927192069445</v>
      </c>
      <c r="V179" s="69">
        <f t="shared" ca="1" si="127"/>
        <v>1913.1007095164143</v>
      </c>
      <c r="W179" s="69">
        <f t="shared" ca="1" si="128"/>
        <v>1176.9468253476878</v>
      </c>
      <c r="X179" s="69">
        <f t="shared" ca="1" si="129"/>
        <v>1488.9431441019503</v>
      </c>
      <c r="Y179" s="69">
        <f t="shared" ca="1" si="130"/>
        <v>1210.7911001975647</v>
      </c>
      <c r="AA179" s="20">
        <f t="shared" ca="1" si="90"/>
        <v>6.5577714471082176E+16</v>
      </c>
      <c r="AB179" s="20">
        <f t="shared" ca="1" si="91"/>
        <v>1687677182285799.5</v>
      </c>
      <c r="AC179" s="20">
        <f t="shared" ca="1" si="92"/>
        <v>399004933195845</v>
      </c>
      <c r="AD179" s="20">
        <f t="shared" ca="1" si="93"/>
        <v>304807623367828.44</v>
      </c>
      <c r="AE179" s="20">
        <f t="shared" ca="1" si="94"/>
        <v>6868161502219021</v>
      </c>
      <c r="AG179" s="16">
        <f t="shared" ca="1" si="95"/>
        <v>-4.4754318539666932E-5</v>
      </c>
      <c r="AH179" s="16">
        <f t="shared" ca="1" si="96"/>
        <v>-4.4115318150277717E-4</v>
      </c>
      <c r="AI179" s="16">
        <f t="shared" ca="1" si="97"/>
        <v>-2.890867688293605E-4</v>
      </c>
      <c r="AJ179" s="16">
        <f t="shared" ca="1" si="98"/>
        <v>4.9071679833918511E-4</v>
      </c>
      <c r="AK179" s="16">
        <f t="shared" ca="1" si="99"/>
        <v>-2.3780136583406752E-4</v>
      </c>
      <c r="AM179" s="16">
        <f t="shared" ca="1" si="100"/>
        <v>-2.8427747053261948E-4</v>
      </c>
      <c r="AO179" s="16">
        <f t="shared" ca="1" si="101"/>
        <v>-4.4754318539666932E-5</v>
      </c>
      <c r="AP179" s="16">
        <f t="shared" ca="1" si="102"/>
        <v>-4.4115318150277717E-4</v>
      </c>
      <c r="AQ179" s="16">
        <f t="shared" ca="1" si="103"/>
        <v>-2.890867688293605E-4</v>
      </c>
      <c r="AR179" s="16">
        <f t="shared" ca="1" si="104"/>
        <v>0</v>
      </c>
      <c r="AS179" s="16">
        <f t="shared" ca="1" si="105"/>
        <v>-2.3780136583406752E-4</v>
      </c>
    </row>
    <row r="180" spans="1:45" x14ac:dyDescent="0.25">
      <c r="A180" s="69">
        <f t="shared" ca="1" si="106"/>
        <v>2449.1424622761297</v>
      </c>
      <c r="B180" s="69">
        <f t="shared" ca="1" si="107"/>
        <v>2135.4882295622092</v>
      </c>
      <c r="C180" s="69">
        <f t="shared" ca="1" si="108"/>
        <v>2229.8001870585695</v>
      </c>
      <c r="D180" s="69">
        <f t="shared" ca="1" si="109"/>
        <v>2908.3151492796983</v>
      </c>
      <c r="E180" s="69">
        <f t="shared" ca="1" si="110"/>
        <v>1933.3843410942904</v>
      </c>
      <c r="F180" s="69">
        <f t="shared" ca="1" si="111"/>
        <v>1224.4137898449812</v>
      </c>
      <c r="G180" s="69">
        <f t="shared" ca="1" si="112"/>
        <v>964.23096873545524</v>
      </c>
      <c r="H180" s="69">
        <f t="shared" ca="1" si="113"/>
        <v>1191.2699488610097</v>
      </c>
      <c r="I180" s="69">
        <f t="shared" ca="1" si="114"/>
        <v>1046.2335944828608</v>
      </c>
      <c r="J180" s="69">
        <f t="shared" ca="1" si="115"/>
        <v>1146.4355715522099</v>
      </c>
      <c r="K180" s="69">
        <f t="shared" ca="1" si="116"/>
        <v>1180.3212309537282</v>
      </c>
      <c r="L180" s="69">
        <f t="shared" ca="1" si="117"/>
        <v>955.42500588981795</v>
      </c>
      <c r="M180" s="69">
        <f t="shared" ca="1" si="118"/>
        <v>985.57736950326387</v>
      </c>
      <c r="N180" s="69">
        <f t="shared" ca="1" si="119"/>
        <v>572.20976241372341</v>
      </c>
      <c r="O180" s="69">
        <f t="shared" ca="1" si="120"/>
        <v>627.20557202789371</v>
      </c>
      <c r="P180" s="69">
        <f t="shared" ca="1" si="121"/>
        <v>724.4811756879094</v>
      </c>
      <c r="Q180" s="69">
        <f t="shared" ca="1" si="122"/>
        <v>954.61911590973989</v>
      </c>
      <c r="R180" s="69">
        <f t="shared" ca="1" si="123"/>
        <v>783.28710516060448</v>
      </c>
      <c r="S180" s="69">
        <f t="shared" ca="1" si="124"/>
        <v>700.87315155101123</v>
      </c>
      <c r="T180" s="69">
        <f t="shared" ca="1" si="125"/>
        <v>803.1955750619112</v>
      </c>
      <c r="U180" s="69">
        <f t="shared" ca="1" si="126"/>
        <v>1691.5904088642064</v>
      </c>
      <c r="V180" s="69">
        <f t="shared" ca="1" si="127"/>
        <v>1913.1007095164143</v>
      </c>
      <c r="W180" s="69">
        <f t="shared" ca="1" si="128"/>
        <v>1176.9468253476878</v>
      </c>
      <c r="X180" s="69">
        <f t="shared" ca="1" si="129"/>
        <v>1488.9431441019503</v>
      </c>
      <c r="Y180" s="69">
        <f t="shared" ca="1" si="130"/>
        <v>1210.7911001975647</v>
      </c>
      <c r="AA180" s="20">
        <f t="shared" ca="1" si="90"/>
        <v>6.5574779650833064E+16</v>
      </c>
      <c r="AB180" s="20">
        <f t="shared" ca="1" si="91"/>
        <v>1686932822327938.3</v>
      </c>
      <c r="AC180" s="20">
        <f t="shared" ca="1" si="92"/>
        <v>398889602820006.5</v>
      </c>
      <c r="AD180" s="20">
        <f t="shared" ca="1" si="93"/>
        <v>304957234294172.06</v>
      </c>
      <c r="AE180" s="20">
        <f t="shared" ca="1" si="94"/>
        <v>6866528438213146</v>
      </c>
      <c r="AG180" s="16">
        <f t="shared" ca="1" si="95"/>
        <v>-1.5497725799921196E-4</v>
      </c>
      <c r="AH180" s="16">
        <f t="shared" ca="1" si="96"/>
        <v>5.9210925742033207E-4</v>
      </c>
      <c r="AI180" s="16">
        <f t="shared" ca="1" si="97"/>
        <v>-5.2875398840185708E-4</v>
      </c>
      <c r="AJ180" s="16">
        <f t="shared" ca="1" si="98"/>
        <v>1.4824660128555088E-4</v>
      </c>
      <c r="AK180" s="16">
        <f t="shared" ca="1" si="99"/>
        <v>6.8084299927740068E-5</v>
      </c>
      <c r="AM180" s="16">
        <f t="shared" ca="1" si="100"/>
        <v>5.6624612304813886E-5</v>
      </c>
      <c r="AO180" s="16">
        <f t="shared" ca="1" si="101"/>
        <v>-1.5497725799921196E-4</v>
      </c>
      <c r="AP180" s="16">
        <f t="shared" ca="1" si="102"/>
        <v>0</v>
      </c>
      <c r="AQ180" s="16">
        <f t="shared" ca="1" si="103"/>
        <v>-5.2875398840185708E-4</v>
      </c>
      <c r="AR180" s="16">
        <f t="shared" ca="1" si="104"/>
        <v>0</v>
      </c>
      <c r="AS180" s="16">
        <f t="shared" ca="1" si="105"/>
        <v>0</v>
      </c>
    </row>
    <row r="181" spans="1:45" x14ac:dyDescent="0.25">
      <c r="A181" s="69">
        <f t="shared" ca="1" si="106"/>
        <v>2449.1424622761297</v>
      </c>
      <c r="B181" s="69">
        <f t="shared" ca="1" si="107"/>
        <v>2135.4882295622092</v>
      </c>
      <c r="C181" s="69">
        <f t="shared" ca="1" si="108"/>
        <v>2229.8339913240529</v>
      </c>
      <c r="D181" s="69">
        <f t="shared" ca="1" si="109"/>
        <v>2908.3151492796983</v>
      </c>
      <c r="E181" s="69">
        <f t="shared" ca="1" si="110"/>
        <v>1933.0554281581042</v>
      </c>
      <c r="F181" s="69">
        <f t="shared" ca="1" si="111"/>
        <v>1224.6973972481931</v>
      </c>
      <c r="G181" s="69">
        <f t="shared" ca="1" si="112"/>
        <v>964.23096873545524</v>
      </c>
      <c r="H181" s="69">
        <f t="shared" ca="1" si="113"/>
        <v>1191.2699488610097</v>
      </c>
      <c r="I181" s="69">
        <f t="shared" ca="1" si="114"/>
        <v>1046.6108390939444</v>
      </c>
      <c r="J181" s="69">
        <f t="shared" ca="1" si="115"/>
        <v>1146.4355715522099</v>
      </c>
      <c r="K181" s="69">
        <f t="shared" ca="1" si="116"/>
        <v>1180.3212309537282</v>
      </c>
      <c r="L181" s="69">
        <f t="shared" ca="1" si="117"/>
        <v>955.04223592826031</v>
      </c>
      <c r="M181" s="69">
        <f t="shared" ca="1" si="118"/>
        <v>985.88658283938878</v>
      </c>
      <c r="N181" s="69">
        <f t="shared" ca="1" si="119"/>
        <v>571.84313197588642</v>
      </c>
      <c r="O181" s="69">
        <f t="shared" ca="1" si="120"/>
        <v>627.33052248282661</v>
      </c>
      <c r="P181" s="69">
        <f t="shared" ca="1" si="121"/>
        <v>724.4811756879094</v>
      </c>
      <c r="Q181" s="69">
        <f t="shared" ca="1" si="122"/>
        <v>954.64920040719642</v>
      </c>
      <c r="R181" s="69">
        <f t="shared" ca="1" si="123"/>
        <v>783.28710516060448</v>
      </c>
      <c r="S181" s="69">
        <f t="shared" ca="1" si="124"/>
        <v>700.900845992678</v>
      </c>
      <c r="T181" s="69">
        <f t="shared" ca="1" si="125"/>
        <v>803.25759943035689</v>
      </c>
      <c r="U181" s="69">
        <f t="shared" ca="1" si="126"/>
        <v>1691.5904088642064</v>
      </c>
      <c r="V181" s="69">
        <f t="shared" ca="1" si="127"/>
        <v>1913.1007095164143</v>
      </c>
      <c r="W181" s="69">
        <f t="shared" ca="1" si="128"/>
        <v>1176.9468253476878</v>
      </c>
      <c r="X181" s="69">
        <f t="shared" ca="1" si="129"/>
        <v>1488.9431441019503</v>
      </c>
      <c r="Y181" s="69">
        <f t="shared" ca="1" si="130"/>
        <v>1210.8735388683381</v>
      </c>
      <c r="AA181" s="20">
        <f t="shared" ca="1" si="90"/>
        <v>6.5564617838734104E+16</v>
      </c>
      <c r="AB181" s="20">
        <f t="shared" ca="1" si="91"/>
        <v>1687931966640792.3</v>
      </c>
      <c r="AC181" s="20">
        <f t="shared" ca="1" si="92"/>
        <v>398678744102689.94</v>
      </c>
      <c r="AD181" s="20">
        <f t="shared" ca="1" si="93"/>
        <v>305002446518890.13</v>
      </c>
      <c r="AE181" s="20">
        <f t="shared" ca="1" si="94"/>
        <v>6866995956909956</v>
      </c>
      <c r="AG181" s="16">
        <f t="shared" ca="1" si="95"/>
        <v>1.0186072086764115E-5</v>
      </c>
      <c r="AH181" s="16">
        <f t="shared" ca="1" si="96"/>
        <v>4.6760073991177886E-4</v>
      </c>
      <c r="AI181" s="16">
        <f t="shared" ca="1" si="97"/>
        <v>7.2610794750955457E-4</v>
      </c>
      <c r="AJ181" s="16">
        <f t="shared" ca="1" si="98"/>
        <v>2.0590901935352E-4</v>
      </c>
      <c r="AK181" s="16">
        <f t="shared" ca="1" si="99"/>
        <v>1.961996920374483E-4</v>
      </c>
      <c r="AM181" s="16">
        <f t="shared" ca="1" si="100"/>
        <v>1.4098037788616176E-3</v>
      </c>
      <c r="AO181" s="16">
        <f t="shared" ca="1" si="101"/>
        <v>0</v>
      </c>
      <c r="AP181" s="16">
        <f t="shared" ca="1" si="102"/>
        <v>0</v>
      </c>
      <c r="AQ181" s="16">
        <f t="shared" ca="1" si="103"/>
        <v>0</v>
      </c>
      <c r="AR181" s="16">
        <f t="shared" ca="1" si="104"/>
        <v>0</v>
      </c>
      <c r="AS181" s="16">
        <f t="shared" ca="1" si="105"/>
        <v>0</v>
      </c>
    </row>
    <row r="182" spans="1:45" x14ac:dyDescent="0.25">
      <c r="A182" s="69">
        <f t="shared" ca="1" si="106"/>
        <v>2449.5337670232607</v>
      </c>
      <c r="B182" s="69">
        <f t="shared" ca="1" si="107"/>
        <v>2135.2612467556901</v>
      </c>
      <c r="C182" s="69">
        <f t="shared" ca="1" si="108"/>
        <v>2229.8339913240529</v>
      </c>
      <c r="D182" s="69">
        <f t="shared" ca="1" si="109"/>
        <v>2908.3151492796983</v>
      </c>
      <c r="E182" s="69">
        <f t="shared" ca="1" si="110"/>
        <v>1932.9717734434446</v>
      </c>
      <c r="F182" s="69">
        <f t="shared" ca="1" si="111"/>
        <v>1224.6623720316875</v>
      </c>
      <c r="G182" s="69">
        <f t="shared" ca="1" si="112"/>
        <v>964.33506867960443</v>
      </c>
      <c r="H182" s="69">
        <f t="shared" ca="1" si="113"/>
        <v>1191.2767349761225</v>
      </c>
      <c r="I182" s="69">
        <f t="shared" ca="1" si="114"/>
        <v>1046.6108390939444</v>
      </c>
      <c r="J182" s="69">
        <f t="shared" ca="1" si="115"/>
        <v>1146.874221975585</v>
      </c>
      <c r="K182" s="69">
        <f t="shared" ca="1" si="116"/>
        <v>1180.3212309537282</v>
      </c>
      <c r="L182" s="69">
        <f t="shared" ca="1" si="117"/>
        <v>955.38380927119408</v>
      </c>
      <c r="M182" s="69">
        <f t="shared" ca="1" si="118"/>
        <v>985.48304743990093</v>
      </c>
      <c r="N182" s="69">
        <f t="shared" ca="1" si="119"/>
        <v>572.28815055119003</v>
      </c>
      <c r="O182" s="69">
        <f t="shared" ca="1" si="120"/>
        <v>627.33052248282661</v>
      </c>
      <c r="P182" s="69">
        <f t="shared" ca="1" si="121"/>
        <v>724.21713368287055</v>
      </c>
      <c r="Q182" s="69">
        <f t="shared" ca="1" si="122"/>
        <v>954.64920040719642</v>
      </c>
      <c r="R182" s="69">
        <f t="shared" ca="1" si="123"/>
        <v>783.67159543077048</v>
      </c>
      <c r="S182" s="69">
        <f t="shared" ca="1" si="124"/>
        <v>700.95669947118699</v>
      </c>
      <c r="T182" s="69">
        <f t="shared" ca="1" si="125"/>
        <v>803.25759943035689</v>
      </c>
      <c r="U182" s="69">
        <f t="shared" ca="1" si="126"/>
        <v>1691.1436499549795</v>
      </c>
      <c r="V182" s="69">
        <f t="shared" ca="1" si="127"/>
        <v>1912.9221312342468</v>
      </c>
      <c r="W182" s="69">
        <f t="shared" ca="1" si="128"/>
        <v>1177.4032687088859</v>
      </c>
      <c r="X182" s="69">
        <f t="shared" ca="1" si="129"/>
        <v>1489.1902473257844</v>
      </c>
      <c r="Y182" s="69">
        <f t="shared" ca="1" si="130"/>
        <v>1210.8735388683381</v>
      </c>
      <c r="AA182" s="20">
        <f t="shared" ca="1" si="90"/>
        <v>6.5565285688059128E+16</v>
      </c>
      <c r="AB182" s="20">
        <f t="shared" ca="1" si="91"/>
        <v>1688721429439624</v>
      </c>
      <c r="AC182" s="20">
        <f t="shared" ca="1" si="92"/>
        <v>398968333030973.81</v>
      </c>
      <c r="AD182" s="20">
        <f t="shared" ca="1" si="93"/>
        <v>305065255739823.88</v>
      </c>
      <c r="AE182" s="20">
        <f t="shared" ca="1" si="94"/>
        <v>6868343391580736</v>
      </c>
      <c r="AG182" s="16">
        <f t="shared" ca="1" si="95"/>
        <v>1.4114300305517866E-4</v>
      </c>
      <c r="AH182" s="16">
        <f t="shared" ca="1" si="96"/>
        <v>-5.461641771031952E-4</v>
      </c>
      <c r="AI182" s="16">
        <f t="shared" ca="1" si="97"/>
        <v>-4.5458071391820136E-4</v>
      </c>
      <c r="AJ182" s="16">
        <f t="shared" ca="1" si="98"/>
        <v>-2.1192210755818319E-4</v>
      </c>
      <c r="AK182" s="16">
        <f t="shared" ca="1" si="99"/>
        <v>6.5258491384173742E-6</v>
      </c>
      <c r="AM182" s="16">
        <f t="shared" ca="1" si="100"/>
        <v>-1.0715239955244012E-3</v>
      </c>
      <c r="AO182" s="16">
        <f t="shared" ca="1" si="101"/>
        <v>0</v>
      </c>
      <c r="AP182" s="16">
        <f t="shared" ca="1" si="102"/>
        <v>-5.461641771031952E-4</v>
      </c>
      <c r="AQ182" s="16">
        <f t="shared" ca="1" si="103"/>
        <v>-4.5458071391820136E-4</v>
      </c>
      <c r="AR182" s="16">
        <f t="shared" ca="1" si="104"/>
        <v>-2.1192210755818319E-4</v>
      </c>
      <c r="AS182" s="16">
        <f t="shared" ca="1" si="105"/>
        <v>0</v>
      </c>
    </row>
    <row r="183" spans="1:45" x14ac:dyDescent="0.25">
      <c r="A183" s="69">
        <f t="shared" ca="1" si="106"/>
        <v>2449.4113375266443</v>
      </c>
      <c r="B183" s="69">
        <f t="shared" ca="1" si="107"/>
        <v>2135.2612467556901</v>
      </c>
      <c r="C183" s="69">
        <f t="shared" ca="1" si="108"/>
        <v>2230.3144038480355</v>
      </c>
      <c r="D183" s="69">
        <f t="shared" ca="1" si="109"/>
        <v>2907.8707376131483</v>
      </c>
      <c r="E183" s="69">
        <f t="shared" ca="1" si="110"/>
        <v>1933.220213903325</v>
      </c>
      <c r="F183" s="69">
        <f t="shared" ca="1" si="111"/>
        <v>1224.6623720316875</v>
      </c>
      <c r="G183" s="69">
        <f t="shared" ca="1" si="112"/>
        <v>964.12627624657068</v>
      </c>
      <c r="H183" s="69">
        <f t="shared" ca="1" si="113"/>
        <v>1191.2767349761225</v>
      </c>
      <c r="I183" s="69">
        <f t="shared" ca="1" si="114"/>
        <v>1046.2659054567603</v>
      </c>
      <c r="J183" s="69">
        <f t="shared" ca="1" si="115"/>
        <v>1146.874221975585</v>
      </c>
      <c r="K183" s="69">
        <f t="shared" ca="1" si="116"/>
        <v>1179.9479749509721</v>
      </c>
      <c r="L183" s="69">
        <f t="shared" ca="1" si="117"/>
        <v>955.32818241712471</v>
      </c>
      <c r="M183" s="69">
        <f t="shared" ca="1" si="118"/>
        <v>985.82137399738633</v>
      </c>
      <c r="N183" s="69">
        <f t="shared" ca="1" si="119"/>
        <v>572.28815055119003</v>
      </c>
      <c r="O183" s="69">
        <f t="shared" ca="1" si="120"/>
        <v>627.06501506128814</v>
      </c>
      <c r="P183" s="69">
        <f t="shared" ca="1" si="121"/>
        <v>724.59331300580402</v>
      </c>
      <c r="Q183" s="69">
        <f t="shared" ca="1" si="122"/>
        <v>954.64920040719642</v>
      </c>
      <c r="R183" s="69">
        <f t="shared" ca="1" si="123"/>
        <v>783.2185805751094</v>
      </c>
      <c r="S183" s="69">
        <f t="shared" ca="1" si="124"/>
        <v>700.84947404775801</v>
      </c>
      <c r="T183" s="69">
        <f t="shared" ca="1" si="125"/>
        <v>803.25759943035689</v>
      </c>
      <c r="U183" s="69">
        <f t="shared" ca="1" si="126"/>
        <v>1691.1436499549795</v>
      </c>
      <c r="V183" s="69">
        <f t="shared" ca="1" si="127"/>
        <v>1912.9221312342468</v>
      </c>
      <c r="W183" s="69">
        <f t="shared" ca="1" si="128"/>
        <v>1177.4032687088859</v>
      </c>
      <c r="X183" s="69">
        <f t="shared" ca="1" si="129"/>
        <v>1489.4924551291717</v>
      </c>
      <c r="Y183" s="69">
        <f t="shared" ca="1" si="130"/>
        <v>1210.6357613327002</v>
      </c>
      <c r="AA183" s="20">
        <f t="shared" ca="1" si="90"/>
        <v>6.5574540422482456E+16</v>
      </c>
      <c r="AB183" s="20">
        <f t="shared" ca="1" si="91"/>
        <v>1687799362112749.8</v>
      </c>
      <c r="AC183" s="20">
        <f t="shared" ca="1" si="92"/>
        <v>398787010937199.69</v>
      </c>
      <c r="AD183" s="20">
        <f t="shared" ca="1" si="93"/>
        <v>305000612517790.56</v>
      </c>
      <c r="AE183" s="20">
        <f t="shared" ca="1" si="94"/>
        <v>6868388213499791</v>
      </c>
      <c r="AG183" s="16">
        <f t="shared" ca="1" si="95"/>
        <v>-4.8524001970561355E-6</v>
      </c>
      <c r="AH183" s="16">
        <f t="shared" ca="1" si="96"/>
        <v>-1.0406050657620662E-3</v>
      </c>
      <c r="AI183" s="16">
        <f t="shared" ca="1" si="97"/>
        <v>-4.2693716093849827E-4</v>
      </c>
      <c r="AJ183" s="16">
        <f t="shared" ca="1" si="98"/>
        <v>-1.3195321489797027E-4</v>
      </c>
      <c r="AK183" s="16">
        <f t="shared" ca="1" si="99"/>
        <v>3.6044542640502726E-4</v>
      </c>
      <c r="AM183" s="16">
        <f t="shared" ca="1" si="100"/>
        <v>-1.6043478417955908E-3</v>
      </c>
      <c r="AO183" s="16">
        <f t="shared" ca="1" si="101"/>
        <v>-4.8524001970561355E-6</v>
      </c>
      <c r="AP183" s="16">
        <f t="shared" ca="1" si="102"/>
        <v>-1.0406050657620662E-3</v>
      </c>
      <c r="AQ183" s="16">
        <f t="shared" ca="1" si="103"/>
        <v>-4.2693716093849827E-4</v>
      </c>
      <c r="AR183" s="16">
        <f t="shared" ca="1" si="104"/>
        <v>-1.3195321489797027E-4</v>
      </c>
      <c r="AS183" s="16">
        <f t="shared" ca="1" si="105"/>
        <v>0</v>
      </c>
    </row>
    <row r="184" spans="1:45" x14ac:dyDescent="0.25">
      <c r="A184" s="69">
        <f t="shared" ca="1" si="106"/>
        <v>2449.690937890542</v>
      </c>
      <c r="B184" s="69">
        <f t="shared" ca="1" si="107"/>
        <v>2135.2612467556901</v>
      </c>
      <c r="C184" s="69">
        <f t="shared" ca="1" si="108"/>
        <v>2230.3144038480355</v>
      </c>
      <c r="D184" s="69">
        <f t="shared" ca="1" si="109"/>
        <v>2907.5247334756277</v>
      </c>
      <c r="E184" s="69">
        <f t="shared" ca="1" si="110"/>
        <v>1933.220213903325</v>
      </c>
      <c r="F184" s="69">
        <f t="shared" ca="1" si="111"/>
        <v>1224.2336232597902</v>
      </c>
      <c r="G184" s="69">
        <f t="shared" ca="1" si="112"/>
        <v>963.85787503622839</v>
      </c>
      <c r="H184" s="69">
        <f t="shared" ca="1" si="113"/>
        <v>1190.7860044557283</v>
      </c>
      <c r="I184" s="69">
        <f t="shared" ca="1" si="114"/>
        <v>1046.2659054567603</v>
      </c>
      <c r="J184" s="69">
        <f t="shared" ca="1" si="115"/>
        <v>1146.874221975585</v>
      </c>
      <c r="K184" s="69">
        <f t="shared" ca="1" si="116"/>
        <v>1179.8523109546165</v>
      </c>
      <c r="L184" s="69">
        <f t="shared" ca="1" si="117"/>
        <v>955.32818241712471</v>
      </c>
      <c r="M184" s="69">
        <f t="shared" ca="1" si="118"/>
        <v>986.1157046550187</v>
      </c>
      <c r="N184" s="69">
        <f t="shared" ca="1" si="119"/>
        <v>571.91949919473598</v>
      </c>
      <c r="O184" s="69">
        <f t="shared" ca="1" si="120"/>
        <v>627.06501506128814</v>
      </c>
      <c r="P184" s="69">
        <f t="shared" ca="1" si="121"/>
        <v>724.49770689656486</v>
      </c>
      <c r="Q184" s="69">
        <f t="shared" ca="1" si="122"/>
        <v>954.64920040719642</v>
      </c>
      <c r="R184" s="69">
        <f t="shared" ca="1" si="123"/>
        <v>783.2185805751094</v>
      </c>
      <c r="S184" s="69">
        <f t="shared" ca="1" si="124"/>
        <v>700.84947404775801</v>
      </c>
      <c r="T184" s="69">
        <f t="shared" ca="1" si="125"/>
        <v>803.25759943035689</v>
      </c>
      <c r="U184" s="69">
        <f t="shared" ca="1" si="126"/>
        <v>1691.6016942109734</v>
      </c>
      <c r="V184" s="69">
        <f t="shared" ca="1" si="127"/>
        <v>1912.641416260494</v>
      </c>
      <c r="W184" s="69">
        <f t="shared" ca="1" si="128"/>
        <v>1177.5609201590798</v>
      </c>
      <c r="X184" s="69">
        <f t="shared" ca="1" si="129"/>
        <v>1489.4924551291717</v>
      </c>
      <c r="Y184" s="69">
        <f t="shared" ca="1" si="130"/>
        <v>1210.7598604178213</v>
      </c>
      <c r="AA184" s="20">
        <f t="shared" ca="1" si="90"/>
        <v>6.5574222229341592E+16</v>
      </c>
      <c r="AB184" s="20">
        <f t="shared" ca="1" si="91"/>
        <v>1686043943053933.8</v>
      </c>
      <c r="AC184" s="20">
        <f t="shared" ca="1" si="92"/>
        <v>398616790282278.19</v>
      </c>
      <c r="AD184" s="20">
        <f t="shared" ca="1" si="93"/>
        <v>304960369361588.31</v>
      </c>
      <c r="AE184" s="20">
        <f t="shared" ca="1" si="94"/>
        <v>6870864338845341</v>
      </c>
      <c r="AG184" s="16">
        <f t="shared" ca="1" si="95"/>
        <v>2.5338388351212779E-6</v>
      </c>
      <c r="AH184" s="16">
        <f t="shared" ca="1" si="96"/>
        <v>3.4203624386404754E-4</v>
      </c>
      <c r="AI184" s="16">
        <f t="shared" ca="1" si="97"/>
        <v>-4.5686884641149501E-4</v>
      </c>
      <c r="AJ184" s="16">
        <f t="shared" ca="1" si="98"/>
        <v>7.1719156131266925E-4</v>
      </c>
      <c r="AK184" s="16">
        <f t="shared" ca="1" si="99"/>
        <v>-5.0106560163956182E-4</v>
      </c>
      <c r="AM184" s="16">
        <f t="shared" ca="1" si="100"/>
        <v>6.0489279760034308E-4</v>
      </c>
      <c r="AO184" s="16">
        <f t="shared" ca="1" si="101"/>
        <v>0</v>
      </c>
      <c r="AP184" s="16">
        <f t="shared" ca="1" si="102"/>
        <v>0</v>
      </c>
      <c r="AQ184" s="16">
        <f t="shared" ca="1" si="103"/>
        <v>-4.5686884641149501E-4</v>
      </c>
      <c r="AR184" s="16">
        <f t="shared" ca="1" si="104"/>
        <v>0</v>
      </c>
      <c r="AS184" s="16">
        <f t="shared" ca="1" si="105"/>
        <v>-5.0106560163956182E-4</v>
      </c>
    </row>
    <row r="185" spans="1:45" x14ac:dyDescent="0.25">
      <c r="A185" s="69">
        <f t="shared" ca="1" si="106"/>
        <v>2449.4441840616191</v>
      </c>
      <c r="B185" s="69">
        <f t="shared" ca="1" si="107"/>
        <v>2135.2612467556901</v>
      </c>
      <c r="C185" s="69">
        <f t="shared" ca="1" si="108"/>
        <v>2230.4194248868598</v>
      </c>
      <c r="D185" s="69">
        <f t="shared" ca="1" si="109"/>
        <v>2907.5247334756277</v>
      </c>
      <c r="E185" s="69">
        <f t="shared" ca="1" si="110"/>
        <v>1933.3288263846982</v>
      </c>
      <c r="F185" s="69">
        <f t="shared" ca="1" si="111"/>
        <v>1223.9147779773905</v>
      </c>
      <c r="G185" s="69">
        <f t="shared" ca="1" si="112"/>
        <v>963.94887993483826</v>
      </c>
      <c r="H185" s="69">
        <f t="shared" ca="1" si="113"/>
        <v>1191.1140415177078</v>
      </c>
      <c r="I185" s="69">
        <f t="shared" ca="1" si="114"/>
        <v>1046.1650529403232</v>
      </c>
      <c r="J185" s="69">
        <f t="shared" ca="1" si="115"/>
        <v>1147.2516722578064</v>
      </c>
      <c r="K185" s="69">
        <f t="shared" ca="1" si="116"/>
        <v>1179.3937016569319</v>
      </c>
      <c r="L185" s="69">
        <f t="shared" ca="1" si="117"/>
        <v>955.26313377013867</v>
      </c>
      <c r="M185" s="69">
        <f t="shared" ca="1" si="118"/>
        <v>986.1157046550187</v>
      </c>
      <c r="N185" s="69">
        <f t="shared" ca="1" si="119"/>
        <v>571.91949919473598</v>
      </c>
      <c r="O185" s="69">
        <f t="shared" ca="1" si="120"/>
        <v>627.06501506128814</v>
      </c>
      <c r="P185" s="69">
        <f t="shared" ca="1" si="121"/>
        <v>724.10308061307262</v>
      </c>
      <c r="Q185" s="69">
        <f t="shared" ca="1" si="122"/>
        <v>955.00387691518802</v>
      </c>
      <c r="R185" s="69">
        <f t="shared" ca="1" si="123"/>
        <v>783.42078947295454</v>
      </c>
      <c r="S185" s="69">
        <f t="shared" ca="1" si="124"/>
        <v>701.29285207559542</v>
      </c>
      <c r="T185" s="69">
        <f t="shared" ca="1" si="125"/>
        <v>803.25759943035689</v>
      </c>
      <c r="U185" s="69">
        <f t="shared" ca="1" si="126"/>
        <v>1691.6016942109734</v>
      </c>
      <c r="V185" s="69">
        <f t="shared" ca="1" si="127"/>
        <v>1912.2317045488189</v>
      </c>
      <c r="W185" s="69">
        <f t="shared" ca="1" si="128"/>
        <v>1177.2232086207994</v>
      </c>
      <c r="X185" s="69">
        <f t="shared" ca="1" si="129"/>
        <v>1489.4924551291717</v>
      </c>
      <c r="Y185" s="69">
        <f t="shared" ca="1" si="130"/>
        <v>1210.7598604178213</v>
      </c>
      <c r="AA185" s="20">
        <f t="shared" ca="1" si="90"/>
        <v>6.557438838406296E+16</v>
      </c>
      <c r="AB185" s="20">
        <f t="shared" ca="1" si="91"/>
        <v>1686620729826573.3</v>
      </c>
      <c r="AC185" s="20">
        <f t="shared" ca="1" si="92"/>
        <v>398434716284277.38</v>
      </c>
      <c r="AD185" s="20">
        <f t="shared" ca="1" si="93"/>
        <v>305179162814059.88</v>
      </c>
      <c r="AE185" s="20">
        <f t="shared" ca="1" si="94"/>
        <v>6867422447450317</v>
      </c>
      <c r="AG185" s="16">
        <f t="shared" ca="1" si="95"/>
        <v>2.7086837371791302E-4</v>
      </c>
      <c r="AH185" s="16">
        <f t="shared" ca="1" si="96"/>
        <v>-1.4434793154011778E-5</v>
      </c>
      <c r="AI185" s="16">
        <f t="shared" ca="1" si="97"/>
        <v>7.7472182883027847E-5</v>
      </c>
      <c r="AJ185" s="16">
        <f t="shared" ca="1" si="98"/>
        <v>-4.2497207607263297E-4</v>
      </c>
      <c r="AK185" s="16">
        <f t="shared" ca="1" si="99"/>
        <v>-1.0848459238213585E-5</v>
      </c>
      <c r="AM185" s="16">
        <f t="shared" ca="1" si="100"/>
        <v>-9.1066312625703914E-5</v>
      </c>
      <c r="AO185" s="16">
        <f t="shared" ca="1" si="101"/>
        <v>0</v>
      </c>
      <c r="AP185" s="16">
        <f t="shared" ca="1" si="102"/>
        <v>-1.4434793154011778E-5</v>
      </c>
      <c r="AQ185" s="16">
        <f t="shared" ca="1" si="103"/>
        <v>0</v>
      </c>
      <c r="AR185" s="16">
        <f t="shared" ca="1" si="104"/>
        <v>-4.2497207607263297E-4</v>
      </c>
      <c r="AS185" s="16">
        <f t="shared" ca="1" si="105"/>
        <v>-1.0848459238213585E-5</v>
      </c>
    </row>
    <row r="186" spans="1:45" x14ac:dyDescent="0.25">
      <c r="A186" s="69">
        <f t="shared" ca="1" si="106"/>
        <v>2449.2946463461722</v>
      </c>
      <c r="B186" s="69">
        <f t="shared" ca="1" si="107"/>
        <v>2135.3454127983528</v>
      </c>
      <c r="C186" s="69">
        <f t="shared" ca="1" si="108"/>
        <v>2230.4194248868598</v>
      </c>
      <c r="D186" s="69">
        <f t="shared" ca="1" si="109"/>
        <v>2907.9628195196779</v>
      </c>
      <c r="E186" s="69">
        <f t="shared" ca="1" si="110"/>
        <v>1933.6030723066026</v>
      </c>
      <c r="F186" s="69">
        <f t="shared" ca="1" si="111"/>
        <v>1223.9147779773905</v>
      </c>
      <c r="G186" s="69">
        <f t="shared" ca="1" si="112"/>
        <v>963.98983023476796</v>
      </c>
      <c r="H186" s="69">
        <f t="shared" ca="1" si="113"/>
        <v>1190.9749830946857</v>
      </c>
      <c r="I186" s="69">
        <f t="shared" ca="1" si="114"/>
        <v>1046.2276548513823</v>
      </c>
      <c r="J186" s="69">
        <f t="shared" ca="1" si="115"/>
        <v>1147.2516722578064</v>
      </c>
      <c r="K186" s="69">
        <f t="shared" ca="1" si="116"/>
        <v>1179.3937016569319</v>
      </c>
      <c r="L186" s="69">
        <f t="shared" ca="1" si="117"/>
        <v>955.33714295712912</v>
      </c>
      <c r="M186" s="69">
        <f t="shared" ca="1" si="118"/>
        <v>986.1157046550187</v>
      </c>
      <c r="N186" s="69">
        <f t="shared" ca="1" si="119"/>
        <v>571.91949919473598</v>
      </c>
      <c r="O186" s="69">
        <f t="shared" ca="1" si="120"/>
        <v>627.06501506128814</v>
      </c>
      <c r="P186" s="69">
        <f t="shared" ca="1" si="121"/>
        <v>724.10308061307262</v>
      </c>
      <c r="Q186" s="69">
        <f t="shared" ca="1" si="122"/>
        <v>954.59785762436286</v>
      </c>
      <c r="R186" s="69">
        <f t="shared" ca="1" si="123"/>
        <v>783.42078947295454</v>
      </c>
      <c r="S186" s="69">
        <f t="shared" ca="1" si="124"/>
        <v>701.53332529255113</v>
      </c>
      <c r="T186" s="69">
        <f t="shared" ca="1" si="125"/>
        <v>802.98247188119785</v>
      </c>
      <c r="U186" s="69">
        <f t="shared" ca="1" si="126"/>
        <v>1691.7579511597626</v>
      </c>
      <c r="V186" s="69">
        <f t="shared" ca="1" si="127"/>
        <v>1912.1487820403167</v>
      </c>
      <c r="W186" s="69">
        <f t="shared" ca="1" si="128"/>
        <v>1177.2232086207994</v>
      </c>
      <c r="X186" s="69">
        <f t="shared" ca="1" si="129"/>
        <v>1489.8003929083036</v>
      </c>
      <c r="Y186" s="69">
        <f t="shared" ca="1" si="130"/>
        <v>1210.4371513116014</v>
      </c>
      <c r="AA186" s="20">
        <f t="shared" ca="1" si="90"/>
        <v>6.559215281780512E+16</v>
      </c>
      <c r="AB186" s="20">
        <f t="shared" ca="1" si="91"/>
        <v>1686596383980923</v>
      </c>
      <c r="AC186" s="20">
        <f t="shared" ca="1" si="92"/>
        <v>398465585087205.63</v>
      </c>
      <c r="AD186" s="20">
        <f t="shared" ca="1" si="93"/>
        <v>305049497745632.81</v>
      </c>
      <c r="AE186" s="20">
        <f t="shared" ca="1" si="94"/>
        <v>6867347946901933</v>
      </c>
      <c r="AG186" s="16">
        <f t="shared" ca="1" si="95"/>
        <v>-9.3916225280243475E-5</v>
      </c>
      <c r="AH186" s="16">
        <f t="shared" ca="1" si="96"/>
        <v>-1.4644872241413758E-4</v>
      </c>
      <c r="AI186" s="16">
        <f t="shared" ca="1" si="97"/>
        <v>1.4505947904896303E-3</v>
      </c>
      <c r="AJ186" s="16">
        <f t="shared" ca="1" si="98"/>
        <v>1.0638115774842421E-3</v>
      </c>
      <c r="AK186" s="16">
        <f t="shared" ca="1" si="99"/>
        <v>-3.4883671811701718E-4</v>
      </c>
      <c r="AM186" s="16">
        <f t="shared" ca="1" si="100"/>
        <v>2.274041420279491E-3</v>
      </c>
      <c r="AO186" s="16">
        <f t="shared" ca="1" si="101"/>
        <v>-9.3916225280243475E-5</v>
      </c>
      <c r="AP186" s="16">
        <f t="shared" ca="1" si="102"/>
        <v>-1.4644872241413758E-4</v>
      </c>
      <c r="AQ186" s="16">
        <f t="shared" ca="1" si="103"/>
        <v>0</v>
      </c>
      <c r="AR186" s="16">
        <f t="shared" ca="1" si="104"/>
        <v>0</v>
      </c>
      <c r="AS186" s="16">
        <f t="shared" ca="1" si="105"/>
        <v>-3.4883671811701718E-4</v>
      </c>
    </row>
    <row r="187" spans="1:45" x14ac:dyDescent="0.25">
      <c r="A187" s="69">
        <f t="shared" ca="1" si="106"/>
        <v>2449.1812615589647</v>
      </c>
      <c r="B187" s="69">
        <f t="shared" ca="1" si="107"/>
        <v>2135.4795368292134</v>
      </c>
      <c r="C187" s="69">
        <f t="shared" ca="1" si="108"/>
        <v>2230.5744110187247</v>
      </c>
      <c r="D187" s="69">
        <f t="shared" ca="1" si="109"/>
        <v>2907.9971058491701</v>
      </c>
      <c r="E187" s="69">
        <f t="shared" ca="1" si="110"/>
        <v>1933.2324222068164</v>
      </c>
      <c r="F187" s="69">
        <f t="shared" ca="1" si="111"/>
        <v>1223.592390171852</v>
      </c>
      <c r="G187" s="69">
        <f t="shared" ca="1" si="112"/>
        <v>964.10261693812106</v>
      </c>
      <c r="H187" s="69">
        <f t="shared" ca="1" si="113"/>
        <v>1190.9749830946857</v>
      </c>
      <c r="I187" s="69">
        <f t="shared" ca="1" si="114"/>
        <v>1046.2276548513823</v>
      </c>
      <c r="J187" s="69">
        <f t="shared" ca="1" si="115"/>
        <v>1147.2516722578064</v>
      </c>
      <c r="K187" s="69">
        <f t="shared" ca="1" si="116"/>
        <v>1179.5964009635402</v>
      </c>
      <c r="L187" s="69">
        <f t="shared" ca="1" si="117"/>
        <v>955.64339219016949</v>
      </c>
      <c r="M187" s="69">
        <f t="shared" ca="1" si="118"/>
        <v>985.94383083785931</v>
      </c>
      <c r="N187" s="69">
        <f t="shared" ca="1" si="119"/>
        <v>572.29385706269773</v>
      </c>
      <c r="O187" s="69">
        <f t="shared" ca="1" si="120"/>
        <v>627.36494051574414</v>
      </c>
      <c r="P187" s="69">
        <f t="shared" ca="1" si="121"/>
        <v>723.86949258314303</v>
      </c>
      <c r="Q187" s="69">
        <f t="shared" ca="1" si="122"/>
        <v>955.09062052755485</v>
      </c>
      <c r="R187" s="69">
        <f t="shared" ca="1" si="123"/>
        <v>783.42078947295454</v>
      </c>
      <c r="S187" s="69">
        <f t="shared" ca="1" si="124"/>
        <v>701.76286461158361</v>
      </c>
      <c r="T187" s="69">
        <f t="shared" ca="1" si="125"/>
        <v>803.41880558067021</v>
      </c>
      <c r="U187" s="69">
        <f t="shared" ca="1" si="126"/>
        <v>1691.4661397328748</v>
      </c>
      <c r="V187" s="69">
        <f t="shared" ca="1" si="127"/>
        <v>1912.5934136702547</v>
      </c>
      <c r="W187" s="69">
        <f t="shared" ca="1" si="128"/>
        <v>1177.2232086207994</v>
      </c>
      <c r="X187" s="69">
        <f t="shared" ca="1" si="129"/>
        <v>1489.8003929083036</v>
      </c>
      <c r="Y187" s="69">
        <f t="shared" ca="1" si="130"/>
        <v>1209.9423838924215</v>
      </c>
      <c r="AA187" s="20">
        <f t="shared" ca="1" si="90"/>
        <v>6.5585992939665248E+16</v>
      </c>
      <c r="AB187" s="20">
        <f t="shared" ca="1" si="91"/>
        <v>1686349402180786.8</v>
      </c>
      <c r="AC187" s="20">
        <f t="shared" ca="1" si="92"/>
        <v>399044016622579.31</v>
      </c>
      <c r="AD187" s="20">
        <f t="shared" ca="1" si="93"/>
        <v>305374185605772.06</v>
      </c>
      <c r="AE187" s="20">
        <f t="shared" ca="1" si="94"/>
        <v>6864952781567064</v>
      </c>
      <c r="AG187" s="16">
        <f t="shared" ca="1" si="95"/>
        <v>-2.1531648134070512E-4</v>
      </c>
      <c r="AH187" s="16">
        <f t="shared" ca="1" si="96"/>
        <v>1.7180707852048236E-4</v>
      </c>
      <c r="AI187" s="16">
        <f t="shared" ca="1" si="97"/>
        <v>4.2012964897200964E-4</v>
      </c>
      <c r="AJ187" s="16">
        <f t="shared" ca="1" si="98"/>
        <v>-1.5593870082531874E-3</v>
      </c>
      <c r="AK187" s="16">
        <f t="shared" ca="1" si="99"/>
        <v>2.7523987053572558E-4</v>
      </c>
      <c r="AM187" s="16">
        <f t="shared" ca="1" si="100"/>
        <v>-1.1827667621014005E-3</v>
      </c>
      <c r="AO187" s="16">
        <f t="shared" ca="1" si="101"/>
        <v>-2.1531648134070512E-4</v>
      </c>
      <c r="AP187" s="16">
        <f t="shared" ca="1" si="102"/>
        <v>0</v>
      </c>
      <c r="AQ187" s="16">
        <f t="shared" ca="1" si="103"/>
        <v>0</v>
      </c>
      <c r="AR187" s="16">
        <f t="shared" ca="1" si="104"/>
        <v>-1.5593870082531874E-3</v>
      </c>
      <c r="AS187" s="16">
        <f t="shared" ca="1" si="105"/>
        <v>0</v>
      </c>
    </row>
    <row r="188" spans="1:45" x14ac:dyDescent="0.25">
      <c r="A188" s="69">
        <f t="shared" ca="1" si="106"/>
        <v>2449.153321268424</v>
      </c>
      <c r="B188" s="69">
        <f t="shared" ca="1" si="107"/>
        <v>2135.4795368292134</v>
      </c>
      <c r="C188" s="69">
        <f t="shared" ca="1" si="108"/>
        <v>2230.5744110187247</v>
      </c>
      <c r="D188" s="69">
        <f t="shared" ca="1" si="109"/>
        <v>2908.1170814653497</v>
      </c>
      <c r="E188" s="69">
        <f t="shared" ca="1" si="110"/>
        <v>1932.7585199868738</v>
      </c>
      <c r="F188" s="69">
        <f t="shared" ca="1" si="111"/>
        <v>1223.592390171852</v>
      </c>
      <c r="G188" s="69">
        <f t="shared" ca="1" si="112"/>
        <v>964.10261693812106</v>
      </c>
      <c r="H188" s="69">
        <f t="shared" ca="1" si="113"/>
        <v>1190.9749830946857</v>
      </c>
      <c r="I188" s="69">
        <f t="shared" ca="1" si="114"/>
        <v>1046.5187975037541</v>
      </c>
      <c r="J188" s="69">
        <f t="shared" ca="1" si="115"/>
        <v>1147.1295736630002</v>
      </c>
      <c r="K188" s="69">
        <f t="shared" ca="1" si="116"/>
        <v>1179.5964009635402</v>
      </c>
      <c r="L188" s="69">
        <f t="shared" ca="1" si="117"/>
        <v>955.50808656110996</v>
      </c>
      <c r="M188" s="69">
        <f t="shared" ca="1" si="118"/>
        <v>986.40101255575757</v>
      </c>
      <c r="N188" s="69">
        <f t="shared" ca="1" si="119"/>
        <v>572.73266154520809</v>
      </c>
      <c r="O188" s="69">
        <f t="shared" ca="1" si="120"/>
        <v>626.94580036308503</v>
      </c>
      <c r="P188" s="69">
        <f t="shared" ca="1" si="121"/>
        <v>723.4805372770935</v>
      </c>
      <c r="Q188" s="69">
        <f t="shared" ca="1" si="122"/>
        <v>954.74752887295347</v>
      </c>
      <c r="R188" s="69">
        <f t="shared" ca="1" si="123"/>
        <v>783.07932473624669</v>
      </c>
      <c r="S188" s="69">
        <f t="shared" ca="1" si="124"/>
        <v>701.60381605496354</v>
      </c>
      <c r="T188" s="69">
        <f t="shared" ca="1" si="125"/>
        <v>803.41880558067021</v>
      </c>
      <c r="U188" s="69">
        <f t="shared" ca="1" si="126"/>
        <v>1691.9345489131188</v>
      </c>
      <c r="V188" s="69">
        <f t="shared" ca="1" si="127"/>
        <v>1912.299900428058</v>
      </c>
      <c r="W188" s="69">
        <f t="shared" ca="1" si="128"/>
        <v>1177.5780930834833</v>
      </c>
      <c r="X188" s="69">
        <f t="shared" ca="1" si="129"/>
        <v>1489.8003929083036</v>
      </c>
      <c r="Y188" s="69">
        <f t="shared" ca="1" si="130"/>
        <v>1209.761408196804</v>
      </c>
      <c r="AA188" s="20">
        <f t="shared" ca="1" si="90"/>
        <v>6.5571872714653376E+16</v>
      </c>
      <c r="AB188" s="20">
        <f t="shared" ca="1" si="91"/>
        <v>1686639153834920</v>
      </c>
      <c r="AC188" s="20">
        <f t="shared" ca="1" si="92"/>
        <v>399211702067554.44</v>
      </c>
      <c r="AD188" s="20">
        <f t="shared" ca="1" si="93"/>
        <v>304898360162511.31</v>
      </c>
      <c r="AE188" s="20">
        <f t="shared" ca="1" si="94"/>
        <v>6866842550339822</v>
      </c>
      <c r="AG188" s="16">
        <f t="shared" ca="1" si="95"/>
        <v>-3.0078873336390652E-4</v>
      </c>
      <c r="AH188" s="16">
        <f t="shared" ca="1" si="96"/>
        <v>4.1092823772003676E-4</v>
      </c>
      <c r="AI188" s="16">
        <f t="shared" ca="1" si="97"/>
        <v>-3.6642256614539042E-4</v>
      </c>
      <c r="AJ188" s="16">
        <f t="shared" ca="1" si="98"/>
        <v>7.3921828305290757E-5</v>
      </c>
      <c r="AK188" s="16">
        <f t="shared" ca="1" si="99"/>
        <v>-3.3361734869907268E-4</v>
      </c>
      <c r="AM188" s="16">
        <f t="shared" ca="1" si="100"/>
        <v>-1.8236123348396943E-4</v>
      </c>
      <c r="AO188" s="16">
        <f t="shared" ca="1" si="101"/>
        <v>-3.0078873336390652E-4</v>
      </c>
      <c r="AP188" s="16">
        <f t="shared" ca="1" si="102"/>
        <v>0</v>
      </c>
      <c r="AQ188" s="16">
        <f t="shared" ca="1" si="103"/>
        <v>-3.6642256614539042E-4</v>
      </c>
      <c r="AR188" s="16">
        <f t="shared" ca="1" si="104"/>
        <v>0</v>
      </c>
      <c r="AS188" s="16">
        <f t="shared" ca="1" si="105"/>
        <v>-3.3361734869907268E-4</v>
      </c>
    </row>
    <row r="189" spans="1:45" x14ac:dyDescent="0.25">
      <c r="A189" s="69">
        <f t="shared" ca="1" si="106"/>
        <v>2449.153321268424</v>
      </c>
      <c r="B189" s="69">
        <f t="shared" ca="1" si="107"/>
        <v>2135.0986127415522</v>
      </c>
      <c r="C189" s="69">
        <f t="shared" ca="1" si="108"/>
        <v>2230.3851875756231</v>
      </c>
      <c r="D189" s="69">
        <f t="shared" ca="1" si="109"/>
        <v>2908.0078581238786</v>
      </c>
      <c r="E189" s="69">
        <f t="shared" ca="1" si="110"/>
        <v>1932.7585199868738</v>
      </c>
      <c r="F189" s="69">
        <f t="shared" ca="1" si="111"/>
        <v>1223.592390171852</v>
      </c>
      <c r="G189" s="69">
        <f t="shared" ca="1" si="112"/>
        <v>964.43560975725325</v>
      </c>
      <c r="H189" s="69">
        <f t="shared" ca="1" si="113"/>
        <v>1191.1602788344153</v>
      </c>
      <c r="I189" s="69">
        <f t="shared" ca="1" si="114"/>
        <v>1046.7419033042368</v>
      </c>
      <c r="J189" s="69">
        <f t="shared" ca="1" si="115"/>
        <v>1146.7818848923725</v>
      </c>
      <c r="K189" s="69">
        <f t="shared" ca="1" si="116"/>
        <v>1179.3507403770043</v>
      </c>
      <c r="L189" s="69">
        <f t="shared" ca="1" si="117"/>
        <v>955.50808656110996</v>
      </c>
      <c r="M189" s="69">
        <f t="shared" ca="1" si="118"/>
        <v>986.05139965789306</v>
      </c>
      <c r="N189" s="69">
        <f t="shared" ca="1" si="119"/>
        <v>572.44184686265942</v>
      </c>
      <c r="O189" s="69">
        <f t="shared" ca="1" si="120"/>
        <v>627.38748169333701</v>
      </c>
      <c r="P189" s="69">
        <f t="shared" ca="1" si="121"/>
        <v>723.21794566240476</v>
      </c>
      <c r="Q189" s="69">
        <f t="shared" ca="1" si="122"/>
        <v>954.84376594348191</v>
      </c>
      <c r="R189" s="69">
        <f t="shared" ca="1" si="123"/>
        <v>783.07932473624669</v>
      </c>
      <c r="S189" s="69">
        <f t="shared" ca="1" si="124"/>
        <v>701.60381605496354</v>
      </c>
      <c r="T189" s="69">
        <f t="shared" ca="1" si="125"/>
        <v>803.68892049914757</v>
      </c>
      <c r="U189" s="69">
        <f t="shared" ca="1" si="126"/>
        <v>1691.8518361889371</v>
      </c>
      <c r="V189" s="69">
        <f t="shared" ca="1" si="127"/>
        <v>1912.299900428058</v>
      </c>
      <c r="W189" s="69">
        <f t="shared" ca="1" si="128"/>
        <v>1177.5780930834833</v>
      </c>
      <c r="X189" s="69">
        <f t="shared" ca="1" si="129"/>
        <v>1489.376262912323</v>
      </c>
      <c r="Y189" s="69">
        <f t="shared" ca="1" si="130"/>
        <v>1209.761408196804</v>
      </c>
      <c r="AA189" s="20">
        <f t="shared" ca="1" si="90"/>
        <v>6.5552152400088136E+16</v>
      </c>
      <c r="AB189" s="20">
        <f t="shared" ca="1" si="91"/>
        <v>1687332383914227.5</v>
      </c>
      <c r="AC189" s="20">
        <f t="shared" ca="1" si="92"/>
        <v>399065448688153.25</v>
      </c>
      <c r="AD189" s="20">
        <f t="shared" ca="1" si="93"/>
        <v>304920899639811.25</v>
      </c>
      <c r="AE189" s="20">
        <f t="shared" ca="1" si="94"/>
        <v>6864552034633377</v>
      </c>
      <c r="AG189" s="16">
        <f t="shared" ca="1" si="95"/>
        <v>-3.9092218177119503E-5</v>
      </c>
      <c r="AH189" s="16">
        <f t="shared" ca="1" si="96"/>
        <v>5.8635679345277138E-4</v>
      </c>
      <c r="AI189" s="16">
        <f t="shared" ca="1" si="97"/>
        <v>8.3937237373481427E-4</v>
      </c>
      <c r="AJ189" s="16">
        <f t="shared" ca="1" si="98"/>
        <v>-2.5153060574867992E-4</v>
      </c>
      <c r="AK189" s="16">
        <f t="shared" ca="1" si="99"/>
        <v>2.3956148831854531E-5</v>
      </c>
      <c r="AM189" s="16">
        <f t="shared" ca="1" si="100"/>
        <v>1.1351063432617863E-3</v>
      </c>
      <c r="AO189" s="16">
        <f t="shared" ca="1" si="101"/>
        <v>-3.9092218177119503E-5</v>
      </c>
      <c r="AP189" s="16">
        <f t="shared" ca="1" si="102"/>
        <v>0</v>
      </c>
      <c r="AQ189" s="16">
        <f t="shared" ca="1" si="103"/>
        <v>0</v>
      </c>
      <c r="AR189" s="16">
        <f t="shared" ca="1" si="104"/>
        <v>-2.5153060574867992E-4</v>
      </c>
      <c r="AS189" s="16">
        <f t="shared" ca="1" si="105"/>
        <v>0</v>
      </c>
    </row>
    <row r="190" spans="1:45" x14ac:dyDescent="0.25">
      <c r="A190" s="69">
        <f t="shared" ca="1" si="106"/>
        <v>2449.153321268424</v>
      </c>
      <c r="B190" s="69">
        <f t="shared" ca="1" si="107"/>
        <v>2135.2135247279593</v>
      </c>
      <c r="C190" s="69">
        <f t="shared" ca="1" si="108"/>
        <v>2229.8955321514195</v>
      </c>
      <c r="D190" s="69">
        <f t="shared" ca="1" si="109"/>
        <v>2908.3761846451284</v>
      </c>
      <c r="E190" s="69">
        <f t="shared" ca="1" si="110"/>
        <v>1932.7585199868738</v>
      </c>
      <c r="F190" s="69">
        <f t="shared" ca="1" si="111"/>
        <v>1223.592390171852</v>
      </c>
      <c r="G190" s="69">
        <f t="shared" ca="1" si="112"/>
        <v>964.89581898106178</v>
      </c>
      <c r="H190" s="69">
        <f t="shared" ca="1" si="113"/>
        <v>1190.9943723770475</v>
      </c>
      <c r="I190" s="69">
        <f t="shared" ca="1" si="114"/>
        <v>1047.1917124229417</v>
      </c>
      <c r="J190" s="69">
        <f t="shared" ca="1" si="115"/>
        <v>1146.5742801122799</v>
      </c>
      <c r="K190" s="69">
        <f t="shared" ca="1" si="116"/>
        <v>1179.3507403770043</v>
      </c>
      <c r="L190" s="69">
        <f t="shared" ca="1" si="117"/>
        <v>955.79746533982063</v>
      </c>
      <c r="M190" s="69">
        <f t="shared" ca="1" si="118"/>
        <v>986.01305916823526</v>
      </c>
      <c r="N190" s="69">
        <f t="shared" ca="1" si="119"/>
        <v>572.44184686265942</v>
      </c>
      <c r="O190" s="69">
        <f t="shared" ca="1" si="120"/>
        <v>627.74861479415392</v>
      </c>
      <c r="P190" s="69">
        <f t="shared" ca="1" si="121"/>
        <v>723.07570312332996</v>
      </c>
      <c r="Q190" s="69">
        <f t="shared" ca="1" si="122"/>
        <v>954.84376594348191</v>
      </c>
      <c r="R190" s="69">
        <f t="shared" ca="1" si="123"/>
        <v>783.04147490884918</v>
      </c>
      <c r="S190" s="69">
        <f t="shared" ca="1" si="124"/>
        <v>701.69545476796111</v>
      </c>
      <c r="T190" s="69">
        <f t="shared" ca="1" si="125"/>
        <v>803.57874221520001</v>
      </c>
      <c r="U190" s="69">
        <f t="shared" ca="1" si="126"/>
        <v>1691.8518361889371</v>
      </c>
      <c r="V190" s="69">
        <f t="shared" ca="1" si="127"/>
        <v>1912.299900428058</v>
      </c>
      <c r="W190" s="69">
        <f t="shared" ca="1" si="128"/>
        <v>1177.5780930834833</v>
      </c>
      <c r="X190" s="69">
        <f t="shared" ca="1" si="129"/>
        <v>1489.376262912323</v>
      </c>
      <c r="Y190" s="69">
        <f t="shared" ca="1" si="130"/>
        <v>1209.7903897682918</v>
      </c>
      <c r="AA190" s="20">
        <f t="shared" ca="1" si="90"/>
        <v>6.5549589871132328E+16</v>
      </c>
      <c r="AB190" s="20">
        <f t="shared" ca="1" si="91"/>
        <v>1688322052841542.8</v>
      </c>
      <c r="AC190" s="20">
        <f t="shared" ca="1" si="92"/>
        <v>399400553820414.56</v>
      </c>
      <c r="AD190" s="20">
        <f t="shared" ca="1" si="93"/>
        <v>304844212346224.44</v>
      </c>
      <c r="AE190" s="20">
        <f t="shared" ca="1" si="94"/>
        <v>6864716484833371</v>
      </c>
      <c r="AG190" s="16">
        <f t="shared" ca="1" si="95"/>
        <v>-5.5742663143220597E-4</v>
      </c>
      <c r="AH190" s="16">
        <f t="shared" ca="1" si="96"/>
        <v>1.510982397354686E-4</v>
      </c>
      <c r="AI190" s="16">
        <f t="shared" ca="1" si="97"/>
        <v>5.1786509390443463E-4</v>
      </c>
      <c r="AJ190" s="16">
        <f t="shared" ca="1" si="98"/>
        <v>-2.0422480507140169E-4</v>
      </c>
      <c r="AK190" s="16">
        <f t="shared" ca="1" si="99"/>
        <v>-3.820918222790866E-4</v>
      </c>
      <c r="AM190" s="16">
        <f t="shared" ca="1" si="100"/>
        <v>-9.2688102863704456E-5</v>
      </c>
      <c r="AO190" s="16">
        <f t="shared" ca="1" si="101"/>
        <v>-5.5742663143220597E-4</v>
      </c>
      <c r="AP190" s="16">
        <f t="shared" ca="1" si="102"/>
        <v>0</v>
      </c>
      <c r="AQ190" s="16">
        <f t="shared" ca="1" si="103"/>
        <v>0</v>
      </c>
      <c r="AR190" s="16">
        <f t="shared" ca="1" si="104"/>
        <v>-2.0422480507140169E-4</v>
      </c>
      <c r="AS190" s="16">
        <f t="shared" ca="1" si="105"/>
        <v>-3.820918222790866E-4</v>
      </c>
    </row>
    <row r="191" spans="1:45" x14ac:dyDescent="0.25">
      <c r="A191" s="69">
        <f t="shared" ca="1" si="106"/>
        <v>2449.153321268424</v>
      </c>
      <c r="B191" s="69">
        <f t="shared" ca="1" si="107"/>
        <v>2134.7657662102802</v>
      </c>
      <c r="C191" s="69">
        <f t="shared" ca="1" si="108"/>
        <v>2229.4459286811289</v>
      </c>
      <c r="D191" s="69">
        <f t="shared" ca="1" si="109"/>
        <v>2908.6827497235781</v>
      </c>
      <c r="E191" s="69">
        <f t="shared" ca="1" si="110"/>
        <v>1932.2725714433111</v>
      </c>
      <c r="F191" s="69">
        <f t="shared" ca="1" si="111"/>
        <v>1223.592390171852</v>
      </c>
      <c r="G191" s="69">
        <f t="shared" ca="1" si="112"/>
        <v>964.73068279937434</v>
      </c>
      <c r="H191" s="69">
        <f t="shared" ca="1" si="113"/>
        <v>1190.9943723770475</v>
      </c>
      <c r="I191" s="69">
        <f t="shared" ca="1" si="114"/>
        <v>1047.6518544460823</v>
      </c>
      <c r="J191" s="69">
        <f t="shared" ca="1" si="115"/>
        <v>1146.4400788508003</v>
      </c>
      <c r="K191" s="69">
        <f t="shared" ca="1" si="116"/>
        <v>1179.339305037523</v>
      </c>
      <c r="L191" s="69">
        <f t="shared" ca="1" si="117"/>
        <v>955.79746533982063</v>
      </c>
      <c r="M191" s="69">
        <f t="shared" ca="1" si="118"/>
        <v>986.07412472537226</v>
      </c>
      <c r="N191" s="69">
        <f t="shared" ca="1" si="119"/>
        <v>572.44184686265942</v>
      </c>
      <c r="O191" s="69">
        <f t="shared" ca="1" si="120"/>
        <v>628.04098242716987</v>
      </c>
      <c r="P191" s="69">
        <f t="shared" ca="1" si="121"/>
        <v>723.10745821016917</v>
      </c>
      <c r="Q191" s="69">
        <f t="shared" ca="1" si="122"/>
        <v>954.4437348358407</v>
      </c>
      <c r="R191" s="69">
        <f t="shared" ca="1" si="123"/>
        <v>783.04147490884918</v>
      </c>
      <c r="S191" s="69">
        <f t="shared" ca="1" si="124"/>
        <v>701.95681358390459</v>
      </c>
      <c r="T191" s="69">
        <f t="shared" ca="1" si="125"/>
        <v>803.41683604226318</v>
      </c>
      <c r="U191" s="69">
        <f t="shared" ca="1" si="126"/>
        <v>1691.4946573853306</v>
      </c>
      <c r="V191" s="69">
        <f t="shared" ca="1" si="127"/>
        <v>1912.299900428058</v>
      </c>
      <c r="W191" s="69">
        <f t="shared" ca="1" si="128"/>
        <v>1177.5780930834833</v>
      </c>
      <c r="X191" s="69">
        <f t="shared" ca="1" si="129"/>
        <v>1489.376262912323</v>
      </c>
      <c r="Y191" s="69">
        <f t="shared" ca="1" si="130"/>
        <v>1209.5835907979881</v>
      </c>
      <c r="AA191" s="20">
        <f t="shared" ca="1" si="90"/>
        <v>6.5513060966096808E+16</v>
      </c>
      <c r="AB191" s="20">
        <f t="shared" ca="1" si="91"/>
        <v>1688577174605573</v>
      </c>
      <c r="AC191" s="20">
        <f t="shared" ca="1" si="92"/>
        <v>399607442991440.56</v>
      </c>
      <c r="AD191" s="20">
        <f t="shared" ca="1" si="93"/>
        <v>304781961953134.44</v>
      </c>
      <c r="AE191" s="20">
        <f t="shared" ca="1" si="94"/>
        <v>6862094033842696</v>
      </c>
      <c r="AG191" s="16">
        <f t="shared" ca="1" si="95"/>
        <v>-4.2765619696290513E-5</v>
      </c>
      <c r="AH191" s="16">
        <f t="shared" ca="1" si="96"/>
        <v>9.7554368501480372E-4</v>
      </c>
      <c r="AI191" s="16">
        <f t="shared" ca="1" si="97"/>
        <v>7.9714567891506617E-4</v>
      </c>
      <c r="AJ191" s="16">
        <f t="shared" ca="1" si="98"/>
        <v>-5.8757307813256528E-4</v>
      </c>
      <c r="AK191" s="16">
        <f t="shared" ca="1" si="99"/>
        <v>-4.8492084448802266E-4</v>
      </c>
      <c r="AM191" s="16">
        <f t="shared" ca="1" si="100"/>
        <v>1.1423506661010141E-3</v>
      </c>
      <c r="AO191" s="16">
        <f t="shared" ca="1" si="101"/>
        <v>-4.2765619696290513E-5</v>
      </c>
      <c r="AP191" s="16">
        <f t="shared" ca="1" si="102"/>
        <v>0</v>
      </c>
      <c r="AQ191" s="16">
        <f t="shared" ca="1" si="103"/>
        <v>0</v>
      </c>
      <c r="AR191" s="16">
        <f t="shared" ca="1" si="104"/>
        <v>-5.8757307813256528E-4</v>
      </c>
      <c r="AS191" s="16">
        <f t="shared" ca="1" si="105"/>
        <v>-4.8492084448802266E-4</v>
      </c>
    </row>
    <row r="192" spans="1:45" x14ac:dyDescent="0.25">
      <c r="A192" s="69">
        <f t="shared" ca="1" si="106"/>
        <v>2449.153321268424</v>
      </c>
      <c r="B192" s="69">
        <f t="shared" ca="1" si="107"/>
        <v>2134.7657662102802</v>
      </c>
      <c r="C192" s="69">
        <f t="shared" ca="1" si="108"/>
        <v>2229.2234494099703</v>
      </c>
      <c r="D192" s="69">
        <f t="shared" ca="1" si="109"/>
        <v>2908.8486385028104</v>
      </c>
      <c r="E192" s="69">
        <f t="shared" ca="1" si="110"/>
        <v>1932.2725714433111</v>
      </c>
      <c r="F192" s="69">
        <f t="shared" ca="1" si="111"/>
        <v>1223.6333104704656</v>
      </c>
      <c r="G192" s="69">
        <f t="shared" ca="1" si="112"/>
        <v>965.06979902392686</v>
      </c>
      <c r="H192" s="69">
        <f t="shared" ca="1" si="113"/>
        <v>1190.9943723770475</v>
      </c>
      <c r="I192" s="69">
        <f t="shared" ca="1" si="114"/>
        <v>1048.1426679998456</v>
      </c>
      <c r="J192" s="69">
        <f t="shared" ca="1" si="115"/>
        <v>1146.5802625451961</v>
      </c>
      <c r="K192" s="69">
        <f t="shared" ca="1" si="116"/>
        <v>1178.9484758203357</v>
      </c>
      <c r="L192" s="69">
        <f t="shared" ca="1" si="117"/>
        <v>955.79746533982063</v>
      </c>
      <c r="M192" s="69">
        <f t="shared" ca="1" si="118"/>
        <v>985.84713066885388</v>
      </c>
      <c r="N192" s="69">
        <f t="shared" ca="1" si="119"/>
        <v>572.82843185072443</v>
      </c>
      <c r="O192" s="69">
        <f t="shared" ca="1" si="120"/>
        <v>628.47053680450574</v>
      </c>
      <c r="P192" s="69">
        <f t="shared" ca="1" si="121"/>
        <v>723.20641378356254</v>
      </c>
      <c r="Q192" s="69">
        <f t="shared" ca="1" si="122"/>
        <v>954.46527609389682</v>
      </c>
      <c r="R192" s="69">
        <f t="shared" ca="1" si="123"/>
        <v>783.04147490884918</v>
      </c>
      <c r="S192" s="69">
        <f t="shared" ca="1" si="124"/>
        <v>701.45685301448293</v>
      </c>
      <c r="T192" s="69">
        <f t="shared" ca="1" si="125"/>
        <v>803.38912791893028</v>
      </c>
      <c r="U192" s="69">
        <f t="shared" ca="1" si="126"/>
        <v>1691.4946573853306</v>
      </c>
      <c r="V192" s="69">
        <f t="shared" ca="1" si="127"/>
        <v>1912.0537090854905</v>
      </c>
      <c r="W192" s="69">
        <f t="shared" ca="1" si="128"/>
        <v>1177.494524323791</v>
      </c>
      <c r="X192" s="69">
        <f t="shared" ca="1" si="129"/>
        <v>1489.376262912323</v>
      </c>
      <c r="Y192" s="69">
        <f t="shared" ca="1" si="130"/>
        <v>1209.2386638079638</v>
      </c>
      <c r="AA192" s="20">
        <f t="shared" ca="1" si="90"/>
        <v>6.5510259319353896E+16</v>
      </c>
      <c r="AB192" s="20">
        <f t="shared" ca="1" si="91"/>
        <v>1690225259163456.3</v>
      </c>
      <c r="AC192" s="20">
        <f t="shared" ca="1" si="92"/>
        <v>399926115335149.56</v>
      </c>
      <c r="AD192" s="20">
        <f t="shared" ca="1" si="93"/>
        <v>304602932879073.13</v>
      </c>
      <c r="AE192" s="20">
        <f t="shared" ca="1" si="94"/>
        <v>6858767268083070</v>
      </c>
      <c r="AG192" s="16">
        <f t="shared" ca="1" si="95"/>
        <v>-2.1168363007371247E-4</v>
      </c>
      <c r="AH192" s="16">
        <f t="shared" ca="1" si="96"/>
        <v>3.001426753096534E-4</v>
      </c>
      <c r="AI192" s="16">
        <f t="shared" ca="1" si="97"/>
        <v>-3.6545621386459444E-4</v>
      </c>
      <c r="AJ192" s="16">
        <f t="shared" ca="1" si="98"/>
        <v>1.0656310569222367E-3</v>
      </c>
      <c r="AK192" s="16">
        <f t="shared" ca="1" si="99"/>
        <v>-2.931620175565765E-4</v>
      </c>
      <c r="AM192" s="16">
        <f t="shared" ca="1" si="100"/>
        <v>7.8863388829358318E-4</v>
      </c>
      <c r="AO192" s="16">
        <f t="shared" ca="1" si="101"/>
        <v>-2.1168363007371247E-4</v>
      </c>
      <c r="AP192" s="16">
        <f t="shared" ca="1" si="102"/>
        <v>0</v>
      </c>
      <c r="AQ192" s="16">
        <f t="shared" ca="1" si="103"/>
        <v>-3.6545621386459444E-4</v>
      </c>
      <c r="AR192" s="16">
        <f t="shared" ca="1" si="104"/>
        <v>0</v>
      </c>
      <c r="AS192" s="16">
        <f t="shared" ca="1" si="105"/>
        <v>-2.931620175565765E-4</v>
      </c>
    </row>
    <row r="193" spans="1:45" x14ac:dyDescent="0.25">
      <c r="A193" s="69">
        <f t="shared" ca="1" si="106"/>
        <v>2449.153321268424</v>
      </c>
      <c r="B193" s="69">
        <f t="shared" ca="1" si="107"/>
        <v>2134.4427880229559</v>
      </c>
      <c r="C193" s="69">
        <f t="shared" ca="1" si="108"/>
        <v>2229.2234494099703</v>
      </c>
      <c r="D193" s="69">
        <f t="shared" ca="1" si="109"/>
        <v>2908.8486385028104</v>
      </c>
      <c r="E193" s="69">
        <f t="shared" ca="1" si="110"/>
        <v>1932.1559087033245</v>
      </c>
      <c r="F193" s="69">
        <f t="shared" ca="1" si="111"/>
        <v>1223.6333104704656</v>
      </c>
      <c r="G193" s="69">
        <f t="shared" ca="1" si="112"/>
        <v>965.06979902392686</v>
      </c>
      <c r="H193" s="69">
        <f t="shared" ca="1" si="113"/>
        <v>1190.9943723770475</v>
      </c>
      <c r="I193" s="69">
        <f t="shared" ca="1" si="114"/>
        <v>1048.1811927991703</v>
      </c>
      <c r="J193" s="69">
        <f t="shared" ca="1" si="115"/>
        <v>1146.8822978588737</v>
      </c>
      <c r="K193" s="69">
        <f t="shared" ca="1" si="116"/>
        <v>1178.9484758203357</v>
      </c>
      <c r="L193" s="69">
        <f t="shared" ca="1" si="117"/>
        <v>955.33047089976151</v>
      </c>
      <c r="M193" s="69">
        <f t="shared" ca="1" si="118"/>
        <v>985.84713066885388</v>
      </c>
      <c r="N193" s="69">
        <f t="shared" ca="1" si="119"/>
        <v>573.00964889269608</v>
      </c>
      <c r="O193" s="69">
        <f t="shared" ca="1" si="120"/>
        <v>628.3492221540215</v>
      </c>
      <c r="P193" s="69">
        <f t="shared" ca="1" si="121"/>
        <v>723.5875975976478</v>
      </c>
      <c r="Q193" s="69">
        <f t="shared" ca="1" si="122"/>
        <v>954.6872392885507</v>
      </c>
      <c r="R193" s="69">
        <f t="shared" ca="1" si="123"/>
        <v>783.32582673477384</v>
      </c>
      <c r="S193" s="69">
        <f t="shared" ca="1" si="124"/>
        <v>701.4479491081338</v>
      </c>
      <c r="T193" s="69">
        <f t="shared" ca="1" si="125"/>
        <v>803.35361219317554</v>
      </c>
      <c r="U193" s="69">
        <f t="shared" ca="1" si="126"/>
        <v>1691.4946573853306</v>
      </c>
      <c r="V193" s="69">
        <f t="shared" ca="1" si="127"/>
        <v>1912.0537090854905</v>
      </c>
      <c r="W193" s="69">
        <f t="shared" ca="1" si="128"/>
        <v>1177.494524323791</v>
      </c>
      <c r="X193" s="69">
        <f t="shared" ca="1" si="129"/>
        <v>1489.4341612225082</v>
      </c>
      <c r="Y193" s="69">
        <f t="shared" ca="1" si="130"/>
        <v>1208.8372203404447</v>
      </c>
      <c r="AA193" s="20">
        <f t="shared" ca="1" si="90"/>
        <v>6.5496393337506568E+16</v>
      </c>
      <c r="AB193" s="20">
        <f t="shared" ca="1" si="91"/>
        <v>1690732644034735</v>
      </c>
      <c r="AC193" s="20">
        <f t="shared" ca="1" si="92"/>
        <v>399779986554675.44</v>
      </c>
      <c r="AD193" s="20">
        <f t="shared" ca="1" si="93"/>
        <v>304927700234735.88</v>
      </c>
      <c r="AE193" s="20">
        <f t="shared" ca="1" si="94"/>
        <v>6856756832738847</v>
      </c>
      <c r="AG193" s="16">
        <f t="shared" ca="1" si="95"/>
        <v>-2.9682478393905967E-4</v>
      </c>
      <c r="AH193" s="16">
        <f t="shared" ca="1" si="96"/>
        <v>-3.5413953023262241E-4</v>
      </c>
      <c r="AI193" s="16">
        <f t="shared" ca="1" si="97"/>
        <v>-9.6761048910542601E-4</v>
      </c>
      <c r="AJ193" s="16">
        <f t="shared" ca="1" si="98"/>
        <v>8.3776659327903364E-4</v>
      </c>
      <c r="AK193" s="16">
        <f t="shared" ca="1" si="99"/>
        <v>-2.3098246638114141E-4</v>
      </c>
      <c r="AM193" s="16">
        <f t="shared" ca="1" si="100"/>
        <v>-7.8080820999807462E-4</v>
      </c>
      <c r="AO193" s="16">
        <f t="shared" ca="1" si="101"/>
        <v>-2.9682478393905967E-4</v>
      </c>
      <c r="AP193" s="16">
        <f t="shared" ca="1" si="102"/>
        <v>-3.5413953023262241E-4</v>
      </c>
      <c r="AQ193" s="16">
        <f t="shared" ca="1" si="103"/>
        <v>-9.6761048910542601E-4</v>
      </c>
      <c r="AR193" s="16">
        <f t="shared" ca="1" si="104"/>
        <v>0</v>
      </c>
      <c r="AS193" s="16">
        <f t="shared" ca="1" si="105"/>
        <v>-2.3098246638114141E-4</v>
      </c>
    </row>
    <row r="194" spans="1:45" x14ac:dyDescent="0.25">
      <c r="A194" s="69">
        <f t="shared" ca="1" si="106"/>
        <v>2449.153321268424</v>
      </c>
      <c r="B194" s="69">
        <f t="shared" ca="1" si="107"/>
        <v>2134.3088458614634</v>
      </c>
      <c r="C194" s="69">
        <f t="shared" ca="1" si="108"/>
        <v>2229.2234494099703</v>
      </c>
      <c r="D194" s="69">
        <f t="shared" ca="1" si="109"/>
        <v>2908.4984909296463</v>
      </c>
      <c r="E194" s="69">
        <f t="shared" ca="1" si="110"/>
        <v>1931.9362552283401</v>
      </c>
      <c r="F194" s="69">
        <f t="shared" ca="1" si="111"/>
        <v>1223.2728031246763</v>
      </c>
      <c r="G194" s="69">
        <f t="shared" ca="1" si="112"/>
        <v>965.06979902392686</v>
      </c>
      <c r="H194" s="69">
        <f t="shared" ca="1" si="113"/>
        <v>1190.9943723770475</v>
      </c>
      <c r="I194" s="69">
        <f t="shared" ca="1" si="114"/>
        <v>1048.4135348229499</v>
      </c>
      <c r="J194" s="69">
        <f t="shared" ca="1" si="115"/>
        <v>1146.5599393839464</v>
      </c>
      <c r="K194" s="69">
        <f t="shared" ca="1" si="116"/>
        <v>1179.0500588978825</v>
      </c>
      <c r="L194" s="69">
        <f t="shared" ca="1" si="117"/>
        <v>955.61008886876436</v>
      </c>
      <c r="M194" s="69">
        <f t="shared" ca="1" si="118"/>
        <v>985.66205381697966</v>
      </c>
      <c r="N194" s="69">
        <f t="shared" ca="1" si="119"/>
        <v>572.64006742557763</v>
      </c>
      <c r="O194" s="69">
        <f t="shared" ca="1" si="120"/>
        <v>628.02666148836477</v>
      </c>
      <c r="P194" s="69">
        <f t="shared" ca="1" si="121"/>
        <v>723.8924695465488</v>
      </c>
      <c r="Q194" s="69">
        <f t="shared" ca="1" si="122"/>
        <v>954.6872392885507</v>
      </c>
      <c r="R194" s="69">
        <f t="shared" ca="1" si="123"/>
        <v>783.32582673477384</v>
      </c>
      <c r="S194" s="69">
        <f t="shared" ca="1" si="124"/>
        <v>701.74017810068813</v>
      </c>
      <c r="T194" s="69">
        <f t="shared" ca="1" si="125"/>
        <v>803.35361219317554</v>
      </c>
      <c r="U194" s="69">
        <f t="shared" ca="1" si="126"/>
        <v>1691.2594424310234</v>
      </c>
      <c r="V194" s="69">
        <f t="shared" ca="1" si="127"/>
        <v>1912.0537090854905</v>
      </c>
      <c r="W194" s="69">
        <f t="shared" ca="1" si="128"/>
        <v>1177.494524323791</v>
      </c>
      <c r="X194" s="69">
        <f t="shared" ca="1" si="129"/>
        <v>1489.5869830595238</v>
      </c>
      <c r="Y194" s="69">
        <f t="shared" ca="1" si="130"/>
        <v>1208.6021074114549</v>
      </c>
      <c r="AA194" s="20">
        <f t="shared" ca="1" si="90"/>
        <v>6.5476955269698232E+16</v>
      </c>
      <c r="AB194" s="20">
        <f t="shared" ca="1" si="91"/>
        <v>1690133994779367.3</v>
      </c>
      <c r="AC194" s="20">
        <f t="shared" ca="1" si="92"/>
        <v>399393342337017.94</v>
      </c>
      <c r="AD194" s="20">
        <f t="shared" ca="1" si="93"/>
        <v>305183265512436.56</v>
      </c>
      <c r="AE194" s="20">
        <f t="shared" ca="1" si="94"/>
        <v>6855173225034093</v>
      </c>
      <c r="AG194" s="16">
        <f t="shared" ca="1" si="95"/>
        <v>-2.7181047771707481E-5</v>
      </c>
      <c r="AH194" s="16">
        <f t="shared" ca="1" si="96"/>
        <v>6.0430852134336742E-5</v>
      </c>
      <c r="AI194" s="16">
        <f t="shared" ca="1" si="97"/>
        <v>1.4525640587185673E-4</v>
      </c>
      <c r="AJ194" s="16">
        <f t="shared" ca="1" si="98"/>
        <v>-1.1386944450474347E-3</v>
      </c>
      <c r="AK194" s="16">
        <f t="shared" ca="1" si="99"/>
        <v>-8.2976469431798156E-4</v>
      </c>
      <c r="AM194" s="16">
        <f t="shared" ca="1" si="100"/>
        <v>-9.6018823481294866E-4</v>
      </c>
      <c r="AO194" s="16">
        <f t="shared" ca="1" si="101"/>
        <v>-2.7181047771707481E-5</v>
      </c>
      <c r="AP194" s="16">
        <f t="shared" ca="1" si="102"/>
        <v>0</v>
      </c>
      <c r="AQ194" s="16">
        <f t="shared" ca="1" si="103"/>
        <v>0</v>
      </c>
      <c r="AR194" s="16">
        <f t="shared" ca="1" si="104"/>
        <v>-1.1386944450474347E-3</v>
      </c>
      <c r="AS194" s="16">
        <f t="shared" ca="1" si="105"/>
        <v>-8.2976469431798156E-4</v>
      </c>
    </row>
    <row r="195" spans="1:45" x14ac:dyDescent="0.25">
      <c r="A195" s="69">
        <f t="shared" ca="1" si="106"/>
        <v>2449.5698167523506</v>
      </c>
      <c r="B195" s="69">
        <f t="shared" ca="1" si="107"/>
        <v>2133.915463662398</v>
      </c>
      <c r="C195" s="69">
        <f t="shared" ca="1" si="108"/>
        <v>2229.4127292190869</v>
      </c>
      <c r="D195" s="69">
        <f t="shared" ca="1" si="109"/>
        <v>2908.2140603631847</v>
      </c>
      <c r="E195" s="69">
        <f t="shared" ca="1" si="110"/>
        <v>1931.9362552283401</v>
      </c>
      <c r="F195" s="69">
        <f t="shared" ca="1" si="111"/>
        <v>1223.5990751413312</v>
      </c>
      <c r="G195" s="69">
        <f t="shared" ca="1" si="112"/>
        <v>965.27344766468593</v>
      </c>
      <c r="H195" s="69">
        <f t="shared" ca="1" si="113"/>
        <v>1190.9943723770475</v>
      </c>
      <c r="I195" s="69">
        <f t="shared" ca="1" si="114"/>
        <v>1048.4135348229499</v>
      </c>
      <c r="J195" s="69">
        <f t="shared" ca="1" si="115"/>
        <v>1146.0816353362932</v>
      </c>
      <c r="K195" s="69">
        <f t="shared" ca="1" si="116"/>
        <v>1179.0500588978825</v>
      </c>
      <c r="L195" s="69">
        <f t="shared" ca="1" si="117"/>
        <v>955.61008886876436</v>
      </c>
      <c r="M195" s="69">
        <f t="shared" ca="1" si="118"/>
        <v>985.682453876517</v>
      </c>
      <c r="N195" s="69">
        <f t="shared" ca="1" si="119"/>
        <v>572.71139980649889</v>
      </c>
      <c r="O195" s="69">
        <f t="shared" ca="1" si="120"/>
        <v>628.02666148836477</v>
      </c>
      <c r="P195" s="69">
        <f t="shared" ca="1" si="121"/>
        <v>723.8924695465488</v>
      </c>
      <c r="Q195" s="69">
        <f t="shared" ca="1" si="122"/>
        <v>954.6872392885507</v>
      </c>
      <c r="R195" s="69">
        <f t="shared" ca="1" si="123"/>
        <v>782.98810932082131</v>
      </c>
      <c r="S195" s="69">
        <f t="shared" ca="1" si="124"/>
        <v>701.52854379401231</v>
      </c>
      <c r="T195" s="69">
        <f t="shared" ca="1" si="125"/>
        <v>803.02764671280659</v>
      </c>
      <c r="U195" s="69">
        <f t="shared" ca="1" si="126"/>
        <v>1691.0299028292557</v>
      </c>
      <c r="V195" s="69">
        <f t="shared" ca="1" si="127"/>
        <v>1911.5842597353167</v>
      </c>
      <c r="W195" s="69">
        <f t="shared" ca="1" si="128"/>
        <v>1177.4297759301294</v>
      </c>
      <c r="X195" s="69">
        <f t="shared" ca="1" si="129"/>
        <v>1489.5869830595238</v>
      </c>
      <c r="Y195" s="69">
        <f t="shared" ca="1" si="130"/>
        <v>1208.1266239682288</v>
      </c>
      <c r="AA195" s="20">
        <f t="shared" ref="AA195:AA258" ca="1" si="131">A195*B195*C195*D195*E195</f>
        <v>6.5475175561636376E+16</v>
      </c>
      <c r="AB195" s="20">
        <f t="shared" ref="AB195:AB258" ca="1" si="132">F195*G195*H195*I195*J195</f>
        <v>1690236134103045</v>
      </c>
      <c r="AC195" s="20">
        <f t="shared" ref="AC195:AC258" ca="1" si="133">K195*L195*M195*N195*O195</f>
        <v>399451360992143.63</v>
      </c>
      <c r="AD195" s="20">
        <f t="shared" ref="AD195:AD258" ca="1" si="134">P195*Q195*R195*S195*T195</f>
        <v>304835952802330.81</v>
      </c>
      <c r="AE195" s="20">
        <f t="shared" ref="AE195:AE258" ca="1" si="135">U195*V195*W195*X195*Y195</f>
        <v>6849487403591700</v>
      </c>
      <c r="AG195" s="16">
        <f t="shared" ca="1" si="95"/>
        <v>3.308488080512203E-4</v>
      </c>
      <c r="AH195" s="16">
        <f t="shared" ca="1" si="96"/>
        <v>4.2452125862334894E-4</v>
      </c>
      <c r="AI195" s="16">
        <f t="shared" ca="1" si="97"/>
        <v>-8.1192137439864602E-5</v>
      </c>
      <c r="AJ195" s="16">
        <f t="shared" ca="1" si="98"/>
        <v>-1.0642135588136885E-3</v>
      </c>
      <c r="AK195" s="16">
        <f t="shared" ca="1" si="99"/>
        <v>7.7907082146574231E-4</v>
      </c>
      <c r="AM195" s="16">
        <f t="shared" ca="1" si="100"/>
        <v>-3.9003562957898384E-4</v>
      </c>
      <c r="AO195" s="16">
        <f t="shared" ca="1" si="101"/>
        <v>0</v>
      </c>
      <c r="AP195" s="16">
        <f t="shared" ca="1" si="102"/>
        <v>0</v>
      </c>
      <c r="AQ195" s="16">
        <f t="shared" ca="1" si="103"/>
        <v>-8.1192137439864602E-5</v>
      </c>
      <c r="AR195" s="16">
        <f t="shared" ca="1" si="104"/>
        <v>-1.0642135588136885E-3</v>
      </c>
      <c r="AS195" s="16">
        <f t="shared" ca="1" si="105"/>
        <v>0</v>
      </c>
    </row>
    <row r="196" spans="1:45" x14ac:dyDescent="0.25">
      <c r="A196" s="69">
        <f t="shared" ca="1" si="106"/>
        <v>2449.516772431728</v>
      </c>
      <c r="B196" s="69">
        <f t="shared" ca="1" si="107"/>
        <v>2134.1945856150737</v>
      </c>
      <c r="C196" s="69">
        <f t="shared" ca="1" si="108"/>
        <v>2229.8722527471878</v>
      </c>
      <c r="D196" s="69">
        <f t="shared" ca="1" si="109"/>
        <v>2908.387647774518</v>
      </c>
      <c r="E196" s="69">
        <f t="shared" ca="1" si="110"/>
        <v>1931.8511072700014</v>
      </c>
      <c r="F196" s="69">
        <f t="shared" ca="1" si="111"/>
        <v>1223.5990751413312</v>
      </c>
      <c r="G196" s="69">
        <f t="shared" ca="1" si="112"/>
        <v>965.32882713327558</v>
      </c>
      <c r="H196" s="69">
        <f t="shared" ca="1" si="113"/>
        <v>1190.9943723770475</v>
      </c>
      <c r="I196" s="69">
        <f t="shared" ca="1" si="114"/>
        <v>1048.6740231473013</v>
      </c>
      <c r="J196" s="69">
        <f t="shared" ca="1" si="115"/>
        <v>1146.2177090349037</v>
      </c>
      <c r="K196" s="69">
        <f t="shared" ca="1" si="116"/>
        <v>1178.8858069612227</v>
      </c>
      <c r="L196" s="69">
        <f t="shared" ca="1" si="117"/>
        <v>955.86065211145251</v>
      </c>
      <c r="M196" s="69">
        <f t="shared" ca="1" si="118"/>
        <v>985.682453876517</v>
      </c>
      <c r="N196" s="69">
        <f t="shared" ca="1" si="119"/>
        <v>572.59455469565376</v>
      </c>
      <c r="O196" s="69">
        <f t="shared" ca="1" si="120"/>
        <v>628.02666148836477</v>
      </c>
      <c r="P196" s="69">
        <f t="shared" ca="1" si="121"/>
        <v>724.32634897027492</v>
      </c>
      <c r="Q196" s="69">
        <f t="shared" ca="1" si="122"/>
        <v>954.47066905067834</v>
      </c>
      <c r="R196" s="69">
        <f t="shared" ca="1" si="123"/>
        <v>782.79680392699606</v>
      </c>
      <c r="S196" s="69">
        <f t="shared" ca="1" si="124"/>
        <v>701.10725771143723</v>
      </c>
      <c r="T196" s="69">
        <f t="shared" ca="1" si="125"/>
        <v>802.55282411666565</v>
      </c>
      <c r="U196" s="69">
        <f t="shared" ca="1" si="126"/>
        <v>1691.440261820278</v>
      </c>
      <c r="V196" s="69">
        <f t="shared" ca="1" si="127"/>
        <v>1912.0741999238253</v>
      </c>
      <c r="W196" s="69">
        <f t="shared" ca="1" si="128"/>
        <v>1177.4297759301294</v>
      </c>
      <c r="X196" s="69">
        <f t="shared" ca="1" si="129"/>
        <v>1490.004370791869</v>
      </c>
      <c r="Y196" s="69">
        <f t="shared" ca="1" si="130"/>
        <v>1208.1266239682288</v>
      </c>
      <c r="AA196" s="20">
        <f t="shared" ca="1" si="131"/>
        <v>6.549684152931004E+16</v>
      </c>
      <c r="AB196" s="20">
        <f t="shared" ca="1" si="132"/>
        <v>1690953827601360.3</v>
      </c>
      <c r="AC196" s="20">
        <f t="shared" ca="1" si="133"/>
        <v>399418929998930.06</v>
      </c>
      <c r="AD196" s="20">
        <f t="shared" ca="1" si="134"/>
        <v>304511714807980.94</v>
      </c>
      <c r="AE196" s="20">
        <f t="shared" ca="1" si="135"/>
        <v>6854825718562542</v>
      </c>
      <c r="AG196" s="16">
        <f t="shared" ref="AG196:AG259" ca="1" si="136">LN(AA197/AA196)</f>
        <v>-1.3646453106313844E-4</v>
      </c>
      <c r="AH196" s="16">
        <f t="shared" ref="AH196:AH259" ca="1" si="137">LN(AB197/AB196)</f>
        <v>9.0655094682055157E-5</v>
      </c>
      <c r="AI196" s="16">
        <f t="shared" ref="AI196:AI259" ca="1" si="138">LN(AC197/AC196)</f>
        <v>1.5713696346684521E-3</v>
      </c>
      <c r="AJ196" s="16">
        <f t="shared" ref="AJ196:AJ259" ca="1" si="139">LN(AD197/AD196)</f>
        <v>1.5099105965403213E-4</v>
      </c>
      <c r="AK196" s="16">
        <f t="shared" ref="AK196:AK259" ca="1" si="140">LN(AE197/AE196)</f>
        <v>3.2655176637819513E-4</v>
      </c>
      <c r="AM196" s="16">
        <f t="shared" ref="AM196:AM259" ca="1" si="141">AG196+AH196+AI196+AJ196</f>
        <v>1.676551257941401E-3</v>
      </c>
      <c r="AO196" s="16">
        <f t="shared" ref="AO196:AO259" ca="1" si="142">MIN(AG196,0)</f>
        <v>-1.3646453106313844E-4</v>
      </c>
      <c r="AP196" s="16">
        <f t="shared" ref="AP196:AP259" ca="1" si="143">MIN(AH196,0)</f>
        <v>0</v>
      </c>
      <c r="AQ196" s="16">
        <f t="shared" ref="AQ196:AQ259" ca="1" si="144">MIN(AI196,0)</f>
        <v>0</v>
      </c>
      <c r="AR196" s="16">
        <f t="shared" ref="AR196:AR259" ca="1" si="145">MIN(AJ196,0)</f>
        <v>0</v>
      </c>
      <c r="AS196" s="16">
        <f t="shared" ref="AS196:AS259" ca="1" si="146">MIN(AK196,0)</f>
        <v>0</v>
      </c>
    </row>
    <row r="197" spans="1:45" x14ac:dyDescent="0.25">
      <c r="A197" s="69">
        <f t="shared" ref="A197:A260" ca="1" si="147">A196+ $A$1 * RAND()  * RANDBETWEEN(-1,1)</f>
        <v>2449.5324917491375</v>
      </c>
      <c r="B197" s="69">
        <f t="shared" ref="B197:B260" ca="1" si="148">B196+ $A$1 * RAND()  * RANDBETWEEN(-1,1)</f>
        <v>2133.8896697836421</v>
      </c>
      <c r="C197" s="69">
        <f t="shared" ref="C197:C260" ca="1" si="149">C196+ $A$1 * RAND()  * RANDBETWEEN(-1,1)</f>
        <v>2229.8722527471878</v>
      </c>
      <c r="D197" s="69">
        <f t="shared" ref="D197:D260" ca="1" si="150">D196+ $A$1 * RAND()  * RANDBETWEEN(-1,1)</f>
        <v>2908.387647774518</v>
      </c>
      <c r="E197" s="69">
        <f t="shared" ref="E197:E260" ca="1" si="151">E196+ $A$1 * RAND()  * RANDBETWEEN(-1,1)</f>
        <v>1931.8511072700014</v>
      </c>
      <c r="F197" s="69">
        <f t="shared" ref="F197:F260" ca="1" si="152">F196+ $A$1 * RAND()  * RANDBETWEEN(-1,1)</f>
        <v>1223.5990751413312</v>
      </c>
      <c r="G197" s="69">
        <f t="shared" ref="G197:G260" ca="1" si="153">G196+ $A$1 * RAND()  * RANDBETWEEN(-1,1)</f>
        <v>965.3005262539931</v>
      </c>
      <c r="H197" s="69">
        <f t="shared" ref="H197:H260" ca="1" si="154">H196+ $A$1 * RAND()  * RANDBETWEEN(-1,1)</f>
        <v>1190.9943723770475</v>
      </c>
      <c r="I197" s="69">
        <f t="shared" ref="I197:I260" ca="1" si="155">I196+ $A$1 * RAND()  * RANDBETWEEN(-1,1)</f>
        <v>1048.7998431274175</v>
      </c>
      <c r="J197" s="69">
        <f t="shared" ref="J197:J260" ca="1" si="156">J196+ $A$1 * RAND()  * RANDBETWEEN(-1,1)</f>
        <v>1146.2177090349037</v>
      </c>
      <c r="K197" s="69">
        <f t="shared" ref="K197:K260" ca="1" si="157">K196+ $A$1 * RAND()  * RANDBETWEEN(-1,1)</f>
        <v>1178.8858069612227</v>
      </c>
      <c r="L197" s="69">
        <f t="shared" ref="L197:L260" ca="1" si="158">L196+ $A$1 * RAND()  * RANDBETWEEN(-1,1)</f>
        <v>955.70328573002075</v>
      </c>
      <c r="M197" s="69">
        <f t="shared" ref="M197:M260" ca="1" si="159">M196+ $A$1 * RAND()  * RANDBETWEEN(-1,1)</f>
        <v>986.16040393464459</v>
      </c>
      <c r="N197" s="69">
        <f t="shared" ref="N197:N260" ca="1" si="160">N196+ $A$1 * RAND()  * RANDBETWEEN(-1,1)</f>
        <v>573.05513244184488</v>
      </c>
      <c r="O197" s="69">
        <f t="shared" ref="O197:O260" ca="1" si="161">O196+ $A$1 * RAND()  * RANDBETWEEN(-1,1)</f>
        <v>628.3075746360629</v>
      </c>
      <c r="P197" s="69">
        <f t="shared" ref="P197:P260" ca="1" si="162">P196+ $A$1 * RAND()  * RANDBETWEEN(-1,1)</f>
        <v>724.26795802204686</v>
      </c>
      <c r="Q197" s="69">
        <f t="shared" ref="Q197:Q260" ca="1" si="163">Q196+ $A$1 * RAND()  * RANDBETWEEN(-1,1)</f>
        <v>954.47066905067834</v>
      </c>
      <c r="R197" s="69">
        <f t="shared" ref="R197:R260" ca="1" si="164">R196+ $A$1 * RAND()  * RANDBETWEEN(-1,1)</f>
        <v>783.13039629937634</v>
      </c>
      <c r="S197" s="69">
        <f t="shared" ref="S197:S260" ca="1" si="165">S196+ $A$1 * RAND()  * RANDBETWEEN(-1,1)</f>
        <v>700.98234663427024</v>
      </c>
      <c r="T197" s="69">
        <f t="shared" ref="T197:T260" ca="1" si="166">T196+ $A$1 * RAND()  * RANDBETWEEN(-1,1)</f>
        <v>802.53976122551228</v>
      </c>
      <c r="U197" s="69">
        <f t="shared" ref="U197:U260" ca="1" si="167">U196+ $A$1 * RAND()  * RANDBETWEEN(-1,1)</f>
        <v>1691.3123111307682</v>
      </c>
      <c r="V197" s="69">
        <f t="shared" ref="V197:V260" ca="1" si="168">V196+ $A$1 * RAND()  * RANDBETWEEN(-1,1)</f>
        <v>1912.0741999238253</v>
      </c>
      <c r="W197" s="69">
        <f t="shared" ref="W197:W260" ca="1" si="169">W196+ $A$1 * RAND()  * RANDBETWEEN(-1,1)</f>
        <v>1177.9034341711217</v>
      </c>
      <c r="X197" s="69">
        <f t="shared" ref="X197:X260" ca="1" si="170">X196+ $A$1 * RAND()  * RANDBETWEEN(-1,1)</f>
        <v>1490.004370791869</v>
      </c>
      <c r="Y197" s="69">
        <f t="shared" ref="Y197:Y260" ca="1" si="171">Y196+ $A$1 * RAND()  * RANDBETWEEN(-1,1)</f>
        <v>1208.1266239682288</v>
      </c>
      <c r="AA197" s="20">
        <f t="shared" ca="1" si="131"/>
        <v>6.5487904143376584E+16</v>
      </c>
      <c r="AB197" s="20">
        <f t="shared" ca="1" si="132"/>
        <v>1691107128129336.5</v>
      </c>
      <c r="AC197" s="20">
        <f t="shared" ca="1" si="133"/>
        <v>400047058158552.5</v>
      </c>
      <c r="AD197" s="20">
        <f t="shared" ca="1" si="134"/>
        <v>304557696825826.31</v>
      </c>
      <c r="AE197" s="20">
        <f t="shared" ca="1" si="135"/>
        <v>6857064539534730</v>
      </c>
      <c r="AG197" s="16">
        <f t="shared" ca="1" si="136"/>
        <v>-2.5421430169513567E-4</v>
      </c>
      <c r="AH197" s="16">
        <f t="shared" ca="1" si="137"/>
        <v>-2.6434182392186126E-4</v>
      </c>
      <c r="AI197" s="16">
        <f t="shared" ca="1" si="138"/>
        <v>4.1266977926667533E-4</v>
      </c>
      <c r="AJ197" s="16">
        <f t="shared" ca="1" si="139"/>
        <v>1.3908456637258044E-4</v>
      </c>
      <c r="AK197" s="16">
        <f t="shared" ca="1" si="140"/>
        <v>-3.2372541451330467E-4</v>
      </c>
      <c r="AM197" s="16">
        <f t="shared" ca="1" si="141"/>
        <v>3.3198220022258838E-5</v>
      </c>
      <c r="AO197" s="16">
        <f t="shared" ca="1" si="142"/>
        <v>-2.5421430169513567E-4</v>
      </c>
      <c r="AP197" s="16">
        <f t="shared" ca="1" si="143"/>
        <v>-2.6434182392186126E-4</v>
      </c>
      <c r="AQ197" s="16">
        <f t="shared" ca="1" si="144"/>
        <v>0</v>
      </c>
      <c r="AR197" s="16">
        <f t="shared" ca="1" si="145"/>
        <v>0</v>
      </c>
      <c r="AS197" s="16">
        <f t="shared" ca="1" si="146"/>
        <v>-3.2372541451330467E-4</v>
      </c>
    </row>
    <row r="198" spans="1:45" x14ac:dyDescent="0.25">
      <c r="A198" s="69">
        <f t="shared" ca="1" si="147"/>
        <v>2449.5324917491375</v>
      </c>
      <c r="B198" s="69">
        <f t="shared" ca="1" si="148"/>
        <v>2133.6931409789404</v>
      </c>
      <c r="C198" s="69">
        <f t="shared" ca="1" si="149"/>
        <v>2229.8722527471878</v>
      </c>
      <c r="D198" s="69">
        <f t="shared" ca="1" si="150"/>
        <v>2908.387647774518</v>
      </c>
      <c r="E198" s="69">
        <f t="shared" ca="1" si="151"/>
        <v>1931.537957950193</v>
      </c>
      <c r="F198" s="69">
        <f t="shared" ca="1" si="152"/>
        <v>1223.3651443668671</v>
      </c>
      <c r="G198" s="69">
        <f t="shared" ca="1" si="153"/>
        <v>965.00958782779696</v>
      </c>
      <c r="H198" s="69">
        <f t="shared" ca="1" si="154"/>
        <v>1190.9943723770475</v>
      </c>
      <c r="I198" s="69">
        <f t="shared" ca="1" si="155"/>
        <v>1048.7998431274175</v>
      </c>
      <c r="J198" s="69">
        <f t="shared" ca="1" si="156"/>
        <v>1146.4794217334036</v>
      </c>
      <c r="K198" s="69">
        <f t="shared" ca="1" si="157"/>
        <v>1178.4492956056654</v>
      </c>
      <c r="L198" s="69">
        <f t="shared" ca="1" si="158"/>
        <v>955.91826514243712</v>
      </c>
      <c r="M198" s="69">
        <f t="shared" ca="1" si="159"/>
        <v>986.27277208504756</v>
      </c>
      <c r="N198" s="69">
        <f t="shared" ca="1" si="160"/>
        <v>573.49156328337028</v>
      </c>
      <c r="O198" s="69">
        <f t="shared" ca="1" si="161"/>
        <v>628.10834450317645</v>
      </c>
      <c r="P198" s="69">
        <f t="shared" ca="1" si="162"/>
        <v>724.26795802204686</v>
      </c>
      <c r="Q198" s="69">
        <f t="shared" ca="1" si="163"/>
        <v>954.22714597436322</v>
      </c>
      <c r="R198" s="69">
        <f t="shared" ca="1" si="164"/>
        <v>783.27775209509866</v>
      </c>
      <c r="S198" s="69">
        <f t="shared" ca="1" si="165"/>
        <v>700.98234663427024</v>
      </c>
      <c r="T198" s="69">
        <f t="shared" ca="1" si="166"/>
        <v>802.70519110326234</v>
      </c>
      <c r="U198" s="69">
        <f t="shared" ca="1" si="167"/>
        <v>1691.3474850515113</v>
      </c>
      <c r="V198" s="69">
        <f t="shared" ca="1" si="168"/>
        <v>1911.805321913499</v>
      </c>
      <c r="W198" s="69">
        <f t="shared" ca="1" si="169"/>
        <v>1177.7811356312504</v>
      </c>
      <c r="X198" s="69">
        <f t="shared" ca="1" si="170"/>
        <v>1490.1309335006367</v>
      </c>
      <c r="Y198" s="69">
        <f t="shared" ca="1" si="171"/>
        <v>1207.9031461952263</v>
      </c>
      <c r="AA198" s="20">
        <f t="shared" ca="1" si="131"/>
        <v>6.5471258297450992E+16</v>
      </c>
      <c r="AB198" s="20">
        <f t="shared" ca="1" si="132"/>
        <v>1690660156865841.8</v>
      </c>
      <c r="AC198" s="20">
        <f t="shared" ca="1" si="133"/>
        <v>400212179557701.44</v>
      </c>
      <c r="AD198" s="20">
        <f t="shared" ca="1" si="134"/>
        <v>304600059046922.06</v>
      </c>
      <c r="AE198" s="20">
        <f t="shared" ca="1" si="135"/>
        <v>6854845092739374</v>
      </c>
      <c r="AG198" s="16">
        <f t="shared" ca="1" si="136"/>
        <v>-3.0218865243717596E-4</v>
      </c>
      <c r="AH198" s="16">
        <f t="shared" ca="1" si="137"/>
        <v>-1.7464487626395105E-4</v>
      </c>
      <c r="AI198" s="16">
        <f t="shared" ca="1" si="138"/>
        <v>2.53048513806828E-4</v>
      </c>
      <c r="AJ198" s="16">
        <f t="shared" ca="1" si="139"/>
        <v>8.6645610567201415E-4</v>
      </c>
      <c r="AK198" s="16">
        <f t="shared" ca="1" si="140"/>
        <v>-2.9325816460104543E-4</v>
      </c>
      <c r="AM198" s="16">
        <f t="shared" ca="1" si="141"/>
        <v>6.4267109077771514E-4</v>
      </c>
      <c r="AO198" s="16">
        <f t="shared" ca="1" si="142"/>
        <v>-3.0218865243717596E-4</v>
      </c>
      <c r="AP198" s="16">
        <f t="shared" ca="1" si="143"/>
        <v>-1.7464487626395105E-4</v>
      </c>
      <c r="AQ198" s="16">
        <f t="shared" ca="1" si="144"/>
        <v>0</v>
      </c>
      <c r="AR198" s="16">
        <f t="shared" ca="1" si="145"/>
        <v>0</v>
      </c>
      <c r="AS198" s="16">
        <f t="shared" ca="1" si="146"/>
        <v>-2.9325816460104543E-4</v>
      </c>
    </row>
    <row r="199" spans="1:45" x14ac:dyDescent="0.25">
      <c r="A199" s="69">
        <f t="shared" ca="1" si="147"/>
        <v>2449.3599287768438</v>
      </c>
      <c r="B199" s="69">
        <f t="shared" ca="1" si="148"/>
        <v>2133.6931409789404</v>
      </c>
      <c r="C199" s="69">
        <f t="shared" ca="1" si="149"/>
        <v>2229.5724669362321</v>
      </c>
      <c r="D199" s="69">
        <f t="shared" ca="1" si="150"/>
        <v>2908.1047073445202</v>
      </c>
      <c r="E199" s="69">
        <f t="shared" ca="1" si="151"/>
        <v>1931.537957950193</v>
      </c>
      <c r="F199" s="69">
        <f t="shared" ca="1" si="152"/>
        <v>1223.1515085683454</v>
      </c>
      <c r="G199" s="69">
        <f t="shared" ca="1" si="153"/>
        <v>965.00958782779696</v>
      </c>
      <c r="H199" s="69">
        <f t="shared" ca="1" si="154"/>
        <v>1190.9943723770475</v>
      </c>
      <c r="I199" s="69">
        <f t="shared" ca="1" si="155"/>
        <v>1048.7998431274175</v>
      </c>
      <c r="J199" s="69">
        <f t="shared" ca="1" si="156"/>
        <v>1146.4794217334036</v>
      </c>
      <c r="K199" s="69">
        <f t="shared" ca="1" si="157"/>
        <v>1178.265158406665</v>
      </c>
      <c r="L199" s="69">
        <f t="shared" ca="1" si="158"/>
        <v>956.14737998770977</v>
      </c>
      <c r="M199" s="69">
        <f t="shared" ca="1" si="159"/>
        <v>986.50891141479997</v>
      </c>
      <c r="N199" s="69">
        <f t="shared" ca="1" si="160"/>
        <v>573.68594425801234</v>
      </c>
      <c r="O199" s="69">
        <f t="shared" ca="1" si="161"/>
        <v>627.85173926757454</v>
      </c>
      <c r="P199" s="69">
        <f t="shared" ca="1" si="162"/>
        <v>724.76136570776805</v>
      </c>
      <c r="Q199" s="69">
        <f t="shared" ca="1" si="163"/>
        <v>954.02209831815799</v>
      </c>
      <c r="R199" s="69">
        <f t="shared" ca="1" si="164"/>
        <v>783.27775209509866</v>
      </c>
      <c r="S199" s="69">
        <f t="shared" ca="1" si="165"/>
        <v>701.15317473315031</v>
      </c>
      <c r="T199" s="69">
        <f t="shared" ca="1" si="166"/>
        <v>802.83096557759211</v>
      </c>
      <c r="U199" s="69">
        <f t="shared" ca="1" si="167"/>
        <v>1691.3483061277905</v>
      </c>
      <c r="V199" s="69">
        <f t="shared" ca="1" si="168"/>
        <v>1911.805321913499</v>
      </c>
      <c r="W199" s="69">
        <f t="shared" ca="1" si="169"/>
        <v>1177.7811356312504</v>
      </c>
      <c r="X199" s="69">
        <f t="shared" ca="1" si="170"/>
        <v>1489.6932813258338</v>
      </c>
      <c r="Y199" s="69">
        <f t="shared" ca="1" si="171"/>
        <v>1207.9031461952263</v>
      </c>
      <c r="AA199" s="20">
        <f t="shared" ca="1" si="131"/>
        <v>6.5451476615183208E+16</v>
      </c>
      <c r="AB199" s="20">
        <f t="shared" ca="1" si="132"/>
        <v>1690364917513712</v>
      </c>
      <c r="AC199" s="20">
        <f t="shared" ca="1" si="133"/>
        <v>400313465469530.19</v>
      </c>
      <c r="AD199" s="20">
        <f t="shared" ca="1" si="134"/>
        <v>304864095999567.44</v>
      </c>
      <c r="AE199" s="20">
        <f t="shared" ca="1" si="135"/>
        <v>6852835148179584</v>
      </c>
      <c r="AG199" s="16">
        <f t="shared" ca="1" si="136"/>
        <v>-2.0639724404341675E-4</v>
      </c>
      <c r="AH199" s="16">
        <f t="shared" ca="1" si="137"/>
        <v>2.8703417655361697E-4</v>
      </c>
      <c r="AI199" s="16">
        <f t="shared" ca="1" si="138"/>
        <v>2.1431672056675951E-4</v>
      </c>
      <c r="AJ199" s="16">
        <f t="shared" ca="1" si="139"/>
        <v>1.1320791505640196E-3</v>
      </c>
      <c r="AK199" s="16">
        <f t="shared" ca="1" si="140"/>
        <v>-1.8007206659947632E-4</v>
      </c>
      <c r="AM199" s="16">
        <f t="shared" ca="1" si="141"/>
        <v>1.4270328036409792E-3</v>
      </c>
      <c r="AO199" s="16">
        <f t="shared" ca="1" si="142"/>
        <v>-2.0639724404341675E-4</v>
      </c>
      <c r="AP199" s="16">
        <f t="shared" ca="1" si="143"/>
        <v>0</v>
      </c>
      <c r="AQ199" s="16">
        <f t="shared" ca="1" si="144"/>
        <v>0</v>
      </c>
      <c r="AR199" s="16">
        <f t="shared" ca="1" si="145"/>
        <v>0</v>
      </c>
      <c r="AS199" s="16">
        <f t="shared" ca="1" si="146"/>
        <v>-1.8007206659947632E-4</v>
      </c>
    </row>
    <row r="200" spans="1:45" x14ac:dyDescent="0.25">
      <c r="A200" s="69">
        <f t="shared" ca="1" si="147"/>
        <v>2448.8897094086674</v>
      </c>
      <c r="B200" s="69">
        <f t="shared" ca="1" si="148"/>
        <v>2133.7399012111391</v>
      </c>
      <c r="C200" s="69">
        <f t="shared" ca="1" si="149"/>
        <v>2229.5862653608474</v>
      </c>
      <c r="D200" s="69">
        <f t="shared" ca="1" si="150"/>
        <v>2908.1047073445202</v>
      </c>
      <c r="E200" s="69">
        <f t="shared" ca="1" si="151"/>
        <v>1931.4558575278979</v>
      </c>
      <c r="F200" s="69">
        <f t="shared" ca="1" si="152"/>
        <v>1223.5042107762706</v>
      </c>
      <c r="G200" s="69">
        <f t="shared" ca="1" si="153"/>
        <v>965.00958782779696</v>
      </c>
      <c r="H200" s="69">
        <f t="shared" ca="1" si="154"/>
        <v>1190.9943723770475</v>
      </c>
      <c r="I200" s="69">
        <f t="shared" ca="1" si="155"/>
        <v>1048.7985011395665</v>
      </c>
      <c r="J200" s="69">
        <f t="shared" ca="1" si="156"/>
        <v>1146.4794217334036</v>
      </c>
      <c r="K200" s="69">
        <f t="shared" ca="1" si="157"/>
        <v>1178.265158406665</v>
      </c>
      <c r="L200" s="69">
        <f t="shared" ca="1" si="158"/>
        <v>956.14737998770977</v>
      </c>
      <c r="M200" s="69">
        <f t="shared" ca="1" si="159"/>
        <v>987.0036295819209</v>
      </c>
      <c r="N200" s="69">
        <f t="shared" ca="1" si="160"/>
        <v>573.52129632626418</v>
      </c>
      <c r="O200" s="69">
        <f t="shared" ca="1" si="161"/>
        <v>627.85173926757454</v>
      </c>
      <c r="P200" s="69">
        <f t="shared" ca="1" si="162"/>
        <v>724.76136570776805</v>
      </c>
      <c r="Q200" s="69">
        <f t="shared" ca="1" si="163"/>
        <v>954.48791895221507</v>
      </c>
      <c r="R200" s="69">
        <f t="shared" ca="1" si="164"/>
        <v>783.27775209509866</v>
      </c>
      <c r="S200" s="69">
        <f t="shared" ca="1" si="165"/>
        <v>701.60481231734821</v>
      </c>
      <c r="T200" s="69">
        <f t="shared" ca="1" si="166"/>
        <v>802.83096557759211</v>
      </c>
      <c r="U200" s="69">
        <f t="shared" ca="1" si="167"/>
        <v>1691.0709275827844</v>
      </c>
      <c r="V200" s="69">
        <f t="shared" ca="1" si="168"/>
        <v>1911.805321913499</v>
      </c>
      <c r="W200" s="69">
        <f t="shared" ca="1" si="169"/>
        <v>1177.7811356312504</v>
      </c>
      <c r="X200" s="69">
        <f t="shared" ca="1" si="170"/>
        <v>1489.6693568336066</v>
      </c>
      <c r="Y200" s="69">
        <f t="shared" ca="1" si="171"/>
        <v>1207.9031461952263</v>
      </c>
      <c r="AA200" s="20">
        <f t="shared" ca="1" si="131"/>
        <v>6.5437969004805992E+16</v>
      </c>
      <c r="AB200" s="20">
        <f t="shared" ca="1" si="132"/>
        <v>1690850179655963.8</v>
      </c>
      <c r="AC200" s="20">
        <f t="shared" ca="1" si="133"/>
        <v>400399268532835.5</v>
      </c>
      <c r="AD200" s="20">
        <f t="shared" ca="1" si="134"/>
        <v>305209421717545.94</v>
      </c>
      <c r="AE200" s="20">
        <f t="shared" ca="1" si="135"/>
        <v>6851601255090559</v>
      </c>
      <c r="AG200" s="16">
        <f t="shared" ca="1" si="136"/>
        <v>5.6230426499969256E-4</v>
      </c>
      <c r="AH200" s="16">
        <f t="shared" ca="1" si="137"/>
        <v>3.5266105772542323E-4</v>
      </c>
      <c r="AI200" s="16">
        <f t="shared" ca="1" si="138"/>
        <v>-1.5262553911699045E-4</v>
      </c>
      <c r="AJ200" s="16">
        <f t="shared" ca="1" si="139"/>
        <v>-5.760437207144349E-4</v>
      </c>
      <c r="AK200" s="16">
        <f t="shared" ca="1" si="140"/>
        <v>2.6647912942717088E-4</v>
      </c>
      <c r="AM200" s="16">
        <f t="shared" ca="1" si="141"/>
        <v>1.8629606289369044E-4</v>
      </c>
      <c r="AO200" s="16">
        <f t="shared" ca="1" si="142"/>
        <v>0</v>
      </c>
      <c r="AP200" s="16">
        <f t="shared" ca="1" si="143"/>
        <v>0</v>
      </c>
      <c r="AQ200" s="16">
        <f t="shared" ca="1" si="144"/>
        <v>-1.5262553911699045E-4</v>
      </c>
      <c r="AR200" s="16">
        <f t="shared" ca="1" si="145"/>
        <v>-5.760437207144349E-4</v>
      </c>
      <c r="AS200" s="16">
        <f t="shared" ca="1" si="146"/>
        <v>0</v>
      </c>
    </row>
    <row r="201" spans="1:45" x14ac:dyDescent="0.25">
      <c r="A201" s="69">
        <f t="shared" ca="1" si="147"/>
        <v>2449.3352906228529</v>
      </c>
      <c r="B201" s="69">
        <f t="shared" ca="1" si="148"/>
        <v>2133.7399012111391</v>
      </c>
      <c r="C201" s="69">
        <f t="shared" ca="1" si="149"/>
        <v>2229.878368189738</v>
      </c>
      <c r="D201" s="69">
        <f t="shared" ca="1" si="150"/>
        <v>2908.4974403217725</v>
      </c>
      <c r="E201" s="69">
        <f t="shared" ca="1" si="151"/>
        <v>1931.6766863716339</v>
      </c>
      <c r="F201" s="69">
        <f t="shared" ca="1" si="152"/>
        <v>1223.5042107762706</v>
      </c>
      <c r="G201" s="69">
        <f t="shared" ca="1" si="153"/>
        <v>965.32269250424895</v>
      </c>
      <c r="H201" s="69">
        <f t="shared" ca="1" si="154"/>
        <v>1190.6301537808945</v>
      </c>
      <c r="I201" s="69">
        <f t="shared" ca="1" si="155"/>
        <v>1048.7322379475365</v>
      </c>
      <c r="J201" s="69">
        <f t="shared" ca="1" si="156"/>
        <v>1146.935003314095</v>
      </c>
      <c r="K201" s="69">
        <f t="shared" ca="1" si="157"/>
        <v>1178.265158406665</v>
      </c>
      <c r="L201" s="69">
        <f t="shared" ca="1" si="158"/>
        <v>956.39821154326921</v>
      </c>
      <c r="M201" s="69">
        <f t="shared" ca="1" si="159"/>
        <v>987.0036295819209</v>
      </c>
      <c r="N201" s="69">
        <f t="shared" ca="1" si="160"/>
        <v>573.28337633499825</v>
      </c>
      <c r="O201" s="69">
        <f t="shared" ca="1" si="161"/>
        <v>627.85173926757454</v>
      </c>
      <c r="P201" s="69">
        <f t="shared" ca="1" si="162"/>
        <v>724.71660629961582</v>
      </c>
      <c r="Q201" s="69">
        <f t="shared" ca="1" si="163"/>
        <v>954.67033061013683</v>
      </c>
      <c r="R201" s="69">
        <f t="shared" ca="1" si="164"/>
        <v>782.95139569202172</v>
      </c>
      <c r="S201" s="69">
        <f t="shared" ca="1" si="165"/>
        <v>701.40233455378632</v>
      </c>
      <c r="T201" s="69">
        <f t="shared" ca="1" si="166"/>
        <v>802.83096557759211</v>
      </c>
      <c r="U201" s="69">
        <f t="shared" ca="1" si="167"/>
        <v>1691.0709275827844</v>
      </c>
      <c r="V201" s="69">
        <f t="shared" ca="1" si="168"/>
        <v>1911.783282707921</v>
      </c>
      <c r="W201" s="69">
        <f t="shared" ca="1" si="169"/>
        <v>1177.7811356312504</v>
      </c>
      <c r="X201" s="69">
        <f t="shared" ca="1" si="170"/>
        <v>1489.6693568336066</v>
      </c>
      <c r="Y201" s="69">
        <f t="shared" ca="1" si="171"/>
        <v>1208.2389985898635</v>
      </c>
      <c r="AA201" s="20">
        <f t="shared" ca="1" si="131"/>
        <v>6.547477540109732E+16</v>
      </c>
      <c r="AB201" s="20">
        <f t="shared" ca="1" si="132"/>
        <v>1691446581826505.3</v>
      </c>
      <c r="AC201" s="20">
        <f t="shared" ca="1" si="133"/>
        <v>400338162041937.81</v>
      </c>
      <c r="AD201" s="20">
        <f t="shared" ca="1" si="134"/>
        <v>305033658375207.75</v>
      </c>
      <c r="AE201" s="20">
        <f t="shared" ca="1" si="135"/>
        <v>6853427307119769</v>
      </c>
      <c r="AG201" s="16">
        <f t="shared" ca="1" si="136"/>
        <v>2.3149862485957376E-4</v>
      </c>
      <c r="AH201" s="16">
        <f t="shared" ca="1" si="137"/>
        <v>-1.1224132154468321E-6</v>
      </c>
      <c r="AI201" s="16">
        <f t="shared" ca="1" si="138"/>
        <v>-6.7467040796807665E-6</v>
      </c>
      <c r="AJ201" s="16">
        <f t="shared" ca="1" si="139"/>
        <v>-1.0051885037666197E-3</v>
      </c>
      <c r="AK201" s="16">
        <f t="shared" ca="1" si="140"/>
        <v>-2.631479730015523E-4</v>
      </c>
      <c r="AM201" s="16">
        <f t="shared" ca="1" si="141"/>
        <v>-7.8155899620217361E-4</v>
      </c>
      <c r="AO201" s="16">
        <f t="shared" ca="1" si="142"/>
        <v>0</v>
      </c>
      <c r="AP201" s="16">
        <f t="shared" ca="1" si="143"/>
        <v>-1.1224132154468321E-6</v>
      </c>
      <c r="AQ201" s="16">
        <f t="shared" ca="1" si="144"/>
        <v>-6.7467040796807665E-6</v>
      </c>
      <c r="AR201" s="16">
        <f t="shared" ca="1" si="145"/>
        <v>-1.0051885037666197E-3</v>
      </c>
      <c r="AS201" s="16">
        <f t="shared" ca="1" si="146"/>
        <v>-2.631479730015523E-4</v>
      </c>
    </row>
    <row r="202" spans="1:45" x14ac:dyDescent="0.25">
      <c r="A202" s="69">
        <f t="shared" ca="1" si="147"/>
        <v>2449.324745098344</v>
      </c>
      <c r="B202" s="69">
        <f t="shared" ca="1" si="148"/>
        <v>2133.7399012111391</v>
      </c>
      <c r="C202" s="69">
        <f t="shared" ca="1" si="149"/>
        <v>2230.0889574172106</v>
      </c>
      <c r="D202" s="69">
        <f t="shared" ca="1" si="150"/>
        <v>2908.4974403217725</v>
      </c>
      <c r="E202" s="69">
        <f t="shared" ca="1" si="151"/>
        <v>1931.9497844415944</v>
      </c>
      <c r="F202" s="69">
        <f t="shared" ca="1" si="152"/>
        <v>1223.5042107762706</v>
      </c>
      <c r="G202" s="69">
        <f t="shared" ca="1" si="153"/>
        <v>965.14951283636697</v>
      </c>
      <c r="H202" s="69">
        <f t="shared" ca="1" si="154"/>
        <v>1190.2325009005669</v>
      </c>
      <c r="I202" s="69">
        <f t="shared" ca="1" si="155"/>
        <v>1048.8940947308151</v>
      </c>
      <c r="J202" s="69">
        <f t="shared" ca="1" si="156"/>
        <v>1147.3456930265083</v>
      </c>
      <c r="K202" s="69">
        <f t="shared" ca="1" si="157"/>
        <v>1177.9796504815261</v>
      </c>
      <c r="L202" s="69">
        <f t="shared" ca="1" si="158"/>
        <v>956.02649565444528</v>
      </c>
      <c r="M202" s="69">
        <f t="shared" ca="1" si="159"/>
        <v>987.37516828008199</v>
      </c>
      <c r="N202" s="69">
        <f t="shared" ca="1" si="160"/>
        <v>573.42555246324719</v>
      </c>
      <c r="O202" s="69">
        <f t="shared" ca="1" si="161"/>
        <v>627.85173926757454</v>
      </c>
      <c r="P202" s="69">
        <f t="shared" ca="1" si="162"/>
        <v>724.23224414091715</v>
      </c>
      <c r="Q202" s="69">
        <f t="shared" ca="1" si="163"/>
        <v>954.43425154843067</v>
      </c>
      <c r="R202" s="69">
        <f t="shared" ca="1" si="164"/>
        <v>782.87493166212289</v>
      </c>
      <c r="S202" s="69">
        <f t="shared" ca="1" si="165"/>
        <v>701.40233455378632</v>
      </c>
      <c r="T202" s="69">
        <f t="shared" ca="1" si="166"/>
        <v>802.8376829873381</v>
      </c>
      <c r="U202" s="69">
        <f t="shared" ca="1" si="167"/>
        <v>1690.902809705427</v>
      </c>
      <c r="V202" s="69">
        <f t="shared" ca="1" si="168"/>
        <v>1911.5189838061235</v>
      </c>
      <c r="W202" s="69">
        <f t="shared" ca="1" si="169"/>
        <v>1177.7811356312504</v>
      </c>
      <c r="X202" s="69">
        <f t="shared" ca="1" si="170"/>
        <v>1489.6693568336066</v>
      </c>
      <c r="Y202" s="69">
        <f t="shared" ca="1" si="171"/>
        <v>1208.2082237753914</v>
      </c>
      <c r="AA202" s="20">
        <f t="shared" ca="1" si="131"/>
        <v>6.5489934476150472E+16</v>
      </c>
      <c r="AB202" s="20">
        <f t="shared" ca="1" si="132"/>
        <v>1691444683325574</v>
      </c>
      <c r="AC202" s="20">
        <f t="shared" ca="1" si="133"/>
        <v>400335461087938</v>
      </c>
      <c r="AD202" s="20">
        <f t="shared" ca="1" si="134"/>
        <v>304727196100529</v>
      </c>
      <c r="AE202" s="20">
        <f t="shared" ca="1" si="135"/>
        <v>6851624078884120</v>
      </c>
      <c r="AG202" s="16">
        <f t="shared" ca="1" si="136"/>
        <v>1.4936839640554061E-5</v>
      </c>
      <c r="AH202" s="16">
        <f t="shared" ca="1" si="137"/>
        <v>-5.5043164741930999E-4</v>
      </c>
      <c r="AI202" s="16">
        <f t="shared" ca="1" si="138"/>
        <v>2.2052927658679894E-4</v>
      </c>
      <c r="AJ202" s="16">
        <f t="shared" ca="1" si="139"/>
        <v>-1.0940373083259158E-3</v>
      </c>
      <c r="AK202" s="16">
        <f t="shared" ca="1" si="140"/>
        <v>-2.5481554909402809E-4</v>
      </c>
      <c r="AM202" s="16">
        <f t="shared" ca="1" si="141"/>
        <v>-1.4090028395178727E-3</v>
      </c>
      <c r="AO202" s="16">
        <f t="shared" ca="1" si="142"/>
        <v>0</v>
      </c>
      <c r="AP202" s="16">
        <f t="shared" ca="1" si="143"/>
        <v>-5.5043164741930999E-4</v>
      </c>
      <c r="AQ202" s="16">
        <f t="shared" ca="1" si="144"/>
        <v>0</v>
      </c>
      <c r="AR202" s="16">
        <f t="shared" ca="1" si="145"/>
        <v>-1.0940373083259158E-3</v>
      </c>
      <c r="AS202" s="16">
        <f t="shared" ca="1" si="146"/>
        <v>-2.5481554909402809E-4</v>
      </c>
    </row>
    <row r="203" spans="1:45" x14ac:dyDescent="0.25">
      <c r="A203" s="69">
        <f t="shared" ca="1" si="147"/>
        <v>2449.3679945869062</v>
      </c>
      <c r="B203" s="69">
        <f t="shared" ca="1" si="148"/>
        <v>2133.7399012111391</v>
      </c>
      <c r="C203" s="69">
        <f t="shared" ca="1" si="149"/>
        <v>2230.0828899696808</v>
      </c>
      <c r="D203" s="69">
        <f t="shared" ca="1" si="150"/>
        <v>2908.4974403217725</v>
      </c>
      <c r="E203" s="69">
        <f t="shared" ca="1" si="151"/>
        <v>1931.9497844415944</v>
      </c>
      <c r="F203" s="69">
        <f t="shared" ca="1" si="152"/>
        <v>1223.3056344184508</v>
      </c>
      <c r="G203" s="69">
        <f t="shared" ca="1" si="153"/>
        <v>965.14951283636697</v>
      </c>
      <c r="H203" s="69">
        <f t="shared" ca="1" si="154"/>
        <v>1190.2325009005669</v>
      </c>
      <c r="I203" s="69">
        <f t="shared" ca="1" si="155"/>
        <v>1048.4870799365972</v>
      </c>
      <c r="J203" s="69">
        <f t="shared" ca="1" si="156"/>
        <v>1147.3456930265083</v>
      </c>
      <c r="K203" s="69">
        <f t="shared" ca="1" si="157"/>
        <v>1177.9796504815261</v>
      </c>
      <c r="L203" s="69">
        <f t="shared" ca="1" si="158"/>
        <v>956.02649565444528</v>
      </c>
      <c r="M203" s="69">
        <f t="shared" ca="1" si="159"/>
        <v>987.37516828008199</v>
      </c>
      <c r="N203" s="69">
        <f t="shared" ca="1" si="160"/>
        <v>573.42555246324719</v>
      </c>
      <c r="O203" s="69">
        <f t="shared" ca="1" si="161"/>
        <v>627.99021422576891</v>
      </c>
      <c r="P203" s="69">
        <f t="shared" ca="1" si="162"/>
        <v>724.23224414091715</v>
      </c>
      <c r="Q203" s="69">
        <f t="shared" ca="1" si="163"/>
        <v>954.18148064386435</v>
      </c>
      <c r="R203" s="69">
        <f t="shared" ca="1" si="164"/>
        <v>783.06315404264126</v>
      </c>
      <c r="S203" s="69">
        <f t="shared" ca="1" si="165"/>
        <v>700.90335592571876</v>
      </c>
      <c r="T203" s="69">
        <f t="shared" ca="1" si="166"/>
        <v>802.55039490054924</v>
      </c>
      <c r="U203" s="69">
        <f t="shared" ca="1" si="167"/>
        <v>1690.5721701375776</v>
      </c>
      <c r="V203" s="69">
        <f t="shared" ca="1" si="168"/>
        <v>1911.5189838061235</v>
      </c>
      <c r="W203" s="69">
        <f t="shared" ca="1" si="169"/>
        <v>1177.5522729821346</v>
      </c>
      <c r="X203" s="69">
        <f t="shared" ca="1" si="170"/>
        <v>1489.9104723183852</v>
      </c>
      <c r="Y203" s="69">
        <f t="shared" ca="1" si="171"/>
        <v>1208.1758855553041</v>
      </c>
      <c r="AA203" s="20">
        <f t="shared" ca="1" si="131"/>
        <v>6.5490912696105552E+16</v>
      </c>
      <c r="AB203" s="20">
        <f t="shared" ca="1" si="132"/>
        <v>1690513914827731.3</v>
      </c>
      <c r="AC203" s="20">
        <f t="shared" ca="1" si="133"/>
        <v>400423756513069</v>
      </c>
      <c r="AD203" s="20">
        <f t="shared" ca="1" si="134"/>
        <v>304393995479323.31</v>
      </c>
      <c r="AE203" s="20">
        <f t="shared" ca="1" si="135"/>
        <v>6849878400954659</v>
      </c>
      <c r="AG203" s="16">
        <f t="shared" ca="1" si="136"/>
        <v>2.5934192255060585E-4</v>
      </c>
      <c r="AH203" s="16">
        <f t="shared" ca="1" si="137"/>
        <v>-8.0887114411439692E-4</v>
      </c>
      <c r="AI203" s="16">
        <f t="shared" ca="1" si="138"/>
        <v>-1.7812598699092668E-4</v>
      </c>
      <c r="AJ203" s="16">
        <f t="shared" ca="1" si="139"/>
        <v>-6.9875548683855353E-4</v>
      </c>
      <c r="AK203" s="16">
        <f t="shared" ca="1" si="140"/>
        <v>7.8381543398553532E-4</v>
      </c>
      <c r="AM203" s="16">
        <f t="shared" ca="1" si="141"/>
        <v>-1.4264106953932713E-3</v>
      </c>
      <c r="AO203" s="16">
        <f t="shared" ca="1" si="142"/>
        <v>0</v>
      </c>
      <c r="AP203" s="16">
        <f t="shared" ca="1" si="143"/>
        <v>-8.0887114411439692E-4</v>
      </c>
      <c r="AQ203" s="16">
        <f t="shared" ca="1" si="144"/>
        <v>-1.7812598699092668E-4</v>
      </c>
      <c r="AR203" s="16">
        <f t="shared" ca="1" si="145"/>
        <v>-6.9875548683855353E-4</v>
      </c>
      <c r="AS203" s="16">
        <f t="shared" ca="1" si="146"/>
        <v>0</v>
      </c>
    </row>
    <row r="204" spans="1:45" x14ac:dyDescent="0.25">
      <c r="A204" s="69">
        <f t="shared" ca="1" si="147"/>
        <v>2449.5532181830822</v>
      </c>
      <c r="B204" s="69">
        <f t="shared" ca="1" si="148"/>
        <v>2133.8826510258846</v>
      </c>
      <c r="C204" s="69">
        <f t="shared" ca="1" si="149"/>
        <v>2229.6119043292856</v>
      </c>
      <c r="D204" s="69">
        <f t="shared" ca="1" si="150"/>
        <v>2908.8292093966011</v>
      </c>
      <c r="E204" s="69">
        <f t="shared" ca="1" si="151"/>
        <v>1932.3632296308024</v>
      </c>
      <c r="F204" s="69">
        <f t="shared" ca="1" si="152"/>
        <v>1223.0880507401744</v>
      </c>
      <c r="G204" s="69">
        <f t="shared" ca="1" si="153"/>
        <v>965.14951283636697</v>
      </c>
      <c r="H204" s="69">
        <f t="shared" ca="1" si="154"/>
        <v>1189.8170015947824</v>
      </c>
      <c r="I204" s="69">
        <f t="shared" ca="1" si="155"/>
        <v>1048.1654486289278</v>
      </c>
      <c r="J204" s="69">
        <f t="shared" ca="1" si="156"/>
        <v>1147.374338513263</v>
      </c>
      <c r="K204" s="69">
        <f t="shared" ca="1" si="157"/>
        <v>1177.9796504815261</v>
      </c>
      <c r="L204" s="69">
        <f t="shared" ca="1" si="158"/>
        <v>955.98472853484373</v>
      </c>
      <c r="M204" s="69">
        <f t="shared" ca="1" si="159"/>
        <v>987.04847354842263</v>
      </c>
      <c r="N204" s="69">
        <f t="shared" ca="1" si="160"/>
        <v>573.42555246324719</v>
      </c>
      <c r="O204" s="69">
        <f t="shared" ca="1" si="161"/>
        <v>628.11362008159392</v>
      </c>
      <c r="P204" s="69">
        <f t="shared" ca="1" si="162"/>
        <v>723.79451874260815</v>
      </c>
      <c r="Q204" s="69">
        <f t="shared" ca="1" si="163"/>
        <v>954.18148064386435</v>
      </c>
      <c r="R204" s="69">
        <f t="shared" ca="1" si="164"/>
        <v>783.06315404264126</v>
      </c>
      <c r="S204" s="69">
        <f t="shared" ca="1" si="165"/>
        <v>700.90335592571876</v>
      </c>
      <c r="T204" s="69">
        <f t="shared" ca="1" si="166"/>
        <v>802.47481943857383</v>
      </c>
      <c r="U204" s="69">
        <f t="shared" ca="1" si="167"/>
        <v>1690.8213140206733</v>
      </c>
      <c r="V204" s="69">
        <f t="shared" ca="1" si="168"/>
        <v>1911.5189838061235</v>
      </c>
      <c r="W204" s="69">
        <f t="shared" ca="1" si="169"/>
        <v>1177.5569491635104</v>
      </c>
      <c r="X204" s="69">
        <f t="shared" ca="1" si="170"/>
        <v>1490.3055448370003</v>
      </c>
      <c r="Y204" s="69">
        <f t="shared" ca="1" si="171"/>
        <v>1208.6197935804644</v>
      </c>
      <c r="AA204" s="20">
        <f t="shared" ca="1" si="131"/>
        <v>6.550789943790568E+16</v>
      </c>
      <c r="AB204" s="20">
        <f t="shared" ca="1" si="132"/>
        <v>1689147059782630</v>
      </c>
      <c r="AC204" s="20">
        <f t="shared" ca="1" si="133"/>
        <v>400352436988344.44</v>
      </c>
      <c r="AD204" s="20">
        <f t="shared" ca="1" si="134"/>
        <v>304181372799104.88</v>
      </c>
      <c r="AE204" s="20">
        <f t="shared" ca="1" si="135"/>
        <v>6855249546084489</v>
      </c>
      <c r="AG204" s="16">
        <f t="shared" ca="1" si="136"/>
        <v>-1.2007291212633834E-4</v>
      </c>
      <c r="AH204" s="16">
        <f t="shared" ca="1" si="137"/>
        <v>-2.5577532987279474E-4</v>
      </c>
      <c r="AI204" s="16">
        <f t="shared" ca="1" si="138"/>
        <v>-3.548387723984527E-6</v>
      </c>
      <c r="AJ204" s="16">
        <f t="shared" ca="1" si="139"/>
        <v>-6.2459140944476626E-4</v>
      </c>
      <c r="AK204" s="16">
        <f t="shared" ca="1" si="140"/>
        <v>3.8837847687723067E-4</v>
      </c>
      <c r="AM204" s="16">
        <f t="shared" ca="1" si="141"/>
        <v>-1.0039880391678839E-3</v>
      </c>
      <c r="AO204" s="16">
        <f t="shared" ca="1" si="142"/>
        <v>-1.2007291212633834E-4</v>
      </c>
      <c r="AP204" s="16">
        <f t="shared" ca="1" si="143"/>
        <v>-2.5577532987279474E-4</v>
      </c>
      <c r="AQ204" s="16">
        <f t="shared" ca="1" si="144"/>
        <v>-3.548387723984527E-6</v>
      </c>
      <c r="AR204" s="16">
        <f t="shared" ca="1" si="145"/>
        <v>-6.2459140944476626E-4</v>
      </c>
      <c r="AS204" s="16">
        <f t="shared" ca="1" si="146"/>
        <v>0</v>
      </c>
    </row>
    <row r="205" spans="1:45" x14ac:dyDescent="0.25">
      <c r="A205" s="69">
        <f t="shared" ca="1" si="147"/>
        <v>2449.9270602548213</v>
      </c>
      <c r="B205" s="69">
        <f t="shared" ca="1" si="148"/>
        <v>2133.8826510258846</v>
      </c>
      <c r="C205" s="69">
        <f t="shared" ca="1" si="149"/>
        <v>2229.1959554561599</v>
      </c>
      <c r="D205" s="69">
        <f t="shared" ca="1" si="150"/>
        <v>2908.6642184753105</v>
      </c>
      <c r="E205" s="69">
        <f t="shared" ca="1" si="151"/>
        <v>1932.3064550642225</v>
      </c>
      <c r="F205" s="69">
        <f t="shared" ca="1" si="152"/>
        <v>1223.0880507401744</v>
      </c>
      <c r="G205" s="69">
        <f t="shared" ca="1" si="153"/>
        <v>965.2838077141497</v>
      </c>
      <c r="H205" s="69">
        <f t="shared" ca="1" si="154"/>
        <v>1189.8170015947824</v>
      </c>
      <c r="I205" s="69">
        <f t="shared" ca="1" si="155"/>
        <v>1047.875055017935</v>
      </c>
      <c r="J205" s="69">
        <f t="shared" ca="1" si="156"/>
        <v>1147.2391605596099</v>
      </c>
      <c r="K205" s="69">
        <f t="shared" ca="1" si="157"/>
        <v>1178.45389879918</v>
      </c>
      <c r="L205" s="69">
        <f t="shared" ca="1" si="158"/>
        <v>955.61790638418802</v>
      </c>
      <c r="M205" s="69">
        <f t="shared" ca="1" si="159"/>
        <v>987.04847354842263</v>
      </c>
      <c r="N205" s="69">
        <f t="shared" ca="1" si="160"/>
        <v>573.41277835585265</v>
      </c>
      <c r="O205" s="69">
        <f t="shared" ca="1" si="161"/>
        <v>628.11362008159392</v>
      </c>
      <c r="P205" s="69">
        <f t="shared" ca="1" si="162"/>
        <v>724.18674106260539</v>
      </c>
      <c r="Q205" s="69">
        <f t="shared" ca="1" si="163"/>
        <v>953.86670549055134</v>
      </c>
      <c r="R205" s="69">
        <f t="shared" ca="1" si="164"/>
        <v>783.06315404264126</v>
      </c>
      <c r="S205" s="69">
        <f t="shared" ca="1" si="165"/>
        <v>700.4629344759644</v>
      </c>
      <c r="T205" s="69">
        <f t="shared" ca="1" si="166"/>
        <v>802.30805263866478</v>
      </c>
      <c r="U205" s="69">
        <f t="shared" ca="1" si="167"/>
        <v>1690.9150359150306</v>
      </c>
      <c r="V205" s="69">
        <f t="shared" ca="1" si="168"/>
        <v>1911.9095049702432</v>
      </c>
      <c r="W205" s="69">
        <f t="shared" ca="1" si="169"/>
        <v>1177.5569491635104</v>
      </c>
      <c r="X205" s="69">
        <f t="shared" ca="1" si="170"/>
        <v>1490.1705846168022</v>
      </c>
      <c r="Y205" s="69">
        <f t="shared" ca="1" si="171"/>
        <v>1208.8847944691277</v>
      </c>
      <c r="AA205" s="20">
        <f t="shared" ca="1" si="131"/>
        <v>6.55000341858642E+16</v>
      </c>
      <c r="AB205" s="20">
        <f t="shared" ca="1" si="132"/>
        <v>1688715072884361.3</v>
      </c>
      <c r="AC205" s="20">
        <f t="shared" ca="1" si="133"/>
        <v>400351016385192.19</v>
      </c>
      <c r="AD205" s="20">
        <f t="shared" ca="1" si="134"/>
        <v>303991443047161.69</v>
      </c>
      <c r="AE205" s="20">
        <f t="shared" ca="1" si="135"/>
        <v>6857912494544271</v>
      </c>
      <c r="AG205" s="16">
        <f t="shared" ca="1" si="136"/>
        <v>9.858815973072253E-5</v>
      </c>
      <c r="AH205" s="16">
        <f t="shared" ca="1" si="137"/>
        <v>-1.0062137402775253E-4</v>
      </c>
      <c r="AI205" s="16">
        <f t="shared" ca="1" si="138"/>
        <v>-1.0478082098979981E-4</v>
      </c>
      <c r="AJ205" s="16">
        <f t="shared" ca="1" si="139"/>
        <v>-2.4803412763049277E-4</v>
      </c>
      <c r="AK205" s="16">
        <f t="shared" ca="1" si="140"/>
        <v>-6.4257485130907101E-4</v>
      </c>
      <c r="AM205" s="16">
        <f t="shared" ca="1" si="141"/>
        <v>-3.5484816291732259E-4</v>
      </c>
      <c r="AO205" s="16">
        <f t="shared" ca="1" si="142"/>
        <v>0</v>
      </c>
      <c r="AP205" s="16">
        <f t="shared" ca="1" si="143"/>
        <v>-1.0062137402775253E-4</v>
      </c>
      <c r="AQ205" s="16">
        <f t="shared" ca="1" si="144"/>
        <v>-1.0478082098979981E-4</v>
      </c>
      <c r="AR205" s="16">
        <f t="shared" ca="1" si="145"/>
        <v>-2.4803412763049277E-4</v>
      </c>
      <c r="AS205" s="16">
        <f t="shared" ca="1" si="146"/>
        <v>-6.4257485130907101E-4</v>
      </c>
    </row>
    <row r="206" spans="1:45" x14ac:dyDescent="0.25">
      <c r="A206" s="69">
        <f t="shared" ca="1" si="147"/>
        <v>2449.8512295930168</v>
      </c>
      <c r="B206" s="69">
        <f t="shared" ca="1" si="148"/>
        <v>2133.6851736772905</v>
      </c>
      <c r="C206" s="69">
        <f t="shared" ca="1" si="149"/>
        <v>2229.2969325175927</v>
      </c>
      <c r="D206" s="69">
        <f t="shared" ca="1" si="150"/>
        <v>2908.7002402002645</v>
      </c>
      <c r="E206" s="69">
        <f t="shared" ca="1" si="151"/>
        <v>1932.6241680201852</v>
      </c>
      <c r="F206" s="69">
        <f t="shared" ca="1" si="152"/>
        <v>1223.1249518090508</v>
      </c>
      <c r="G206" s="69">
        <f t="shared" ca="1" si="153"/>
        <v>965.618917853781</v>
      </c>
      <c r="H206" s="69">
        <f t="shared" ca="1" si="154"/>
        <v>1189.458635090642</v>
      </c>
      <c r="I206" s="69">
        <f t="shared" ca="1" si="155"/>
        <v>1047.6899607110179</v>
      </c>
      <c r="J206" s="69">
        <f t="shared" ca="1" si="156"/>
        <v>1147.2391605596099</v>
      </c>
      <c r="K206" s="69">
        <f t="shared" ca="1" si="157"/>
        <v>1178.7612570983049</v>
      </c>
      <c r="L206" s="69">
        <f t="shared" ca="1" si="158"/>
        <v>955.78671788628174</v>
      </c>
      <c r="M206" s="69">
        <f t="shared" ca="1" si="159"/>
        <v>987.14580443929333</v>
      </c>
      <c r="N206" s="69">
        <f t="shared" ca="1" si="160"/>
        <v>573.47635688514606</v>
      </c>
      <c r="O206" s="69">
        <f t="shared" ca="1" si="161"/>
        <v>627.64166194690677</v>
      </c>
      <c r="P206" s="69">
        <f t="shared" ca="1" si="162"/>
        <v>724.49048079766533</v>
      </c>
      <c r="Q206" s="69">
        <f t="shared" ca="1" si="163"/>
        <v>953.52587438988633</v>
      </c>
      <c r="R206" s="69">
        <f t="shared" ca="1" si="164"/>
        <v>783.26249781768797</v>
      </c>
      <c r="S206" s="69">
        <f t="shared" ca="1" si="165"/>
        <v>700.32212057607296</v>
      </c>
      <c r="T206" s="69">
        <f t="shared" ca="1" si="166"/>
        <v>802.0164860705105</v>
      </c>
      <c r="U206" s="69">
        <f t="shared" ca="1" si="167"/>
        <v>1690.5071356341894</v>
      </c>
      <c r="V206" s="69">
        <f t="shared" ca="1" si="168"/>
        <v>1911.4828556393945</v>
      </c>
      <c r="W206" s="69">
        <f t="shared" ca="1" si="169"/>
        <v>1177.5569491635104</v>
      </c>
      <c r="X206" s="69">
        <f t="shared" ca="1" si="170"/>
        <v>1489.9874588197649</v>
      </c>
      <c r="Y206" s="69">
        <f t="shared" ca="1" si="171"/>
        <v>1208.8180173625444</v>
      </c>
      <c r="AA206" s="20">
        <f t="shared" ca="1" si="131"/>
        <v>6.550649203202524E+16</v>
      </c>
      <c r="AB206" s="20">
        <f t="shared" ca="1" si="132"/>
        <v>1688545160601933.3</v>
      </c>
      <c r="AC206" s="20">
        <f t="shared" ca="1" si="133"/>
        <v>400309069474665.5</v>
      </c>
      <c r="AD206" s="20">
        <f t="shared" ca="1" si="134"/>
        <v>303916052144923.19</v>
      </c>
      <c r="AE206" s="20">
        <f t="shared" ca="1" si="135"/>
        <v>6853507187963989</v>
      </c>
      <c r="AG206" s="16">
        <f t="shared" ca="1" si="136"/>
        <v>-1.8533551309873653E-4</v>
      </c>
      <c r="AH206" s="16">
        <f t="shared" ca="1" si="137"/>
        <v>-5.3188490534088943E-4</v>
      </c>
      <c r="AI206" s="16">
        <f t="shared" ca="1" si="138"/>
        <v>6.7428957842502154E-4</v>
      </c>
      <c r="AJ206" s="16">
        <f t="shared" ca="1" si="139"/>
        <v>-1.0735039391072843E-3</v>
      </c>
      <c r="AK206" s="16">
        <f t="shared" ca="1" si="140"/>
        <v>-3.5911540254237944E-4</v>
      </c>
      <c r="AM206" s="16">
        <f t="shared" ca="1" si="141"/>
        <v>-1.1164347791218889E-3</v>
      </c>
      <c r="AO206" s="16">
        <f t="shared" ca="1" si="142"/>
        <v>-1.8533551309873653E-4</v>
      </c>
      <c r="AP206" s="16">
        <f t="shared" ca="1" si="143"/>
        <v>-5.3188490534088943E-4</v>
      </c>
      <c r="AQ206" s="16">
        <f t="shared" ca="1" si="144"/>
        <v>0</v>
      </c>
      <c r="AR206" s="16">
        <f t="shared" ca="1" si="145"/>
        <v>-1.0735039391072843E-3</v>
      </c>
      <c r="AS206" s="16">
        <f t="shared" ca="1" si="146"/>
        <v>-3.5911540254237944E-4</v>
      </c>
    </row>
    <row r="207" spans="1:45" x14ac:dyDescent="0.25">
      <c r="A207" s="69">
        <f t="shared" ca="1" si="147"/>
        <v>2449.5105875376285</v>
      </c>
      <c r="B207" s="69">
        <f t="shared" ca="1" si="148"/>
        <v>2133.6851736772905</v>
      </c>
      <c r="C207" s="69">
        <f t="shared" ca="1" si="149"/>
        <v>2229.6723817891461</v>
      </c>
      <c r="D207" s="69">
        <f t="shared" ca="1" si="150"/>
        <v>2908.4943532425045</v>
      </c>
      <c r="E207" s="69">
        <f t="shared" ca="1" si="151"/>
        <v>1932.3460911498175</v>
      </c>
      <c r="F207" s="69">
        <f t="shared" ca="1" si="152"/>
        <v>1223.5989413096779</v>
      </c>
      <c r="G207" s="69">
        <f t="shared" ca="1" si="153"/>
        <v>965.618917853781</v>
      </c>
      <c r="H207" s="69">
        <f t="shared" ca="1" si="154"/>
        <v>1189.1731822969271</v>
      </c>
      <c r="I207" s="69">
        <f t="shared" ca="1" si="155"/>
        <v>1047.1926131722623</v>
      </c>
      <c r="J207" s="69">
        <f t="shared" ca="1" si="156"/>
        <v>1147.0045769814728</v>
      </c>
      <c r="K207" s="69">
        <f t="shared" ca="1" si="157"/>
        <v>1178.5317398395619</v>
      </c>
      <c r="L207" s="69">
        <f t="shared" ca="1" si="158"/>
        <v>956.03629948577304</v>
      </c>
      <c r="M207" s="69">
        <f t="shared" ca="1" si="159"/>
        <v>987.14009202850821</v>
      </c>
      <c r="N207" s="69">
        <f t="shared" ca="1" si="160"/>
        <v>573.47635688514606</v>
      </c>
      <c r="O207" s="69">
        <f t="shared" ca="1" si="161"/>
        <v>628.02697208998302</v>
      </c>
      <c r="P207" s="69">
        <f t="shared" ca="1" si="162"/>
        <v>724.18649320455393</v>
      </c>
      <c r="Q207" s="69">
        <f t="shared" ca="1" si="163"/>
        <v>953.46828706903057</v>
      </c>
      <c r="R207" s="69">
        <f t="shared" ca="1" si="164"/>
        <v>783.26249781768797</v>
      </c>
      <c r="S207" s="69">
        <f t="shared" ca="1" si="165"/>
        <v>700.29818306770369</v>
      </c>
      <c r="T207" s="69">
        <f t="shared" ca="1" si="166"/>
        <v>801.5680832878121</v>
      </c>
      <c r="U207" s="69">
        <f t="shared" ca="1" si="167"/>
        <v>1690.4023436086723</v>
      </c>
      <c r="V207" s="69">
        <f t="shared" ca="1" si="168"/>
        <v>1911.7382650462564</v>
      </c>
      <c r="W207" s="69">
        <f t="shared" ca="1" si="169"/>
        <v>1177.5267992666916</v>
      </c>
      <c r="X207" s="69">
        <f t="shared" ca="1" si="170"/>
        <v>1489.9467077208819</v>
      </c>
      <c r="Y207" s="69">
        <f t="shared" ca="1" si="171"/>
        <v>1208.361436251043</v>
      </c>
      <c r="AA207" s="20">
        <f t="shared" ca="1" si="131"/>
        <v>6.54943524776932E+16</v>
      </c>
      <c r="AB207" s="20">
        <f t="shared" ca="1" si="132"/>
        <v>1687647287722705.8</v>
      </c>
      <c r="AC207" s="20">
        <f t="shared" ca="1" si="133"/>
        <v>400579084732367.81</v>
      </c>
      <c r="AD207" s="20">
        <f t="shared" ca="1" si="134"/>
        <v>303589972121197.5</v>
      </c>
      <c r="AE207" s="20">
        <f t="shared" ca="1" si="135"/>
        <v>6851046429845873</v>
      </c>
      <c r="AG207" s="16">
        <f t="shared" ca="1" si="136"/>
        <v>-2.2450868676043095E-5</v>
      </c>
      <c r="AH207" s="16">
        <f t="shared" ca="1" si="137"/>
        <v>8.2798877839825681E-5</v>
      </c>
      <c r="AI207" s="16">
        <f t="shared" ca="1" si="138"/>
        <v>2.9053643661312558E-4</v>
      </c>
      <c r="AJ207" s="16">
        <f t="shared" ca="1" si="139"/>
        <v>-1.299951540704031E-4</v>
      </c>
      <c r="AK207" s="16">
        <f t="shared" ca="1" si="140"/>
        <v>-1.1066203453397077E-4</v>
      </c>
      <c r="AM207" s="16">
        <f t="shared" ca="1" si="141"/>
        <v>2.2088929170650505E-4</v>
      </c>
      <c r="AO207" s="16">
        <f t="shared" ca="1" si="142"/>
        <v>-2.2450868676043095E-5</v>
      </c>
      <c r="AP207" s="16">
        <f t="shared" ca="1" si="143"/>
        <v>0</v>
      </c>
      <c r="AQ207" s="16">
        <f t="shared" ca="1" si="144"/>
        <v>0</v>
      </c>
      <c r="AR207" s="16">
        <f t="shared" ca="1" si="145"/>
        <v>-1.299951540704031E-4</v>
      </c>
      <c r="AS207" s="16">
        <f t="shared" ca="1" si="146"/>
        <v>-1.1066203453397077E-4</v>
      </c>
    </row>
    <row r="208" spans="1:45" x14ac:dyDescent="0.25">
      <c r="A208" s="69">
        <f t="shared" ca="1" si="147"/>
        <v>2449.5105875376285</v>
      </c>
      <c r="B208" s="69">
        <f t="shared" ca="1" si="148"/>
        <v>2133.6887398056356</v>
      </c>
      <c r="C208" s="69">
        <f t="shared" ca="1" si="149"/>
        <v>2229.1745592607381</v>
      </c>
      <c r="D208" s="69">
        <f t="shared" ca="1" si="150"/>
        <v>2908.8707175344193</v>
      </c>
      <c r="E208" s="69">
        <f t="shared" ca="1" si="151"/>
        <v>1932.4809367593029</v>
      </c>
      <c r="F208" s="69">
        <f t="shared" ca="1" si="152"/>
        <v>1223.7411546918188</v>
      </c>
      <c r="G208" s="69">
        <f t="shared" ca="1" si="153"/>
        <v>965.65358513399281</v>
      </c>
      <c r="H208" s="69">
        <f t="shared" ca="1" si="154"/>
        <v>1188.9960643095205</v>
      </c>
      <c r="I208" s="69">
        <f t="shared" ca="1" si="155"/>
        <v>1047.2804837776152</v>
      </c>
      <c r="J208" s="69">
        <f t="shared" ca="1" si="156"/>
        <v>1146.9996738615539</v>
      </c>
      <c r="K208" s="69">
        <f t="shared" ca="1" si="157"/>
        <v>1178.5317398395619</v>
      </c>
      <c r="L208" s="69">
        <f t="shared" ca="1" si="158"/>
        <v>956.03629948577304</v>
      </c>
      <c r="M208" s="69">
        <f t="shared" ca="1" si="159"/>
        <v>986.65074795783801</v>
      </c>
      <c r="N208" s="69">
        <f t="shared" ca="1" si="160"/>
        <v>573.85098095841022</v>
      </c>
      <c r="O208" s="69">
        <f t="shared" ca="1" si="161"/>
        <v>628.11071908560052</v>
      </c>
      <c r="P208" s="69">
        <f t="shared" ca="1" si="162"/>
        <v>723.7734910032126</v>
      </c>
      <c r="Q208" s="69">
        <f t="shared" ca="1" si="163"/>
        <v>953.46828706903057</v>
      </c>
      <c r="R208" s="69">
        <f t="shared" ca="1" si="164"/>
        <v>783.26249781768797</v>
      </c>
      <c r="S208" s="69">
        <f t="shared" ca="1" si="165"/>
        <v>700.18209812219266</v>
      </c>
      <c r="T208" s="69">
        <f t="shared" ca="1" si="166"/>
        <v>802.05417679702975</v>
      </c>
      <c r="U208" s="69">
        <f t="shared" ca="1" si="167"/>
        <v>1690.0849587963296</v>
      </c>
      <c r="V208" s="69">
        <f t="shared" ca="1" si="168"/>
        <v>1911.8000226755737</v>
      </c>
      <c r="W208" s="69">
        <f t="shared" ca="1" si="169"/>
        <v>1177.6085484556277</v>
      </c>
      <c r="X208" s="69">
        <f t="shared" ca="1" si="170"/>
        <v>1489.9100354725165</v>
      </c>
      <c r="Y208" s="69">
        <f t="shared" ca="1" si="171"/>
        <v>1208.361436251043</v>
      </c>
      <c r="AA208" s="20">
        <f t="shared" ca="1" si="131"/>
        <v>6.5492882089092512E+16</v>
      </c>
      <c r="AB208" s="20">
        <f t="shared" ca="1" si="132"/>
        <v>1687787028809441.3</v>
      </c>
      <c r="AC208" s="20">
        <f t="shared" ca="1" si="133"/>
        <v>400695484460590</v>
      </c>
      <c r="AD208" s="20">
        <f t="shared" ca="1" si="134"/>
        <v>303550509461030.25</v>
      </c>
      <c r="AE208" s="20">
        <f t="shared" ca="1" si="135"/>
        <v>6850288321056964</v>
      </c>
      <c r="AG208" s="16">
        <f t="shared" ca="1" si="136"/>
        <v>-3.1256929433243831E-4</v>
      </c>
      <c r="AH208" s="16">
        <f t="shared" ca="1" si="137"/>
        <v>-5.7290946396392449E-4</v>
      </c>
      <c r="AI208" s="16">
        <f t="shared" ca="1" si="138"/>
        <v>-7.1058203164790388E-4</v>
      </c>
      <c r="AJ208" s="16">
        <f t="shared" ca="1" si="139"/>
        <v>-2.6686482836069586E-4</v>
      </c>
      <c r="AK208" s="16">
        <f t="shared" ca="1" si="140"/>
        <v>2.4968691019729898E-4</v>
      </c>
      <c r="AM208" s="16">
        <f t="shared" ca="1" si="141"/>
        <v>-1.8629256183049627E-3</v>
      </c>
      <c r="AO208" s="16">
        <f t="shared" ca="1" si="142"/>
        <v>-3.1256929433243831E-4</v>
      </c>
      <c r="AP208" s="16">
        <f t="shared" ca="1" si="143"/>
        <v>-5.7290946396392449E-4</v>
      </c>
      <c r="AQ208" s="16">
        <f t="shared" ca="1" si="144"/>
        <v>-7.1058203164790388E-4</v>
      </c>
      <c r="AR208" s="16">
        <f t="shared" ca="1" si="145"/>
        <v>-2.6686482836069586E-4</v>
      </c>
      <c r="AS208" s="16">
        <f t="shared" ca="1" si="146"/>
        <v>0</v>
      </c>
    </row>
    <row r="209" spans="1:45" x14ac:dyDescent="0.25">
      <c r="A209" s="69">
        <f t="shared" ca="1" si="147"/>
        <v>2449.5105875376285</v>
      </c>
      <c r="B209" s="69">
        <f t="shared" ca="1" si="148"/>
        <v>2133.6887398056356</v>
      </c>
      <c r="C209" s="69">
        <f t="shared" ca="1" si="149"/>
        <v>2229.1745592607381</v>
      </c>
      <c r="D209" s="69">
        <f t="shared" ca="1" si="150"/>
        <v>2908.3714382339672</v>
      </c>
      <c r="E209" s="69">
        <f t="shared" ca="1" si="151"/>
        <v>1932.2086417245209</v>
      </c>
      <c r="F209" s="69">
        <f t="shared" ca="1" si="152"/>
        <v>1223.292638444585</v>
      </c>
      <c r="G209" s="69">
        <f t="shared" ca="1" si="153"/>
        <v>965.38126870419308</v>
      </c>
      <c r="H209" s="69">
        <f t="shared" ca="1" si="154"/>
        <v>1188.6140475360412</v>
      </c>
      <c r="I209" s="69">
        <f t="shared" ca="1" si="155"/>
        <v>1047.6963966147409</v>
      </c>
      <c r="J209" s="69">
        <f t="shared" ca="1" si="156"/>
        <v>1146.9996738615539</v>
      </c>
      <c r="K209" s="69">
        <f t="shared" ca="1" si="157"/>
        <v>1178.7261474719596</v>
      </c>
      <c r="L209" s="69">
        <f t="shared" ca="1" si="158"/>
        <v>955.6833938059392</v>
      </c>
      <c r="M209" s="69">
        <f t="shared" ca="1" si="159"/>
        <v>986.19934436515427</v>
      </c>
      <c r="N209" s="69">
        <f t="shared" ca="1" si="160"/>
        <v>573.57589126089897</v>
      </c>
      <c r="O209" s="69">
        <f t="shared" ca="1" si="161"/>
        <v>628.38135608102561</v>
      </c>
      <c r="P209" s="69">
        <f t="shared" ca="1" si="162"/>
        <v>723.27741299374247</v>
      </c>
      <c r="Q209" s="69">
        <f t="shared" ca="1" si="163"/>
        <v>953.46828706903057</v>
      </c>
      <c r="R209" s="69">
        <f t="shared" ca="1" si="164"/>
        <v>783.59057743679659</v>
      </c>
      <c r="S209" s="69">
        <f t="shared" ca="1" si="165"/>
        <v>700.18209812219266</v>
      </c>
      <c r="T209" s="69">
        <f t="shared" ca="1" si="166"/>
        <v>802.05417679702975</v>
      </c>
      <c r="U209" s="69">
        <f t="shared" ca="1" si="167"/>
        <v>1690.1879052939641</v>
      </c>
      <c r="V209" s="69">
        <f t="shared" ca="1" si="168"/>
        <v>1911.8000226755737</v>
      </c>
      <c r="W209" s="69">
        <f t="shared" ca="1" si="169"/>
        <v>1177.847284407814</v>
      </c>
      <c r="X209" s="69">
        <f t="shared" ca="1" si="170"/>
        <v>1489.6285226840503</v>
      </c>
      <c r="Y209" s="69">
        <f t="shared" ca="1" si="171"/>
        <v>1208.5729564864628</v>
      </c>
      <c r="AA209" s="20">
        <f t="shared" ca="1" si="131"/>
        <v>6.5472414224133824E+16</v>
      </c>
      <c r="AB209" s="20">
        <f t="shared" ca="1" si="132"/>
        <v>1686820356581755.3</v>
      </c>
      <c r="AC209" s="20">
        <f t="shared" ca="1" si="133"/>
        <v>400410858586162.19</v>
      </c>
      <c r="AD209" s="20">
        <f t="shared" ca="1" si="134"/>
        <v>303469513314416.19</v>
      </c>
      <c r="AE209" s="20">
        <f t="shared" ca="1" si="135"/>
        <v>6851998961935239</v>
      </c>
      <c r="AG209" s="16">
        <f t="shared" ca="1" si="136"/>
        <v>5.0103258714257533E-4</v>
      </c>
      <c r="AH209" s="16">
        <f t="shared" ca="1" si="137"/>
        <v>4.2976261345603872E-4</v>
      </c>
      <c r="AI209" s="16">
        <f t="shared" ca="1" si="138"/>
        <v>7.3776268177005999E-4</v>
      </c>
      <c r="AJ209" s="16">
        <f t="shared" ca="1" si="139"/>
        <v>2.7738465454033607E-5</v>
      </c>
      <c r="AK209" s="16">
        <f t="shared" ca="1" si="140"/>
        <v>3.04144649683607E-4</v>
      </c>
      <c r="AM209" s="16">
        <f t="shared" ca="1" si="141"/>
        <v>1.6962963478227076E-3</v>
      </c>
      <c r="AO209" s="16">
        <f t="shared" ca="1" si="142"/>
        <v>0</v>
      </c>
      <c r="AP209" s="16">
        <f t="shared" ca="1" si="143"/>
        <v>0</v>
      </c>
      <c r="AQ209" s="16">
        <f t="shared" ca="1" si="144"/>
        <v>0</v>
      </c>
      <c r="AR209" s="16">
        <f t="shared" ca="1" si="145"/>
        <v>0</v>
      </c>
      <c r="AS209" s="16">
        <f t="shared" ca="1" si="146"/>
        <v>0</v>
      </c>
    </row>
    <row r="210" spans="1:45" x14ac:dyDescent="0.25">
      <c r="A210" s="69">
        <f t="shared" ca="1" si="147"/>
        <v>2449.9813400198236</v>
      </c>
      <c r="B210" s="69">
        <f t="shared" ca="1" si="148"/>
        <v>2134.0454894850427</v>
      </c>
      <c r="C210" s="69">
        <f t="shared" ca="1" si="149"/>
        <v>2229.1745592607381</v>
      </c>
      <c r="D210" s="69">
        <f t="shared" ca="1" si="150"/>
        <v>2908.7835377362476</v>
      </c>
      <c r="E210" s="69">
        <f t="shared" ca="1" si="151"/>
        <v>1932.2086417245209</v>
      </c>
      <c r="F210" s="69">
        <f t="shared" ca="1" si="152"/>
        <v>1223.292638444585</v>
      </c>
      <c r="G210" s="69">
        <f t="shared" ca="1" si="153"/>
        <v>965.38126870419308</v>
      </c>
      <c r="H210" s="69">
        <f t="shared" ca="1" si="154"/>
        <v>1188.8109330334555</v>
      </c>
      <c r="I210" s="69">
        <f t="shared" ca="1" si="155"/>
        <v>1047.9731647913179</v>
      </c>
      <c r="J210" s="69">
        <f t="shared" ca="1" si="156"/>
        <v>1146.9996738615539</v>
      </c>
      <c r="K210" s="69">
        <f t="shared" ca="1" si="157"/>
        <v>1178.5517523404901</v>
      </c>
      <c r="L210" s="69">
        <f t="shared" ca="1" si="158"/>
        <v>956.17219413593261</v>
      </c>
      <c r="M210" s="69">
        <f t="shared" ca="1" si="159"/>
        <v>986.56863644945201</v>
      </c>
      <c r="N210" s="69">
        <f t="shared" ca="1" si="160"/>
        <v>573.57589126089897</v>
      </c>
      <c r="O210" s="69">
        <f t="shared" ca="1" si="161"/>
        <v>628.38135608102561</v>
      </c>
      <c r="P210" s="69">
        <f t="shared" ca="1" si="162"/>
        <v>723.27741299374247</v>
      </c>
      <c r="Q210" s="69">
        <f t="shared" ca="1" si="163"/>
        <v>953.13581536593028</v>
      </c>
      <c r="R210" s="69">
        <f t="shared" ca="1" si="164"/>
        <v>783.61740290677994</v>
      </c>
      <c r="S210" s="69">
        <f t="shared" ca="1" si="165"/>
        <v>700.42178556486442</v>
      </c>
      <c r="T210" s="69">
        <f t="shared" ca="1" si="166"/>
        <v>802.05417679702975</v>
      </c>
      <c r="U210" s="69">
        <f t="shared" ca="1" si="167"/>
        <v>1690.1879052939641</v>
      </c>
      <c r="V210" s="69">
        <f t="shared" ca="1" si="168"/>
        <v>1911.8521851839359</v>
      </c>
      <c r="W210" s="69">
        <f t="shared" ca="1" si="169"/>
        <v>1177.847284407814</v>
      </c>
      <c r="X210" s="69">
        <f t="shared" ca="1" si="170"/>
        <v>1489.6078468718943</v>
      </c>
      <c r="Y210" s="69">
        <f t="shared" ca="1" si="171"/>
        <v>1208.9243886318759</v>
      </c>
      <c r="AA210" s="20">
        <f t="shared" ca="1" si="131"/>
        <v>6.5505226256481336E+16</v>
      </c>
      <c r="AB210" s="20">
        <f t="shared" ca="1" si="132"/>
        <v>1687545444703353.8</v>
      </c>
      <c r="AC210" s="20">
        <f t="shared" ca="1" si="133"/>
        <v>400706375772374.5</v>
      </c>
      <c r="AD210" s="20">
        <f t="shared" ca="1" si="134"/>
        <v>303477931209776.81</v>
      </c>
      <c r="AE210" s="20">
        <f t="shared" ca="1" si="135"/>
        <v>6854083277709828</v>
      </c>
      <c r="AG210" s="16">
        <f t="shared" ca="1" si="136"/>
        <v>-1.6055006447682459E-4</v>
      </c>
      <c r="AH210" s="16">
        <f t="shared" ca="1" si="137"/>
        <v>3.4478681843853686E-4</v>
      </c>
      <c r="AI210" s="16">
        <f t="shared" ca="1" si="138"/>
        <v>9.9779750437645632E-4</v>
      </c>
      <c r="AJ210" s="16">
        <f t="shared" ca="1" si="139"/>
        <v>5.2885020161132691E-5</v>
      </c>
      <c r="AK210" s="16">
        <f t="shared" ca="1" si="140"/>
        <v>-6.1791189306447436E-5</v>
      </c>
      <c r="AM210" s="16">
        <f t="shared" ca="1" si="141"/>
        <v>1.2349192784993012E-3</v>
      </c>
      <c r="AO210" s="16">
        <f t="shared" ca="1" si="142"/>
        <v>-1.6055006447682459E-4</v>
      </c>
      <c r="AP210" s="16">
        <f t="shared" ca="1" si="143"/>
        <v>0</v>
      </c>
      <c r="AQ210" s="16">
        <f t="shared" ca="1" si="144"/>
        <v>0</v>
      </c>
      <c r="AR210" s="16">
        <f t="shared" ca="1" si="145"/>
        <v>0</v>
      </c>
      <c r="AS210" s="16">
        <f t="shared" ca="1" si="146"/>
        <v>-6.1791189306447436E-5</v>
      </c>
    </row>
    <row r="211" spans="1:45" x14ac:dyDescent="0.25">
      <c r="A211" s="69">
        <f t="shared" ca="1" si="147"/>
        <v>2449.9813400198236</v>
      </c>
      <c r="B211" s="69">
        <f t="shared" ca="1" si="148"/>
        <v>2134.0454894850427</v>
      </c>
      <c r="C211" s="69">
        <f t="shared" ca="1" si="149"/>
        <v>2229.0054302633162</v>
      </c>
      <c r="D211" s="69">
        <f t="shared" ca="1" si="150"/>
        <v>2908.7835377362476</v>
      </c>
      <c r="E211" s="69">
        <f t="shared" ca="1" si="151"/>
        <v>1932.0450359812003</v>
      </c>
      <c r="F211" s="69">
        <f t="shared" ca="1" si="152"/>
        <v>1223.3956203513512</v>
      </c>
      <c r="G211" s="69">
        <f t="shared" ca="1" si="153"/>
        <v>965.40656072067168</v>
      </c>
      <c r="H211" s="69">
        <f t="shared" ca="1" si="154"/>
        <v>1188.8109330334555</v>
      </c>
      <c r="I211" s="69">
        <f t="shared" ca="1" si="155"/>
        <v>1047.9731647913179</v>
      </c>
      <c r="J211" s="69">
        <f t="shared" ca="1" si="156"/>
        <v>1147.2685707215364</v>
      </c>
      <c r="K211" s="69">
        <f t="shared" ca="1" si="157"/>
        <v>1178.5567670084363</v>
      </c>
      <c r="L211" s="69">
        <f t="shared" ca="1" si="158"/>
        <v>955.8767260102062</v>
      </c>
      <c r="M211" s="69">
        <f t="shared" ca="1" si="159"/>
        <v>986.91061867905444</v>
      </c>
      <c r="N211" s="69">
        <f t="shared" ca="1" si="160"/>
        <v>573.71124819054194</v>
      </c>
      <c r="O211" s="69">
        <f t="shared" ca="1" si="161"/>
        <v>628.83399367349421</v>
      </c>
      <c r="P211" s="69">
        <f t="shared" ca="1" si="162"/>
        <v>723.0050084788129</v>
      </c>
      <c r="Q211" s="69">
        <f t="shared" ca="1" si="163"/>
        <v>953.51532804885073</v>
      </c>
      <c r="R211" s="69">
        <f t="shared" ca="1" si="164"/>
        <v>783.25482930578448</v>
      </c>
      <c r="S211" s="69">
        <f t="shared" ca="1" si="165"/>
        <v>700.42178556486442</v>
      </c>
      <c r="T211" s="69">
        <f t="shared" ca="1" si="166"/>
        <v>802.45071967089928</v>
      </c>
      <c r="U211" s="69">
        <f t="shared" ca="1" si="167"/>
        <v>1690.2959728665492</v>
      </c>
      <c r="V211" s="69">
        <f t="shared" ca="1" si="168"/>
        <v>1911.9014650117456</v>
      </c>
      <c r="W211" s="69">
        <f t="shared" ca="1" si="169"/>
        <v>1177.847284407814</v>
      </c>
      <c r="X211" s="69">
        <f t="shared" ca="1" si="170"/>
        <v>1489.5531912116232</v>
      </c>
      <c r="Y211" s="69">
        <f t="shared" ca="1" si="171"/>
        <v>1208.785598789297</v>
      </c>
      <c r="AA211" s="20">
        <f t="shared" ca="1" si="131"/>
        <v>6.5494710232379048E+16</v>
      </c>
      <c r="AB211" s="20">
        <f t="shared" ca="1" si="132"/>
        <v>1688127388445704.3</v>
      </c>
      <c r="AC211" s="20">
        <f t="shared" ca="1" si="133"/>
        <v>401106399132074.31</v>
      </c>
      <c r="AD211" s="20">
        <f t="shared" ca="1" si="134"/>
        <v>303493981070682.19</v>
      </c>
      <c r="AE211" s="20">
        <f t="shared" ca="1" si="135"/>
        <v>6853659768837186</v>
      </c>
      <c r="AG211" s="16">
        <f t="shared" ca="1" si="136"/>
        <v>-4.4390106169226302E-4</v>
      </c>
      <c r="AH211" s="16">
        <f t="shared" ca="1" si="137"/>
        <v>2.3825869961525736E-4</v>
      </c>
      <c r="AI211" s="16">
        <f t="shared" ca="1" si="138"/>
        <v>-1.2358743610189126E-3</v>
      </c>
      <c r="AJ211" s="16">
        <f t="shared" ca="1" si="139"/>
        <v>1.7058895770235861E-5</v>
      </c>
      <c r="AK211" s="16">
        <f t="shared" ca="1" si="140"/>
        <v>7.7073290640938721E-4</v>
      </c>
      <c r="AM211" s="16">
        <f t="shared" ca="1" si="141"/>
        <v>-1.4244578273256822E-3</v>
      </c>
      <c r="AO211" s="16">
        <f t="shared" ca="1" si="142"/>
        <v>-4.4390106169226302E-4</v>
      </c>
      <c r="AP211" s="16">
        <f t="shared" ca="1" si="143"/>
        <v>0</v>
      </c>
      <c r="AQ211" s="16">
        <f t="shared" ca="1" si="144"/>
        <v>-1.2358743610189126E-3</v>
      </c>
      <c r="AR211" s="16">
        <f t="shared" ca="1" si="145"/>
        <v>0</v>
      </c>
      <c r="AS211" s="16">
        <f t="shared" ca="1" si="146"/>
        <v>0</v>
      </c>
    </row>
    <row r="212" spans="1:45" x14ac:dyDescent="0.25">
      <c r="A212" s="69">
        <f t="shared" ca="1" si="147"/>
        <v>2449.7115879626158</v>
      </c>
      <c r="B212" s="69">
        <f t="shared" ca="1" si="148"/>
        <v>2133.7944043079856</v>
      </c>
      <c r="C212" s="69">
        <f t="shared" ca="1" si="149"/>
        <v>2229.0054302633162</v>
      </c>
      <c r="D212" s="69">
        <f t="shared" ca="1" si="150"/>
        <v>2908.5495160888013</v>
      </c>
      <c r="E212" s="69">
        <f t="shared" ca="1" si="151"/>
        <v>1931.7829317044987</v>
      </c>
      <c r="F212" s="69">
        <f t="shared" ca="1" si="152"/>
        <v>1223.8229513908691</v>
      </c>
      <c r="G212" s="69">
        <f t="shared" ca="1" si="153"/>
        <v>965.32857614796944</v>
      </c>
      <c r="H212" s="69">
        <f t="shared" ca="1" si="154"/>
        <v>1188.898004682449</v>
      </c>
      <c r="I212" s="69">
        <f t="shared" ca="1" si="155"/>
        <v>1047.5118353859111</v>
      </c>
      <c r="J212" s="69">
        <f t="shared" ca="1" si="156"/>
        <v>1147.6551171757158</v>
      </c>
      <c r="K212" s="69">
        <f t="shared" ca="1" si="157"/>
        <v>1178.5350843737642</v>
      </c>
      <c r="L212" s="69">
        <f t="shared" ca="1" si="158"/>
        <v>955.44929479091991</v>
      </c>
      <c r="M212" s="69">
        <f t="shared" ca="1" si="159"/>
        <v>986.7972693886428</v>
      </c>
      <c r="N212" s="69">
        <f t="shared" ca="1" si="160"/>
        <v>573.49196564788394</v>
      </c>
      <c r="O212" s="69">
        <f t="shared" ca="1" si="161"/>
        <v>628.66230442799633</v>
      </c>
      <c r="P212" s="69">
        <f t="shared" ca="1" si="162"/>
        <v>722.6639197172243</v>
      </c>
      <c r="Q212" s="69">
        <f t="shared" ca="1" si="163"/>
        <v>953.89141192257489</v>
      </c>
      <c r="R212" s="69">
        <f t="shared" ca="1" si="164"/>
        <v>783.3762719501226</v>
      </c>
      <c r="S212" s="69">
        <f t="shared" ca="1" si="165"/>
        <v>699.97693067944726</v>
      </c>
      <c r="T212" s="69">
        <f t="shared" ca="1" si="166"/>
        <v>802.91216877508668</v>
      </c>
      <c r="U212" s="69">
        <f t="shared" ca="1" si="167"/>
        <v>1690.7495904395655</v>
      </c>
      <c r="V212" s="69">
        <f t="shared" ca="1" si="168"/>
        <v>1911.8008798509711</v>
      </c>
      <c r="W212" s="69">
        <f t="shared" ca="1" si="169"/>
        <v>1178.2369034025342</v>
      </c>
      <c r="X212" s="69">
        <f t="shared" ca="1" si="170"/>
        <v>1489.6435678397625</v>
      </c>
      <c r="Y212" s="69">
        <f t="shared" ca="1" si="171"/>
        <v>1208.9833824124498</v>
      </c>
      <c r="AA212" s="20">
        <f t="shared" ca="1" si="131"/>
        <v>6.54656435128228E+16</v>
      </c>
      <c r="AB212" s="20">
        <f t="shared" ca="1" si="132"/>
        <v>1688529647401005.3</v>
      </c>
      <c r="AC212" s="20">
        <f t="shared" ca="1" si="133"/>
        <v>400610988213229.69</v>
      </c>
      <c r="AD212" s="20">
        <f t="shared" ca="1" si="134"/>
        <v>303499158387031.69</v>
      </c>
      <c r="AE212" s="20">
        <f t="shared" ca="1" si="135"/>
        <v>6858944146110500</v>
      </c>
      <c r="AG212" s="16">
        <f t="shared" ca="1" si="136"/>
        <v>-2.5650838030784502E-4</v>
      </c>
      <c r="AH212" s="16">
        <f t="shared" ca="1" si="137"/>
        <v>4.843077810775297E-4</v>
      </c>
      <c r="AI212" s="16">
        <f t="shared" ca="1" si="138"/>
        <v>9.8113961951944162E-4</v>
      </c>
      <c r="AJ212" s="16">
        <f t="shared" ca="1" si="139"/>
        <v>8.6938219094567152E-4</v>
      </c>
      <c r="AK212" s="16">
        <f t="shared" ca="1" si="140"/>
        <v>-6.2046517048404415E-4</v>
      </c>
      <c r="AM212" s="16">
        <f t="shared" ca="1" si="141"/>
        <v>2.078321211234798E-3</v>
      </c>
      <c r="AO212" s="16">
        <f t="shared" ca="1" si="142"/>
        <v>-2.5650838030784502E-4</v>
      </c>
      <c r="AP212" s="16">
        <f t="shared" ca="1" si="143"/>
        <v>0</v>
      </c>
      <c r="AQ212" s="16">
        <f t="shared" ca="1" si="144"/>
        <v>0</v>
      </c>
      <c r="AR212" s="16">
        <f t="shared" ca="1" si="145"/>
        <v>0</v>
      </c>
      <c r="AS212" s="16">
        <f t="shared" ca="1" si="146"/>
        <v>-6.2046517048404415E-4</v>
      </c>
    </row>
    <row r="213" spans="1:45" x14ac:dyDescent="0.25">
      <c r="A213" s="69">
        <f t="shared" ca="1" si="147"/>
        <v>2449.7115879626158</v>
      </c>
      <c r="B213" s="69">
        <f t="shared" ca="1" si="148"/>
        <v>2133.3711418024764</v>
      </c>
      <c r="C213" s="69">
        <f t="shared" ca="1" si="149"/>
        <v>2229.0054302633162</v>
      </c>
      <c r="D213" s="69">
        <f t="shared" ca="1" si="150"/>
        <v>2908.5495160888013</v>
      </c>
      <c r="E213" s="69">
        <f t="shared" ca="1" si="151"/>
        <v>1931.6706456885502</v>
      </c>
      <c r="F213" s="69">
        <f t="shared" ca="1" si="152"/>
        <v>1223.8229513908691</v>
      </c>
      <c r="G213" s="69">
        <f t="shared" ca="1" si="153"/>
        <v>965.41748806685246</v>
      </c>
      <c r="H213" s="69">
        <f t="shared" ca="1" si="154"/>
        <v>1189.1704078322439</v>
      </c>
      <c r="I213" s="69">
        <f t="shared" ca="1" si="155"/>
        <v>1047.5118353859111</v>
      </c>
      <c r="J213" s="69">
        <f t="shared" ca="1" si="156"/>
        <v>1147.8423270855974</v>
      </c>
      <c r="K213" s="69">
        <f t="shared" ca="1" si="157"/>
        <v>1178.7110447448918</v>
      </c>
      <c r="L213" s="69">
        <f t="shared" ca="1" si="158"/>
        <v>955.32317134115715</v>
      </c>
      <c r="M213" s="69">
        <f t="shared" ca="1" si="159"/>
        <v>986.7972693886428</v>
      </c>
      <c r="N213" s="69">
        <f t="shared" ca="1" si="160"/>
        <v>573.66648690966349</v>
      </c>
      <c r="O213" s="69">
        <f t="shared" ca="1" si="161"/>
        <v>629.07710211729056</v>
      </c>
      <c r="P213" s="69">
        <f t="shared" ca="1" si="162"/>
        <v>723.03045441526933</v>
      </c>
      <c r="Q213" s="69">
        <f t="shared" ca="1" si="163"/>
        <v>953.89141192257489</v>
      </c>
      <c r="R213" s="69">
        <f t="shared" ca="1" si="164"/>
        <v>783.68170447784314</v>
      </c>
      <c r="S213" s="69">
        <f t="shared" ca="1" si="165"/>
        <v>699.97693067944726</v>
      </c>
      <c r="T213" s="69">
        <f t="shared" ca="1" si="166"/>
        <v>802.89008488321701</v>
      </c>
      <c r="U213" s="69">
        <f t="shared" ca="1" si="167"/>
        <v>1690.5378595412692</v>
      </c>
      <c r="V213" s="69">
        <f t="shared" ca="1" si="168"/>
        <v>1911.8008798509711</v>
      </c>
      <c r="W213" s="69">
        <f t="shared" ca="1" si="169"/>
        <v>1177.9982708782795</v>
      </c>
      <c r="X213" s="69">
        <f t="shared" ca="1" si="170"/>
        <v>1489.6435678397625</v>
      </c>
      <c r="Y213" s="69">
        <f t="shared" ca="1" si="171"/>
        <v>1208.6295958978208</v>
      </c>
      <c r="AA213" s="20">
        <f t="shared" ca="1" si="131"/>
        <v>6.5448853180162096E+16</v>
      </c>
      <c r="AB213" s="20">
        <f t="shared" ca="1" si="132"/>
        <v>1689347613505508.3</v>
      </c>
      <c r="AC213" s="20">
        <f t="shared" ca="1" si="133"/>
        <v>401004236409927.38</v>
      </c>
      <c r="AD213" s="20">
        <f t="shared" ca="1" si="134"/>
        <v>303763129879731.31</v>
      </c>
      <c r="AE213" s="20">
        <f t="shared" ca="1" si="135"/>
        <v>6854689730156491</v>
      </c>
      <c r="AG213" s="16">
        <f t="shared" ca="1" si="136"/>
        <v>-1.6455010102964116E-4</v>
      </c>
      <c r="AH213" s="16">
        <f t="shared" ca="1" si="137"/>
        <v>1.0249247834015205E-3</v>
      </c>
      <c r="AI213" s="16">
        <f t="shared" ca="1" si="138"/>
        <v>1.4122759893118323E-3</v>
      </c>
      <c r="AJ213" s="16">
        <f t="shared" ca="1" si="139"/>
        <v>-1.1404646537426645E-3</v>
      </c>
      <c r="AK213" s="16">
        <f t="shared" ca="1" si="140"/>
        <v>4.7967788571776917E-4</v>
      </c>
      <c r="AM213" s="16">
        <f t="shared" ca="1" si="141"/>
        <v>1.132186017941047E-3</v>
      </c>
      <c r="AO213" s="16">
        <f t="shared" ca="1" si="142"/>
        <v>-1.6455010102964116E-4</v>
      </c>
      <c r="AP213" s="16">
        <f t="shared" ca="1" si="143"/>
        <v>0</v>
      </c>
      <c r="AQ213" s="16">
        <f t="shared" ca="1" si="144"/>
        <v>0</v>
      </c>
      <c r="AR213" s="16">
        <f t="shared" ca="1" si="145"/>
        <v>-1.1404646537426645E-3</v>
      </c>
      <c r="AS213" s="16">
        <f t="shared" ca="1" si="146"/>
        <v>0</v>
      </c>
    </row>
    <row r="214" spans="1:45" x14ac:dyDescent="0.25">
      <c r="A214" s="69">
        <f t="shared" ca="1" si="147"/>
        <v>2449.7115879626158</v>
      </c>
      <c r="B214" s="69">
        <f t="shared" ca="1" si="148"/>
        <v>2133.0622721757686</v>
      </c>
      <c r="C214" s="69">
        <f t="shared" ca="1" si="149"/>
        <v>2229.1991394335355</v>
      </c>
      <c r="D214" s="69">
        <f t="shared" ca="1" si="150"/>
        <v>2908.5495160888013</v>
      </c>
      <c r="E214" s="69">
        <f t="shared" ca="1" si="151"/>
        <v>1931.4646254007459</v>
      </c>
      <c r="F214" s="69">
        <f t="shared" ca="1" si="152"/>
        <v>1224.0359916263703</v>
      </c>
      <c r="G214" s="69">
        <f t="shared" ca="1" si="153"/>
        <v>965.65037633011684</v>
      </c>
      <c r="H214" s="69">
        <f t="shared" ca="1" si="154"/>
        <v>1189.599348985613</v>
      </c>
      <c r="I214" s="69">
        <f t="shared" ca="1" si="155"/>
        <v>1047.7644058813526</v>
      </c>
      <c r="J214" s="69">
        <f t="shared" ca="1" si="156"/>
        <v>1147.8514340303145</v>
      </c>
      <c r="K214" s="69">
        <f t="shared" ca="1" si="157"/>
        <v>1179.1841827496289</v>
      </c>
      <c r="L214" s="69">
        <f t="shared" ca="1" si="158"/>
        <v>955.70158664701592</v>
      </c>
      <c r="M214" s="69">
        <f t="shared" ca="1" si="159"/>
        <v>986.7972693886428</v>
      </c>
      <c r="N214" s="69">
        <f t="shared" ca="1" si="160"/>
        <v>574.13985368530041</v>
      </c>
      <c r="O214" s="69">
        <f t="shared" ca="1" si="161"/>
        <v>628.94507253535323</v>
      </c>
      <c r="P214" s="69">
        <f t="shared" ca="1" si="162"/>
        <v>722.71991690120046</v>
      </c>
      <c r="Q214" s="69">
        <f t="shared" ca="1" si="163"/>
        <v>953.89141192257489</v>
      </c>
      <c r="R214" s="69">
        <f t="shared" ca="1" si="164"/>
        <v>783.68170447784314</v>
      </c>
      <c r="S214" s="69">
        <f t="shared" ca="1" si="165"/>
        <v>699.52760891754383</v>
      </c>
      <c r="T214" s="69">
        <f t="shared" ca="1" si="166"/>
        <v>802.83487803571575</v>
      </c>
      <c r="U214" s="69">
        <f t="shared" ca="1" si="167"/>
        <v>1690.5378595412692</v>
      </c>
      <c r="V214" s="69">
        <f t="shared" ca="1" si="168"/>
        <v>1911.7957622369208</v>
      </c>
      <c r="W214" s="69">
        <f t="shared" ca="1" si="169"/>
        <v>1178.2989275801383</v>
      </c>
      <c r="X214" s="69">
        <f t="shared" ca="1" si="170"/>
        <v>1489.3680484594283</v>
      </c>
      <c r="Y214" s="69">
        <f t="shared" ca="1" si="171"/>
        <v>1209.127816172592</v>
      </c>
      <c r="AA214" s="20">
        <f t="shared" ca="1" si="131"/>
        <v>6.543808445078108E+16</v>
      </c>
      <c r="AB214" s="20">
        <f t="shared" ca="1" si="132"/>
        <v>1691079955350767.5</v>
      </c>
      <c r="AC214" s="20">
        <f t="shared" ca="1" si="133"/>
        <v>401570965159127.81</v>
      </c>
      <c r="AD214" s="20">
        <f t="shared" ca="1" si="134"/>
        <v>303416896238136</v>
      </c>
      <c r="AE214" s="20">
        <f t="shared" ca="1" si="135"/>
        <v>6857978561960386</v>
      </c>
      <c r="AG214" s="16">
        <f t="shared" ca="1" si="136"/>
        <v>4.9686061300441203E-5</v>
      </c>
      <c r="AH214" s="16">
        <f t="shared" ca="1" si="137"/>
        <v>1.0746498928938302E-4</v>
      </c>
      <c r="AI214" s="16">
        <f t="shared" ca="1" si="138"/>
        <v>1.1164969145673088E-3</v>
      </c>
      <c r="AJ214" s="16">
        <f t="shared" ca="1" si="139"/>
        <v>4.9272668365194655E-4</v>
      </c>
      <c r="AK214" s="16">
        <f t="shared" ca="1" si="140"/>
        <v>-1.0932386009021554E-4</v>
      </c>
      <c r="AM214" s="16">
        <f t="shared" ca="1" si="141"/>
        <v>1.7663746488090796E-3</v>
      </c>
      <c r="AO214" s="16">
        <f t="shared" ca="1" si="142"/>
        <v>0</v>
      </c>
      <c r="AP214" s="16">
        <f t="shared" ca="1" si="143"/>
        <v>0</v>
      </c>
      <c r="AQ214" s="16">
        <f t="shared" ca="1" si="144"/>
        <v>0</v>
      </c>
      <c r="AR214" s="16">
        <f t="shared" ca="1" si="145"/>
        <v>0</v>
      </c>
      <c r="AS214" s="16">
        <f t="shared" ca="1" si="146"/>
        <v>-1.0932386009021554E-4</v>
      </c>
    </row>
    <row r="215" spans="1:45" x14ac:dyDescent="0.25">
      <c r="A215" s="69">
        <f t="shared" ca="1" si="147"/>
        <v>2449.7115879626158</v>
      </c>
      <c r="B215" s="69">
        <f t="shared" ca="1" si="148"/>
        <v>2133.5415556929433</v>
      </c>
      <c r="C215" s="69">
        <f t="shared" ca="1" si="149"/>
        <v>2229.2307560447266</v>
      </c>
      <c r="D215" s="69">
        <f t="shared" ca="1" si="150"/>
        <v>2908.6125092762481</v>
      </c>
      <c r="E215" s="69">
        <f t="shared" ca="1" si="151"/>
        <v>1931.0574731877366</v>
      </c>
      <c r="F215" s="69">
        <f t="shared" ca="1" si="152"/>
        <v>1224.0359916263703</v>
      </c>
      <c r="G215" s="69">
        <f t="shared" ca="1" si="153"/>
        <v>965.73174037057208</v>
      </c>
      <c r="H215" s="69">
        <f t="shared" ca="1" si="154"/>
        <v>1189.599348985613</v>
      </c>
      <c r="I215" s="69">
        <f t="shared" ca="1" si="155"/>
        <v>1047.6553515100495</v>
      </c>
      <c r="J215" s="69">
        <f t="shared" ca="1" si="156"/>
        <v>1147.9975631978568</v>
      </c>
      <c r="K215" s="69">
        <f t="shared" ca="1" si="157"/>
        <v>1179.6696107692726</v>
      </c>
      <c r="L215" s="69">
        <f t="shared" ca="1" si="158"/>
        <v>955.70158664701592</v>
      </c>
      <c r="M215" s="69">
        <f t="shared" ca="1" si="159"/>
        <v>987.28114572035702</v>
      </c>
      <c r="N215" s="69">
        <f t="shared" ca="1" si="160"/>
        <v>573.94219518486727</v>
      </c>
      <c r="O215" s="69">
        <f t="shared" ca="1" si="161"/>
        <v>629.29676081008336</v>
      </c>
      <c r="P215" s="69">
        <f t="shared" ca="1" si="162"/>
        <v>722.6615354150922</v>
      </c>
      <c r="Q215" s="69">
        <f t="shared" ca="1" si="163"/>
        <v>953.70294066783106</v>
      </c>
      <c r="R215" s="69">
        <f t="shared" ca="1" si="164"/>
        <v>783.84123693517063</v>
      </c>
      <c r="S215" s="69">
        <f t="shared" ca="1" si="165"/>
        <v>699.52760891754383</v>
      </c>
      <c r="T215" s="69">
        <f t="shared" ca="1" si="166"/>
        <v>803.29066750735308</v>
      </c>
      <c r="U215" s="69">
        <f t="shared" ca="1" si="167"/>
        <v>1690.1628374935697</v>
      </c>
      <c r="V215" s="69">
        <f t="shared" ca="1" si="168"/>
        <v>1911.386301656514</v>
      </c>
      <c r="W215" s="69">
        <f t="shared" ca="1" si="169"/>
        <v>1178.5156891391637</v>
      </c>
      <c r="X215" s="69">
        <f t="shared" ca="1" si="170"/>
        <v>1489.3680484594283</v>
      </c>
      <c r="Y215" s="69">
        <f t="shared" ca="1" si="171"/>
        <v>1209.3004810829855</v>
      </c>
      <c r="AA215" s="20">
        <f t="shared" ca="1" si="131"/>
        <v>6.544133589223148E+16</v>
      </c>
      <c r="AB215" s="20">
        <f t="shared" ca="1" si="132"/>
        <v>1691261697005314.5</v>
      </c>
      <c r="AC215" s="20">
        <f t="shared" ca="1" si="133"/>
        <v>402019568288111.38</v>
      </c>
      <c r="AD215" s="20">
        <f t="shared" ca="1" si="134"/>
        <v>303566434676947.5</v>
      </c>
      <c r="AE215" s="20">
        <f t="shared" ca="1" si="135"/>
        <v>6857228862252356</v>
      </c>
      <c r="AG215" s="16">
        <f t="shared" ca="1" si="136"/>
        <v>-5.1402288989252517E-4</v>
      </c>
      <c r="AH215" s="16">
        <f t="shared" ca="1" si="137"/>
        <v>-8.1332047621220254E-5</v>
      </c>
      <c r="AI215" s="16">
        <f t="shared" ca="1" si="138"/>
        <v>1.4266239768664373E-4</v>
      </c>
      <c r="AJ215" s="16">
        <f t="shared" ca="1" si="139"/>
        <v>-5.2188416763575057E-4</v>
      </c>
      <c r="AK215" s="16">
        <f t="shared" ca="1" si="140"/>
        <v>3.5629267896174872E-4</v>
      </c>
      <c r="AM215" s="16">
        <f t="shared" ca="1" si="141"/>
        <v>-9.745767074628523E-4</v>
      </c>
      <c r="AO215" s="16">
        <f t="shared" ca="1" si="142"/>
        <v>-5.1402288989252517E-4</v>
      </c>
      <c r="AP215" s="16">
        <f t="shared" ca="1" si="143"/>
        <v>-8.1332047621220254E-5</v>
      </c>
      <c r="AQ215" s="16">
        <f t="shared" ca="1" si="144"/>
        <v>0</v>
      </c>
      <c r="AR215" s="16">
        <f t="shared" ca="1" si="145"/>
        <v>-5.2188416763575057E-4</v>
      </c>
      <c r="AS215" s="16">
        <f t="shared" ca="1" si="146"/>
        <v>0</v>
      </c>
    </row>
    <row r="216" spans="1:45" x14ac:dyDescent="0.25">
      <c r="A216" s="69">
        <f t="shared" ca="1" si="147"/>
        <v>2449.8382062943338</v>
      </c>
      <c r="B216" s="69">
        <f t="shared" ca="1" si="148"/>
        <v>2133.3193135733995</v>
      </c>
      <c r="C216" s="69">
        <f t="shared" ca="1" si="149"/>
        <v>2228.8700480292623</v>
      </c>
      <c r="D216" s="69">
        <f t="shared" ca="1" si="150"/>
        <v>2908.2076144119524</v>
      </c>
      <c r="E216" s="69">
        <f t="shared" ca="1" si="151"/>
        <v>1930.7475618581057</v>
      </c>
      <c r="F216" s="69">
        <f t="shared" ca="1" si="152"/>
        <v>1223.5979806611851</v>
      </c>
      <c r="G216" s="69">
        <f t="shared" ca="1" si="153"/>
        <v>966.05122287976792</v>
      </c>
      <c r="H216" s="69">
        <f t="shared" ca="1" si="154"/>
        <v>1189.6805940488559</v>
      </c>
      <c r="I216" s="69">
        <f t="shared" ca="1" si="155"/>
        <v>1047.3596799892591</v>
      </c>
      <c r="J216" s="69">
        <f t="shared" ca="1" si="156"/>
        <v>1148.1810018086619</v>
      </c>
      <c r="K216" s="69">
        <f t="shared" ca="1" si="157"/>
        <v>1179.6696107692726</v>
      </c>
      <c r="L216" s="69">
        <f t="shared" ca="1" si="158"/>
        <v>955.53809842918758</v>
      </c>
      <c r="M216" s="69">
        <f t="shared" ca="1" si="159"/>
        <v>987.28114572035702</v>
      </c>
      <c r="N216" s="69">
        <f t="shared" ca="1" si="160"/>
        <v>573.89249469259539</v>
      </c>
      <c r="O216" s="69">
        <f t="shared" ca="1" si="161"/>
        <v>629.54874510934428</v>
      </c>
      <c r="P216" s="69">
        <f t="shared" ca="1" si="162"/>
        <v>722.17720077150364</v>
      </c>
      <c r="Q216" s="69">
        <f t="shared" ca="1" si="163"/>
        <v>953.26688822731376</v>
      </c>
      <c r="R216" s="69">
        <f t="shared" ca="1" si="164"/>
        <v>783.84123693517063</v>
      </c>
      <c r="S216" s="69">
        <f t="shared" ca="1" si="165"/>
        <v>699.52760891754383</v>
      </c>
      <c r="T216" s="69">
        <f t="shared" ca="1" si="166"/>
        <v>803.77750871187823</v>
      </c>
      <c r="U216" s="69">
        <f t="shared" ca="1" si="167"/>
        <v>1690.1628374935697</v>
      </c>
      <c r="V216" s="69">
        <f t="shared" ca="1" si="168"/>
        <v>1911.386301656514</v>
      </c>
      <c r="W216" s="69">
        <f t="shared" ca="1" si="169"/>
        <v>1179.0153379216638</v>
      </c>
      <c r="X216" s="69">
        <f t="shared" ca="1" si="170"/>
        <v>1489.2673974695169</v>
      </c>
      <c r="Y216" s="69">
        <f t="shared" ca="1" si="171"/>
        <v>1209.3004810829855</v>
      </c>
      <c r="AA216" s="20">
        <f t="shared" ca="1" si="131"/>
        <v>6.5407706191596152E+16</v>
      </c>
      <c r="AB216" s="20">
        <f t="shared" ca="1" si="132"/>
        <v>1691124148822047.3</v>
      </c>
      <c r="AC216" s="20">
        <f t="shared" ca="1" si="133"/>
        <v>402076925454898.5</v>
      </c>
      <c r="AD216" s="20">
        <f t="shared" ca="1" si="134"/>
        <v>303408049493818.56</v>
      </c>
      <c r="AE216" s="20">
        <f t="shared" ca="1" si="135"/>
        <v>6859672477989290</v>
      </c>
      <c r="AG216" s="16">
        <f t="shared" ca="1" si="136"/>
        <v>2.6306605510427136E-4</v>
      </c>
      <c r="AH216" s="16">
        <f t="shared" ca="1" si="137"/>
        <v>-2.8493431226232763E-4</v>
      </c>
      <c r="AI216" s="16">
        <f t="shared" ca="1" si="138"/>
        <v>7.1403822003011323E-4</v>
      </c>
      <c r="AJ216" s="16">
        <f t="shared" ca="1" si="139"/>
        <v>-3.9805112054153299E-4</v>
      </c>
      <c r="AK216" s="16">
        <f t="shared" ca="1" si="140"/>
        <v>2.1311315246310279E-4</v>
      </c>
      <c r="AM216" s="16">
        <f t="shared" ca="1" si="141"/>
        <v>2.9411884233052391E-4</v>
      </c>
      <c r="AO216" s="16">
        <f t="shared" ca="1" si="142"/>
        <v>0</v>
      </c>
      <c r="AP216" s="16">
        <f t="shared" ca="1" si="143"/>
        <v>-2.8493431226232763E-4</v>
      </c>
      <c r="AQ216" s="16">
        <f t="shared" ca="1" si="144"/>
        <v>0</v>
      </c>
      <c r="AR216" s="16">
        <f t="shared" ca="1" si="145"/>
        <v>-3.9805112054153299E-4</v>
      </c>
      <c r="AS216" s="16">
        <f t="shared" ca="1" si="146"/>
        <v>0</v>
      </c>
    </row>
    <row r="217" spans="1:45" x14ac:dyDescent="0.25">
      <c r="A217" s="69">
        <f t="shared" ca="1" si="147"/>
        <v>2450.2462294166526</v>
      </c>
      <c r="B217" s="69">
        <f t="shared" ca="1" si="148"/>
        <v>2133.3534569453118</v>
      </c>
      <c r="C217" s="69">
        <f t="shared" ca="1" si="149"/>
        <v>2228.8700480292623</v>
      </c>
      <c r="D217" s="69">
        <f t="shared" ca="1" si="150"/>
        <v>2908.0420017374668</v>
      </c>
      <c r="E217" s="69">
        <f t="shared" ca="1" si="151"/>
        <v>1931.013004722261</v>
      </c>
      <c r="F217" s="69">
        <f t="shared" ca="1" si="152"/>
        <v>1223.5979806611851</v>
      </c>
      <c r="G217" s="69">
        <f t="shared" ca="1" si="153"/>
        <v>965.9973397238989</v>
      </c>
      <c r="H217" s="69">
        <f t="shared" ca="1" si="154"/>
        <v>1189.2591984202102</v>
      </c>
      <c r="I217" s="69">
        <f t="shared" ca="1" si="155"/>
        <v>1047.4907293721628</v>
      </c>
      <c r="J217" s="69">
        <f t="shared" ca="1" si="156"/>
        <v>1148.1810018086619</v>
      </c>
      <c r="K217" s="69">
        <f t="shared" ca="1" si="157"/>
        <v>1180.0236407677089</v>
      </c>
      <c r="L217" s="69">
        <f t="shared" ca="1" si="158"/>
        <v>955.53809842918758</v>
      </c>
      <c r="M217" s="69">
        <f t="shared" ca="1" si="159"/>
        <v>987.68993885053715</v>
      </c>
      <c r="N217" s="69">
        <f t="shared" ca="1" si="160"/>
        <v>573.89249469259539</v>
      </c>
      <c r="O217" s="69">
        <f t="shared" ca="1" si="161"/>
        <v>629.54874510934428</v>
      </c>
      <c r="P217" s="69">
        <f t="shared" ca="1" si="162"/>
        <v>722.13447376660167</v>
      </c>
      <c r="Q217" s="69">
        <f t="shared" ca="1" si="163"/>
        <v>952.94389490600156</v>
      </c>
      <c r="R217" s="69">
        <f t="shared" ca="1" si="164"/>
        <v>783.84123693517063</v>
      </c>
      <c r="S217" s="69">
        <f t="shared" ca="1" si="165"/>
        <v>699.52760891754383</v>
      </c>
      <c r="T217" s="69">
        <f t="shared" ca="1" si="166"/>
        <v>803.77750871187823</v>
      </c>
      <c r="U217" s="69">
        <f t="shared" ca="1" si="167"/>
        <v>1690.6223735546182</v>
      </c>
      <c r="V217" s="69">
        <f t="shared" ca="1" si="168"/>
        <v>1911.3197622631794</v>
      </c>
      <c r="W217" s="69">
        <f t="shared" ca="1" si="169"/>
        <v>1179.0153379216638</v>
      </c>
      <c r="X217" s="69">
        <f t="shared" ca="1" si="170"/>
        <v>1489.2317659721855</v>
      </c>
      <c r="Y217" s="69">
        <f t="shared" ca="1" si="171"/>
        <v>1209.3004810829855</v>
      </c>
      <c r="AA217" s="20">
        <f t="shared" ca="1" si="131"/>
        <v>6.542491500226512E+16</v>
      </c>
      <c r="AB217" s="20">
        <f t="shared" ca="1" si="132"/>
        <v>1690642358168356.3</v>
      </c>
      <c r="AC217" s="20">
        <f t="shared" ca="1" si="133"/>
        <v>402364126271042.81</v>
      </c>
      <c r="AD217" s="20">
        <f t="shared" ca="1" si="134"/>
        <v>303287301613245.13</v>
      </c>
      <c r="AE217" s="20">
        <f t="shared" ca="1" si="135"/>
        <v>6861134520200618</v>
      </c>
      <c r="AG217" s="16">
        <f t="shared" ca="1" si="136"/>
        <v>2.7671222232878746E-4</v>
      </c>
      <c r="AH217" s="16">
        <f t="shared" ca="1" si="137"/>
        <v>-4.094348401841367E-4</v>
      </c>
      <c r="AI217" s="16">
        <f t="shared" ca="1" si="138"/>
        <v>3.3075917177592814E-4</v>
      </c>
      <c r="AJ217" s="16">
        <f t="shared" ca="1" si="139"/>
        <v>-2.9108371647910139E-5</v>
      </c>
      <c r="AK217" s="16">
        <f t="shared" ca="1" si="140"/>
        <v>-4.9152309328698589E-4</v>
      </c>
      <c r="AM217" s="16">
        <f t="shared" ca="1" si="141"/>
        <v>1.6892818227266877E-4</v>
      </c>
      <c r="AO217" s="16">
        <f t="shared" ca="1" si="142"/>
        <v>0</v>
      </c>
      <c r="AP217" s="16">
        <f t="shared" ca="1" si="143"/>
        <v>-4.094348401841367E-4</v>
      </c>
      <c r="AQ217" s="16">
        <f t="shared" ca="1" si="144"/>
        <v>0</v>
      </c>
      <c r="AR217" s="16">
        <f t="shared" ca="1" si="145"/>
        <v>-2.9108371647910139E-5</v>
      </c>
      <c r="AS217" s="16">
        <f t="shared" ca="1" si="146"/>
        <v>-4.9152309328698589E-4</v>
      </c>
    </row>
    <row r="218" spans="1:45" x14ac:dyDescent="0.25">
      <c r="A218" s="69">
        <f t="shared" ca="1" si="147"/>
        <v>2450.5790079862227</v>
      </c>
      <c r="B218" s="69">
        <f t="shared" ca="1" si="148"/>
        <v>2133.7897367251917</v>
      </c>
      <c r="C218" s="69">
        <f t="shared" ca="1" si="149"/>
        <v>2228.8700480292623</v>
      </c>
      <c r="D218" s="69">
        <f t="shared" ca="1" si="150"/>
        <v>2907.8571253447808</v>
      </c>
      <c r="E218" s="69">
        <f t="shared" ca="1" si="151"/>
        <v>1931.013004722261</v>
      </c>
      <c r="F218" s="69">
        <f t="shared" ca="1" si="152"/>
        <v>1223.2230739543254</v>
      </c>
      <c r="G218" s="69">
        <f t="shared" ca="1" si="153"/>
        <v>965.9973397238989</v>
      </c>
      <c r="H218" s="69">
        <f t="shared" ca="1" si="154"/>
        <v>1188.8105288668371</v>
      </c>
      <c r="I218" s="69">
        <f t="shared" ca="1" si="155"/>
        <v>1047.9080420646139</v>
      </c>
      <c r="J218" s="69">
        <f t="shared" ca="1" si="156"/>
        <v>1148.0386763255731</v>
      </c>
      <c r="K218" s="69">
        <f t="shared" ca="1" si="157"/>
        <v>1180.3952691436273</v>
      </c>
      <c r="L218" s="69">
        <f t="shared" ca="1" si="158"/>
        <v>955.53809842918758</v>
      </c>
      <c r="M218" s="69">
        <f t="shared" ca="1" si="159"/>
        <v>987.68993885053715</v>
      </c>
      <c r="N218" s="69">
        <f t="shared" ca="1" si="160"/>
        <v>573.90160574481718</v>
      </c>
      <c r="O218" s="69">
        <f t="shared" ca="1" si="161"/>
        <v>629.54874510934428</v>
      </c>
      <c r="P218" s="69">
        <f t="shared" ca="1" si="162"/>
        <v>722.13447376660167</v>
      </c>
      <c r="Q218" s="69">
        <f t="shared" ca="1" si="163"/>
        <v>952.94389490600156</v>
      </c>
      <c r="R218" s="69">
        <f t="shared" ca="1" si="164"/>
        <v>783.84123693517063</v>
      </c>
      <c r="S218" s="69">
        <f t="shared" ca="1" si="165"/>
        <v>699.31496992817029</v>
      </c>
      <c r="T218" s="69">
        <f t="shared" ca="1" si="166"/>
        <v>803.99850794146528</v>
      </c>
      <c r="U218" s="69">
        <f t="shared" ca="1" si="167"/>
        <v>1690.3719995056122</v>
      </c>
      <c r="V218" s="69">
        <f t="shared" ca="1" si="168"/>
        <v>1911.3197622631794</v>
      </c>
      <c r="W218" s="69">
        <f t="shared" ca="1" si="169"/>
        <v>1178.5948650626692</v>
      </c>
      <c r="X218" s="69">
        <f t="shared" ca="1" si="170"/>
        <v>1489.0313716495966</v>
      </c>
      <c r="Y218" s="69">
        <f t="shared" ca="1" si="171"/>
        <v>1209.4792882406482</v>
      </c>
      <c r="AA218" s="20">
        <f t="shared" ca="1" si="131"/>
        <v>6.5443021380903664E+16</v>
      </c>
      <c r="AB218" s="20">
        <f t="shared" ca="1" si="132"/>
        <v>1689950291972305.3</v>
      </c>
      <c r="AC218" s="20">
        <f t="shared" ca="1" si="133"/>
        <v>402497233908273</v>
      </c>
      <c r="AD218" s="20">
        <f t="shared" ca="1" si="134"/>
        <v>303278473542239.69</v>
      </c>
      <c r="AE218" s="20">
        <f t="shared" ca="1" si="135"/>
        <v>6857762942809745</v>
      </c>
      <c r="AG218" s="16">
        <f t="shared" ca="1" si="136"/>
        <v>1.2031657476974507E-4</v>
      </c>
      <c r="AH218" s="16">
        <f t="shared" ca="1" si="137"/>
        <v>-2.4912255503850399E-4</v>
      </c>
      <c r="AI218" s="16">
        <f t="shared" ca="1" si="138"/>
        <v>5.3417264180679496E-4</v>
      </c>
      <c r="AJ218" s="16">
        <f t="shared" ca="1" si="139"/>
        <v>-7.6304134366368516E-5</v>
      </c>
      <c r="AK218" s="16">
        <f t="shared" ca="1" si="140"/>
        <v>-5.8861973748451949E-4</v>
      </c>
      <c r="AM218" s="16">
        <f t="shared" ca="1" si="141"/>
        <v>3.2906252717166751E-4</v>
      </c>
      <c r="AO218" s="16">
        <f t="shared" ca="1" si="142"/>
        <v>0</v>
      </c>
      <c r="AP218" s="16">
        <f t="shared" ca="1" si="143"/>
        <v>-2.4912255503850399E-4</v>
      </c>
      <c r="AQ218" s="16">
        <f t="shared" ca="1" si="144"/>
        <v>0</v>
      </c>
      <c r="AR218" s="16">
        <f t="shared" ca="1" si="145"/>
        <v>-7.6304134366368516E-5</v>
      </c>
      <c r="AS218" s="16">
        <f t="shared" ca="1" si="146"/>
        <v>-5.8861973748451949E-4</v>
      </c>
    </row>
    <row r="219" spans="1:45" x14ac:dyDescent="0.25">
      <c r="A219" s="69">
        <f t="shared" ca="1" si="147"/>
        <v>2450.4688804930843</v>
      </c>
      <c r="B219" s="69">
        <f t="shared" ca="1" si="148"/>
        <v>2134.0377947528332</v>
      </c>
      <c r="C219" s="69">
        <f t="shared" ca="1" si="149"/>
        <v>2229.2277664548824</v>
      </c>
      <c r="D219" s="69">
        <f t="shared" ca="1" si="150"/>
        <v>2907.5330077553685</v>
      </c>
      <c r="E219" s="69">
        <f t="shared" ca="1" si="151"/>
        <v>1931.013004722261</v>
      </c>
      <c r="F219" s="69">
        <f t="shared" ca="1" si="152"/>
        <v>1223.1748916020547</v>
      </c>
      <c r="G219" s="69">
        <f t="shared" ca="1" si="153"/>
        <v>965.8408504720046</v>
      </c>
      <c r="H219" s="69">
        <f t="shared" ca="1" si="154"/>
        <v>1188.5797162896763</v>
      </c>
      <c r="I219" s="69">
        <f t="shared" ca="1" si="155"/>
        <v>1047.9080420646139</v>
      </c>
      <c r="J219" s="69">
        <f t="shared" ca="1" si="156"/>
        <v>1148.206820832346</v>
      </c>
      <c r="K219" s="69">
        <f t="shared" ca="1" si="157"/>
        <v>1180.3536007660057</v>
      </c>
      <c r="L219" s="69">
        <f t="shared" ca="1" si="158"/>
        <v>955.88588040695174</v>
      </c>
      <c r="M219" s="69">
        <f t="shared" ca="1" si="159"/>
        <v>988.14954138123937</v>
      </c>
      <c r="N219" s="69">
        <f t="shared" ca="1" si="160"/>
        <v>573.46112740176022</v>
      </c>
      <c r="O219" s="69">
        <f t="shared" ca="1" si="161"/>
        <v>629.86873971839293</v>
      </c>
      <c r="P219" s="69">
        <f t="shared" ca="1" si="162"/>
        <v>722.13447376660167</v>
      </c>
      <c r="Q219" s="69">
        <f t="shared" ca="1" si="163"/>
        <v>952.94389490600156</v>
      </c>
      <c r="R219" s="69">
        <f t="shared" ca="1" si="164"/>
        <v>784.07093165819458</v>
      </c>
      <c r="S219" s="69">
        <f t="shared" ca="1" si="165"/>
        <v>699.27454934493767</v>
      </c>
      <c r="T219" s="69">
        <f t="shared" ca="1" si="166"/>
        <v>803.74810415262164</v>
      </c>
      <c r="U219" s="69">
        <f t="shared" ca="1" si="167"/>
        <v>1690.1699580645986</v>
      </c>
      <c r="V219" s="69">
        <f t="shared" ca="1" si="168"/>
        <v>1911.4518291412101</v>
      </c>
      <c r="W219" s="69">
        <f t="shared" ca="1" si="169"/>
        <v>1178.1275232619307</v>
      </c>
      <c r="X219" s="69">
        <f t="shared" ca="1" si="170"/>
        <v>1488.8205704086627</v>
      </c>
      <c r="Y219" s="69">
        <f t="shared" ca="1" si="171"/>
        <v>1209.4792882406482</v>
      </c>
      <c r="AA219" s="20">
        <f t="shared" ca="1" si="131"/>
        <v>6.5450895734776944E+16</v>
      </c>
      <c r="AB219" s="20">
        <f t="shared" ca="1" si="132"/>
        <v>1689529339674214.3</v>
      </c>
      <c r="AC219" s="20">
        <f t="shared" ca="1" si="133"/>
        <v>402712294353619.06</v>
      </c>
      <c r="AD219" s="20">
        <f t="shared" ca="1" si="134"/>
        <v>303255333023713.94</v>
      </c>
      <c r="AE219" s="20">
        <f t="shared" ca="1" si="135"/>
        <v>6853727515969075</v>
      </c>
      <c r="AG219" s="16">
        <f t="shared" ca="1" si="136"/>
        <v>-1.7023902252225482E-4</v>
      </c>
      <c r="AH219" s="16">
        <f t="shared" ca="1" si="137"/>
        <v>1.8649007160337843E-4</v>
      </c>
      <c r="AI219" s="16">
        <f t="shared" ca="1" si="138"/>
        <v>1.2171672786414421E-3</v>
      </c>
      <c r="AJ219" s="16">
        <f t="shared" ca="1" si="139"/>
        <v>-2.5898991197092792E-4</v>
      </c>
      <c r="AK219" s="16">
        <f t="shared" ca="1" si="140"/>
        <v>-3.8226560069602538E-4</v>
      </c>
      <c r="AM219" s="16">
        <f t="shared" ca="1" si="141"/>
        <v>9.7442841575163782E-4</v>
      </c>
      <c r="AO219" s="16">
        <f t="shared" ca="1" si="142"/>
        <v>-1.7023902252225482E-4</v>
      </c>
      <c r="AP219" s="16">
        <f t="shared" ca="1" si="143"/>
        <v>0</v>
      </c>
      <c r="AQ219" s="16">
        <f t="shared" ca="1" si="144"/>
        <v>0</v>
      </c>
      <c r="AR219" s="16">
        <f t="shared" ca="1" si="145"/>
        <v>-2.5898991197092792E-4</v>
      </c>
      <c r="AS219" s="16">
        <f t="shared" ca="1" si="146"/>
        <v>-3.8226560069602538E-4</v>
      </c>
    </row>
    <row r="220" spans="1:45" x14ac:dyDescent="0.25">
      <c r="A220" s="69">
        <f t="shared" ca="1" si="147"/>
        <v>2450.3607439175439</v>
      </c>
      <c r="B220" s="69">
        <f t="shared" ca="1" si="148"/>
        <v>2134.0377947528332</v>
      </c>
      <c r="C220" s="69">
        <f t="shared" ca="1" si="149"/>
        <v>2229.2277664548824</v>
      </c>
      <c r="D220" s="69">
        <f t="shared" ca="1" si="150"/>
        <v>2907.5330077553685</v>
      </c>
      <c r="E220" s="69">
        <f t="shared" ca="1" si="151"/>
        <v>1930.7695017327235</v>
      </c>
      <c r="F220" s="69">
        <f t="shared" ca="1" si="152"/>
        <v>1223.1748916020547</v>
      </c>
      <c r="G220" s="69">
        <f t="shared" ca="1" si="153"/>
        <v>966.19906299734953</v>
      </c>
      <c r="H220" s="69">
        <f t="shared" ca="1" si="154"/>
        <v>1188.5797162896763</v>
      </c>
      <c r="I220" s="69">
        <f t="shared" ca="1" si="155"/>
        <v>1047.7149066339377</v>
      </c>
      <c r="J220" s="69">
        <f t="shared" ca="1" si="156"/>
        <v>1148.206820832346</v>
      </c>
      <c r="K220" s="69">
        <f t="shared" ca="1" si="157"/>
        <v>1180.3536007660057</v>
      </c>
      <c r="L220" s="69">
        <f t="shared" ca="1" si="158"/>
        <v>956.06275985305729</v>
      </c>
      <c r="M220" s="69">
        <f t="shared" ca="1" si="159"/>
        <v>988.14954138123937</v>
      </c>
      <c r="N220" s="69">
        <f t="shared" ca="1" si="160"/>
        <v>573.69688548567137</v>
      </c>
      <c r="O220" s="69">
        <f t="shared" ca="1" si="161"/>
        <v>630.26008035162249</v>
      </c>
      <c r="P220" s="69">
        <f t="shared" ca="1" si="162"/>
        <v>721.8041354893719</v>
      </c>
      <c r="Q220" s="69">
        <f t="shared" ca="1" si="163"/>
        <v>952.89123807177293</v>
      </c>
      <c r="R220" s="69">
        <f t="shared" ca="1" si="164"/>
        <v>784.03574555483647</v>
      </c>
      <c r="S220" s="69">
        <f t="shared" ca="1" si="165"/>
        <v>699.48345210944069</v>
      </c>
      <c r="T220" s="69">
        <f t="shared" ca="1" si="166"/>
        <v>803.74810415262164</v>
      </c>
      <c r="U220" s="69">
        <f t="shared" ca="1" si="167"/>
        <v>1690.1699580645986</v>
      </c>
      <c r="V220" s="69">
        <f t="shared" ca="1" si="168"/>
        <v>1911.0027145378288</v>
      </c>
      <c r="W220" s="69">
        <f t="shared" ca="1" si="169"/>
        <v>1178.3869564152121</v>
      </c>
      <c r="X220" s="69">
        <f t="shared" ca="1" si="170"/>
        <v>1488.4415224032266</v>
      </c>
      <c r="Y220" s="69">
        <f t="shared" ca="1" si="171"/>
        <v>1209.3428264306428</v>
      </c>
      <c r="AA220" s="20">
        <f t="shared" ca="1" si="131"/>
        <v>6.5439754386636864E+16</v>
      </c>
      <c r="AB220" s="20">
        <f t="shared" ca="1" si="132"/>
        <v>1689844449503260.3</v>
      </c>
      <c r="AC220" s="20">
        <f t="shared" ca="1" si="133"/>
        <v>403202761010443.88</v>
      </c>
      <c r="AD220" s="20">
        <f t="shared" ca="1" si="134"/>
        <v>303176803121374.63</v>
      </c>
      <c r="AE220" s="20">
        <f t="shared" ca="1" si="135"/>
        <v>6851108072396659</v>
      </c>
      <c r="AG220" s="16">
        <f t="shared" ca="1" si="136"/>
        <v>2.1535269348508965E-4</v>
      </c>
      <c r="AH220" s="16">
        <f t="shared" ca="1" si="137"/>
        <v>1.0262503703400756E-4</v>
      </c>
      <c r="AI220" s="16">
        <f t="shared" ca="1" si="138"/>
        <v>-3.1193758469025425E-4</v>
      </c>
      <c r="AJ220" s="16">
        <f t="shared" ca="1" si="139"/>
        <v>3.673759438794372E-4</v>
      </c>
      <c r="AK220" s="16">
        <f t="shared" ca="1" si="140"/>
        <v>-1.4024721625989067E-4</v>
      </c>
      <c r="AM220" s="16">
        <f t="shared" ca="1" si="141"/>
        <v>3.7341608970828014E-4</v>
      </c>
      <c r="AO220" s="16">
        <f t="shared" ca="1" si="142"/>
        <v>0</v>
      </c>
      <c r="AP220" s="16">
        <f t="shared" ca="1" si="143"/>
        <v>0</v>
      </c>
      <c r="AQ220" s="16">
        <f t="shared" ca="1" si="144"/>
        <v>-3.1193758469025425E-4</v>
      </c>
      <c r="AR220" s="16">
        <f t="shared" ca="1" si="145"/>
        <v>0</v>
      </c>
      <c r="AS220" s="16">
        <f t="shared" ca="1" si="146"/>
        <v>-1.4024721625989067E-4</v>
      </c>
    </row>
    <row r="221" spans="1:45" x14ac:dyDescent="0.25">
      <c r="A221" s="69">
        <f t="shared" ca="1" si="147"/>
        <v>2450.4447879202185</v>
      </c>
      <c r="B221" s="69">
        <f t="shared" ca="1" si="148"/>
        <v>2133.7348426210438</v>
      </c>
      <c r="C221" s="69">
        <f t="shared" ca="1" si="149"/>
        <v>2229.670242751306</v>
      </c>
      <c r="D221" s="69">
        <f t="shared" ca="1" si="150"/>
        <v>2907.8951861260084</v>
      </c>
      <c r="E221" s="69">
        <f t="shared" ca="1" si="151"/>
        <v>1930.7695017327235</v>
      </c>
      <c r="F221" s="69">
        <f t="shared" ca="1" si="152"/>
        <v>1223.1748916020547</v>
      </c>
      <c r="G221" s="69">
        <f t="shared" ca="1" si="153"/>
        <v>966.19906299734953</v>
      </c>
      <c r="H221" s="69">
        <f t="shared" ca="1" si="154"/>
        <v>1188.6582510253002</v>
      </c>
      <c r="I221" s="69">
        <f t="shared" ca="1" si="155"/>
        <v>1047.7532042293142</v>
      </c>
      <c r="J221" s="69">
        <f t="shared" ca="1" si="156"/>
        <v>1148.206820832346</v>
      </c>
      <c r="K221" s="69">
        <f t="shared" ca="1" si="157"/>
        <v>1180.3536007660057</v>
      </c>
      <c r="L221" s="69">
        <f t="shared" ca="1" si="158"/>
        <v>956.17381419040964</v>
      </c>
      <c r="M221" s="69">
        <f t="shared" ca="1" si="159"/>
        <v>988.51076495124255</v>
      </c>
      <c r="N221" s="69">
        <f t="shared" ca="1" si="160"/>
        <v>573.69688548567137</v>
      </c>
      <c r="O221" s="69">
        <f t="shared" ca="1" si="161"/>
        <v>629.76011846880272</v>
      </c>
      <c r="P221" s="69">
        <f t="shared" ca="1" si="162"/>
        <v>722.11656939442662</v>
      </c>
      <c r="Q221" s="69">
        <f t="shared" ca="1" si="163"/>
        <v>952.89123807177293</v>
      </c>
      <c r="R221" s="69">
        <f t="shared" ca="1" si="164"/>
        <v>784.52506770349385</v>
      </c>
      <c r="S221" s="69">
        <f t="shared" ca="1" si="165"/>
        <v>699.00146847360156</v>
      </c>
      <c r="T221" s="69">
        <f t="shared" ca="1" si="166"/>
        <v>803.74810415262164</v>
      </c>
      <c r="U221" s="69">
        <f t="shared" ca="1" si="167"/>
        <v>1689.9711549140779</v>
      </c>
      <c r="V221" s="69">
        <f t="shared" ca="1" si="168"/>
        <v>1910.7187960588865</v>
      </c>
      <c r="W221" s="69">
        <f t="shared" ca="1" si="169"/>
        <v>1178.3869564152121</v>
      </c>
      <c r="X221" s="69">
        <f t="shared" ca="1" si="170"/>
        <v>1488.4415224032266</v>
      </c>
      <c r="Y221" s="69">
        <f t="shared" ca="1" si="171"/>
        <v>1209.4951700872189</v>
      </c>
      <c r="AA221" s="20">
        <f t="shared" ca="1" si="131"/>
        <v>6.5453848531556592E+16</v>
      </c>
      <c r="AB221" s="20">
        <f t="shared" ca="1" si="132"/>
        <v>1690017878751411.5</v>
      </c>
      <c r="AC221" s="20">
        <f t="shared" ca="1" si="133"/>
        <v>403077006529828</v>
      </c>
      <c r="AD221" s="20">
        <f t="shared" ca="1" si="134"/>
        <v>303288203447230.69</v>
      </c>
      <c r="AE221" s="20">
        <f t="shared" ca="1" si="135"/>
        <v>6850147290936247</v>
      </c>
      <c r="AG221" s="16">
        <f t="shared" ca="1" si="136"/>
        <v>-1.0044680003214416E-4</v>
      </c>
      <c r="AH221" s="16">
        <f t="shared" ca="1" si="137"/>
        <v>1.3420875297945716E-4</v>
      </c>
      <c r="AI221" s="16">
        <f t="shared" ca="1" si="138"/>
        <v>1.2427675218645705E-3</v>
      </c>
      <c r="AJ221" s="16">
        <f t="shared" ca="1" si="139"/>
        <v>2.5576719219833728E-4</v>
      </c>
      <c r="AK221" s="16">
        <f t="shared" ca="1" si="140"/>
        <v>-8.7611438846430453E-5</v>
      </c>
      <c r="AM221" s="16">
        <f t="shared" ca="1" si="141"/>
        <v>1.5322966670102208E-3</v>
      </c>
      <c r="AO221" s="16">
        <f t="shared" ca="1" si="142"/>
        <v>-1.0044680003214416E-4</v>
      </c>
      <c r="AP221" s="16">
        <f t="shared" ca="1" si="143"/>
        <v>0</v>
      </c>
      <c r="AQ221" s="16">
        <f t="shared" ca="1" si="144"/>
        <v>0</v>
      </c>
      <c r="AR221" s="16">
        <f t="shared" ca="1" si="145"/>
        <v>0</v>
      </c>
      <c r="AS221" s="16">
        <f t="shared" ca="1" si="146"/>
        <v>-8.7611438846430453E-5</v>
      </c>
    </row>
    <row r="222" spans="1:45" x14ac:dyDescent="0.25">
      <c r="A222" s="69">
        <f t="shared" ca="1" si="147"/>
        <v>2450.0924381240015</v>
      </c>
      <c r="B222" s="69">
        <f t="shared" ca="1" si="148"/>
        <v>2133.9105342371781</v>
      </c>
      <c r="C222" s="69">
        <f t="shared" ca="1" si="149"/>
        <v>2229.3885238126973</v>
      </c>
      <c r="D222" s="69">
        <f t="shared" ca="1" si="150"/>
        <v>2908.1492750000443</v>
      </c>
      <c r="E222" s="69">
        <f t="shared" ca="1" si="151"/>
        <v>1930.7695017327235</v>
      </c>
      <c r="F222" s="69">
        <f t="shared" ca="1" si="152"/>
        <v>1223.4443377179778</v>
      </c>
      <c r="G222" s="69">
        <f t="shared" ca="1" si="153"/>
        <v>966.19906299734953</v>
      </c>
      <c r="H222" s="69">
        <f t="shared" ca="1" si="154"/>
        <v>1188.8719770243476</v>
      </c>
      <c r="I222" s="69">
        <f t="shared" ca="1" si="155"/>
        <v>1047.9015234024118</v>
      </c>
      <c r="J222" s="69">
        <f t="shared" ca="1" si="156"/>
        <v>1147.7391496222651</v>
      </c>
      <c r="K222" s="69">
        <f t="shared" ca="1" si="157"/>
        <v>1180.8056260796523</v>
      </c>
      <c r="L222" s="69">
        <f t="shared" ca="1" si="158"/>
        <v>956.17381419040964</v>
      </c>
      <c r="M222" s="69">
        <f t="shared" ca="1" si="159"/>
        <v>988.69880703895785</v>
      </c>
      <c r="N222" s="69">
        <f t="shared" ca="1" si="160"/>
        <v>574.08120388409543</v>
      </c>
      <c r="O222" s="69">
        <f t="shared" ca="1" si="161"/>
        <v>629.76011846880272</v>
      </c>
      <c r="P222" s="69">
        <f t="shared" ca="1" si="162"/>
        <v>722.2989098572458</v>
      </c>
      <c r="Q222" s="69">
        <f t="shared" ca="1" si="163"/>
        <v>952.89123807177293</v>
      </c>
      <c r="R222" s="69">
        <f t="shared" ca="1" si="164"/>
        <v>784.52506770349385</v>
      </c>
      <c r="S222" s="69">
        <f t="shared" ca="1" si="165"/>
        <v>699.35994797251192</v>
      </c>
      <c r="T222" s="69">
        <f t="shared" ca="1" si="166"/>
        <v>803.33876069417943</v>
      </c>
      <c r="U222" s="69">
        <f t="shared" ca="1" si="167"/>
        <v>1689.6247513181324</v>
      </c>
      <c r="V222" s="69">
        <f t="shared" ca="1" si="168"/>
        <v>1910.9781325144336</v>
      </c>
      <c r="W222" s="69">
        <f t="shared" ca="1" si="169"/>
        <v>1178.5321069341119</v>
      </c>
      <c r="X222" s="69">
        <f t="shared" ca="1" si="170"/>
        <v>1488.1521182189269</v>
      </c>
      <c r="Y222" s="69">
        <f t="shared" ca="1" si="171"/>
        <v>1209.5592160189901</v>
      </c>
      <c r="AA222" s="20">
        <f t="shared" ca="1" si="131"/>
        <v>6.5447274232111008E+16</v>
      </c>
      <c r="AB222" s="20">
        <f t="shared" ca="1" si="132"/>
        <v>1690244709164404.5</v>
      </c>
      <c r="AC222" s="20">
        <f t="shared" ca="1" si="133"/>
        <v>403578248941735.88</v>
      </c>
      <c r="AD222" s="20">
        <f t="shared" ca="1" si="134"/>
        <v>303365784540379.5</v>
      </c>
      <c r="AE222" s="20">
        <f t="shared" ca="1" si="135"/>
        <v>6849547165965068</v>
      </c>
      <c r="AG222" s="16">
        <f t="shared" ca="1" si="136"/>
        <v>2.9316568820869225E-4</v>
      </c>
      <c r="AH222" s="16">
        <f t="shared" ca="1" si="137"/>
        <v>5.880762285689196E-5</v>
      </c>
      <c r="AI222" s="16">
        <f t="shared" ca="1" si="138"/>
        <v>-4.260082691484298E-4</v>
      </c>
      <c r="AJ222" s="16">
        <f t="shared" ca="1" si="139"/>
        <v>-5.260051184571451E-4</v>
      </c>
      <c r="AK222" s="16">
        <f t="shared" ca="1" si="140"/>
        <v>3.8243646639243346E-4</v>
      </c>
      <c r="AM222" s="16">
        <f t="shared" ca="1" si="141"/>
        <v>-6.0004007653999074E-4</v>
      </c>
      <c r="AO222" s="16">
        <f t="shared" ca="1" si="142"/>
        <v>0</v>
      </c>
      <c r="AP222" s="16">
        <f t="shared" ca="1" si="143"/>
        <v>0</v>
      </c>
      <c r="AQ222" s="16">
        <f t="shared" ca="1" si="144"/>
        <v>-4.260082691484298E-4</v>
      </c>
      <c r="AR222" s="16">
        <f t="shared" ca="1" si="145"/>
        <v>-5.260051184571451E-4</v>
      </c>
      <c r="AS222" s="16">
        <f t="shared" ca="1" si="146"/>
        <v>0</v>
      </c>
    </row>
    <row r="223" spans="1:45" x14ac:dyDescent="0.25">
      <c r="A223" s="69">
        <f t="shared" ca="1" si="147"/>
        <v>2450.3872683681029</v>
      </c>
      <c r="B223" s="69">
        <f t="shared" ca="1" si="148"/>
        <v>2134.1987276589148</v>
      </c>
      <c r="C223" s="69">
        <f t="shared" ca="1" si="149"/>
        <v>2229.3885238126973</v>
      </c>
      <c r="D223" s="69">
        <f t="shared" ca="1" si="150"/>
        <v>2907.8781606711495</v>
      </c>
      <c r="E223" s="69">
        <f t="shared" ca="1" si="151"/>
        <v>1931.022494789888</v>
      </c>
      <c r="F223" s="69">
        <f t="shared" ca="1" si="152"/>
        <v>1223.5730250193924</v>
      </c>
      <c r="G223" s="69">
        <f t="shared" ca="1" si="153"/>
        <v>966.60517922579709</v>
      </c>
      <c r="H223" s="69">
        <f t="shared" ca="1" si="154"/>
        <v>1188.7937323000492</v>
      </c>
      <c r="I223" s="69">
        <f t="shared" ca="1" si="155"/>
        <v>1047.9015234024118</v>
      </c>
      <c r="J223" s="69">
        <f t="shared" ca="1" si="156"/>
        <v>1147.2792392962144</v>
      </c>
      <c r="K223" s="69">
        <f t="shared" ca="1" si="157"/>
        <v>1180.8056260796523</v>
      </c>
      <c r="L223" s="69">
        <f t="shared" ca="1" si="158"/>
        <v>956.01756748796913</v>
      </c>
      <c r="M223" s="69">
        <f t="shared" ca="1" si="159"/>
        <v>988.43922201145756</v>
      </c>
      <c r="N223" s="69">
        <f t="shared" ca="1" si="160"/>
        <v>574.08120388409543</v>
      </c>
      <c r="O223" s="69">
        <f t="shared" ca="1" si="161"/>
        <v>629.76011846880272</v>
      </c>
      <c r="P223" s="69">
        <f t="shared" ca="1" si="162"/>
        <v>722.2989098572458</v>
      </c>
      <c r="Q223" s="69">
        <f t="shared" ca="1" si="163"/>
        <v>952.4184582117764</v>
      </c>
      <c r="R223" s="69">
        <f t="shared" ca="1" si="164"/>
        <v>784.24573918604494</v>
      </c>
      <c r="S223" s="69">
        <f t="shared" ca="1" si="165"/>
        <v>699.35994797251192</v>
      </c>
      <c r="T223" s="69">
        <f t="shared" ca="1" si="166"/>
        <v>803.60099907065569</v>
      </c>
      <c r="U223" s="69">
        <f t="shared" ca="1" si="167"/>
        <v>1689.6379459281106</v>
      </c>
      <c r="V223" s="69">
        <f t="shared" ca="1" si="168"/>
        <v>1911.1471391030473</v>
      </c>
      <c r="W223" s="69">
        <f t="shared" ca="1" si="169"/>
        <v>1178.6942964085704</v>
      </c>
      <c r="X223" s="69">
        <f t="shared" ca="1" si="170"/>
        <v>1488.3732456921909</v>
      </c>
      <c r="Y223" s="69">
        <f t="shared" ca="1" si="171"/>
        <v>1209.5592160189901</v>
      </c>
      <c r="AA223" s="20">
        <f t="shared" ca="1" si="131"/>
        <v>6.5466463940047176E+16</v>
      </c>
      <c r="AB223" s="20">
        <f t="shared" ca="1" si="132"/>
        <v>1690344111360571.8</v>
      </c>
      <c r="AC223" s="20">
        <f t="shared" ca="1" si="133"/>
        <v>403406357886543.31</v>
      </c>
      <c r="AD223" s="20">
        <f t="shared" ca="1" si="134"/>
        <v>303206254545421.69</v>
      </c>
      <c r="AE223" s="20">
        <f t="shared" ca="1" si="135"/>
        <v>6852167183542807</v>
      </c>
      <c r="AG223" s="16">
        <f t="shared" ca="1" si="136"/>
        <v>3.4197267972708913E-4</v>
      </c>
      <c r="AH223" s="16">
        <f t="shared" ca="1" si="137"/>
        <v>4.9120564135688631E-4</v>
      </c>
      <c r="AI223" s="16">
        <f t="shared" ca="1" si="138"/>
        <v>-4.5597061857604313E-4</v>
      </c>
      <c r="AJ223" s="16">
        <f t="shared" ca="1" si="139"/>
        <v>-6.0512907982019682E-4</v>
      </c>
      <c r="AK223" s="16">
        <f t="shared" ca="1" si="140"/>
        <v>7.4529585384492834E-4</v>
      </c>
      <c r="AM223" s="16">
        <f t="shared" ca="1" si="141"/>
        <v>-2.2792137731226451E-4</v>
      </c>
      <c r="AO223" s="16">
        <f t="shared" ca="1" si="142"/>
        <v>0</v>
      </c>
      <c r="AP223" s="16">
        <f t="shared" ca="1" si="143"/>
        <v>0</v>
      </c>
      <c r="AQ223" s="16">
        <f t="shared" ca="1" si="144"/>
        <v>-4.5597061857604313E-4</v>
      </c>
      <c r="AR223" s="16">
        <f t="shared" ca="1" si="145"/>
        <v>-6.0512907982019682E-4</v>
      </c>
      <c r="AS223" s="16">
        <f t="shared" ca="1" si="146"/>
        <v>0</v>
      </c>
    </row>
    <row r="224" spans="1:45" x14ac:dyDescent="0.25">
      <c r="A224" s="69">
        <f t="shared" ca="1" si="147"/>
        <v>2450.6005612057616</v>
      </c>
      <c r="B224" s="69">
        <f t="shared" ca="1" si="148"/>
        <v>2134.1987276589148</v>
      </c>
      <c r="C224" s="69">
        <f t="shared" ca="1" si="149"/>
        <v>2229.3591908663511</v>
      </c>
      <c r="D224" s="69">
        <f t="shared" ca="1" si="150"/>
        <v>2907.9665921802621</v>
      </c>
      <c r="E224" s="69">
        <f t="shared" ca="1" si="151"/>
        <v>1931.4815125645193</v>
      </c>
      <c r="F224" s="69">
        <f t="shared" ca="1" si="152"/>
        <v>1223.3290629727237</v>
      </c>
      <c r="G224" s="69">
        <f t="shared" ca="1" si="153"/>
        <v>966.74907180186085</v>
      </c>
      <c r="H224" s="69">
        <f t="shared" ca="1" si="154"/>
        <v>1188.9000656051116</v>
      </c>
      <c r="I224" s="69">
        <f t="shared" ca="1" si="155"/>
        <v>1048.2814627446016</v>
      </c>
      <c r="J224" s="69">
        <f t="shared" ca="1" si="156"/>
        <v>1147.3822803929875</v>
      </c>
      <c r="K224" s="69">
        <f t="shared" ca="1" si="157"/>
        <v>1180.5579168158015</v>
      </c>
      <c r="L224" s="69">
        <f t="shared" ca="1" si="158"/>
        <v>956.01756748796913</v>
      </c>
      <c r="M224" s="69">
        <f t="shared" ca="1" si="159"/>
        <v>987.95597873139025</v>
      </c>
      <c r="N224" s="69">
        <f t="shared" ca="1" si="160"/>
        <v>574.08120388409543</v>
      </c>
      <c r="O224" s="69">
        <f t="shared" ca="1" si="161"/>
        <v>629.91307183364017</v>
      </c>
      <c r="P224" s="69">
        <f t="shared" ca="1" si="162"/>
        <v>722.06676123191664</v>
      </c>
      <c r="Q224" s="69">
        <f t="shared" ca="1" si="163"/>
        <v>951.96144548621476</v>
      </c>
      <c r="R224" s="69">
        <f t="shared" ca="1" si="164"/>
        <v>784.09907463261493</v>
      </c>
      <c r="S224" s="69">
        <f t="shared" ca="1" si="165"/>
        <v>699.3378356951755</v>
      </c>
      <c r="T224" s="69">
        <f t="shared" ca="1" si="166"/>
        <v>803.93450965309194</v>
      </c>
      <c r="U224" s="69">
        <f t="shared" ca="1" si="167"/>
        <v>1690.0017905683853</v>
      </c>
      <c r="V224" s="69">
        <f t="shared" ca="1" si="168"/>
        <v>1911.4864114862773</v>
      </c>
      <c r="W224" s="69">
        <f t="shared" ca="1" si="169"/>
        <v>1178.8358519431306</v>
      </c>
      <c r="X224" s="69">
        <f t="shared" ca="1" si="170"/>
        <v>1488.6393192956671</v>
      </c>
      <c r="Y224" s="69">
        <f t="shared" ca="1" si="171"/>
        <v>1209.6240900353421</v>
      </c>
      <c r="AA224" s="20">
        <f t="shared" ca="1" si="131"/>
        <v>6.548885551058748E+16</v>
      </c>
      <c r="AB224" s="20">
        <f t="shared" ca="1" si="132"/>
        <v>1691174621882934.3</v>
      </c>
      <c r="AC224" s="20">
        <f t="shared" ca="1" si="133"/>
        <v>403222458369574.75</v>
      </c>
      <c r="AD224" s="20">
        <f t="shared" ca="1" si="134"/>
        <v>303022831126632.38</v>
      </c>
      <c r="AE224" s="20">
        <f t="shared" ca="1" si="135"/>
        <v>6857275978880065</v>
      </c>
      <c r="AG224" s="16">
        <f t="shared" ca="1" si="136"/>
        <v>-5.2613661724725794E-4</v>
      </c>
      <c r="AH224" s="16">
        <f t="shared" ca="1" si="137"/>
        <v>2.7163768518201673E-4</v>
      </c>
      <c r="AI224" s="16">
        <f t="shared" ca="1" si="138"/>
        <v>9.8500875687175979E-5</v>
      </c>
      <c r="AJ224" s="16">
        <f t="shared" ca="1" si="139"/>
        <v>-1.6858157096109684E-5</v>
      </c>
      <c r="AK224" s="16">
        <f t="shared" ca="1" si="140"/>
        <v>4.4752816357461063E-5</v>
      </c>
      <c r="AM224" s="16">
        <f t="shared" ca="1" si="141"/>
        <v>-1.728562134741749E-4</v>
      </c>
      <c r="AO224" s="16">
        <f t="shared" ca="1" si="142"/>
        <v>-5.2613661724725794E-4</v>
      </c>
      <c r="AP224" s="16">
        <f t="shared" ca="1" si="143"/>
        <v>0</v>
      </c>
      <c r="AQ224" s="16">
        <f t="shared" ca="1" si="144"/>
        <v>0</v>
      </c>
      <c r="AR224" s="16">
        <f t="shared" ca="1" si="145"/>
        <v>-1.6858157096109684E-5</v>
      </c>
      <c r="AS224" s="16">
        <f t="shared" ca="1" si="146"/>
        <v>0</v>
      </c>
    </row>
    <row r="225" spans="1:45" x14ac:dyDescent="0.25">
      <c r="A225" s="69">
        <f t="shared" ca="1" si="147"/>
        <v>2450.6005612057616</v>
      </c>
      <c r="B225" s="69">
        <f t="shared" ca="1" si="148"/>
        <v>2133.7550472170174</v>
      </c>
      <c r="C225" s="69">
        <f t="shared" ca="1" si="149"/>
        <v>2228.8628129849139</v>
      </c>
      <c r="D225" s="69">
        <f t="shared" ca="1" si="150"/>
        <v>2907.6887655929741</v>
      </c>
      <c r="E225" s="69">
        <f t="shared" ca="1" si="151"/>
        <v>1931.4815125645193</v>
      </c>
      <c r="F225" s="69">
        <f t="shared" ca="1" si="152"/>
        <v>1223.4577943686404</v>
      </c>
      <c r="G225" s="69">
        <f t="shared" ca="1" si="153"/>
        <v>966.86586480120195</v>
      </c>
      <c r="H225" s="69">
        <f t="shared" ca="1" si="154"/>
        <v>1188.9000656051116</v>
      </c>
      <c r="I225" s="69">
        <f t="shared" ca="1" si="155"/>
        <v>1048.2814627446016</v>
      </c>
      <c r="J225" s="69">
        <f t="shared" ca="1" si="156"/>
        <v>1147.4346137860211</v>
      </c>
      <c r="K225" s="69">
        <f t="shared" ca="1" si="157"/>
        <v>1180.5579168158015</v>
      </c>
      <c r="L225" s="69">
        <f t="shared" ca="1" si="158"/>
        <v>956.01756748796913</v>
      </c>
      <c r="M225" s="69">
        <f t="shared" ca="1" si="159"/>
        <v>987.95597873139025</v>
      </c>
      <c r="N225" s="69">
        <f t="shared" ca="1" si="160"/>
        <v>574.08120388409543</v>
      </c>
      <c r="O225" s="69">
        <f t="shared" ca="1" si="161"/>
        <v>629.9751218787643</v>
      </c>
      <c r="P225" s="69">
        <f t="shared" ca="1" si="162"/>
        <v>722.06676123191664</v>
      </c>
      <c r="Q225" s="69">
        <f t="shared" ca="1" si="163"/>
        <v>951.96144548621476</v>
      </c>
      <c r="R225" s="69">
        <f t="shared" ca="1" si="164"/>
        <v>784.33454820744555</v>
      </c>
      <c r="S225" s="69">
        <f t="shared" ca="1" si="165"/>
        <v>699.03057717849333</v>
      </c>
      <c r="T225" s="69">
        <f t="shared" ca="1" si="166"/>
        <v>804.03286003032167</v>
      </c>
      <c r="U225" s="69">
        <f t="shared" ca="1" si="167"/>
        <v>1689.6910085786076</v>
      </c>
      <c r="V225" s="69">
        <f t="shared" ca="1" si="168"/>
        <v>1911.5865459679778</v>
      </c>
      <c r="W225" s="69">
        <f t="shared" ca="1" si="169"/>
        <v>1178.5413652674476</v>
      </c>
      <c r="X225" s="69">
        <f t="shared" ca="1" si="170"/>
        <v>1488.7401707404449</v>
      </c>
      <c r="Y225" s="69">
        <f t="shared" ca="1" si="171"/>
        <v>1210.0576697168121</v>
      </c>
      <c r="AA225" s="20">
        <f t="shared" ca="1" si="131"/>
        <v>6.5454408488396248E+16</v>
      </c>
      <c r="AB225" s="20">
        <f t="shared" ca="1" si="132"/>
        <v>1691634071041489</v>
      </c>
      <c r="AC225" s="20">
        <f t="shared" ca="1" si="133"/>
        <v>403262178091002.44</v>
      </c>
      <c r="AD225" s="20">
        <f t="shared" ca="1" si="134"/>
        <v>303017722763200.44</v>
      </c>
      <c r="AE225" s="20">
        <f t="shared" ca="1" si="135"/>
        <v>6857582868159689</v>
      </c>
      <c r="AG225" s="16">
        <f t="shared" ca="1" si="136"/>
        <v>1.7627993718984138E-4</v>
      </c>
      <c r="AH225" s="16">
        <f t="shared" ca="1" si="137"/>
        <v>-4.2775191019260864E-6</v>
      </c>
      <c r="AI225" s="16">
        <f t="shared" ca="1" si="138"/>
        <v>-3.0984607425658592E-4</v>
      </c>
      <c r="AJ225" s="16">
        <f t="shared" ca="1" si="139"/>
        <v>1.5117005252698106E-4</v>
      </c>
      <c r="AK225" s="16">
        <f t="shared" ca="1" si="140"/>
        <v>4.9611638060945818E-5</v>
      </c>
      <c r="AM225" s="16">
        <f t="shared" ca="1" si="141"/>
        <v>1.3326396358310431E-5</v>
      </c>
      <c r="AO225" s="16">
        <f t="shared" ca="1" si="142"/>
        <v>0</v>
      </c>
      <c r="AP225" s="16">
        <f t="shared" ca="1" si="143"/>
        <v>-4.2775191019260864E-6</v>
      </c>
      <c r="AQ225" s="16">
        <f t="shared" ca="1" si="144"/>
        <v>-3.0984607425658592E-4</v>
      </c>
      <c r="AR225" s="16">
        <f t="shared" ca="1" si="145"/>
        <v>0</v>
      </c>
      <c r="AS225" s="16">
        <f t="shared" ca="1" si="146"/>
        <v>0</v>
      </c>
    </row>
    <row r="226" spans="1:45" x14ac:dyDescent="0.25">
      <c r="A226" s="69">
        <f t="shared" ca="1" si="147"/>
        <v>2450.1102160940104</v>
      </c>
      <c r="B226" s="69">
        <f t="shared" ca="1" si="148"/>
        <v>2134.2314030919879</v>
      </c>
      <c r="C226" s="69">
        <f t="shared" ca="1" si="149"/>
        <v>2228.8628129849139</v>
      </c>
      <c r="D226" s="69">
        <f t="shared" ca="1" si="150"/>
        <v>2908.1341674927153</v>
      </c>
      <c r="E226" s="69">
        <f t="shared" ca="1" si="151"/>
        <v>1931.4815125645193</v>
      </c>
      <c r="F226" s="69">
        <f t="shared" ca="1" si="152"/>
        <v>1223.7841144565393</v>
      </c>
      <c r="G226" s="69">
        <f t="shared" ca="1" si="153"/>
        <v>966.4602418960078</v>
      </c>
      <c r="H226" s="69">
        <f t="shared" ca="1" si="154"/>
        <v>1188.9651734441179</v>
      </c>
      <c r="I226" s="69">
        <f t="shared" ca="1" si="155"/>
        <v>1048.3486759716059</v>
      </c>
      <c r="J226" s="69">
        <f t="shared" ca="1" si="156"/>
        <v>1147.4687767725395</v>
      </c>
      <c r="K226" s="69">
        <f t="shared" ca="1" si="157"/>
        <v>1180.7590639023335</v>
      </c>
      <c r="L226" s="69">
        <f t="shared" ca="1" si="158"/>
        <v>956.00602385085756</v>
      </c>
      <c r="M226" s="69">
        <f t="shared" ca="1" si="159"/>
        <v>987.95597873139025</v>
      </c>
      <c r="N226" s="69">
        <f t="shared" ca="1" si="160"/>
        <v>574.00896897734526</v>
      </c>
      <c r="O226" s="69">
        <f t="shared" ca="1" si="161"/>
        <v>629.75951518129682</v>
      </c>
      <c r="P226" s="69">
        <f t="shared" ca="1" si="162"/>
        <v>722.5151145602772</v>
      </c>
      <c r="Q226" s="69">
        <f t="shared" ca="1" si="163"/>
        <v>951.65245327169634</v>
      </c>
      <c r="R226" s="69">
        <f t="shared" ca="1" si="164"/>
        <v>784.32356994309089</v>
      </c>
      <c r="S226" s="69">
        <f t="shared" ca="1" si="165"/>
        <v>698.68277203620244</v>
      </c>
      <c r="T226" s="69">
        <f t="shared" ca="1" si="166"/>
        <v>804.32778837165017</v>
      </c>
      <c r="U226" s="69">
        <f t="shared" ca="1" si="167"/>
        <v>1689.8885491908211</v>
      </c>
      <c r="V226" s="69">
        <f t="shared" ca="1" si="168"/>
        <v>1911.5865459679778</v>
      </c>
      <c r="W226" s="69">
        <f t="shared" ca="1" si="169"/>
        <v>1178.7477451392303</v>
      </c>
      <c r="X226" s="69">
        <f t="shared" ca="1" si="170"/>
        <v>1488.4337037371504</v>
      </c>
      <c r="Y226" s="69">
        <f t="shared" ca="1" si="171"/>
        <v>1210.0134884502386</v>
      </c>
      <c r="AA226" s="20">
        <f t="shared" ca="1" si="131"/>
        <v>6.5465947804458456E+16</v>
      </c>
      <c r="AB226" s="20">
        <f t="shared" ca="1" si="132"/>
        <v>1691626835059912.8</v>
      </c>
      <c r="AC226" s="20">
        <f t="shared" ca="1" si="133"/>
        <v>403137248243735.63</v>
      </c>
      <c r="AD226" s="20">
        <f t="shared" ca="1" si="134"/>
        <v>303063533430780.44</v>
      </c>
      <c r="AE226" s="20">
        <f t="shared" ca="1" si="135"/>
        <v>6857923092518391</v>
      </c>
      <c r="AG226" s="16">
        <f t="shared" ca="1" si="136"/>
        <v>-1.5896061336408818E-4</v>
      </c>
      <c r="AH226" s="16">
        <f t="shared" ca="1" si="137"/>
        <v>1.0711744117369393E-3</v>
      </c>
      <c r="AI226" s="16">
        <f t="shared" ca="1" si="138"/>
        <v>-2.8198157625601187E-4</v>
      </c>
      <c r="AJ226" s="16">
        <f t="shared" ca="1" si="139"/>
        <v>-3.6860698001842316E-5</v>
      </c>
      <c r="AK226" s="16">
        <f t="shared" ca="1" si="140"/>
        <v>1.6070602787508087E-5</v>
      </c>
      <c r="AM226" s="16">
        <f t="shared" ca="1" si="141"/>
        <v>5.9337152411499704E-4</v>
      </c>
      <c r="AO226" s="16">
        <f t="shared" ca="1" si="142"/>
        <v>-1.5896061336408818E-4</v>
      </c>
      <c r="AP226" s="16">
        <f t="shared" ca="1" si="143"/>
        <v>0</v>
      </c>
      <c r="AQ226" s="16">
        <f t="shared" ca="1" si="144"/>
        <v>-2.8198157625601187E-4</v>
      </c>
      <c r="AR226" s="16">
        <f t="shared" ca="1" si="145"/>
        <v>-3.6860698001842316E-5</v>
      </c>
      <c r="AS226" s="16">
        <f t="shared" ca="1" si="146"/>
        <v>0</v>
      </c>
    </row>
    <row r="227" spans="1:45" x14ac:dyDescent="0.25">
      <c r="A227" s="69">
        <f t="shared" ca="1" si="147"/>
        <v>2450.5660042885834</v>
      </c>
      <c r="B227" s="69">
        <f t="shared" ca="1" si="148"/>
        <v>2133.8356825386991</v>
      </c>
      <c r="C227" s="69">
        <f t="shared" ca="1" si="149"/>
        <v>2228.8231952673068</v>
      </c>
      <c r="D227" s="69">
        <f t="shared" ca="1" si="150"/>
        <v>2908.1341674927153</v>
      </c>
      <c r="E227" s="69">
        <f t="shared" ca="1" si="151"/>
        <v>1931.2077197827412</v>
      </c>
      <c r="F227" s="69">
        <f t="shared" ca="1" si="152"/>
        <v>1224.226099800421</v>
      </c>
      <c r="G227" s="69">
        <f t="shared" ca="1" si="153"/>
        <v>966.4602418960078</v>
      </c>
      <c r="H227" s="69">
        <f t="shared" ca="1" si="154"/>
        <v>1188.9651734441179</v>
      </c>
      <c r="I227" s="69">
        <f t="shared" ca="1" si="155"/>
        <v>1048.8482636941758</v>
      </c>
      <c r="J227" s="69">
        <f t="shared" ca="1" si="156"/>
        <v>1147.7369061396712</v>
      </c>
      <c r="K227" s="69">
        <f t="shared" ca="1" si="157"/>
        <v>1180.2639188837995</v>
      </c>
      <c r="L227" s="69">
        <f t="shared" ca="1" si="158"/>
        <v>956.13743690627985</v>
      </c>
      <c r="M227" s="69">
        <f t="shared" ca="1" si="159"/>
        <v>987.95597873139025</v>
      </c>
      <c r="N227" s="69">
        <f t="shared" ca="1" si="160"/>
        <v>574.00896897734526</v>
      </c>
      <c r="O227" s="69">
        <f t="shared" ca="1" si="161"/>
        <v>629.75951518129682</v>
      </c>
      <c r="P227" s="69">
        <f t="shared" ca="1" si="162"/>
        <v>722.07228338798211</v>
      </c>
      <c r="Q227" s="69">
        <f t="shared" ca="1" si="163"/>
        <v>951.65245327169634</v>
      </c>
      <c r="R227" s="69">
        <f t="shared" ca="1" si="164"/>
        <v>784.28003205959362</v>
      </c>
      <c r="S227" s="69">
        <f t="shared" ca="1" si="165"/>
        <v>698.83957109291714</v>
      </c>
      <c r="T227" s="69">
        <f t="shared" ca="1" si="166"/>
        <v>804.65549430879673</v>
      </c>
      <c r="U227" s="69">
        <f t="shared" ca="1" si="167"/>
        <v>1689.957924491936</v>
      </c>
      <c r="V227" s="69">
        <f t="shared" ca="1" si="168"/>
        <v>1911.5865459679778</v>
      </c>
      <c r="W227" s="69">
        <f t="shared" ca="1" si="169"/>
        <v>1178.6936453118158</v>
      </c>
      <c r="X227" s="69">
        <f t="shared" ca="1" si="170"/>
        <v>1488.7339502929372</v>
      </c>
      <c r="Y227" s="69">
        <f t="shared" ca="1" si="171"/>
        <v>1209.7947569905259</v>
      </c>
      <c r="AA227" s="20">
        <f t="shared" ca="1" si="131"/>
        <v>6.545554212430956E+16</v>
      </c>
      <c r="AB227" s="20">
        <f t="shared" ca="1" si="132"/>
        <v>1693439833285135</v>
      </c>
      <c r="AC227" s="20">
        <f t="shared" ca="1" si="133"/>
        <v>403023586992970.81</v>
      </c>
      <c r="AD227" s="20">
        <f t="shared" ca="1" si="134"/>
        <v>303052362503284.63</v>
      </c>
      <c r="AE227" s="20">
        <f t="shared" ca="1" si="135"/>
        <v>6858033304361941</v>
      </c>
      <c r="AG227" s="16">
        <f t="shared" ca="1" si="136"/>
        <v>3.5467717616332624E-4</v>
      </c>
      <c r="AH227" s="16">
        <f t="shared" ca="1" si="137"/>
        <v>-8.1512334945045578E-5</v>
      </c>
      <c r="AI227" s="16">
        <f t="shared" ca="1" si="138"/>
        <v>-3.0750957631571783E-4</v>
      </c>
      <c r="AJ227" s="16">
        <f t="shared" ca="1" si="139"/>
        <v>-5.1016310601537085E-4</v>
      </c>
      <c r="AK227" s="16">
        <f t="shared" ca="1" si="140"/>
        <v>5.1753559202498466E-4</v>
      </c>
      <c r="AM227" s="16">
        <f t="shared" ca="1" si="141"/>
        <v>-5.4450784111280794E-4</v>
      </c>
      <c r="AO227" s="16">
        <f t="shared" ca="1" si="142"/>
        <v>0</v>
      </c>
      <c r="AP227" s="16">
        <f t="shared" ca="1" si="143"/>
        <v>-8.1512334945045578E-5</v>
      </c>
      <c r="AQ227" s="16">
        <f t="shared" ca="1" si="144"/>
        <v>-3.0750957631571783E-4</v>
      </c>
      <c r="AR227" s="16">
        <f t="shared" ca="1" si="145"/>
        <v>-5.1016310601537085E-4</v>
      </c>
      <c r="AS227" s="16">
        <f t="shared" ca="1" si="146"/>
        <v>0</v>
      </c>
    </row>
    <row r="228" spans="1:45" x14ac:dyDescent="0.25">
      <c r="A228" s="69">
        <f t="shared" ca="1" si="147"/>
        <v>2450.9917299630965</v>
      </c>
      <c r="B228" s="69">
        <f t="shared" ca="1" si="148"/>
        <v>2134.2218709341987</v>
      </c>
      <c r="C228" s="69">
        <f t="shared" ca="1" si="149"/>
        <v>2228.8231952673068</v>
      </c>
      <c r="D228" s="69">
        <f t="shared" ca="1" si="150"/>
        <v>2908.1341674927153</v>
      </c>
      <c r="E228" s="69">
        <f t="shared" ca="1" si="151"/>
        <v>1931.2077197827412</v>
      </c>
      <c r="F228" s="69">
        <f t="shared" ca="1" si="152"/>
        <v>1224.3763540163354</v>
      </c>
      <c r="G228" s="69">
        <f t="shared" ca="1" si="153"/>
        <v>966.4518208264642</v>
      </c>
      <c r="H228" s="69">
        <f t="shared" ca="1" si="154"/>
        <v>1188.7327231663269</v>
      </c>
      <c r="I228" s="69">
        <f t="shared" ca="1" si="155"/>
        <v>1048.8482636941758</v>
      </c>
      <c r="J228" s="69">
        <f t="shared" ca="1" si="156"/>
        <v>1147.7369061396712</v>
      </c>
      <c r="K228" s="69">
        <f t="shared" ca="1" si="157"/>
        <v>1180.5995288398385</v>
      </c>
      <c r="L228" s="69">
        <f t="shared" ca="1" si="158"/>
        <v>955.78374725639412</v>
      </c>
      <c r="M228" s="69">
        <f t="shared" ca="1" si="159"/>
        <v>987.95597873139025</v>
      </c>
      <c r="N228" s="69">
        <f t="shared" ca="1" si="160"/>
        <v>574.00896897734526</v>
      </c>
      <c r="O228" s="69">
        <f t="shared" ca="1" si="161"/>
        <v>629.61982654663177</v>
      </c>
      <c r="P228" s="69">
        <f t="shared" ca="1" si="162"/>
        <v>722.07228338798211</v>
      </c>
      <c r="Q228" s="69">
        <f t="shared" ca="1" si="163"/>
        <v>951.8295548890593</v>
      </c>
      <c r="R228" s="69">
        <f t="shared" ca="1" si="164"/>
        <v>784.51810365787492</v>
      </c>
      <c r="S228" s="69">
        <f t="shared" ca="1" si="165"/>
        <v>698.38529445284337</v>
      </c>
      <c r="T228" s="69">
        <f t="shared" ca="1" si="166"/>
        <v>804.37431836878159</v>
      </c>
      <c r="U228" s="69">
        <f t="shared" ca="1" si="167"/>
        <v>1690.3667104831893</v>
      </c>
      <c r="V228" s="69">
        <f t="shared" ca="1" si="168"/>
        <v>1911.5865459679778</v>
      </c>
      <c r="W228" s="69">
        <f t="shared" ca="1" si="169"/>
        <v>1178.6936453118158</v>
      </c>
      <c r="X228" s="69">
        <f t="shared" ca="1" si="170"/>
        <v>1488.8922373621263</v>
      </c>
      <c r="Y228" s="69">
        <f t="shared" ca="1" si="171"/>
        <v>1209.9996603364859</v>
      </c>
      <c r="AA228" s="20">
        <f t="shared" ca="1" si="131"/>
        <v>6.5478761828660624E+16</v>
      </c>
      <c r="AB228" s="20">
        <f t="shared" ca="1" si="132"/>
        <v>1693301802675910</v>
      </c>
      <c r="AC228" s="20">
        <f t="shared" ca="1" si="133"/>
        <v>402899672433922.63</v>
      </c>
      <c r="AD228" s="20">
        <f t="shared" ca="1" si="134"/>
        <v>302897795799211.94</v>
      </c>
      <c r="AE228" s="20">
        <f t="shared" ca="1" si="135"/>
        <v>6861583499285115</v>
      </c>
      <c r="AG228" s="16">
        <f t="shared" ca="1" si="136"/>
        <v>1.0670034325355984E-4</v>
      </c>
      <c r="AH228" s="16">
        <f t="shared" ca="1" si="137"/>
        <v>3.9208016597259271E-4</v>
      </c>
      <c r="AI228" s="16">
        <f t="shared" ca="1" si="138"/>
        <v>-4.0870531505717982E-4</v>
      </c>
      <c r="AJ228" s="16">
        <f t="shared" ca="1" si="139"/>
        <v>5.8440319398889477E-4</v>
      </c>
      <c r="AK228" s="16">
        <f t="shared" ca="1" si="140"/>
        <v>3.410102634400006E-4</v>
      </c>
      <c r="AM228" s="16">
        <f t="shared" ca="1" si="141"/>
        <v>6.7447838815786745E-4</v>
      </c>
      <c r="AO228" s="16">
        <f t="shared" ca="1" si="142"/>
        <v>0</v>
      </c>
      <c r="AP228" s="16">
        <f t="shared" ca="1" si="143"/>
        <v>0</v>
      </c>
      <c r="AQ228" s="16">
        <f t="shared" ca="1" si="144"/>
        <v>-4.0870531505717982E-4</v>
      </c>
      <c r="AR228" s="16">
        <f t="shared" ca="1" si="145"/>
        <v>0</v>
      </c>
      <c r="AS228" s="16">
        <f t="shared" ca="1" si="146"/>
        <v>0</v>
      </c>
    </row>
    <row r="229" spans="1:45" x14ac:dyDescent="0.25">
      <c r="A229" s="69">
        <f t="shared" ca="1" si="147"/>
        <v>2451.1358385713688</v>
      </c>
      <c r="B229" s="69">
        <f t="shared" ca="1" si="148"/>
        <v>2134.300026613615</v>
      </c>
      <c r="C229" s="69">
        <f t="shared" ca="1" si="149"/>
        <v>2228.9965550945308</v>
      </c>
      <c r="D229" s="69">
        <f t="shared" ca="1" si="150"/>
        <v>2907.8382396231691</v>
      </c>
      <c r="E229" s="69">
        <f t="shared" ca="1" si="151"/>
        <v>1931.2758394596426</v>
      </c>
      <c r="F229" s="69">
        <f t="shared" ca="1" si="152"/>
        <v>1224.3763540163354</v>
      </c>
      <c r="G229" s="69">
        <f t="shared" ca="1" si="153"/>
        <v>966.4518208264642</v>
      </c>
      <c r="H229" s="69">
        <f t="shared" ca="1" si="154"/>
        <v>1188.7683208080298</v>
      </c>
      <c r="I229" s="69">
        <f t="shared" ca="1" si="155"/>
        <v>1049.2281568687167</v>
      </c>
      <c r="J229" s="69">
        <f t="shared" ca="1" si="156"/>
        <v>1147.7369061396712</v>
      </c>
      <c r="K229" s="69">
        <f t="shared" ca="1" si="157"/>
        <v>1180.5995288398385</v>
      </c>
      <c r="L229" s="69">
        <f t="shared" ca="1" si="158"/>
        <v>955.72979819761986</v>
      </c>
      <c r="M229" s="69">
        <f t="shared" ca="1" si="159"/>
        <v>987.95597873139025</v>
      </c>
      <c r="N229" s="69">
        <f t="shared" ca="1" si="160"/>
        <v>574.00896897734526</v>
      </c>
      <c r="O229" s="69">
        <f t="shared" ca="1" si="161"/>
        <v>629.39807642821188</v>
      </c>
      <c r="P229" s="69">
        <f t="shared" ca="1" si="162"/>
        <v>722.07228338798211</v>
      </c>
      <c r="Q229" s="69">
        <f t="shared" ca="1" si="163"/>
        <v>951.68051560022832</v>
      </c>
      <c r="R229" s="69">
        <f t="shared" ca="1" si="164"/>
        <v>784.71346007902991</v>
      </c>
      <c r="S229" s="69">
        <f t="shared" ca="1" si="165"/>
        <v>698.7615755378971</v>
      </c>
      <c r="T229" s="69">
        <f t="shared" ca="1" si="166"/>
        <v>804.33681261049617</v>
      </c>
      <c r="U229" s="69">
        <f t="shared" ca="1" si="167"/>
        <v>1690.6705221448158</v>
      </c>
      <c r="V229" s="69">
        <f t="shared" ca="1" si="168"/>
        <v>1911.8949005672796</v>
      </c>
      <c r="W229" s="69">
        <f t="shared" ca="1" si="169"/>
        <v>1178.6936453118158</v>
      </c>
      <c r="X229" s="69">
        <f t="shared" ca="1" si="170"/>
        <v>1488.8922373621263</v>
      </c>
      <c r="Y229" s="69">
        <f t="shared" ca="1" si="171"/>
        <v>1209.9996603364859</v>
      </c>
      <c r="AA229" s="20">
        <f t="shared" ca="1" si="131"/>
        <v>6.5485748807773472E+16</v>
      </c>
      <c r="AB229" s="20">
        <f t="shared" ca="1" si="132"/>
        <v>1693965842897738.5</v>
      </c>
      <c r="AC229" s="20">
        <f t="shared" ca="1" si="133"/>
        <v>402735038841967.81</v>
      </c>
      <c r="AD229" s="20">
        <f t="shared" ca="1" si="134"/>
        <v>303074861972508.38</v>
      </c>
      <c r="AE229" s="20">
        <f t="shared" ca="1" si="135"/>
        <v>6863923768687086</v>
      </c>
      <c r="AG229" s="16">
        <f t="shared" ca="1" si="136"/>
        <v>3.1084133670788972E-4</v>
      </c>
      <c r="AH229" s="16">
        <f t="shared" ca="1" si="137"/>
        <v>-6.8202375025064224E-4</v>
      </c>
      <c r="AI229" s="16">
        <f t="shared" ca="1" si="138"/>
        <v>-1.276745136594728E-4</v>
      </c>
      <c r="AJ229" s="16">
        <f t="shared" ca="1" si="139"/>
        <v>3.4803287620654093E-4</v>
      </c>
      <c r="AK229" s="16">
        <f t="shared" ca="1" si="140"/>
        <v>-2.2583305788714128E-4</v>
      </c>
      <c r="AM229" s="16">
        <f t="shared" ca="1" si="141"/>
        <v>-1.5082405099568443E-4</v>
      </c>
      <c r="AO229" s="16">
        <f t="shared" ca="1" si="142"/>
        <v>0</v>
      </c>
      <c r="AP229" s="16">
        <f t="shared" ca="1" si="143"/>
        <v>-6.8202375025064224E-4</v>
      </c>
      <c r="AQ229" s="16">
        <f t="shared" ca="1" si="144"/>
        <v>-1.276745136594728E-4</v>
      </c>
      <c r="AR229" s="16">
        <f t="shared" ca="1" si="145"/>
        <v>0</v>
      </c>
      <c r="AS229" s="16">
        <f t="shared" ca="1" si="146"/>
        <v>-2.2583305788714128E-4</v>
      </c>
    </row>
    <row r="230" spans="1:45" x14ac:dyDescent="0.25">
      <c r="A230" s="69">
        <f t="shared" ca="1" si="147"/>
        <v>2450.719299265907</v>
      </c>
      <c r="B230" s="69">
        <f t="shared" ca="1" si="148"/>
        <v>2134.6253666723019</v>
      </c>
      <c r="C230" s="69">
        <f t="shared" ca="1" si="149"/>
        <v>2228.9870638371362</v>
      </c>
      <c r="D230" s="69">
        <f t="shared" ca="1" si="150"/>
        <v>2908.1887204868917</v>
      </c>
      <c r="E230" s="69">
        <f t="shared" ca="1" si="151"/>
        <v>1931.6855185516429</v>
      </c>
      <c r="F230" s="69">
        <f t="shared" ca="1" si="152"/>
        <v>1224.0639546688183</v>
      </c>
      <c r="G230" s="69">
        <f t="shared" ca="1" si="153"/>
        <v>966.35208635052516</v>
      </c>
      <c r="H230" s="69">
        <f t="shared" ca="1" si="154"/>
        <v>1188.6153769371083</v>
      </c>
      <c r="I230" s="69">
        <f t="shared" ca="1" si="155"/>
        <v>1049.2281568687167</v>
      </c>
      <c r="J230" s="69">
        <f t="shared" ca="1" si="156"/>
        <v>1147.5131492551052</v>
      </c>
      <c r="K230" s="69">
        <f t="shared" ca="1" si="157"/>
        <v>1180.5995288398385</v>
      </c>
      <c r="L230" s="69">
        <f t="shared" ca="1" si="158"/>
        <v>955.60778364968485</v>
      </c>
      <c r="M230" s="69">
        <f t="shared" ca="1" si="159"/>
        <v>987.95597873139025</v>
      </c>
      <c r="N230" s="69">
        <f t="shared" ca="1" si="160"/>
        <v>574.00896897734526</v>
      </c>
      <c r="O230" s="69">
        <f t="shared" ca="1" si="161"/>
        <v>629.39807642821188</v>
      </c>
      <c r="P230" s="69">
        <f t="shared" ca="1" si="162"/>
        <v>722.12042900644087</v>
      </c>
      <c r="Q230" s="69">
        <f t="shared" ca="1" si="163"/>
        <v>951.60924171564011</v>
      </c>
      <c r="R230" s="69">
        <f t="shared" ca="1" si="164"/>
        <v>784.5753563536299</v>
      </c>
      <c r="S230" s="69">
        <f t="shared" ca="1" si="165"/>
        <v>698.7615755378971</v>
      </c>
      <c r="T230" s="69">
        <f t="shared" ca="1" si="166"/>
        <v>804.76504416316561</v>
      </c>
      <c r="U230" s="69">
        <f t="shared" ca="1" si="167"/>
        <v>1690.9066565139517</v>
      </c>
      <c r="V230" s="69">
        <f t="shared" ca="1" si="168"/>
        <v>1911.7379154916555</v>
      </c>
      <c r="W230" s="69">
        <f t="shared" ca="1" si="169"/>
        <v>1178.3596752313472</v>
      </c>
      <c r="X230" s="69">
        <f t="shared" ca="1" si="170"/>
        <v>1488.8922373621263</v>
      </c>
      <c r="Y230" s="69">
        <f t="shared" ca="1" si="171"/>
        <v>1209.9996603364859</v>
      </c>
      <c r="AA230" s="20">
        <f t="shared" ca="1" si="131"/>
        <v>6.5506107649489056E+16</v>
      </c>
      <c r="AB230" s="20">
        <f t="shared" ca="1" si="132"/>
        <v>1692810911850739.5</v>
      </c>
      <c r="AC230" s="20">
        <f t="shared" ca="1" si="133"/>
        <v>402683623124058.25</v>
      </c>
      <c r="AD230" s="20">
        <f t="shared" ca="1" si="134"/>
        <v>303180360345812.81</v>
      </c>
      <c r="AE230" s="20">
        <f t="shared" ca="1" si="135"/>
        <v>6862373842812136</v>
      </c>
      <c r="AG230" s="16">
        <f t="shared" ca="1" si="136"/>
        <v>-2.2929621402742695E-4</v>
      </c>
      <c r="AH230" s="16">
        <f t="shared" ca="1" si="137"/>
        <v>7.2961487652489624E-4</v>
      </c>
      <c r="AI230" s="16">
        <f t="shared" ca="1" si="138"/>
        <v>8.7966587297605729E-4</v>
      </c>
      <c r="AJ230" s="16">
        <f t="shared" ca="1" si="139"/>
        <v>-8.3361921747453097E-4</v>
      </c>
      <c r="AK230" s="16">
        <f t="shared" ca="1" si="140"/>
        <v>-6.9927765550607238E-4</v>
      </c>
      <c r="AM230" s="16">
        <f t="shared" ca="1" si="141"/>
        <v>5.4636531799899556E-4</v>
      </c>
      <c r="AO230" s="16">
        <f t="shared" ca="1" si="142"/>
        <v>-2.2929621402742695E-4</v>
      </c>
      <c r="AP230" s="16">
        <f t="shared" ca="1" si="143"/>
        <v>0</v>
      </c>
      <c r="AQ230" s="16">
        <f t="shared" ca="1" si="144"/>
        <v>0</v>
      </c>
      <c r="AR230" s="16">
        <f t="shared" ca="1" si="145"/>
        <v>-8.3361921747453097E-4</v>
      </c>
      <c r="AS230" s="16">
        <f t="shared" ca="1" si="146"/>
        <v>-6.9927765550607238E-4</v>
      </c>
    </row>
    <row r="231" spans="1:45" x14ac:dyDescent="0.25">
      <c r="A231" s="69">
        <f t="shared" ca="1" si="147"/>
        <v>2450.2332320233677</v>
      </c>
      <c r="B231" s="69">
        <f t="shared" ca="1" si="148"/>
        <v>2134.3798124492</v>
      </c>
      <c r="C231" s="69">
        <f t="shared" ca="1" si="149"/>
        <v>2228.9020796447003</v>
      </c>
      <c r="D231" s="69">
        <f t="shared" ca="1" si="150"/>
        <v>2908.5442044728088</v>
      </c>
      <c r="E231" s="69">
        <f t="shared" ca="1" si="151"/>
        <v>1931.6855185516429</v>
      </c>
      <c r="F231" s="69">
        <f t="shared" ca="1" si="152"/>
        <v>1224.0639546688183</v>
      </c>
      <c r="G231" s="69">
        <f t="shared" ca="1" si="153"/>
        <v>966.35208635052516</v>
      </c>
      <c r="H231" s="69">
        <f t="shared" ca="1" si="154"/>
        <v>1188.977550359622</v>
      </c>
      <c r="I231" s="69">
        <f t="shared" ca="1" si="155"/>
        <v>1049.6741309267163</v>
      </c>
      <c r="J231" s="69">
        <f t="shared" ca="1" si="156"/>
        <v>1147.5131492551052</v>
      </c>
      <c r="K231" s="69">
        <f t="shared" ca="1" si="157"/>
        <v>1180.5962220192102</v>
      </c>
      <c r="L231" s="69">
        <f t="shared" ca="1" si="158"/>
        <v>955.60778364968485</v>
      </c>
      <c r="M231" s="69">
        <f t="shared" ca="1" si="159"/>
        <v>987.85424748965795</v>
      </c>
      <c r="N231" s="69">
        <f t="shared" ca="1" si="160"/>
        <v>574.37090294473921</v>
      </c>
      <c r="O231" s="69">
        <f t="shared" ca="1" si="161"/>
        <v>629.62161861709319</v>
      </c>
      <c r="P231" s="69">
        <f t="shared" ca="1" si="162"/>
        <v>721.74975151474678</v>
      </c>
      <c r="Q231" s="69">
        <f t="shared" ca="1" si="163"/>
        <v>951.30461440289594</v>
      </c>
      <c r="R231" s="69">
        <f t="shared" ca="1" si="164"/>
        <v>784.5753563536299</v>
      </c>
      <c r="S231" s="69">
        <f t="shared" ca="1" si="165"/>
        <v>698.7615755378971</v>
      </c>
      <c r="T231" s="69">
        <f t="shared" ca="1" si="166"/>
        <v>804.76504416316561</v>
      </c>
      <c r="U231" s="69">
        <f t="shared" ca="1" si="167"/>
        <v>1690.7832565048973</v>
      </c>
      <c r="V231" s="69">
        <f t="shared" ca="1" si="168"/>
        <v>1911.6403619976111</v>
      </c>
      <c r="W231" s="69">
        <f t="shared" ca="1" si="169"/>
        <v>1178.3596752313472</v>
      </c>
      <c r="X231" s="69">
        <f t="shared" ca="1" si="170"/>
        <v>1488.4322934848458</v>
      </c>
      <c r="Y231" s="69">
        <f t="shared" ca="1" si="171"/>
        <v>1209.6774781141362</v>
      </c>
      <c r="AA231" s="20">
        <f t="shared" ca="1" si="131"/>
        <v>6.5491089068926992E+16</v>
      </c>
      <c r="AB231" s="20">
        <f t="shared" ca="1" si="132"/>
        <v>1694046462558447.3</v>
      </c>
      <c r="AC231" s="20">
        <f t="shared" ca="1" si="133"/>
        <v>403038006011340.63</v>
      </c>
      <c r="AD231" s="20">
        <f t="shared" ca="1" si="134"/>
        <v>302927728685001.31</v>
      </c>
      <c r="AE231" s="20">
        <f t="shared" ca="1" si="135"/>
        <v>6857576815542594</v>
      </c>
      <c r="AG231" s="16">
        <f t="shared" ca="1" si="136"/>
        <v>-3.1460133254943451E-4</v>
      </c>
      <c r="AH231" s="16">
        <f t="shared" ca="1" si="137"/>
        <v>1.4286015854066349E-3</v>
      </c>
      <c r="AI231" s="16">
        <f t="shared" ca="1" si="138"/>
        <v>-6.1866997953043861E-4</v>
      </c>
      <c r="AJ231" s="16">
        <f t="shared" ca="1" si="139"/>
        <v>4.4075090705785776E-4</v>
      </c>
      <c r="AK231" s="16">
        <f t="shared" ca="1" si="140"/>
        <v>1.6835598742060611E-4</v>
      </c>
      <c r="AM231" s="16">
        <f t="shared" ca="1" si="141"/>
        <v>9.3608118038461963E-4</v>
      </c>
      <c r="AO231" s="16">
        <f t="shared" ca="1" si="142"/>
        <v>-3.1460133254943451E-4</v>
      </c>
      <c r="AP231" s="16">
        <f t="shared" ca="1" si="143"/>
        <v>0</v>
      </c>
      <c r="AQ231" s="16">
        <f t="shared" ca="1" si="144"/>
        <v>-6.1866997953043861E-4</v>
      </c>
      <c r="AR231" s="16">
        <f t="shared" ca="1" si="145"/>
        <v>0</v>
      </c>
      <c r="AS231" s="16">
        <f t="shared" ca="1" si="146"/>
        <v>0</v>
      </c>
    </row>
    <row r="232" spans="1:45" x14ac:dyDescent="0.25">
      <c r="A232" s="69">
        <f t="shared" ca="1" si="147"/>
        <v>2449.9257159363242</v>
      </c>
      <c r="B232" s="69">
        <f t="shared" ca="1" si="148"/>
        <v>2134.3798124492</v>
      </c>
      <c r="C232" s="69">
        <f t="shared" ca="1" si="149"/>
        <v>2228.9020796447003</v>
      </c>
      <c r="D232" s="69">
        <f t="shared" ca="1" si="150"/>
        <v>2908.57491343017</v>
      </c>
      <c r="E232" s="69">
        <f t="shared" ca="1" si="151"/>
        <v>1931.2999022794631</v>
      </c>
      <c r="F232" s="69">
        <f t="shared" ca="1" si="152"/>
        <v>1224.2870115278333</v>
      </c>
      <c r="G232" s="69">
        <f t="shared" ca="1" si="153"/>
        <v>966.752298017263</v>
      </c>
      <c r="H232" s="69">
        <f t="shared" ca="1" si="154"/>
        <v>1189.210630615233</v>
      </c>
      <c r="I232" s="69">
        <f t="shared" ca="1" si="155"/>
        <v>1049.8972936165835</v>
      </c>
      <c r="J232" s="69">
        <f t="shared" ca="1" si="156"/>
        <v>1147.9994953130749</v>
      </c>
      <c r="K232" s="69">
        <f t="shared" ca="1" si="157"/>
        <v>1180.0962752119099</v>
      </c>
      <c r="L232" s="69">
        <f t="shared" ca="1" si="158"/>
        <v>955.4213527024923</v>
      </c>
      <c r="M232" s="69">
        <f t="shared" ca="1" si="159"/>
        <v>987.85424748965795</v>
      </c>
      <c r="N232" s="69">
        <f t="shared" ca="1" si="160"/>
        <v>574.37090294473921</v>
      </c>
      <c r="O232" s="69">
        <f t="shared" ca="1" si="161"/>
        <v>629.62161861709319</v>
      </c>
      <c r="P232" s="69">
        <f t="shared" ca="1" si="162"/>
        <v>721.80045401544396</v>
      </c>
      <c r="Q232" s="69">
        <f t="shared" ca="1" si="163"/>
        <v>951.65714182773672</v>
      </c>
      <c r="R232" s="69">
        <f t="shared" ca="1" si="164"/>
        <v>784.5753563536299</v>
      </c>
      <c r="S232" s="69">
        <f t="shared" ca="1" si="165"/>
        <v>698.7615755378971</v>
      </c>
      <c r="T232" s="69">
        <f t="shared" ca="1" si="166"/>
        <v>804.76504416316561</v>
      </c>
      <c r="U232" s="69">
        <f t="shared" ca="1" si="167"/>
        <v>1690.7209008450127</v>
      </c>
      <c r="V232" s="69">
        <f t="shared" ca="1" si="168"/>
        <v>1911.5407317598692</v>
      </c>
      <c r="W232" s="69">
        <f t="shared" ca="1" si="169"/>
        <v>1178.3596752313472</v>
      </c>
      <c r="X232" s="69">
        <f t="shared" ca="1" si="170"/>
        <v>1488.8153989296914</v>
      </c>
      <c r="Y232" s="69">
        <f t="shared" ca="1" si="171"/>
        <v>1209.6774781141362</v>
      </c>
      <c r="AA232" s="20">
        <f t="shared" ca="1" si="131"/>
        <v>6.5470488725653424E+16</v>
      </c>
      <c r="AB232" s="20">
        <f t="shared" ca="1" si="132"/>
        <v>1696468309535930.5</v>
      </c>
      <c r="AC232" s="20">
        <f t="shared" ca="1" si="133"/>
        <v>402788735612418.63</v>
      </c>
      <c r="AD232" s="20">
        <f t="shared" ca="1" si="134"/>
        <v>303061273784092.06</v>
      </c>
      <c r="AE232" s="20">
        <f t="shared" ca="1" si="135"/>
        <v>6858731426848823</v>
      </c>
      <c r="AG232" s="16">
        <f t="shared" ca="1" si="136"/>
        <v>-6.533173993301082E-5</v>
      </c>
      <c r="AH232" s="16">
        <f t="shared" ca="1" si="137"/>
        <v>-1.2612051063964642E-4</v>
      </c>
      <c r="AI232" s="16">
        <f t="shared" ca="1" si="138"/>
        <v>-8.0606827402617638E-4</v>
      </c>
      <c r="AJ232" s="16">
        <f t="shared" ca="1" si="139"/>
        <v>-1.2030753080189063E-4</v>
      </c>
      <c r="AK232" s="16">
        <f t="shared" ca="1" si="140"/>
        <v>1.176035178749149E-4</v>
      </c>
      <c r="AM232" s="16">
        <f t="shared" ca="1" si="141"/>
        <v>-1.1178280554007241E-3</v>
      </c>
      <c r="AO232" s="16">
        <f t="shared" ca="1" si="142"/>
        <v>-6.533173993301082E-5</v>
      </c>
      <c r="AP232" s="16">
        <f t="shared" ca="1" si="143"/>
        <v>-1.2612051063964642E-4</v>
      </c>
      <c r="AQ232" s="16">
        <f t="shared" ca="1" si="144"/>
        <v>-8.0606827402617638E-4</v>
      </c>
      <c r="AR232" s="16">
        <f t="shared" ca="1" si="145"/>
        <v>-1.2030753080189063E-4</v>
      </c>
      <c r="AS232" s="16">
        <f t="shared" ca="1" si="146"/>
        <v>0</v>
      </c>
    </row>
    <row r="233" spans="1:45" x14ac:dyDescent="0.25">
      <c r="A233" s="69">
        <f t="shared" ca="1" si="147"/>
        <v>2449.9257159363242</v>
      </c>
      <c r="B233" s="69">
        <f t="shared" ca="1" si="148"/>
        <v>2134.3798124492</v>
      </c>
      <c r="C233" s="69">
        <f t="shared" ca="1" si="149"/>
        <v>2228.9895618852479</v>
      </c>
      <c r="D233" s="69">
        <f t="shared" ca="1" si="150"/>
        <v>2908.146561488219</v>
      </c>
      <c r="E233" s="69">
        <f t="shared" ca="1" si="151"/>
        <v>1931.3823762433988</v>
      </c>
      <c r="F233" s="69">
        <f t="shared" ca="1" si="152"/>
        <v>1224.3113872722586</v>
      </c>
      <c r="G233" s="69">
        <f t="shared" ca="1" si="153"/>
        <v>966.66707472383507</v>
      </c>
      <c r="H233" s="69">
        <f t="shared" ca="1" si="154"/>
        <v>1189.4570605503718</v>
      </c>
      <c r="I233" s="69">
        <f t="shared" ca="1" si="155"/>
        <v>1049.6190317736853</v>
      </c>
      <c r="J233" s="69">
        <f t="shared" ca="1" si="156"/>
        <v>1147.9994953130749</v>
      </c>
      <c r="K233" s="69">
        <f t="shared" ca="1" si="157"/>
        <v>1180.0962752119099</v>
      </c>
      <c r="L233" s="69">
        <f t="shared" ca="1" si="158"/>
        <v>955.25171653482414</v>
      </c>
      <c r="M233" s="69">
        <f t="shared" ca="1" si="159"/>
        <v>987.81260403237081</v>
      </c>
      <c r="N233" s="69">
        <f t="shared" ca="1" si="160"/>
        <v>574.37090294473921</v>
      </c>
      <c r="O233" s="69">
        <f t="shared" ca="1" si="161"/>
        <v>629.25255134252609</v>
      </c>
      <c r="P233" s="69">
        <f t="shared" ca="1" si="162"/>
        <v>721.71362120851472</v>
      </c>
      <c r="Q233" s="69">
        <f t="shared" ca="1" si="163"/>
        <v>951.65714182773672</v>
      </c>
      <c r="R233" s="69">
        <f t="shared" ca="1" si="164"/>
        <v>784.5753563536299</v>
      </c>
      <c r="S233" s="69">
        <f t="shared" ca="1" si="165"/>
        <v>698.7615755378971</v>
      </c>
      <c r="T233" s="69">
        <f t="shared" ca="1" si="166"/>
        <v>804.76504416316561</v>
      </c>
      <c r="U233" s="69">
        <f t="shared" ca="1" si="167"/>
        <v>1690.7209008450127</v>
      </c>
      <c r="V233" s="69">
        <f t="shared" ca="1" si="168"/>
        <v>1911.5407317598692</v>
      </c>
      <c r="W233" s="69">
        <f t="shared" ca="1" si="169"/>
        <v>1178.0795504800465</v>
      </c>
      <c r="X233" s="69">
        <f t="shared" ca="1" si="170"/>
        <v>1488.7591940584214</v>
      </c>
      <c r="Y233" s="69">
        <f t="shared" ca="1" si="171"/>
        <v>1210.1531057476707</v>
      </c>
      <c r="AA233" s="20">
        <f t="shared" ca="1" si="131"/>
        <v>6.5466211564429424E+16</v>
      </c>
      <c r="AB233" s="20">
        <f t="shared" ca="1" si="132"/>
        <v>1696254363578218.3</v>
      </c>
      <c r="AC233" s="20">
        <f t="shared" ca="1" si="133"/>
        <v>402464191211551.5</v>
      </c>
      <c r="AD233" s="20">
        <f t="shared" ca="1" si="134"/>
        <v>303024815423713.06</v>
      </c>
      <c r="AE233" s="20">
        <f t="shared" ca="1" si="135"/>
        <v>6859538085224781</v>
      </c>
      <c r="AG233" s="16">
        <f t="shared" ca="1" si="136"/>
        <v>3.7715314952125136E-4</v>
      </c>
      <c r="AH233" s="16">
        <f t="shared" ca="1" si="137"/>
        <v>-3.1749635105458971E-4</v>
      </c>
      <c r="AI233" s="16">
        <f t="shared" ca="1" si="138"/>
        <v>-9.6860015200318683E-5</v>
      </c>
      <c r="AJ233" s="16">
        <f t="shared" ca="1" si="139"/>
        <v>-1.079815730256257E-4</v>
      </c>
      <c r="AK233" s="16">
        <f t="shared" ca="1" si="140"/>
        <v>-9.4591583586596423E-5</v>
      </c>
      <c r="AM233" s="16">
        <f t="shared" ca="1" si="141"/>
        <v>-1.4518478975928274E-4</v>
      </c>
      <c r="AO233" s="16">
        <f t="shared" ca="1" si="142"/>
        <v>0</v>
      </c>
      <c r="AP233" s="16">
        <f t="shared" ca="1" si="143"/>
        <v>-3.1749635105458971E-4</v>
      </c>
      <c r="AQ233" s="16">
        <f t="shared" ca="1" si="144"/>
        <v>-9.6860015200318683E-5</v>
      </c>
      <c r="AR233" s="16">
        <f t="shared" ca="1" si="145"/>
        <v>-1.079815730256257E-4</v>
      </c>
      <c r="AS233" s="16">
        <f t="shared" ca="1" si="146"/>
        <v>-9.4591583586596423E-5</v>
      </c>
    </row>
    <row r="234" spans="1:45" x14ac:dyDescent="0.25">
      <c r="A234" s="69">
        <f t="shared" ca="1" si="147"/>
        <v>2450.1830790028566</v>
      </c>
      <c r="B234" s="69">
        <f t="shared" ca="1" si="148"/>
        <v>2134.5463342013654</v>
      </c>
      <c r="C234" s="69">
        <f t="shared" ca="1" si="149"/>
        <v>2228.9895618852479</v>
      </c>
      <c r="D234" s="69">
        <f t="shared" ca="1" si="150"/>
        <v>2908.2297678664299</v>
      </c>
      <c r="E234" s="69">
        <f t="shared" ca="1" si="151"/>
        <v>1931.7020126818895</v>
      </c>
      <c r="F234" s="69">
        <f t="shared" ca="1" si="152"/>
        <v>1223.9398680205909</v>
      </c>
      <c r="G234" s="69">
        <f t="shared" ca="1" si="153"/>
        <v>966.30294158465063</v>
      </c>
      <c r="H234" s="69">
        <f t="shared" ca="1" si="154"/>
        <v>1189.7929874444346</v>
      </c>
      <c r="I234" s="69">
        <f t="shared" ca="1" si="155"/>
        <v>1049.6190317736853</v>
      </c>
      <c r="J234" s="69">
        <f t="shared" ca="1" si="156"/>
        <v>1148.0917764529593</v>
      </c>
      <c r="K234" s="69">
        <f t="shared" ca="1" si="157"/>
        <v>1179.926700847753</v>
      </c>
      <c r="L234" s="69">
        <f t="shared" ca="1" si="158"/>
        <v>955.12895902628429</v>
      </c>
      <c r="M234" s="69">
        <f t="shared" ca="1" si="159"/>
        <v>988.19125062126716</v>
      </c>
      <c r="N234" s="69">
        <f t="shared" ca="1" si="160"/>
        <v>574.25151350110548</v>
      </c>
      <c r="O234" s="69">
        <f t="shared" ca="1" si="161"/>
        <v>629.25255134252609</v>
      </c>
      <c r="P234" s="69">
        <f t="shared" ca="1" si="162"/>
        <v>721.71362120851472</v>
      </c>
      <c r="Q234" s="69">
        <f t="shared" ca="1" si="163"/>
        <v>952.05031570482652</v>
      </c>
      <c r="R234" s="69">
        <f t="shared" ca="1" si="164"/>
        <v>784.5753563536299</v>
      </c>
      <c r="S234" s="69">
        <f t="shared" ca="1" si="165"/>
        <v>698.39758567546653</v>
      </c>
      <c r="T234" s="69">
        <f t="shared" ca="1" si="166"/>
        <v>804.76504416316561</v>
      </c>
      <c r="U234" s="69">
        <f t="shared" ca="1" si="167"/>
        <v>1690.7209008450127</v>
      </c>
      <c r="V234" s="69">
        <f t="shared" ca="1" si="168"/>
        <v>1911.1353016124085</v>
      </c>
      <c r="W234" s="69">
        <f t="shared" ca="1" si="169"/>
        <v>1177.8321632830064</v>
      </c>
      <c r="X234" s="69">
        <f t="shared" ca="1" si="170"/>
        <v>1489.2469034444377</v>
      </c>
      <c r="Y234" s="69">
        <f t="shared" ca="1" si="171"/>
        <v>1210.1531057476707</v>
      </c>
      <c r="AA234" s="20">
        <f t="shared" ca="1" si="131"/>
        <v>6.5490907008997784E+16</v>
      </c>
      <c r="AB234" s="20">
        <f t="shared" ca="1" si="132"/>
        <v>1695715894492830</v>
      </c>
      <c r="AC234" s="20">
        <f t="shared" ca="1" si="133"/>
        <v>402425210411744.06</v>
      </c>
      <c r="AD234" s="20">
        <f t="shared" ca="1" si="134"/>
        <v>302992096094051.94</v>
      </c>
      <c r="AE234" s="20">
        <f t="shared" ca="1" si="135"/>
        <v>6858889261341750</v>
      </c>
      <c r="AG234" s="16">
        <f t="shared" ca="1" si="136"/>
        <v>-1.4596887285439104E-4</v>
      </c>
      <c r="AH234" s="16">
        <f t="shared" ca="1" si="137"/>
        <v>-4.0843460491287045E-4</v>
      </c>
      <c r="AI234" s="16">
        <f t="shared" ca="1" si="138"/>
        <v>6.2883098462633284E-5</v>
      </c>
      <c r="AJ234" s="16">
        <f t="shared" ca="1" si="139"/>
        <v>4.3456982430655123E-4</v>
      </c>
      <c r="AK234" s="16">
        <f t="shared" ca="1" si="140"/>
        <v>1.169183243597298E-4</v>
      </c>
      <c r="AM234" s="16">
        <f t="shared" ca="1" si="141"/>
        <v>-5.6950554998077012E-5</v>
      </c>
      <c r="AO234" s="16">
        <f t="shared" ca="1" si="142"/>
        <v>-1.4596887285439104E-4</v>
      </c>
      <c r="AP234" s="16">
        <f t="shared" ca="1" si="143"/>
        <v>-4.0843460491287045E-4</v>
      </c>
      <c r="AQ234" s="16">
        <f t="shared" ca="1" si="144"/>
        <v>0</v>
      </c>
      <c r="AR234" s="16">
        <f t="shared" ca="1" si="145"/>
        <v>0</v>
      </c>
      <c r="AS234" s="16">
        <f t="shared" ca="1" si="146"/>
        <v>0</v>
      </c>
    </row>
    <row r="235" spans="1:45" x14ac:dyDescent="0.25">
      <c r="A235" s="69">
        <f t="shared" ca="1" si="147"/>
        <v>2450.1830790028566</v>
      </c>
      <c r="B235" s="69">
        <f t="shared" ca="1" si="148"/>
        <v>2134.1128681310333</v>
      </c>
      <c r="C235" s="69">
        <f t="shared" ca="1" si="149"/>
        <v>2229.0518323453507</v>
      </c>
      <c r="D235" s="69">
        <f t="shared" ca="1" si="150"/>
        <v>2908.3146523715368</v>
      </c>
      <c r="E235" s="69">
        <f t="shared" ca="1" si="151"/>
        <v>1931.7020126818895</v>
      </c>
      <c r="F235" s="69">
        <f t="shared" ca="1" si="152"/>
        <v>1223.8061874791651</v>
      </c>
      <c r="G235" s="69">
        <f t="shared" ca="1" si="153"/>
        <v>965.8061504894614</v>
      </c>
      <c r="H235" s="69">
        <f t="shared" ca="1" si="154"/>
        <v>1189.4997878195288</v>
      </c>
      <c r="I235" s="69">
        <f t="shared" ca="1" si="155"/>
        <v>1049.7495742936362</v>
      </c>
      <c r="J235" s="69">
        <f t="shared" ca="1" si="156"/>
        <v>1148.4789050057673</v>
      </c>
      <c r="K235" s="69">
        <f t="shared" ca="1" si="157"/>
        <v>1180.3653020902279</v>
      </c>
      <c r="L235" s="69">
        <f t="shared" ca="1" si="158"/>
        <v>954.74727418866644</v>
      </c>
      <c r="M235" s="69">
        <f t="shared" ca="1" si="159"/>
        <v>988.19125062126716</v>
      </c>
      <c r="N235" s="69">
        <f t="shared" ca="1" si="160"/>
        <v>574.25151350110548</v>
      </c>
      <c r="O235" s="69">
        <f t="shared" ca="1" si="161"/>
        <v>629.3097712508727</v>
      </c>
      <c r="P235" s="69">
        <f t="shared" ca="1" si="162"/>
        <v>721.71362120851472</v>
      </c>
      <c r="Q235" s="69">
        <f t="shared" ca="1" si="163"/>
        <v>952.05031570482652</v>
      </c>
      <c r="R235" s="69">
        <f t="shared" ca="1" si="164"/>
        <v>784.71163585271597</v>
      </c>
      <c r="S235" s="69">
        <f t="shared" ca="1" si="165"/>
        <v>698.53931238819723</v>
      </c>
      <c r="T235" s="69">
        <f t="shared" ca="1" si="166"/>
        <v>804.81170241410177</v>
      </c>
      <c r="U235" s="69">
        <f t="shared" ca="1" si="167"/>
        <v>1690.7209008450127</v>
      </c>
      <c r="V235" s="69">
        <f t="shared" ca="1" si="168"/>
        <v>1911.2851276403699</v>
      </c>
      <c r="W235" s="69">
        <f t="shared" ca="1" si="169"/>
        <v>1177.7608423347294</v>
      </c>
      <c r="X235" s="69">
        <f t="shared" ca="1" si="170"/>
        <v>1489.1855881966205</v>
      </c>
      <c r="Y235" s="69">
        <f t="shared" ca="1" si="171"/>
        <v>1210.3228445752425</v>
      </c>
      <c r="AA235" s="20">
        <f t="shared" ca="1" si="131"/>
        <v>6.5481348072790016E+16</v>
      </c>
      <c r="AB235" s="20">
        <f t="shared" ca="1" si="132"/>
        <v>1695023446860832</v>
      </c>
      <c r="AC235" s="20">
        <f t="shared" ca="1" si="133"/>
        <v>402450516951542.75</v>
      </c>
      <c r="AD235" s="20">
        <f t="shared" ca="1" si="134"/>
        <v>303123795930332.5</v>
      </c>
      <c r="AE235" s="20">
        <f t="shared" ca="1" si="135"/>
        <v>6859691238063128</v>
      </c>
      <c r="AG235" s="16">
        <f t="shared" ca="1" si="136"/>
        <v>-1.077390948304813E-4</v>
      </c>
      <c r="AH235" s="16">
        <f t="shared" ca="1" si="137"/>
        <v>-1.1780212341022158E-4</v>
      </c>
      <c r="AI235" s="16">
        <f t="shared" ca="1" si="138"/>
        <v>-5.8874664666996456E-4</v>
      </c>
      <c r="AJ235" s="16">
        <f t="shared" ca="1" si="139"/>
        <v>-1.3084892135081547E-4</v>
      </c>
      <c r="AK235" s="16">
        <f t="shared" ca="1" si="140"/>
        <v>3.1364350119821282E-4</v>
      </c>
      <c r="AM235" s="16">
        <f t="shared" ca="1" si="141"/>
        <v>-9.4513678626148285E-4</v>
      </c>
      <c r="AO235" s="16">
        <f t="shared" ca="1" si="142"/>
        <v>-1.077390948304813E-4</v>
      </c>
      <c r="AP235" s="16">
        <f t="shared" ca="1" si="143"/>
        <v>-1.1780212341022158E-4</v>
      </c>
      <c r="AQ235" s="16">
        <f t="shared" ca="1" si="144"/>
        <v>-5.8874664666996456E-4</v>
      </c>
      <c r="AR235" s="16">
        <f t="shared" ca="1" si="145"/>
        <v>-1.3084892135081547E-4</v>
      </c>
      <c r="AS235" s="16">
        <f t="shared" ca="1" si="146"/>
        <v>0</v>
      </c>
    </row>
    <row r="236" spans="1:45" x14ac:dyDescent="0.25">
      <c r="A236" s="69">
        <f t="shared" ca="1" si="147"/>
        <v>2450.5568920989244</v>
      </c>
      <c r="B236" s="69">
        <f t="shared" ca="1" si="148"/>
        <v>2133.9445394831291</v>
      </c>
      <c r="C236" s="69">
        <f t="shared" ca="1" si="149"/>
        <v>2229.0395508372571</v>
      </c>
      <c r="D236" s="69">
        <f t="shared" ca="1" si="150"/>
        <v>2908.5456949916352</v>
      </c>
      <c r="E236" s="69">
        <f t="shared" ca="1" si="151"/>
        <v>1931.2088277669091</v>
      </c>
      <c r="F236" s="69">
        <f t="shared" ca="1" si="152"/>
        <v>1224.2245993199285</v>
      </c>
      <c r="G236" s="69">
        <f t="shared" ca="1" si="153"/>
        <v>965.95737953322168</v>
      </c>
      <c r="H236" s="69">
        <f t="shared" ca="1" si="154"/>
        <v>1189.4997878195288</v>
      </c>
      <c r="I236" s="69">
        <f t="shared" ca="1" si="155"/>
        <v>1049.339927011863</v>
      </c>
      <c r="J236" s="69">
        <f t="shared" ca="1" si="156"/>
        <v>1148.2194940297397</v>
      </c>
      <c r="K236" s="69">
        <f t="shared" ca="1" si="157"/>
        <v>1179.9050824881726</v>
      </c>
      <c r="L236" s="69">
        <f t="shared" ca="1" si="158"/>
        <v>954.74727418866644</v>
      </c>
      <c r="M236" s="69">
        <f t="shared" ca="1" si="159"/>
        <v>988.19125062126716</v>
      </c>
      <c r="N236" s="69">
        <f t="shared" ca="1" si="160"/>
        <v>574.13737816771709</v>
      </c>
      <c r="O236" s="69">
        <f t="shared" ca="1" si="161"/>
        <v>629.3097712508727</v>
      </c>
      <c r="P236" s="69">
        <f t="shared" ca="1" si="162"/>
        <v>721.4351205508957</v>
      </c>
      <c r="Q236" s="69">
        <f t="shared" ca="1" si="163"/>
        <v>952.11128659675398</v>
      </c>
      <c r="R236" s="69">
        <f t="shared" ca="1" si="164"/>
        <v>784.70448266335848</v>
      </c>
      <c r="S236" s="69">
        <f t="shared" ca="1" si="165"/>
        <v>698.50731358295286</v>
      </c>
      <c r="T236" s="69">
        <f t="shared" ca="1" si="166"/>
        <v>805.00970958275866</v>
      </c>
      <c r="U236" s="69">
        <f t="shared" ca="1" si="167"/>
        <v>1690.7209008450127</v>
      </c>
      <c r="V236" s="69">
        <f t="shared" ca="1" si="168"/>
        <v>1911.5963250068887</v>
      </c>
      <c r="W236" s="69">
        <f t="shared" ca="1" si="169"/>
        <v>1177.271577423955</v>
      </c>
      <c r="X236" s="69">
        <f t="shared" ca="1" si="170"/>
        <v>1489.5091128632857</v>
      </c>
      <c r="Y236" s="69">
        <f t="shared" ca="1" si="171"/>
        <v>1210.7454612163358</v>
      </c>
      <c r="AA236" s="20">
        <f t="shared" ca="1" si="131"/>
        <v>6.5474293551651056E+16</v>
      </c>
      <c r="AB236" s="20">
        <f t="shared" ca="1" si="132"/>
        <v>1694823781260308.5</v>
      </c>
      <c r="AC236" s="20">
        <f t="shared" ca="1" si="133"/>
        <v>402213645294775.81</v>
      </c>
      <c r="AD236" s="20">
        <f t="shared" ca="1" si="134"/>
        <v>303084135103444.06</v>
      </c>
      <c r="AE236" s="20">
        <f t="shared" ca="1" si="135"/>
        <v>6861843073077067</v>
      </c>
      <c r="AG236" s="16">
        <f t="shared" ca="1" si="136"/>
        <v>1.1345073865191323E-4</v>
      </c>
      <c r="AH236" s="16">
        <f t="shared" ca="1" si="137"/>
        <v>4.3485353621148636E-4</v>
      </c>
      <c r="AI236" s="16">
        <f t="shared" ca="1" si="138"/>
        <v>-1.2821061260419493E-3</v>
      </c>
      <c r="AJ236" s="16">
        <f t="shared" ca="1" si="139"/>
        <v>5.1825708437729632E-4</v>
      </c>
      <c r="AK236" s="16">
        <f t="shared" ca="1" si="140"/>
        <v>-5.6265359010385721E-5</v>
      </c>
      <c r="AM236" s="16">
        <f t="shared" ca="1" si="141"/>
        <v>-2.1554476680125337E-4</v>
      </c>
      <c r="AO236" s="16">
        <f t="shared" ca="1" si="142"/>
        <v>0</v>
      </c>
      <c r="AP236" s="16">
        <f t="shared" ca="1" si="143"/>
        <v>0</v>
      </c>
      <c r="AQ236" s="16">
        <f t="shared" ca="1" si="144"/>
        <v>-1.2821061260419493E-3</v>
      </c>
      <c r="AR236" s="16">
        <f t="shared" ca="1" si="145"/>
        <v>0</v>
      </c>
      <c r="AS236" s="16">
        <f t="shared" ca="1" si="146"/>
        <v>-5.6265359010385721E-5</v>
      </c>
    </row>
    <row r="237" spans="1:45" x14ac:dyDescent="0.25">
      <c r="A237" s="69">
        <f t="shared" ca="1" si="147"/>
        <v>2450.7879780332519</v>
      </c>
      <c r="B237" s="69">
        <f t="shared" ca="1" si="148"/>
        <v>2134.2047087921851</v>
      </c>
      <c r="C237" s="69">
        <f t="shared" ca="1" si="149"/>
        <v>2228.5845886238371</v>
      </c>
      <c r="D237" s="69">
        <f t="shared" ca="1" si="150"/>
        <v>2908.1669187342964</v>
      </c>
      <c r="E237" s="69">
        <f t="shared" ca="1" si="151"/>
        <v>1931.6561643808327</v>
      </c>
      <c r="F237" s="69">
        <f t="shared" ca="1" si="152"/>
        <v>1224.2245993199285</v>
      </c>
      <c r="G237" s="69">
        <f t="shared" ca="1" si="153"/>
        <v>965.95737953322168</v>
      </c>
      <c r="H237" s="69">
        <f t="shared" ca="1" si="154"/>
        <v>1189.6842621605099</v>
      </c>
      <c r="I237" s="69">
        <f t="shared" ca="1" si="155"/>
        <v>1049.7662147140204</v>
      </c>
      <c r="J237" s="69">
        <f t="shared" ca="1" si="156"/>
        <v>1148.0743897749312</v>
      </c>
      <c r="K237" s="69">
        <f t="shared" ca="1" si="157"/>
        <v>1179.7419901640194</v>
      </c>
      <c r="L237" s="69">
        <f t="shared" ca="1" si="158"/>
        <v>954.25503744117634</v>
      </c>
      <c r="M237" s="69">
        <f t="shared" ca="1" si="159"/>
        <v>988.00219624632427</v>
      </c>
      <c r="N237" s="69">
        <f t="shared" ca="1" si="160"/>
        <v>574.13737816771709</v>
      </c>
      <c r="O237" s="69">
        <f t="shared" ca="1" si="161"/>
        <v>629.0349240905847</v>
      </c>
      <c r="P237" s="69">
        <f t="shared" ca="1" si="162"/>
        <v>721.7949394875717</v>
      </c>
      <c r="Q237" s="69">
        <f t="shared" ca="1" si="163"/>
        <v>952.40428104648527</v>
      </c>
      <c r="R237" s="69">
        <f t="shared" ca="1" si="164"/>
        <v>784.53636362297561</v>
      </c>
      <c r="S237" s="69">
        <f t="shared" ca="1" si="165"/>
        <v>698.50731358295286</v>
      </c>
      <c r="T237" s="69">
        <f t="shared" ca="1" si="166"/>
        <v>804.95031095317472</v>
      </c>
      <c r="U237" s="69">
        <f t="shared" ca="1" si="167"/>
        <v>1690.7439385442981</v>
      </c>
      <c r="V237" s="69">
        <f t="shared" ca="1" si="168"/>
        <v>1911.462725860104</v>
      </c>
      <c r="W237" s="69">
        <f t="shared" ca="1" si="169"/>
        <v>1177.271577423955</v>
      </c>
      <c r="X237" s="69">
        <f t="shared" ca="1" si="170"/>
        <v>1489.5091128632857</v>
      </c>
      <c r="Y237" s="69">
        <f t="shared" ca="1" si="171"/>
        <v>1210.7454612163358</v>
      </c>
      <c r="AA237" s="20">
        <f t="shared" ca="1" si="131"/>
        <v>6.5481722079995248E+16</v>
      </c>
      <c r="AB237" s="20">
        <f t="shared" ca="1" si="132"/>
        <v>1695560941641627.8</v>
      </c>
      <c r="AC237" s="20">
        <f t="shared" ca="1" si="133"/>
        <v>401698295153546.5</v>
      </c>
      <c r="AD237" s="20">
        <f t="shared" ca="1" si="134"/>
        <v>303241251313401.56</v>
      </c>
      <c r="AE237" s="20">
        <f t="shared" ca="1" si="135"/>
        <v>6861456999874463</v>
      </c>
      <c r="AG237" s="16">
        <f t="shared" ca="1" si="136"/>
        <v>-1.5737228066837434E-4</v>
      </c>
      <c r="AH237" s="16">
        <f t="shared" ca="1" si="137"/>
        <v>4.7876318302093689E-4</v>
      </c>
      <c r="AI237" s="16">
        <f t="shared" ca="1" si="138"/>
        <v>4.1908268855414429E-4</v>
      </c>
      <c r="AJ237" s="16">
        <f t="shared" ca="1" si="139"/>
        <v>-5.3160292851193438E-4</v>
      </c>
      <c r="AK237" s="16">
        <f t="shared" ca="1" si="140"/>
        <v>-8.6186653384109707E-5</v>
      </c>
      <c r="AM237" s="16">
        <f t="shared" ca="1" si="141"/>
        <v>2.0887066239477239E-4</v>
      </c>
      <c r="AO237" s="16">
        <f t="shared" ca="1" si="142"/>
        <v>-1.5737228066837434E-4</v>
      </c>
      <c r="AP237" s="16">
        <f t="shared" ca="1" si="143"/>
        <v>0</v>
      </c>
      <c r="AQ237" s="16">
        <f t="shared" ca="1" si="144"/>
        <v>0</v>
      </c>
      <c r="AR237" s="16">
        <f t="shared" ca="1" si="145"/>
        <v>-5.3160292851193438E-4</v>
      </c>
      <c r="AS237" s="16">
        <f t="shared" ca="1" si="146"/>
        <v>-8.6186653384109707E-5</v>
      </c>
    </row>
    <row r="238" spans="1:45" x14ac:dyDescent="0.25">
      <c r="A238" s="69">
        <f t="shared" ca="1" si="147"/>
        <v>2450.583525595785</v>
      </c>
      <c r="B238" s="69">
        <f t="shared" ca="1" si="148"/>
        <v>2134.2047087921851</v>
      </c>
      <c r="C238" s="69">
        <f t="shared" ca="1" si="149"/>
        <v>2228.5845886238371</v>
      </c>
      <c r="D238" s="69">
        <f t="shared" ca="1" si="150"/>
        <v>2908.5049091947794</v>
      </c>
      <c r="E238" s="69">
        <f t="shared" ca="1" si="151"/>
        <v>1931.2888754919541</v>
      </c>
      <c r="F238" s="69">
        <f t="shared" ca="1" si="152"/>
        <v>1223.8870488144066</v>
      </c>
      <c r="G238" s="69">
        <f t="shared" ca="1" si="153"/>
        <v>966.36498229559629</v>
      </c>
      <c r="H238" s="69">
        <f t="shared" ca="1" si="154"/>
        <v>1189.6842621605099</v>
      </c>
      <c r="I238" s="69">
        <f t="shared" ca="1" si="155"/>
        <v>1050.1154759801818</v>
      </c>
      <c r="J238" s="69">
        <f t="shared" ca="1" si="156"/>
        <v>1148.0743897749312</v>
      </c>
      <c r="K238" s="69">
        <f t="shared" ca="1" si="157"/>
        <v>1179.8275311804753</v>
      </c>
      <c r="L238" s="69">
        <f t="shared" ca="1" si="158"/>
        <v>954.25503744117634</v>
      </c>
      <c r="M238" s="69">
        <f t="shared" ca="1" si="159"/>
        <v>988.344674502928</v>
      </c>
      <c r="N238" s="69">
        <f t="shared" ca="1" si="160"/>
        <v>574.13737816771709</v>
      </c>
      <c r="O238" s="69">
        <f t="shared" ca="1" si="161"/>
        <v>629.0349240905847</v>
      </c>
      <c r="P238" s="69">
        <f t="shared" ca="1" si="162"/>
        <v>721.7949394875717</v>
      </c>
      <c r="Q238" s="69">
        <f t="shared" ca="1" si="163"/>
        <v>952.37607404222263</v>
      </c>
      <c r="R238" s="69">
        <f t="shared" ca="1" si="164"/>
        <v>784.0882277382226</v>
      </c>
      <c r="S238" s="69">
        <f t="shared" ca="1" si="165"/>
        <v>698.44297031549797</v>
      </c>
      <c r="T238" s="69">
        <f t="shared" ca="1" si="166"/>
        <v>805.08032742613511</v>
      </c>
      <c r="U238" s="69">
        <f t="shared" ca="1" si="167"/>
        <v>1690.7439385442981</v>
      </c>
      <c r="V238" s="69">
        <f t="shared" ca="1" si="168"/>
        <v>1911.9427392437531</v>
      </c>
      <c r="W238" s="69">
        <f t="shared" ca="1" si="169"/>
        <v>1176.8526277315302</v>
      </c>
      <c r="X238" s="69">
        <f t="shared" ca="1" si="170"/>
        <v>1489.37931292448</v>
      </c>
      <c r="Y238" s="69">
        <f t="shared" ca="1" si="171"/>
        <v>1210.8735601738126</v>
      </c>
      <c r="AA238" s="20">
        <f t="shared" ca="1" si="131"/>
        <v>6.5471417882868192E+16</v>
      </c>
      <c r="AB238" s="20">
        <f t="shared" ca="1" si="132"/>
        <v>1696372908149379.3</v>
      </c>
      <c r="AC238" s="20">
        <f t="shared" ca="1" si="133"/>
        <v>401866675235191.38</v>
      </c>
      <c r="AD238" s="20">
        <f t="shared" ca="1" si="134"/>
        <v>303080090216808.56</v>
      </c>
      <c r="AE238" s="20">
        <f t="shared" ca="1" si="135"/>
        <v>6860865659341502</v>
      </c>
      <c r="AG238" s="16">
        <f t="shared" ca="1" si="136"/>
        <v>-1.4934454199834387E-4</v>
      </c>
      <c r="AH238" s="16">
        <f t="shared" ca="1" si="137"/>
        <v>4.9817750021986925E-4</v>
      </c>
      <c r="AI238" s="16">
        <f t="shared" ca="1" si="138"/>
        <v>-4.3938411524719988E-4</v>
      </c>
      <c r="AJ238" s="16">
        <f t="shared" ca="1" si="139"/>
        <v>2.1100460381811184E-4</v>
      </c>
      <c r="AK238" s="16">
        <f t="shared" ca="1" si="140"/>
        <v>-4.3820973890233472E-4</v>
      </c>
      <c r="AM238" s="16">
        <f t="shared" ca="1" si="141"/>
        <v>1.2045344679243735E-4</v>
      </c>
      <c r="AO238" s="16">
        <f t="shared" ca="1" si="142"/>
        <v>-1.4934454199834387E-4</v>
      </c>
      <c r="AP238" s="16">
        <f t="shared" ca="1" si="143"/>
        <v>0</v>
      </c>
      <c r="AQ238" s="16">
        <f t="shared" ca="1" si="144"/>
        <v>-4.3938411524719988E-4</v>
      </c>
      <c r="AR238" s="16">
        <f t="shared" ca="1" si="145"/>
        <v>0</v>
      </c>
      <c r="AS238" s="16">
        <f t="shared" ca="1" si="146"/>
        <v>-4.3820973890233472E-4</v>
      </c>
    </row>
    <row r="239" spans="1:45" x14ac:dyDescent="0.25">
      <c r="A239" s="69">
        <f t="shared" ca="1" si="147"/>
        <v>2450.725819185373</v>
      </c>
      <c r="B239" s="69">
        <f t="shared" ca="1" si="148"/>
        <v>2134.5162831678335</v>
      </c>
      <c r="C239" s="69">
        <f t="shared" ca="1" si="149"/>
        <v>2228.354789907849</v>
      </c>
      <c r="D239" s="69">
        <f t="shared" ca="1" si="150"/>
        <v>2908.5049091947794</v>
      </c>
      <c r="E239" s="69">
        <f t="shared" ca="1" si="151"/>
        <v>1930.8055947581033</v>
      </c>
      <c r="F239" s="69">
        <f t="shared" ca="1" si="152"/>
        <v>1223.904177391745</v>
      </c>
      <c r="G239" s="69">
        <f t="shared" ca="1" si="153"/>
        <v>966.6093445427374</v>
      </c>
      <c r="H239" s="69">
        <f t="shared" ca="1" si="154"/>
        <v>1189.6842621605099</v>
      </c>
      <c r="I239" s="69">
        <f t="shared" ca="1" si="155"/>
        <v>1049.9797142418756</v>
      </c>
      <c r="J239" s="69">
        <f t="shared" ca="1" si="156"/>
        <v>1148.4885036046651</v>
      </c>
      <c r="K239" s="69">
        <f t="shared" ca="1" si="157"/>
        <v>1179.8275311804753</v>
      </c>
      <c r="L239" s="69">
        <f t="shared" ca="1" si="158"/>
        <v>954.25503744117634</v>
      </c>
      <c r="M239" s="69">
        <f t="shared" ca="1" si="159"/>
        <v>988.344674502928</v>
      </c>
      <c r="N239" s="69">
        <f t="shared" ca="1" si="160"/>
        <v>574.31541785980892</v>
      </c>
      <c r="O239" s="69">
        <f t="shared" ca="1" si="161"/>
        <v>628.56367958946748</v>
      </c>
      <c r="P239" s="69">
        <f t="shared" ca="1" si="162"/>
        <v>721.71865056680645</v>
      </c>
      <c r="Q239" s="69">
        <f t="shared" ca="1" si="163"/>
        <v>952.51041439325945</v>
      </c>
      <c r="R239" s="69">
        <f t="shared" ca="1" si="164"/>
        <v>784.0882277382226</v>
      </c>
      <c r="S239" s="69">
        <f t="shared" ca="1" si="165"/>
        <v>698.56566636383764</v>
      </c>
      <c r="T239" s="69">
        <f t="shared" ca="1" si="166"/>
        <v>805.08032742613511</v>
      </c>
      <c r="U239" s="69">
        <f t="shared" ca="1" si="167"/>
        <v>1690.9936720551743</v>
      </c>
      <c r="V239" s="69">
        <f t="shared" ca="1" si="168"/>
        <v>1911.9427392437531</v>
      </c>
      <c r="W239" s="69">
        <f t="shared" ca="1" si="169"/>
        <v>1176.4337321260325</v>
      </c>
      <c r="X239" s="69">
        <f t="shared" ca="1" si="170"/>
        <v>1489.295816257991</v>
      </c>
      <c r="Y239" s="69">
        <f t="shared" ca="1" si="171"/>
        <v>1210.663088536149</v>
      </c>
      <c r="AA239" s="20">
        <f t="shared" ca="1" si="131"/>
        <v>6.54616408140446E+16</v>
      </c>
      <c r="AB239" s="20">
        <f t="shared" ca="1" si="132"/>
        <v>1697218213502773.5</v>
      </c>
      <c r="AC239" s="20">
        <f t="shared" ca="1" si="133"/>
        <v>401690140187833.75</v>
      </c>
      <c r="AD239" s="20">
        <f t="shared" ca="1" si="134"/>
        <v>303144048258653.25</v>
      </c>
      <c r="AE239" s="20">
        <f t="shared" ca="1" si="135"/>
        <v>6857859819834451</v>
      </c>
      <c r="AG239" s="16">
        <f t="shared" ca="1" si="136"/>
        <v>3.5447816548865146E-4</v>
      </c>
      <c r="AH239" s="16">
        <f t="shared" ca="1" si="137"/>
        <v>-2.85620276034493E-4</v>
      </c>
      <c r="AI239" s="16">
        <f t="shared" ca="1" si="138"/>
        <v>-2.0024176696269169E-4</v>
      </c>
      <c r="AJ239" s="16">
        <f t="shared" ca="1" si="139"/>
        <v>-1.0409145467340792E-4</v>
      </c>
      <c r="AK239" s="16">
        <f t="shared" ca="1" si="140"/>
        <v>-1.2854427215625087E-4</v>
      </c>
      <c r="AM239" s="16">
        <f t="shared" ca="1" si="141"/>
        <v>-2.3547533218194115E-4</v>
      </c>
      <c r="AO239" s="16">
        <f t="shared" ca="1" si="142"/>
        <v>0</v>
      </c>
      <c r="AP239" s="16">
        <f t="shared" ca="1" si="143"/>
        <v>-2.85620276034493E-4</v>
      </c>
      <c r="AQ239" s="16">
        <f t="shared" ca="1" si="144"/>
        <v>-2.0024176696269169E-4</v>
      </c>
      <c r="AR239" s="16">
        <f t="shared" ca="1" si="145"/>
        <v>-1.0409145467340792E-4</v>
      </c>
      <c r="AS239" s="16">
        <f t="shared" ca="1" si="146"/>
        <v>-1.2854427215625087E-4</v>
      </c>
    </row>
    <row r="240" spans="1:45" x14ac:dyDescent="0.25">
      <c r="A240" s="69">
        <f t="shared" ca="1" si="147"/>
        <v>2451.0513176012441</v>
      </c>
      <c r="B240" s="69">
        <f t="shared" ca="1" si="148"/>
        <v>2134.8922138916528</v>
      </c>
      <c r="C240" s="69">
        <f t="shared" ca="1" si="149"/>
        <v>2228.49942847182</v>
      </c>
      <c r="D240" s="69">
        <f t="shared" ca="1" si="150"/>
        <v>2908.6146882058551</v>
      </c>
      <c r="E240" s="69">
        <f t="shared" ca="1" si="151"/>
        <v>1930.6953796574528</v>
      </c>
      <c r="F240" s="69">
        <f t="shared" ca="1" si="152"/>
        <v>1223.7075553412358</v>
      </c>
      <c r="G240" s="69">
        <f t="shared" ca="1" si="153"/>
        <v>966.55370745580774</v>
      </c>
      <c r="H240" s="69">
        <f t="shared" ca="1" si="154"/>
        <v>1189.5545006550951</v>
      </c>
      <c r="I240" s="69">
        <f t="shared" ca="1" si="155"/>
        <v>1049.9797142418756</v>
      </c>
      <c r="J240" s="69">
        <f t="shared" ca="1" si="156"/>
        <v>1148.5363770304202</v>
      </c>
      <c r="K240" s="69">
        <f t="shared" ca="1" si="157"/>
        <v>1180.0520713093827</v>
      </c>
      <c r="L240" s="69">
        <f t="shared" ca="1" si="158"/>
        <v>953.81671969270212</v>
      </c>
      <c r="M240" s="69">
        <f t="shared" ca="1" si="159"/>
        <v>988.286141930074</v>
      </c>
      <c r="N240" s="69">
        <f t="shared" ca="1" si="160"/>
        <v>574.17887080899925</v>
      </c>
      <c r="O240" s="69">
        <f t="shared" ca="1" si="161"/>
        <v>628.79371603375944</v>
      </c>
      <c r="P240" s="69">
        <f t="shared" ca="1" si="162"/>
        <v>721.71865056680645</v>
      </c>
      <c r="Q240" s="69">
        <f t="shared" ca="1" si="163"/>
        <v>952.55600915083744</v>
      </c>
      <c r="R240" s="69">
        <f t="shared" ca="1" si="164"/>
        <v>783.96908807836235</v>
      </c>
      <c r="S240" s="69">
        <f t="shared" ca="1" si="165"/>
        <v>698.56566636383764</v>
      </c>
      <c r="T240" s="69">
        <f t="shared" ca="1" si="166"/>
        <v>805.08032742613511</v>
      </c>
      <c r="U240" s="69">
        <f t="shared" ca="1" si="167"/>
        <v>1690.9936720551743</v>
      </c>
      <c r="V240" s="69">
        <f t="shared" ca="1" si="168"/>
        <v>1911.6328187940251</v>
      </c>
      <c r="W240" s="69">
        <f t="shared" ca="1" si="169"/>
        <v>1176.497900514883</v>
      </c>
      <c r="X240" s="69">
        <f t="shared" ca="1" si="170"/>
        <v>1489.2645751137593</v>
      </c>
      <c r="Y240" s="69">
        <f t="shared" ca="1" si="171"/>
        <v>1210.663088536149</v>
      </c>
      <c r="AA240" s="20">
        <f t="shared" ca="1" si="131"/>
        <v>6.5484849649659952E+16</v>
      </c>
      <c r="AB240" s="20">
        <f t="shared" ca="1" si="132"/>
        <v>1696733522790184.8</v>
      </c>
      <c r="AC240" s="20">
        <f t="shared" ca="1" si="133"/>
        <v>401609713097091.19</v>
      </c>
      <c r="AD240" s="20">
        <f t="shared" ca="1" si="134"/>
        <v>303112495195925</v>
      </c>
      <c r="AE240" s="20">
        <f t="shared" ca="1" si="135"/>
        <v>6856978337891302</v>
      </c>
      <c r="AG240" s="16">
        <f t="shared" ca="1" si="136"/>
        <v>2.8215134694199452E-4</v>
      </c>
      <c r="AH240" s="16">
        <f t="shared" ca="1" si="137"/>
        <v>-2.4560111958611089E-4</v>
      </c>
      <c r="AI240" s="16">
        <f t="shared" ca="1" si="138"/>
        <v>3.7249650068444856E-5</v>
      </c>
      <c r="AJ240" s="16">
        <f t="shared" ca="1" si="139"/>
        <v>-1.1858179304550251E-3</v>
      </c>
      <c r="AK240" s="16">
        <f t="shared" ca="1" si="140"/>
        <v>3.3899130092734437E-4</v>
      </c>
      <c r="AM240" s="16">
        <f t="shared" ca="1" si="141"/>
        <v>-1.1120180530306966E-3</v>
      </c>
      <c r="AO240" s="16">
        <f t="shared" ca="1" si="142"/>
        <v>0</v>
      </c>
      <c r="AP240" s="16">
        <f t="shared" ca="1" si="143"/>
        <v>-2.4560111958611089E-4</v>
      </c>
      <c r="AQ240" s="16">
        <f t="shared" ca="1" si="144"/>
        <v>0</v>
      </c>
      <c r="AR240" s="16">
        <f t="shared" ca="1" si="145"/>
        <v>-1.1858179304550251E-3</v>
      </c>
      <c r="AS240" s="16">
        <f t="shared" ca="1" si="146"/>
        <v>0</v>
      </c>
    </row>
    <row r="241" spans="1:45" x14ac:dyDescent="0.25">
      <c r="A241" s="69">
        <f t="shared" ca="1" si="147"/>
        <v>2451.3149877713859</v>
      </c>
      <c r="B241" s="69">
        <f t="shared" ca="1" si="148"/>
        <v>2134.9716511911593</v>
      </c>
      <c r="C241" s="69">
        <f t="shared" ca="1" si="149"/>
        <v>2228.49942847182</v>
      </c>
      <c r="D241" s="69">
        <f t="shared" ca="1" si="150"/>
        <v>2909.0142850357684</v>
      </c>
      <c r="E241" s="69">
        <f t="shared" ca="1" si="151"/>
        <v>1930.6953796574528</v>
      </c>
      <c r="F241" s="69">
        <f t="shared" ca="1" si="152"/>
        <v>1223.711243259934</v>
      </c>
      <c r="G241" s="69">
        <f t="shared" ca="1" si="153"/>
        <v>966.07025590290164</v>
      </c>
      <c r="H241" s="69">
        <f t="shared" ca="1" si="154"/>
        <v>1189.9795342197469</v>
      </c>
      <c r="I241" s="69">
        <f t="shared" ca="1" si="155"/>
        <v>1049.9797142418756</v>
      </c>
      <c r="J241" s="69">
        <f t="shared" ca="1" si="156"/>
        <v>1148.4151554449506</v>
      </c>
      <c r="K241" s="69">
        <f t="shared" ca="1" si="157"/>
        <v>1180.0520713093827</v>
      </c>
      <c r="L241" s="69">
        <f t="shared" ca="1" si="158"/>
        <v>953.35855606879863</v>
      </c>
      <c r="M241" s="69">
        <f t="shared" ca="1" si="159"/>
        <v>988.286141930074</v>
      </c>
      <c r="N241" s="69">
        <f t="shared" ca="1" si="160"/>
        <v>574.47620746805421</v>
      </c>
      <c r="O241" s="69">
        <f t="shared" ca="1" si="161"/>
        <v>628.79371603375944</v>
      </c>
      <c r="P241" s="69">
        <f t="shared" ca="1" si="162"/>
        <v>721.59768852333127</v>
      </c>
      <c r="Q241" s="69">
        <f t="shared" ca="1" si="163"/>
        <v>952.55600915083744</v>
      </c>
      <c r="R241" s="69">
        <f t="shared" ca="1" si="164"/>
        <v>783.69694279879445</v>
      </c>
      <c r="S241" s="69">
        <f t="shared" ca="1" si="165"/>
        <v>698.31579470476072</v>
      </c>
      <c r="T241" s="69">
        <f t="shared" ca="1" si="166"/>
        <v>804.82817820347054</v>
      </c>
      <c r="U241" s="69">
        <f t="shared" ca="1" si="167"/>
        <v>1691.3966677423789</v>
      </c>
      <c r="V241" s="69">
        <f t="shared" ca="1" si="168"/>
        <v>1911.8253315033862</v>
      </c>
      <c r="W241" s="69">
        <f t="shared" ca="1" si="169"/>
        <v>1176.497900514883</v>
      </c>
      <c r="X241" s="69">
        <f t="shared" ca="1" si="170"/>
        <v>1489.2645751137593</v>
      </c>
      <c r="Y241" s="69">
        <f t="shared" ca="1" si="171"/>
        <v>1210.663088536149</v>
      </c>
      <c r="AA241" s="20">
        <f t="shared" ca="1" si="131"/>
        <v>6.5503328895042288E+16</v>
      </c>
      <c r="AB241" s="20">
        <f t="shared" ca="1" si="132"/>
        <v>1696316854306565.8</v>
      </c>
      <c r="AC241" s="20">
        <f t="shared" ca="1" si="133"/>
        <v>401624673196995.69</v>
      </c>
      <c r="AD241" s="20">
        <f t="shared" ca="1" si="134"/>
        <v>302753271992928.19</v>
      </c>
      <c r="AE241" s="20">
        <f t="shared" ca="1" si="135"/>
        <v>6859303187928200</v>
      </c>
      <c r="AG241" s="16">
        <f t="shared" ca="1" si="136"/>
        <v>-4.5928121081752909E-4</v>
      </c>
      <c r="AH241" s="16">
        <f t="shared" ca="1" si="137"/>
        <v>-2.0259069547248735E-4</v>
      </c>
      <c r="AI241" s="16">
        <f t="shared" ca="1" si="138"/>
        <v>-3.8546438945476116E-4</v>
      </c>
      <c r="AJ241" s="16">
        <f t="shared" ca="1" si="139"/>
        <v>4.6654108102369866E-4</v>
      </c>
      <c r="AK241" s="16">
        <f t="shared" ca="1" si="140"/>
        <v>5.2546957637102337E-4</v>
      </c>
      <c r="AM241" s="16">
        <f t="shared" ca="1" si="141"/>
        <v>-5.8079521472107886E-4</v>
      </c>
      <c r="AO241" s="16">
        <f t="shared" ca="1" si="142"/>
        <v>-4.5928121081752909E-4</v>
      </c>
      <c r="AP241" s="16">
        <f t="shared" ca="1" si="143"/>
        <v>-2.0259069547248735E-4</v>
      </c>
      <c r="AQ241" s="16">
        <f t="shared" ca="1" si="144"/>
        <v>-3.8546438945476116E-4</v>
      </c>
      <c r="AR241" s="16">
        <f t="shared" ca="1" si="145"/>
        <v>0</v>
      </c>
      <c r="AS241" s="16">
        <f t="shared" ca="1" si="146"/>
        <v>0</v>
      </c>
    </row>
    <row r="242" spans="1:45" x14ac:dyDescent="0.25">
      <c r="A242" s="69">
        <f t="shared" ca="1" si="147"/>
        <v>2450.8983246865137</v>
      </c>
      <c r="B242" s="69">
        <f t="shared" ca="1" si="148"/>
        <v>2134.9716511911593</v>
      </c>
      <c r="C242" s="69">
        <f t="shared" ca="1" si="149"/>
        <v>2228.4486655403607</v>
      </c>
      <c r="D242" s="69">
        <f t="shared" ca="1" si="150"/>
        <v>2908.6954272477969</v>
      </c>
      <c r="E242" s="69">
        <f t="shared" ca="1" si="151"/>
        <v>1930.3924851613237</v>
      </c>
      <c r="F242" s="69">
        <f t="shared" ca="1" si="152"/>
        <v>1223.711243259934</v>
      </c>
      <c r="G242" s="69">
        <f t="shared" ca="1" si="153"/>
        <v>965.79695080375905</v>
      </c>
      <c r="H242" s="69">
        <f t="shared" ca="1" si="154"/>
        <v>1189.6341489767149</v>
      </c>
      <c r="I242" s="69">
        <f t="shared" ca="1" si="155"/>
        <v>1049.9797142418756</v>
      </c>
      <c r="J242" s="69">
        <f t="shared" ca="1" si="156"/>
        <v>1148.8408830535063</v>
      </c>
      <c r="K242" s="69">
        <f t="shared" ca="1" si="157"/>
        <v>1180.0520713093827</v>
      </c>
      <c r="L242" s="69">
        <f t="shared" ca="1" si="158"/>
        <v>953.4758988603561</v>
      </c>
      <c r="M242" s="69">
        <f t="shared" ca="1" si="159"/>
        <v>988.59257939214717</v>
      </c>
      <c r="N242" s="69">
        <f t="shared" ca="1" si="160"/>
        <v>574.16930575577226</v>
      </c>
      <c r="O242" s="69">
        <f t="shared" ca="1" si="161"/>
        <v>628.61504428383569</v>
      </c>
      <c r="P242" s="69">
        <f t="shared" ca="1" si="162"/>
        <v>721.59768852333127</v>
      </c>
      <c r="Q242" s="69">
        <f t="shared" ca="1" si="163"/>
        <v>952.98727459275756</v>
      </c>
      <c r="R242" s="69">
        <f t="shared" ca="1" si="164"/>
        <v>783.52459329699786</v>
      </c>
      <c r="S242" s="69">
        <f t="shared" ca="1" si="165"/>
        <v>698.12461948311409</v>
      </c>
      <c r="T242" s="69">
        <f t="shared" ca="1" si="166"/>
        <v>805.23684845149637</v>
      </c>
      <c r="U242" s="69">
        <f t="shared" ca="1" si="167"/>
        <v>1691.4738419153709</v>
      </c>
      <c r="V242" s="69">
        <f t="shared" ca="1" si="168"/>
        <v>1911.8905510857562</v>
      </c>
      <c r="W242" s="69">
        <f t="shared" ca="1" si="169"/>
        <v>1176.1678200547417</v>
      </c>
      <c r="X242" s="69">
        <f t="shared" ca="1" si="170"/>
        <v>1489.7538706473251</v>
      </c>
      <c r="Y242" s="69">
        <f t="shared" ca="1" si="171"/>
        <v>1211.1448305833724</v>
      </c>
      <c r="AA242" s="20">
        <f t="shared" ca="1" si="131"/>
        <v>6.5473251354388152E+16</v>
      </c>
      <c r="AB242" s="20">
        <f t="shared" ca="1" si="132"/>
        <v>1695973231103917.3</v>
      </c>
      <c r="AC242" s="20">
        <f t="shared" ca="1" si="133"/>
        <v>401469891020976.81</v>
      </c>
      <c r="AD242" s="20">
        <f t="shared" ca="1" si="134"/>
        <v>302894551785578.25</v>
      </c>
      <c r="AE242" s="20">
        <f t="shared" ca="1" si="135"/>
        <v>6862908490223938</v>
      </c>
      <c r="AG242" s="16">
        <f t="shared" ca="1" si="136"/>
        <v>2.5452299964788961E-4</v>
      </c>
      <c r="AH242" s="16">
        <f t="shared" ca="1" si="137"/>
        <v>-7.5468317616296477E-4</v>
      </c>
      <c r="AI242" s="16">
        <f t="shared" ca="1" si="138"/>
        <v>9.6022338481582012E-4</v>
      </c>
      <c r="AJ242" s="16">
        <f t="shared" ca="1" si="139"/>
        <v>3.8633964956688691E-4</v>
      </c>
      <c r="AK242" s="16">
        <f t="shared" ca="1" si="140"/>
        <v>6.1110350197471312E-5</v>
      </c>
      <c r="AM242" s="16">
        <f t="shared" ca="1" si="141"/>
        <v>8.4640285786763186E-4</v>
      </c>
      <c r="AO242" s="16">
        <f t="shared" ca="1" si="142"/>
        <v>0</v>
      </c>
      <c r="AP242" s="16">
        <f t="shared" ca="1" si="143"/>
        <v>-7.5468317616296477E-4</v>
      </c>
      <c r="AQ242" s="16">
        <f t="shared" ca="1" si="144"/>
        <v>0</v>
      </c>
      <c r="AR242" s="16">
        <f t="shared" ca="1" si="145"/>
        <v>0</v>
      </c>
      <c r="AS242" s="16">
        <f t="shared" ca="1" si="146"/>
        <v>0</v>
      </c>
    </row>
    <row r="243" spans="1:45" x14ac:dyDescent="0.25">
      <c r="A243" s="69">
        <f t="shared" ca="1" si="147"/>
        <v>2450.8983246865137</v>
      </c>
      <c r="B243" s="69">
        <f t="shared" ca="1" si="148"/>
        <v>2135.1371093530265</v>
      </c>
      <c r="C243" s="69">
        <f t="shared" ca="1" si="149"/>
        <v>2228.6601616690937</v>
      </c>
      <c r="D243" s="69">
        <f t="shared" ca="1" si="150"/>
        <v>2908.9343112594784</v>
      </c>
      <c r="E243" s="69">
        <f t="shared" ca="1" si="151"/>
        <v>1930.3924851613237</v>
      </c>
      <c r="F243" s="69">
        <f t="shared" ca="1" si="152"/>
        <v>1223.3903345964916</v>
      </c>
      <c r="G243" s="69">
        <f t="shared" ca="1" si="153"/>
        <v>965.79695080375905</v>
      </c>
      <c r="H243" s="69">
        <f t="shared" ca="1" si="154"/>
        <v>1189.3679644622193</v>
      </c>
      <c r="I243" s="69">
        <f t="shared" ca="1" si="155"/>
        <v>1049.6976978091943</v>
      </c>
      <c r="J243" s="69">
        <f t="shared" ca="1" si="156"/>
        <v>1148.8408830535063</v>
      </c>
      <c r="K243" s="69">
        <f t="shared" ca="1" si="157"/>
        <v>1179.6973177982372</v>
      </c>
      <c r="L243" s="69">
        <f t="shared" ca="1" si="158"/>
        <v>953.96934034532569</v>
      </c>
      <c r="M243" s="69">
        <f t="shared" ca="1" si="159"/>
        <v>988.3004817300349</v>
      </c>
      <c r="N243" s="69">
        <f t="shared" ca="1" si="160"/>
        <v>574.63615638541637</v>
      </c>
      <c r="O243" s="69">
        <f t="shared" ca="1" si="161"/>
        <v>628.75729245805053</v>
      </c>
      <c r="P243" s="69">
        <f t="shared" ca="1" si="162"/>
        <v>721.59768852333127</v>
      </c>
      <c r="Q243" s="69">
        <f t="shared" ca="1" si="163"/>
        <v>952.79571996073719</v>
      </c>
      <c r="R243" s="69">
        <f t="shared" ca="1" si="164"/>
        <v>783.71573720574224</v>
      </c>
      <c r="S243" s="69">
        <f t="shared" ca="1" si="165"/>
        <v>698.09761476107769</v>
      </c>
      <c r="T243" s="69">
        <f t="shared" ca="1" si="166"/>
        <v>805.54460646368386</v>
      </c>
      <c r="U243" s="69">
        <f t="shared" ca="1" si="167"/>
        <v>1691.4502244298924</v>
      </c>
      <c r="V243" s="69">
        <f t="shared" ca="1" si="168"/>
        <v>1911.8905510857562</v>
      </c>
      <c r="W243" s="69">
        <f t="shared" ca="1" si="169"/>
        <v>1176.2086074822932</v>
      </c>
      <c r="X243" s="69">
        <f t="shared" ca="1" si="170"/>
        <v>1489.7538706473251</v>
      </c>
      <c r="Y243" s="69">
        <f t="shared" ca="1" si="171"/>
        <v>1211.1937563455292</v>
      </c>
      <c r="AA243" s="20">
        <f t="shared" ca="1" si="131"/>
        <v>6.54899179236422E+16</v>
      </c>
      <c r="AB243" s="20">
        <f t="shared" ca="1" si="132"/>
        <v>1694693791485682.8</v>
      </c>
      <c r="AC243" s="20">
        <f t="shared" ca="1" si="133"/>
        <v>401855576941320.06</v>
      </c>
      <c r="AD243" s="20">
        <f t="shared" ca="1" si="134"/>
        <v>303011594568248.81</v>
      </c>
      <c r="AE243" s="20">
        <f t="shared" ca="1" si="135"/>
        <v>6863327897780089</v>
      </c>
      <c r="AG243" s="16">
        <f t="shared" ca="1" si="136"/>
        <v>-2.1908927868779629E-4</v>
      </c>
      <c r="AH243" s="16">
        <f t="shared" ca="1" si="137"/>
        <v>-9.9013298513124189E-4</v>
      </c>
      <c r="AI243" s="16">
        <f t="shared" ca="1" si="138"/>
        <v>-6.5837064474958686E-4</v>
      </c>
      <c r="AJ243" s="16">
        <f t="shared" ca="1" si="139"/>
        <v>4.5223370781722727E-4</v>
      </c>
      <c r="AK243" s="16">
        <f t="shared" ca="1" si="140"/>
        <v>2.4919709288214473E-4</v>
      </c>
      <c r="AM243" s="16">
        <f t="shared" ca="1" si="141"/>
        <v>-1.4153592007513979E-3</v>
      </c>
      <c r="AO243" s="16">
        <f t="shared" ca="1" si="142"/>
        <v>-2.1908927868779629E-4</v>
      </c>
      <c r="AP243" s="16">
        <f t="shared" ca="1" si="143"/>
        <v>-9.9013298513124189E-4</v>
      </c>
      <c r="AQ243" s="16">
        <f t="shared" ca="1" si="144"/>
        <v>-6.5837064474958686E-4</v>
      </c>
      <c r="AR243" s="16">
        <f t="shared" ca="1" si="145"/>
        <v>0</v>
      </c>
      <c r="AS243" s="16">
        <f t="shared" ca="1" si="146"/>
        <v>0</v>
      </c>
    </row>
    <row r="244" spans="1:45" x14ac:dyDescent="0.25">
      <c r="A244" s="69">
        <f t="shared" ca="1" si="147"/>
        <v>2450.8983246865137</v>
      </c>
      <c r="B244" s="69">
        <f t="shared" ca="1" si="148"/>
        <v>2135.1371093530265</v>
      </c>
      <c r="C244" s="69">
        <f t="shared" ca="1" si="149"/>
        <v>2228.3165329240064</v>
      </c>
      <c r="D244" s="69">
        <f t="shared" ca="1" si="150"/>
        <v>2908.9343112594784</v>
      </c>
      <c r="E244" s="69">
        <f t="shared" ca="1" si="151"/>
        <v>1930.2672238483274</v>
      </c>
      <c r="F244" s="69">
        <f t="shared" ca="1" si="152"/>
        <v>1223.0476696007374</v>
      </c>
      <c r="G244" s="69">
        <f t="shared" ca="1" si="153"/>
        <v>965.79695080375905</v>
      </c>
      <c r="H244" s="69">
        <f t="shared" ca="1" si="154"/>
        <v>1188.9933463290311</v>
      </c>
      <c r="I244" s="69">
        <f t="shared" ca="1" si="155"/>
        <v>1049.6196998122484</v>
      </c>
      <c r="J244" s="69">
        <f t="shared" ca="1" si="156"/>
        <v>1148.4725442743647</v>
      </c>
      <c r="K244" s="69">
        <f t="shared" ca="1" si="157"/>
        <v>1179.8410693092653</v>
      </c>
      <c r="L244" s="69">
        <f t="shared" ca="1" si="158"/>
        <v>953.96934034532569</v>
      </c>
      <c r="M244" s="69">
        <f t="shared" ca="1" si="159"/>
        <v>987.98809742849835</v>
      </c>
      <c r="N244" s="69">
        <f t="shared" ca="1" si="160"/>
        <v>574.35435629453741</v>
      </c>
      <c r="O244" s="69">
        <f t="shared" ca="1" si="161"/>
        <v>628.77391211156532</v>
      </c>
      <c r="P244" s="69">
        <f t="shared" ca="1" si="162"/>
        <v>721.47966014471183</v>
      </c>
      <c r="Q244" s="69">
        <f t="shared" ca="1" si="163"/>
        <v>953.11871930743951</v>
      </c>
      <c r="R244" s="69">
        <f t="shared" ca="1" si="164"/>
        <v>784.20092246219792</v>
      </c>
      <c r="S244" s="69">
        <f t="shared" ca="1" si="165"/>
        <v>697.80650711906048</v>
      </c>
      <c r="T244" s="69">
        <f t="shared" ca="1" si="166"/>
        <v>805.60507682537821</v>
      </c>
      <c r="U244" s="69">
        <f t="shared" ca="1" si="167"/>
        <v>1691.049141766611</v>
      </c>
      <c r="V244" s="69">
        <f t="shared" ca="1" si="168"/>
        <v>1912.0869736660709</v>
      </c>
      <c r="W244" s="69">
        <f t="shared" ca="1" si="169"/>
        <v>1176.6311692038626</v>
      </c>
      <c r="X244" s="69">
        <f t="shared" ca="1" si="170"/>
        <v>1489.7902564299113</v>
      </c>
      <c r="Y244" s="69">
        <f t="shared" ca="1" si="171"/>
        <v>1211.1937563455292</v>
      </c>
      <c r="AA244" s="20">
        <f t="shared" ca="1" si="131"/>
        <v>6.5475571356409904E+16</v>
      </c>
      <c r="AB244" s="20">
        <f t="shared" ca="1" si="132"/>
        <v>1693016649696756</v>
      </c>
      <c r="AC244" s="20">
        <f t="shared" ca="1" si="133"/>
        <v>401591094099455.94</v>
      </c>
      <c r="AD244" s="20">
        <f t="shared" ca="1" si="134"/>
        <v>303148657615101</v>
      </c>
      <c r="AE244" s="20">
        <f t="shared" ca="1" si="135"/>
        <v>6865038432260971</v>
      </c>
      <c r="AG244" s="16">
        <f t="shared" ca="1" si="136"/>
        <v>2.7648750072419725E-4</v>
      </c>
      <c r="AH244" s="16">
        <f t="shared" ca="1" si="137"/>
        <v>-2.1923832576352709E-4</v>
      </c>
      <c r="AI244" s="16">
        <f t="shared" ca="1" si="138"/>
        <v>-1.1992060208685772E-4</v>
      </c>
      <c r="AJ244" s="16">
        <f t="shared" ca="1" si="139"/>
        <v>7.2048800010064392E-5</v>
      </c>
      <c r="AK244" s="16">
        <f t="shared" ca="1" si="140"/>
        <v>3.2306564268074021E-4</v>
      </c>
      <c r="AM244" s="16">
        <f t="shared" ca="1" si="141"/>
        <v>9.3773728838768267E-6</v>
      </c>
      <c r="AO244" s="16">
        <f t="shared" ca="1" si="142"/>
        <v>0</v>
      </c>
      <c r="AP244" s="16">
        <f t="shared" ca="1" si="143"/>
        <v>-2.1923832576352709E-4</v>
      </c>
      <c r="AQ244" s="16">
        <f t="shared" ca="1" si="144"/>
        <v>-1.1992060208685772E-4</v>
      </c>
      <c r="AR244" s="16">
        <f t="shared" ca="1" si="145"/>
        <v>0</v>
      </c>
      <c r="AS244" s="16">
        <f t="shared" ca="1" si="146"/>
        <v>0</v>
      </c>
    </row>
    <row r="245" spans="1:45" x14ac:dyDescent="0.25">
      <c r="A245" s="69">
        <f t="shared" ca="1" si="147"/>
        <v>2451.1760569688413</v>
      </c>
      <c r="B245" s="69">
        <f t="shared" ca="1" si="148"/>
        <v>2135.1371093530265</v>
      </c>
      <c r="C245" s="69">
        <f t="shared" ca="1" si="149"/>
        <v>2228.5070569824852</v>
      </c>
      <c r="D245" s="69">
        <f t="shared" ca="1" si="150"/>
        <v>2908.9343112594784</v>
      </c>
      <c r="E245" s="69">
        <f t="shared" ca="1" si="151"/>
        <v>1930.4171683252027</v>
      </c>
      <c r="F245" s="69">
        <f t="shared" ca="1" si="152"/>
        <v>1222.7111501984321</v>
      </c>
      <c r="G245" s="69">
        <f t="shared" ca="1" si="153"/>
        <v>965.79695080375905</v>
      </c>
      <c r="H245" s="69">
        <f t="shared" ca="1" si="154"/>
        <v>1189.0598697103976</v>
      </c>
      <c r="I245" s="69">
        <f t="shared" ca="1" si="155"/>
        <v>1049.6196998122484</v>
      </c>
      <c r="J245" s="69">
        <f t="shared" ca="1" si="156"/>
        <v>1148.4725442743647</v>
      </c>
      <c r="K245" s="69">
        <f t="shared" ca="1" si="157"/>
        <v>1179.8410693092653</v>
      </c>
      <c r="L245" s="69">
        <f t="shared" ca="1" si="158"/>
        <v>953.96934034532569</v>
      </c>
      <c r="M245" s="69">
        <f t="shared" ca="1" si="159"/>
        <v>988.26363859961043</v>
      </c>
      <c r="N245" s="69">
        <f t="shared" ca="1" si="160"/>
        <v>574.26250633426366</v>
      </c>
      <c r="O245" s="69">
        <f t="shared" ca="1" si="161"/>
        <v>628.62375274743636</v>
      </c>
      <c r="P245" s="69">
        <f t="shared" ca="1" si="162"/>
        <v>721.47966014471183</v>
      </c>
      <c r="Q245" s="69">
        <f t="shared" ca="1" si="163"/>
        <v>953.51589629532884</v>
      </c>
      <c r="R245" s="69">
        <f t="shared" ca="1" si="164"/>
        <v>784.11781219142154</v>
      </c>
      <c r="S245" s="69">
        <f t="shared" ca="1" si="165"/>
        <v>697.80650711906048</v>
      </c>
      <c r="T245" s="69">
        <f t="shared" ca="1" si="166"/>
        <v>805.41288965390504</v>
      </c>
      <c r="U245" s="69">
        <f t="shared" ca="1" si="167"/>
        <v>1691.3424450813125</v>
      </c>
      <c r="V245" s="69">
        <f t="shared" ca="1" si="168"/>
        <v>1912.0218965178553</v>
      </c>
      <c r="W245" s="69">
        <f t="shared" ca="1" si="169"/>
        <v>1176.6311692038626</v>
      </c>
      <c r="X245" s="69">
        <f t="shared" ca="1" si="170"/>
        <v>1490.0639132662407</v>
      </c>
      <c r="Y245" s="69">
        <f t="shared" ca="1" si="171"/>
        <v>1211.1937563455292</v>
      </c>
      <c r="AA245" s="20">
        <f t="shared" ca="1" si="131"/>
        <v>6.549367703637448E+16</v>
      </c>
      <c r="AB245" s="20">
        <f t="shared" ca="1" si="132"/>
        <v>1692645516245811.5</v>
      </c>
      <c r="AC245" s="20">
        <f t="shared" ca="1" si="133"/>
        <v>401542937941174.25</v>
      </c>
      <c r="AD245" s="20">
        <f t="shared" ca="1" si="134"/>
        <v>303170499898952.56</v>
      </c>
      <c r="AE245" s="20">
        <f t="shared" ca="1" si="135"/>
        <v>6867256648609570</v>
      </c>
      <c r="AG245" s="16">
        <f t="shared" ca="1" si="136"/>
        <v>-4.9023738428128911E-4</v>
      </c>
      <c r="AH245" s="16">
        <f t="shared" ca="1" si="137"/>
        <v>1.1544073445030241E-4</v>
      </c>
      <c r="AI245" s="16">
        <f t="shared" ca="1" si="138"/>
        <v>-2.5375046552029653E-4</v>
      </c>
      <c r="AJ245" s="16">
        <f t="shared" ca="1" si="139"/>
        <v>-2.4407825275610428E-5</v>
      </c>
      <c r="AK245" s="16">
        <f t="shared" ca="1" si="140"/>
        <v>-1.850641110386402E-4</v>
      </c>
      <c r="AM245" s="16">
        <f t="shared" ca="1" si="141"/>
        <v>-6.5295494062689362E-4</v>
      </c>
      <c r="AO245" s="16">
        <f t="shared" ca="1" si="142"/>
        <v>-4.9023738428128911E-4</v>
      </c>
      <c r="AP245" s="16">
        <f t="shared" ca="1" si="143"/>
        <v>0</v>
      </c>
      <c r="AQ245" s="16">
        <f t="shared" ca="1" si="144"/>
        <v>-2.5375046552029653E-4</v>
      </c>
      <c r="AR245" s="16">
        <f t="shared" ca="1" si="145"/>
        <v>-2.4407825275610428E-5</v>
      </c>
      <c r="AS245" s="16">
        <f t="shared" ca="1" si="146"/>
        <v>-1.850641110386402E-4</v>
      </c>
    </row>
    <row r="246" spans="1:45" x14ac:dyDescent="0.25">
      <c r="A246" s="69">
        <f t="shared" ca="1" si="147"/>
        <v>2450.7648555738756</v>
      </c>
      <c r="B246" s="69">
        <f t="shared" ca="1" si="148"/>
        <v>2134.7362611406879</v>
      </c>
      <c r="C246" s="69">
        <f t="shared" ca="1" si="149"/>
        <v>2228.4219242347326</v>
      </c>
      <c r="D246" s="69">
        <f t="shared" ca="1" si="150"/>
        <v>2908.6535904731254</v>
      </c>
      <c r="E246" s="69">
        <f t="shared" ca="1" si="151"/>
        <v>1930.4171683252027</v>
      </c>
      <c r="F246" s="69">
        <f t="shared" ca="1" si="152"/>
        <v>1222.2975634398151</v>
      </c>
      <c r="G246" s="69">
        <f t="shared" ca="1" si="153"/>
        <v>965.97643430590335</v>
      </c>
      <c r="H246" s="69">
        <f t="shared" ca="1" si="154"/>
        <v>1189.0991616950951</v>
      </c>
      <c r="I246" s="69">
        <f t="shared" ca="1" si="155"/>
        <v>1049.8662689552766</v>
      </c>
      <c r="J246" s="69">
        <f t="shared" ca="1" si="156"/>
        <v>1148.4725442743647</v>
      </c>
      <c r="K246" s="69">
        <f t="shared" ca="1" si="157"/>
        <v>1179.8410693092653</v>
      </c>
      <c r="L246" s="69">
        <f t="shared" ca="1" si="158"/>
        <v>954.24389805538874</v>
      </c>
      <c r="M246" s="69">
        <f t="shared" ca="1" si="159"/>
        <v>988.26363859961043</v>
      </c>
      <c r="N246" s="69">
        <f t="shared" ca="1" si="160"/>
        <v>574.26250633426366</v>
      </c>
      <c r="O246" s="69">
        <f t="shared" ca="1" si="161"/>
        <v>628.28343592837905</v>
      </c>
      <c r="P246" s="69">
        <f t="shared" ca="1" si="162"/>
        <v>721.53941543869576</v>
      </c>
      <c r="Q246" s="69">
        <f t="shared" ca="1" si="163"/>
        <v>953.44114374268099</v>
      </c>
      <c r="R246" s="69">
        <f t="shared" ca="1" si="164"/>
        <v>783.78522056089287</v>
      </c>
      <c r="S246" s="69">
        <f t="shared" ca="1" si="165"/>
        <v>698.08249003143226</v>
      </c>
      <c r="T246" s="69">
        <f t="shared" ca="1" si="166"/>
        <v>805.41288965390504</v>
      </c>
      <c r="U246" s="69">
        <f t="shared" ca="1" si="167"/>
        <v>1691.029467256626</v>
      </c>
      <c r="V246" s="69">
        <f t="shared" ca="1" si="168"/>
        <v>1912.0218965178553</v>
      </c>
      <c r="W246" s="69">
        <f t="shared" ca="1" si="169"/>
        <v>1176.6311692038626</v>
      </c>
      <c r="X246" s="69">
        <f t="shared" ca="1" si="170"/>
        <v>1490.0639132662407</v>
      </c>
      <c r="Y246" s="69">
        <f t="shared" ca="1" si="171"/>
        <v>1211.1937563455292</v>
      </c>
      <c r="AA246" s="20">
        <f t="shared" ca="1" si="131"/>
        <v>6.5461577456307168E+16</v>
      </c>
      <c r="AB246" s="20">
        <f t="shared" ca="1" si="132"/>
        <v>1692840927766378.5</v>
      </c>
      <c r="AC246" s="20">
        <f t="shared" ca="1" si="133"/>
        <v>401441059160186</v>
      </c>
      <c r="AD246" s="20">
        <f t="shared" ca="1" si="134"/>
        <v>303163100256667.25</v>
      </c>
      <c r="AE246" s="20">
        <f t="shared" ca="1" si="135"/>
        <v>6865985883452760</v>
      </c>
      <c r="AG246" s="16">
        <f t="shared" ca="1" si="136"/>
        <v>3.9287102017049769E-4</v>
      </c>
      <c r="AH246" s="16">
        <f t="shared" ca="1" si="137"/>
        <v>1.9040908364434964E-4</v>
      </c>
      <c r="AI246" s="16">
        <f t="shared" ca="1" si="138"/>
        <v>-2.9339534661134412E-4</v>
      </c>
      <c r="AJ246" s="16">
        <f t="shared" ca="1" si="139"/>
        <v>2.072405337815935E-4</v>
      </c>
      <c r="AK246" s="16">
        <f t="shared" ca="1" si="140"/>
        <v>-3.3826636715185405E-4</v>
      </c>
      <c r="AM246" s="16">
        <f t="shared" ca="1" si="141"/>
        <v>4.9712529098509676E-4</v>
      </c>
      <c r="AO246" s="16">
        <f t="shared" ca="1" si="142"/>
        <v>0</v>
      </c>
      <c r="AP246" s="16">
        <f t="shared" ca="1" si="143"/>
        <v>0</v>
      </c>
      <c r="AQ246" s="16">
        <f t="shared" ca="1" si="144"/>
        <v>-2.9339534661134412E-4</v>
      </c>
      <c r="AR246" s="16">
        <f t="shared" ca="1" si="145"/>
        <v>0</v>
      </c>
      <c r="AS246" s="16">
        <f t="shared" ca="1" si="146"/>
        <v>-3.3826636715185405E-4</v>
      </c>
    </row>
    <row r="247" spans="1:45" x14ac:dyDescent="0.25">
      <c r="A247" s="69">
        <f t="shared" ca="1" si="147"/>
        <v>2451.1867493750583</v>
      </c>
      <c r="B247" s="69">
        <f t="shared" ca="1" si="148"/>
        <v>2134.7866167232582</v>
      </c>
      <c r="C247" s="69">
        <f t="shared" ca="1" si="149"/>
        <v>2228.863252995217</v>
      </c>
      <c r="D247" s="69">
        <f t="shared" ca="1" si="150"/>
        <v>2908.5486918547867</v>
      </c>
      <c r="E247" s="69">
        <f t="shared" ca="1" si="151"/>
        <v>1930.4850985764651</v>
      </c>
      <c r="F247" s="69">
        <f t="shared" ca="1" si="152"/>
        <v>1222.2975634398151</v>
      </c>
      <c r="G247" s="69">
        <f t="shared" ca="1" si="153"/>
        <v>966.3153023978075</v>
      </c>
      <c r="H247" s="69">
        <f t="shared" ca="1" si="154"/>
        <v>1188.6039908566397</v>
      </c>
      <c r="I247" s="69">
        <f t="shared" ca="1" si="155"/>
        <v>1050.0056124841005</v>
      </c>
      <c r="J247" s="69">
        <f t="shared" ca="1" si="156"/>
        <v>1148.6143464469408</v>
      </c>
      <c r="K247" s="69">
        <f t="shared" ca="1" si="157"/>
        <v>1179.8410693092653</v>
      </c>
      <c r="L247" s="69">
        <f t="shared" ca="1" si="158"/>
        <v>954.33729307897738</v>
      </c>
      <c r="M247" s="69">
        <f t="shared" ca="1" si="159"/>
        <v>988.58604550207838</v>
      </c>
      <c r="N247" s="69">
        <f t="shared" ca="1" si="160"/>
        <v>573.96309704439466</v>
      </c>
      <c r="O247" s="69">
        <f t="shared" ca="1" si="161"/>
        <v>628.16034847231765</v>
      </c>
      <c r="P247" s="69">
        <f t="shared" ca="1" si="162"/>
        <v>721.53941543869576</v>
      </c>
      <c r="Q247" s="69">
        <f t="shared" ca="1" si="163"/>
        <v>953.22747314627691</v>
      </c>
      <c r="R247" s="69">
        <f t="shared" ca="1" si="164"/>
        <v>783.78522056089287</v>
      </c>
      <c r="S247" s="69">
        <f t="shared" ca="1" si="165"/>
        <v>698.08249003143226</v>
      </c>
      <c r="T247" s="69">
        <f t="shared" ca="1" si="166"/>
        <v>805.76039580163388</v>
      </c>
      <c r="U247" s="69">
        <f t="shared" ca="1" si="167"/>
        <v>1691.1209818405775</v>
      </c>
      <c r="V247" s="69">
        <f t="shared" ca="1" si="168"/>
        <v>1911.8691635576101</v>
      </c>
      <c r="W247" s="69">
        <f t="shared" ca="1" si="169"/>
        <v>1176.192810811558</v>
      </c>
      <c r="X247" s="69">
        <f t="shared" ca="1" si="170"/>
        <v>1489.6652015099853</v>
      </c>
      <c r="Y247" s="69">
        <f t="shared" ca="1" si="171"/>
        <v>1211.5907783602281</v>
      </c>
      <c r="AA247" s="20">
        <f t="shared" ca="1" si="131"/>
        <v>6.5487300465606E+16</v>
      </c>
      <c r="AB247" s="20">
        <f t="shared" ca="1" si="132"/>
        <v>1693163290745635.8</v>
      </c>
      <c r="AC247" s="20">
        <f t="shared" ca="1" si="133"/>
        <v>401323295497989.69</v>
      </c>
      <c r="AD247" s="20">
        <f t="shared" ca="1" si="134"/>
        <v>303225934450058.31</v>
      </c>
      <c r="AE247" s="20">
        <f t="shared" ca="1" si="135"/>
        <v>6863663744124008</v>
      </c>
      <c r="AG247" s="16">
        <f t="shared" ca="1" si="136"/>
        <v>-1.3417751128279318E-4</v>
      </c>
      <c r="AH247" s="16">
        <f t="shared" ca="1" si="137"/>
        <v>-5.6489830365456426E-4</v>
      </c>
      <c r="AI247" s="16">
        <f t="shared" ca="1" si="138"/>
        <v>0</v>
      </c>
      <c r="AJ247" s="16">
        <f t="shared" ca="1" si="139"/>
        <v>7.5331619421910995E-4</v>
      </c>
      <c r="AK247" s="16">
        <f t="shared" ca="1" si="140"/>
        <v>4.860149505232551E-4</v>
      </c>
      <c r="AM247" s="16">
        <f t="shared" ca="1" si="141"/>
        <v>5.4240379281752485E-5</v>
      </c>
      <c r="AO247" s="16">
        <f t="shared" ca="1" si="142"/>
        <v>-1.3417751128279318E-4</v>
      </c>
      <c r="AP247" s="16">
        <f t="shared" ca="1" si="143"/>
        <v>-5.6489830365456426E-4</v>
      </c>
      <c r="AQ247" s="16">
        <f t="shared" ca="1" si="144"/>
        <v>0</v>
      </c>
      <c r="AR247" s="16">
        <f t="shared" ca="1" si="145"/>
        <v>0</v>
      </c>
      <c r="AS247" s="16">
        <f t="shared" ca="1" si="146"/>
        <v>0</v>
      </c>
    </row>
    <row r="248" spans="1:45" x14ac:dyDescent="0.25">
      <c r="A248" s="69">
        <f t="shared" ca="1" si="147"/>
        <v>2451.2280555689977</v>
      </c>
      <c r="B248" s="69">
        <f t="shared" ca="1" si="148"/>
        <v>2134.4642266422666</v>
      </c>
      <c r="C248" s="69">
        <f t="shared" ca="1" si="149"/>
        <v>2228.863252995217</v>
      </c>
      <c r="D248" s="69">
        <f t="shared" ca="1" si="150"/>
        <v>2908.5486918547867</v>
      </c>
      <c r="E248" s="69">
        <f t="shared" ca="1" si="151"/>
        <v>1930.4850985764651</v>
      </c>
      <c r="F248" s="69">
        <f t="shared" ca="1" si="152"/>
        <v>1221.8521761868346</v>
      </c>
      <c r="G248" s="69">
        <f t="shared" ca="1" si="153"/>
        <v>966.22846920206825</v>
      </c>
      <c r="H248" s="69">
        <f t="shared" ca="1" si="154"/>
        <v>1188.3183577830957</v>
      </c>
      <c r="I248" s="69">
        <f t="shared" ca="1" si="155"/>
        <v>1050.4336797862691</v>
      </c>
      <c r="J248" s="69">
        <f t="shared" ca="1" si="156"/>
        <v>1148.2952577365597</v>
      </c>
      <c r="K248" s="69">
        <f t="shared" ca="1" si="157"/>
        <v>1179.8410693092653</v>
      </c>
      <c r="L248" s="69">
        <f t="shared" ca="1" si="158"/>
        <v>954.33729307897738</v>
      </c>
      <c r="M248" s="69">
        <f t="shared" ca="1" si="159"/>
        <v>988.58604550207838</v>
      </c>
      <c r="N248" s="69">
        <f t="shared" ca="1" si="160"/>
        <v>573.96309704439466</v>
      </c>
      <c r="O248" s="69">
        <f t="shared" ca="1" si="161"/>
        <v>628.16034847231765</v>
      </c>
      <c r="P248" s="69">
        <f t="shared" ca="1" si="162"/>
        <v>721.53941543869576</v>
      </c>
      <c r="Q248" s="69">
        <f t="shared" ca="1" si="163"/>
        <v>953.31175097457412</v>
      </c>
      <c r="R248" s="69">
        <f t="shared" ca="1" si="164"/>
        <v>783.78522056089287</v>
      </c>
      <c r="S248" s="69">
        <f t="shared" ca="1" si="165"/>
        <v>698.54680428939332</v>
      </c>
      <c r="T248" s="69">
        <f t="shared" ca="1" si="166"/>
        <v>805.76039580163388</v>
      </c>
      <c r="U248" s="69">
        <f t="shared" ca="1" si="167"/>
        <v>1691.1209818405775</v>
      </c>
      <c r="V248" s="69">
        <f t="shared" ca="1" si="168"/>
        <v>1912.1758766081903</v>
      </c>
      <c r="W248" s="69">
        <f t="shared" ca="1" si="169"/>
        <v>1176.1941580853802</v>
      </c>
      <c r="X248" s="69">
        <f t="shared" ca="1" si="170"/>
        <v>1490.1486116522733</v>
      </c>
      <c r="Y248" s="69">
        <f t="shared" ca="1" si="171"/>
        <v>1211.5907783602281</v>
      </c>
      <c r="AA248" s="20">
        <f t="shared" ca="1" si="131"/>
        <v>6.5478514132086264E+16</v>
      </c>
      <c r="AB248" s="20">
        <f t="shared" ca="1" si="132"/>
        <v>1692207095776769</v>
      </c>
      <c r="AC248" s="20">
        <f t="shared" ca="1" si="133"/>
        <v>401323295497989.69</v>
      </c>
      <c r="AD248" s="20">
        <f t="shared" ca="1" si="134"/>
        <v>303454445516723.94</v>
      </c>
      <c r="AE248" s="20">
        <f t="shared" ca="1" si="135"/>
        <v>6867000398085192</v>
      </c>
      <c r="AG248" s="16">
        <f t="shared" ca="1" si="136"/>
        <v>-1.670595012533867E-4</v>
      </c>
      <c r="AH248" s="16">
        <f t="shared" ca="1" si="137"/>
        <v>-6.3089789900033213E-4</v>
      </c>
      <c r="AI248" s="16">
        <f t="shared" ca="1" si="138"/>
        <v>5.6879338520169926E-4</v>
      </c>
      <c r="AJ248" s="16">
        <f t="shared" ca="1" si="139"/>
        <v>-8.6224491610985678E-4</v>
      </c>
      <c r="AK248" s="16">
        <f t="shared" ca="1" si="140"/>
        <v>-1.3654457680599714E-4</v>
      </c>
      <c r="AM248" s="16">
        <f t="shared" ca="1" si="141"/>
        <v>-1.0914089311618762E-3</v>
      </c>
      <c r="AO248" s="16">
        <f t="shared" ca="1" si="142"/>
        <v>-1.670595012533867E-4</v>
      </c>
      <c r="AP248" s="16">
        <f t="shared" ca="1" si="143"/>
        <v>-6.3089789900033213E-4</v>
      </c>
      <c r="AQ248" s="16">
        <f t="shared" ca="1" si="144"/>
        <v>0</v>
      </c>
      <c r="AR248" s="16">
        <f t="shared" ca="1" si="145"/>
        <v>-8.6224491610985678E-4</v>
      </c>
      <c r="AS248" s="16">
        <f t="shared" ca="1" si="146"/>
        <v>-1.3654457680599714E-4</v>
      </c>
    </row>
    <row r="249" spans="1:45" x14ac:dyDescent="0.25">
      <c r="A249" s="69">
        <f t="shared" ca="1" si="147"/>
        <v>2451.2005450420902</v>
      </c>
      <c r="B249" s="69">
        <f t="shared" ca="1" si="148"/>
        <v>2134.0971676586323</v>
      </c>
      <c r="C249" s="69">
        <f t="shared" ca="1" si="149"/>
        <v>2228.4761857564999</v>
      </c>
      <c r="D249" s="69">
        <f t="shared" ca="1" si="150"/>
        <v>2908.5600378027393</v>
      </c>
      <c r="E249" s="69">
        <f t="shared" ca="1" si="151"/>
        <v>1930.8440510480536</v>
      </c>
      <c r="F249" s="69">
        <f t="shared" ca="1" si="152"/>
        <v>1221.5201394936996</v>
      </c>
      <c r="G249" s="69">
        <f t="shared" ca="1" si="153"/>
        <v>966.22846920206825</v>
      </c>
      <c r="H249" s="69">
        <f t="shared" ca="1" si="154"/>
        <v>1188.6093227470892</v>
      </c>
      <c r="I249" s="69">
        <f t="shared" ca="1" si="155"/>
        <v>1050.2517024367723</v>
      </c>
      <c r="J249" s="69">
        <f t="shared" ca="1" si="156"/>
        <v>1147.8008146857369</v>
      </c>
      <c r="K249" s="69">
        <f t="shared" ca="1" si="157"/>
        <v>1180.0180906375454</v>
      </c>
      <c r="L249" s="69">
        <f t="shared" ca="1" si="158"/>
        <v>954.33729307897738</v>
      </c>
      <c r="M249" s="69">
        <f t="shared" ca="1" si="159"/>
        <v>988.58604550207838</v>
      </c>
      <c r="N249" s="69">
        <f t="shared" ca="1" si="160"/>
        <v>573.96309704439466</v>
      </c>
      <c r="O249" s="69">
        <f t="shared" ca="1" si="161"/>
        <v>628.42345597937208</v>
      </c>
      <c r="P249" s="69">
        <f t="shared" ca="1" si="162"/>
        <v>721.53941543869576</v>
      </c>
      <c r="Q249" s="69">
        <f t="shared" ca="1" si="163"/>
        <v>952.82129822737534</v>
      </c>
      <c r="R249" s="69">
        <f t="shared" ca="1" si="164"/>
        <v>783.97175846698735</v>
      </c>
      <c r="S249" s="69">
        <f t="shared" ca="1" si="165"/>
        <v>698.13784955599385</v>
      </c>
      <c r="T249" s="69">
        <f t="shared" ca="1" si="166"/>
        <v>805.76039580163388</v>
      </c>
      <c r="U249" s="69">
        <f t="shared" ca="1" si="167"/>
        <v>1691.1209818405775</v>
      </c>
      <c r="V249" s="69">
        <f t="shared" ca="1" si="168"/>
        <v>1912.1758766081903</v>
      </c>
      <c r="W249" s="69">
        <f t="shared" ca="1" si="169"/>
        <v>1176.3918442187048</v>
      </c>
      <c r="X249" s="69">
        <f t="shared" ca="1" si="170"/>
        <v>1489.8943179592616</v>
      </c>
      <c r="Y249" s="69">
        <f t="shared" ca="1" si="171"/>
        <v>1211.4285103228797</v>
      </c>
      <c r="AA249" s="20">
        <f t="shared" ca="1" si="131"/>
        <v>6.546757623783756E+16</v>
      </c>
      <c r="AB249" s="20">
        <f t="shared" ca="1" si="132"/>
        <v>1691139822580979.3</v>
      </c>
      <c r="AC249" s="20">
        <f t="shared" ca="1" si="133"/>
        <v>401551630465349.81</v>
      </c>
      <c r="AD249" s="20">
        <f t="shared" ca="1" si="134"/>
        <v>303192906235467.81</v>
      </c>
      <c r="AE249" s="20">
        <f t="shared" ca="1" si="135"/>
        <v>6866062810434620</v>
      </c>
      <c r="AG249" s="16">
        <f t="shared" ca="1" si="136"/>
        <v>3.9476892436985284E-4</v>
      </c>
      <c r="AH249" s="16">
        <f t="shared" ca="1" si="137"/>
        <v>-2.4702676151749491E-4</v>
      </c>
      <c r="AI249" s="16">
        <f t="shared" ca="1" si="138"/>
        <v>3.7495509535749876E-5</v>
      </c>
      <c r="AJ249" s="16">
        <f t="shared" ca="1" si="139"/>
        <v>-3.454110872693473E-4</v>
      </c>
      <c r="AK249" s="16">
        <f t="shared" ca="1" si="140"/>
        <v>-3.3583717556397757E-5</v>
      </c>
      <c r="AM249" s="16">
        <f t="shared" ca="1" si="141"/>
        <v>-1.601734148812395E-4</v>
      </c>
      <c r="AO249" s="16">
        <f t="shared" ca="1" si="142"/>
        <v>0</v>
      </c>
      <c r="AP249" s="16">
        <f t="shared" ca="1" si="143"/>
        <v>-2.4702676151749491E-4</v>
      </c>
      <c r="AQ249" s="16">
        <f t="shared" ca="1" si="144"/>
        <v>0</v>
      </c>
      <c r="AR249" s="16">
        <f t="shared" ca="1" si="145"/>
        <v>-3.454110872693473E-4</v>
      </c>
      <c r="AS249" s="16">
        <f t="shared" ca="1" si="146"/>
        <v>-3.3583717556397757E-5</v>
      </c>
    </row>
    <row r="250" spans="1:45" x14ac:dyDescent="0.25">
      <c r="A250" s="69">
        <f t="shared" ca="1" si="147"/>
        <v>2451.515204342455</v>
      </c>
      <c r="B250" s="69">
        <f t="shared" ca="1" si="148"/>
        <v>2134.4716753864768</v>
      </c>
      <c r="C250" s="69">
        <f t="shared" ca="1" si="149"/>
        <v>2228.4761857564999</v>
      </c>
      <c r="D250" s="69">
        <f t="shared" ca="1" si="150"/>
        <v>2908.8245409882288</v>
      </c>
      <c r="E250" s="69">
        <f t="shared" ca="1" si="151"/>
        <v>1930.8440510480536</v>
      </c>
      <c r="F250" s="69">
        <f t="shared" ca="1" si="152"/>
        <v>1221.5201394936996</v>
      </c>
      <c r="G250" s="69">
        <f t="shared" ca="1" si="153"/>
        <v>966.22846920206825</v>
      </c>
      <c r="H250" s="69">
        <f t="shared" ca="1" si="154"/>
        <v>1188.2319915830515</v>
      </c>
      <c r="I250" s="69">
        <f t="shared" ca="1" si="155"/>
        <v>1050.3257264079923</v>
      </c>
      <c r="J250" s="69">
        <f t="shared" ca="1" si="156"/>
        <v>1147.8008146857369</v>
      </c>
      <c r="K250" s="69">
        <f t="shared" ca="1" si="157"/>
        <v>1180.0180906375454</v>
      </c>
      <c r="L250" s="69">
        <f t="shared" ca="1" si="158"/>
        <v>954.33729307897738</v>
      </c>
      <c r="M250" s="69">
        <f t="shared" ca="1" si="159"/>
        <v>988.51227420627913</v>
      </c>
      <c r="N250" s="69">
        <f t="shared" ca="1" si="160"/>
        <v>574.02745416019559</v>
      </c>
      <c r="O250" s="69">
        <f t="shared" ca="1" si="161"/>
        <v>628.42345597937208</v>
      </c>
      <c r="P250" s="69">
        <f t="shared" ca="1" si="162"/>
        <v>721.40128797817647</v>
      </c>
      <c r="Q250" s="69">
        <f t="shared" ca="1" si="163"/>
        <v>952.82129822737534</v>
      </c>
      <c r="R250" s="69">
        <f t="shared" ca="1" si="164"/>
        <v>783.97175846698735</v>
      </c>
      <c r="S250" s="69">
        <f t="shared" ca="1" si="165"/>
        <v>698.13784955599385</v>
      </c>
      <c r="T250" s="69">
        <f t="shared" ca="1" si="166"/>
        <v>805.63635179541018</v>
      </c>
      <c r="U250" s="69">
        <f t="shared" ca="1" si="167"/>
        <v>1690.9323996631472</v>
      </c>
      <c r="V250" s="69">
        <f t="shared" ca="1" si="168"/>
        <v>1912.497154188952</v>
      </c>
      <c r="W250" s="69">
        <f t="shared" ca="1" si="169"/>
        <v>1176.3918442187048</v>
      </c>
      <c r="X250" s="69">
        <f t="shared" ca="1" si="170"/>
        <v>1489.7601336632149</v>
      </c>
      <c r="Y250" s="69">
        <f t="shared" ca="1" si="171"/>
        <v>1211.4285103228797</v>
      </c>
      <c r="AA250" s="20">
        <f t="shared" ca="1" si="131"/>
        <v>6.5493425904476912E+16</v>
      </c>
      <c r="AB250" s="20">
        <f t="shared" ca="1" si="132"/>
        <v>1690722117381639.3</v>
      </c>
      <c r="AC250" s="20">
        <f t="shared" ca="1" si="133"/>
        <v>401566687130615.94</v>
      </c>
      <c r="AD250" s="20">
        <f t="shared" ca="1" si="134"/>
        <v>303088198128784.19</v>
      </c>
      <c r="AE250" s="20">
        <f t="shared" ca="1" si="135"/>
        <v>6865832226392426</v>
      </c>
      <c r="AG250" s="16">
        <f t="shared" ca="1" si="136"/>
        <v>2.7825406010556114E-5</v>
      </c>
      <c r="AH250" s="16">
        <f t="shared" ca="1" si="137"/>
        <v>-1.8144984432138638E-4</v>
      </c>
      <c r="AI250" s="16">
        <f t="shared" ca="1" si="138"/>
        <v>-1.0109049274950918E-3</v>
      </c>
      <c r="AJ250" s="16">
        <f t="shared" ca="1" si="139"/>
        <v>3.0596639489924429E-4</v>
      </c>
      <c r="AK250" s="16">
        <f t="shared" ca="1" si="140"/>
        <v>-1.1547371017789465E-4</v>
      </c>
      <c r="AM250" s="16">
        <f t="shared" ca="1" si="141"/>
        <v>-8.5856297090667775E-4</v>
      </c>
      <c r="AO250" s="16">
        <f t="shared" ca="1" si="142"/>
        <v>0</v>
      </c>
      <c r="AP250" s="16">
        <f t="shared" ca="1" si="143"/>
        <v>-1.8144984432138638E-4</v>
      </c>
      <c r="AQ250" s="16">
        <f t="shared" ca="1" si="144"/>
        <v>-1.0109049274950918E-3</v>
      </c>
      <c r="AR250" s="16">
        <f t="shared" ca="1" si="145"/>
        <v>0</v>
      </c>
      <c r="AS250" s="16">
        <f t="shared" ca="1" si="146"/>
        <v>-1.1547371017789465E-4</v>
      </c>
    </row>
    <row r="251" spans="1:45" x14ac:dyDescent="0.25">
      <c r="A251" s="69">
        <f t="shared" ca="1" si="147"/>
        <v>2451.8545792832278</v>
      </c>
      <c r="B251" s="69">
        <f t="shared" ca="1" si="148"/>
        <v>2134.4716753864768</v>
      </c>
      <c r="C251" s="69">
        <f t="shared" ca="1" si="149"/>
        <v>2228.5639068503228</v>
      </c>
      <c r="D251" s="69">
        <f t="shared" ca="1" si="150"/>
        <v>2908.3883584587256</v>
      </c>
      <c r="E251" s="69">
        <f t="shared" ca="1" si="151"/>
        <v>1930.8440510480536</v>
      </c>
      <c r="F251" s="69">
        <f t="shared" ca="1" si="152"/>
        <v>1221.5201394936996</v>
      </c>
      <c r="G251" s="69">
        <f t="shared" ca="1" si="153"/>
        <v>966.30869164147327</v>
      </c>
      <c r="H251" s="69">
        <f t="shared" ca="1" si="154"/>
        <v>1188.0044844989145</v>
      </c>
      <c r="I251" s="69">
        <f t="shared" ca="1" si="155"/>
        <v>1050.3257264079923</v>
      </c>
      <c r="J251" s="69">
        <f t="shared" ca="1" si="156"/>
        <v>1147.7170425821701</v>
      </c>
      <c r="K251" s="69">
        <f t="shared" ca="1" si="157"/>
        <v>1180.0180906375454</v>
      </c>
      <c r="L251" s="69">
        <f t="shared" ca="1" si="158"/>
        <v>954.59141668414293</v>
      </c>
      <c r="M251" s="69">
        <f t="shared" ca="1" si="159"/>
        <v>988.51227420627913</v>
      </c>
      <c r="N251" s="69">
        <f t="shared" ca="1" si="160"/>
        <v>573.62993112621655</v>
      </c>
      <c r="O251" s="69">
        <f t="shared" ca="1" si="161"/>
        <v>628.05631469768412</v>
      </c>
      <c r="P251" s="69">
        <f t="shared" ca="1" si="162"/>
        <v>721.40128797817647</v>
      </c>
      <c r="Q251" s="69">
        <f t="shared" ca="1" si="163"/>
        <v>952.71298095293128</v>
      </c>
      <c r="R251" s="69">
        <f t="shared" ca="1" si="164"/>
        <v>784.4363519133376</v>
      </c>
      <c r="S251" s="69">
        <f t="shared" ca="1" si="165"/>
        <v>698.23705174662996</v>
      </c>
      <c r="T251" s="69">
        <f t="shared" ca="1" si="166"/>
        <v>805.3827198874875</v>
      </c>
      <c r="U251" s="69">
        <f t="shared" ca="1" si="167"/>
        <v>1691.0031111620046</v>
      </c>
      <c r="V251" s="69">
        <f t="shared" ca="1" si="168"/>
        <v>1912.8571073825269</v>
      </c>
      <c r="W251" s="69">
        <f t="shared" ca="1" si="169"/>
        <v>1176.3918442187048</v>
      </c>
      <c r="X251" s="69">
        <f t="shared" ca="1" si="170"/>
        <v>1489.7601336632149</v>
      </c>
      <c r="Y251" s="69">
        <f t="shared" ca="1" si="171"/>
        <v>1211.0100531074233</v>
      </c>
      <c r="AA251" s="20">
        <f t="shared" ca="1" si="131"/>
        <v>6.5495248310998208E+16</v>
      </c>
      <c r="AB251" s="20">
        <f t="shared" ca="1" si="132"/>
        <v>1690415363947672.8</v>
      </c>
      <c r="AC251" s="20">
        <f t="shared" ca="1" si="133"/>
        <v>401160946505029.75</v>
      </c>
      <c r="AD251" s="20">
        <f t="shared" ca="1" si="134"/>
        <v>303180947120415.88</v>
      </c>
      <c r="AE251" s="20">
        <f t="shared" ca="1" si="135"/>
        <v>6865039449045137</v>
      </c>
      <c r="AG251" s="16">
        <f t="shared" ca="1" si="136"/>
        <v>-2.2380647900901226E-4</v>
      </c>
      <c r="AH251" s="16">
        <f t="shared" ca="1" si="137"/>
        <v>-1.5288070233261271E-4</v>
      </c>
      <c r="AI251" s="16">
        <f t="shared" ca="1" si="138"/>
        <v>1.5927949833066589E-4</v>
      </c>
      <c r="AJ251" s="16">
        <f t="shared" ca="1" si="139"/>
        <v>5.8522750843713204E-4</v>
      </c>
      <c r="AK251" s="16">
        <f t="shared" ca="1" si="140"/>
        <v>6.8023043377895022E-5</v>
      </c>
      <c r="AM251" s="16">
        <f t="shared" ca="1" si="141"/>
        <v>3.6781982542617297E-4</v>
      </c>
      <c r="AO251" s="16">
        <f t="shared" ca="1" si="142"/>
        <v>-2.2380647900901226E-4</v>
      </c>
      <c r="AP251" s="16">
        <f t="shared" ca="1" si="143"/>
        <v>-1.5288070233261271E-4</v>
      </c>
      <c r="AQ251" s="16">
        <f t="shared" ca="1" si="144"/>
        <v>0</v>
      </c>
      <c r="AR251" s="16">
        <f t="shared" ca="1" si="145"/>
        <v>0</v>
      </c>
      <c r="AS251" s="16">
        <f t="shared" ca="1" si="146"/>
        <v>0</v>
      </c>
    </row>
    <row r="252" spans="1:45" x14ac:dyDescent="0.25">
      <c r="A252" s="69">
        <f t="shared" ca="1" si="147"/>
        <v>2451.5971089223726</v>
      </c>
      <c r="B252" s="69">
        <f t="shared" ca="1" si="148"/>
        <v>2134.4877234331288</v>
      </c>
      <c r="C252" s="69">
        <f t="shared" ca="1" si="149"/>
        <v>2228.5639068503228</v>
      </c>
      <c r="D252" s="69">
        <f t="shared" ca="1" si="150"/>
        <v>2908.1694141687799</v>
      </c>
      <c r="E252" s="69">
        <f t="shared" ca="1" si="151"/>
        <v>1930.7455305452545</v>
      </c>
      <c r="F252" s="69">
        <f t="shared" ca="1" si="152"/>
        <v>1221.7779634737237</v>
      </c>
      <c r="G252" s="69">
        <f t="shared" ca="1" si="153"/>
        <v>966.04462074633204</v>
      </c>
      <c r="H252" s="69">
        <f t="shared" ca="1" si="154"/>
        <v>1188.2863506805461</v>
      </c>
      <c r="I252" s="69">
        <f t="shared" ca="1" si="155"/>
        <v>1049.8708080217482</v>
      </c>
      <c r="J252" s="69">
        <f t="shared" ca="1" si="156"/>
        <v>1147.8379859402203</v>
      </c>
      <c r="K252" s="69">
        <f t="shared" ca="1" si="157"/>
        <v>1180.1404616891791</v>
      </c>
      <c r="L252" s="69">
        <f t="shared" ca="1" si="158"/>
        <v>954.81802952646331</v>
      </c>
      <c r="M252" s="69">
        <f t="shared" ca="1" si="159"/>
        <v>988.07752624904242</v>
      </c>
      <c r="N252" s="69">
        <f t="shared" ca="1" si="160"/>
        <v>574.12566926263526</v>
      </c>
      <c r="O252" s="69">
        <f t="shared" ca="1" si="161"/>
        <v>627.67600086539392</v>
      </c>
      <c r="P252" s="69">
        <f t="shared" ca="1" si="162"/>
        <v>721.89863237515658</v>
      </c>
      <c r="Q252" s="69">
        <f t="shared" ca="1" si="163"/>
        <v>952.71298095293128</v>
      </c>
      <c r="R252" s="69">
        <f t="shared" ca="1" si="164"/>
        <v>784.36039413856167</v>
      </c>
      <c r="S252" s="69">
        <f t="shared" ca="1" si="165"/>
        <v>698.18303490079722</v>
      </c>
      <c r="T252" s="69">
        <f t="shared" ca="1" si="166"/>
        <v>805.43930094685879</v>
      </c>
      <c r="U252" s="69">
        <f t="shared" ca="1" si="167"/>
        <v>1691.0031111620046</v>
      </c>
      <c r="V252" s="69">
        <f t="shared" ca="1" si="168"/>
        <v>1913.031303153597</v>
      </c>
      <c r="W252" s="69">
        <f t="shared" ca="1" si="169"/>
        <v>1176.3918442187048</v>
      </c>
      <c r="X252" s="69">
        <f t="shared" ca="1" si="170"/>
        <v>1489.9845133007968</v>
      </c>
      <c r="Y252" s="69">
        <f t="shared" ca="1" si="171"/>
        <v>1210.7997893632144</v>
      </c>
      <c r="AA252" s="20">
        <f t="shared" ca="1" si="131"/>
        <v>6.5480591690266424E+16</v>
      </c>
      <c r="AB252" s="20">
        <f t="shared" ca="1" si="132"/>
        <v>1690156951813216.3</v>
      </c>
      <c r="AC252" s="20">
        <f t="shared" ca="1" si="133"/>
        <v>401224848308327.38</v>
      </c>
      <c r="AD252" s="20">
        <f t="shared" ca="1" si="134"/>
        <v>303358428879243</v>
      </c>
      <c r="AE252" s="20">
        <f t="shared" ca="1" si="135"/>
        <v>6865506445804461</v>
      </c>
      <c r="AG252" s="16">
        <f t="shared" ca="1" si="136"/>
        <v>-2.3781572304707878E-4</v>
      </c>
      <c r="AH252" s="16">
        <f t="shared" ca="1" si="137"/>
        <v>5.4165633135923883E-4</v>
      </c>
      <c r="AI252" s="16">
        <f t="shared" ca="1" si="138"/>
        <v>7.7906287245868837E-4</v>
      </c>
      <c r="AJ252" s="16">
        <f t="shared" ca="1" si="139"/>
        <v>5.1521366259909412E-4</v>
      </c>
      <c r="AK252" s="16">
        <f t="shared" ca="1" si="140"/>
        <v>1.2105626699916006E-4</v>
      </c>
      <c r="AM252" s="16">
        <f t="shared" ca="1" si="141"/>
        <v>1.5981171433699427E-3</v>
      </c>
      <c r="AO252" s="16">
        <f t="shared" ca="1" si="142"/>
        <v>-2.3781572304707878E-4</v>
      </c>
      <c r="AP252" s="16">
        <f t="shared" ca="1" si="143"/>
        <v>0</v>
      </c>
      <c r="AQ252" s="16">
        <f t="shared" ca="1" si="144"/>
        <v>0</v>
      </c>
      <c r="AR252" s="16">
        <f t="shared" ca="1" si="145"/>
        <v>0</v>
      </c>
      <c r="AS252" s="16">
        <f t="shared" ca="1" si="146"/>
        <v>0</v>
      </c>
    </row>
    <row r="253" spans="1:45" x14ac:dyDescent="0.25">
      <c r="A253" s="69">
        <f t="shared" ca="1" si="147"/>
        <v>2451.2477649892667</v>
      </c>
      <c r="B253" s="69">
        <f t="shared" ca="1" si="148"/>
        <v>2134.8911605682129</v>
      </c>
      <c r="C253" s="69">
        <f t="shared" ca="1" si="149"/>
        <v>2228.1354435824292</v>
      </c>
      <c r="D253" s="69">
        <f t="shared" ca="1" si="150"/>
        <v>2908.2600717840483</v>
      </c>
      <c r="E253" s="69">
        <f t="shared" ca="1" si="151"/>
        <v>1930.5076874396925</v>
      </c>
      <c r="F253" s="69">
        <f t="shared" ca="1" si="152"/>
        <v>1221.7779634737237</v>
      </c>
      <c r="G253" s="69">
        <f t="shared" ca="1" si="153"/>
        <v>966.27353780896647</v>
      </c>
      <c r="H253" s="69">
        <f t="shared" ca="1" si="154"/>
        <v>1188.5732841314677</v>
      </c>
      <c r="I253" s="69">
        <f t="shared" ca="1" si="155"/>
        <v>1050.1525244659085</v>
      </c>
      <c r="J253" s="69">
        <f t="shared" ca="1" si="156"/>
        <v>1147.6026845012018</v>
      </c>
      <c r="K253" s="69">
        <f t="shared" ca="1" si="157"/>
        <v>1180.1404616891791</v>
      </c>
      <c r="L253" s="69">
        <f t="shared" ca="1" si="158"/>
        <v>955.28537320281714</v>
      </c>
      <c r="M253" s="69">
        <f t="shared" ca="1" si="159"/>
        <v>988.36383774114734</v>
      </c>
      <c r="N253" s="69">
        <f t="shared" ca="1" si="160"/>
        <v>574.12566926263526</v>
      </c>
      <c r="O253" s="69">
        <f t="shared" ca="1" si="161"/>
        <v>627.67600086539392</v>
      </c>
      <c r="P253" s="69">
        <f t="shared" ca="1" si="162"/>
        <v>722.24430486150777</v>
      </c>
      <c r="Q253" s="69">
        <f t="shared" ca="1" si="163"/>
        <v>952.3812633812488</v>
      </c>
      <c r="R253" s="69">
        <f t="shared" ca="1" si="164"/>
        <v>784.36039413856167</v>
      </c>
      <c r="S253" s="69">
        <f t="shared" ca="1" si="165"/>
        <v>698.18303490079722</v>
      </c>
      <c r="T253" s="69">
        <f t="shared" ca="1" si="166"/>
        <v>805.74923962500372</v>
      </c>
      <c r="U253" s="69">
        <f t="shared" ca="1" si="167"/>
        <v>1691.3505499008349</v>
      </c>
      <c r="V253" s="69">
        <f t="shared" ca="1" si="168"/>
        <v>1913.4499727307457</v>
      </c>
      <c r="W253" s="69">
        <f t="shared" ca="1" si="169"/>
        <v>1176.1054641144399</v>
      </c>
      <c r="X253" s="69">
        <f t="shared" ca="1" si="170"/>
        <v>1489.895498082748</v>
      </c>
      <c r="Y253" s="69">
        <f t="shared" ca="1" si="171"/>
        <v>1210.7997893632144</v>
      </c>
      <c r="AA253" s="20">
        <f t="shared" ca="1" si="131"/>
        <v>6.5465021227531864E+16</v>
      </c>
      <c r="AB253" s="20">
        <f t="shared" ca="1" si="132"/>
        <v>1691072684010839</v>
      </c>
      <c r="AC253" s="20">
        <f t="shared" ca="1" si="133"/>
        <v>401537549482273.75</v>
      </c>
      <c r="AD253" s="20">
        <f t="shared" ca="1" si="134"/>
        <v>303514763555888.69</v>
      </c>
      <c r="AE253" s="20">
        <f t="shared" ca="1" si="135"/>
        <v>6866337608693572</v>
      </c>
      <c r="AG253" s="16">
        <f t="shared" ca="1" si="136"/>
        <v>-5.3432835012082434E-5</v>
      </c>
      <c r="AH253" s="16">
        <f t="shared" ca="1" si="137"/>
        <v>1.8720498459445019E-4</v>
      </c>
      <c r="AI253" s="16">
        <f t="shared" ca="1" si="138"/>
        <v>5.7552928638232562E-5</v>
      </c>
      <c r="AJ253" s="16">
        <f t="shared" ca="1" si="139"/>
        <v>3.0326979846280764E-4</v>
      </c>
      <c r="AK253" s="16">
        <f t="shared" ca="1" si="140"/>
        <v>2.144919002159778E-4</v>
      </c>
      <c r="AM253" s="16">
        <f t="shared" ca="1" si="141"/>
        <v>4.9459487668340794E-4</v>
      </c>
      <c r="AO253" s="16">
        <f t="shared" ca="1" si="142"/>
        <v>-5.3432835012082434E-5</v>
      </c>
      <c r="AP253" s="16">
        <f t="shared" ca="1" si="143"/>
        <v>0</v>
      </c>
      <c r="AQ253" s="16">
        <f t="shared" ca="1" si="144"/>
        <v>0</v>
      </c>
      <c r="AR253" s="16">
        <f t="shared" ca="1" si="145"/>
        <v>0</v>
      </c>
      <c r="AS253" s="16">
        <f t="shared" ca="1" si="146"/>
        <v>0</v>
      </c>
    </row>
    <row r="254" spans="1:45" x14ac:dyDescent="0.25">
      <c r="A254" s="69">
        <f t="shared" ca="1" si="147"/>
        <v>2451.2477649892667</v>
      </c>
      <c r="B254" s="69">
        <f t="shared" ca="1" si="148"/>
        <v>2134.8962544807073</v>
      </c>
      <c r="C254" s="69">
        <f t="shared" ca="1" si="149"/>
        <v>2228.1354435824292</v>
      </c>
      <c r="D254" s="69">
        <f t="shared" ca="1" si="150"/>
        <v>2908.4359505861084</v>
      </c>
      <c r="E254" s="69">
        <f t="shared" ca="1" si="151"/>
        <v>1930.2831966523804</v>
      </c>
      <c r="F254" s="69">
        <f t="shared" ca="1" si="152"/>
        <v>1221.3774855272907</v>
      </c>
      <c r="G254" s="69">
        <f t="shared" ca="1" si="153"/>
        <v>966.43266026419872</v>
      </c>
      <c r="H254" s="69">
        <f t="shared" ca="1" si="154"/>
        <v>1188.8448323771534</v>
      </c>
      <c r="I254" s="69">
        <f t="shared" ca="1" si="155"/>
        <v>1050.2805869947779</v>
      </c>
      <c r="J254" s="69">
        <f t="shared" ca="1" si="156"/>
        <v>1147.6026845012018</v>
      </c>
      <c r="K254" s="69">
        <f t="shared" ca="1" si="157"/>
        <v>1180.1582009294696</v>
      </c>
      <c r="L254" s="69">
        <f t="shared" ca="1" si="158"/>
        <v>955.57237485027156</v>
      </c>
      <c r="M254" s="69">
        <f t="shared" ca="1" si="159"/>
        <v>988.15507069501973</v>
      </c>
      <c r="N254" s="69">
        <f t="shared" ca="1" si="160"/>
        <v>574.09890322546869</v>
      </c>
      <c r="O254" s="69">
        <f t="shared" ca="1" si="161"/>
        <v>627.67600086539392</v>
      </c>
      <c r="P254" s="69">
        <f t="shared" ca="1" si="162"/>
        <v>722.16175079090851</v>
      </c>
      <c r="Q254" s="69">
        <f t="shared" ca="1" si="163"/>
        <v>952.41455395807225</v>
      </c>
      <c r="R254" s="69">
        <f t="shared" ca="1" si="164"/>
        <v>784.43122214050902</v>
      </c>
      <c r="S254" s="69">
        <f t="shared" ca="1" si="165"/>
        <v>698.3871630020144</v>
      </c>
      <c r="T254" s="69">
        <f t="shared" ca="1" si="166"/>
        <v>805.74923962500372</v>
      </c>
      <c r="U254" s="69">
        <f t="shared" ca="1" si="167"/>
        <v>1691.593143497417</v>
      </c>
      <c r="V254" s="69">
        <f t="shared" ca="1" si="168"/>
        <v>1913.4499727307457</v>
      </c>
      <c r="W254" s="69">
        <f t="shared" ca="1" si="169"/>
        <v>1176.1054641144399</v>
      </c>
      <c r="X254" s="69">
        <f t="shared" ca="1" si="170"/>
        <v>1490.001389167317</v>
      </c>
      <c r="Y254" s="69">
        <f t="shared" ca="1" si="171"/>
        <v>1210.7997893632144</v>
      </c>
      <c r="AA254" s="20">
        <f t="shared" ca="1" si="131"/>
        <v>6.5461523339305424E+16</v>
      </c>
      <c r="AB254" s="20">
        <f t="shared" ca="1" si="132"/>
        <v>1691389290880865</v>
      </c>
      <c r="AC254" s="20">
        <f t="shared" ca="1" si="133"/>
        <v>401560659809231.75</v>
      </c>
      <c r="AD254" s="20">
        <f t="shared" ca="1" si="134"/>
        <v>303606824375990.38</v>
      </c>
      <c r="AE254" s="20">
        <f t="shared" ca="1" si="135"/>
        <v>6867810540455105</v>
      </c>
      <c r="AG254" s="16">
        <f t="shared" ca="1" si="136"/>
        <v>2.0049495440493226E-4</v>
      </c>
      <c r="AH254" s="16">
        <f t="shared" ca="1" si="137"/>
        <v>-6.227262156890249E-4</v>
      </c>
      <c r="AI254" s="16">
        <f t="shared" ca="1" si="138"/>
        <v>-2.1434977432166423E-4</v>
      </c>
      <c r="AJ254" s="16">
        <f t="shared" ca="1" si="139"/>
        <v>4.1225984046104136E-4</v>
      </c>
      <c r="AK254" s="16">
        <f t="shared" ca="1" si="140"/>
        <v>3.4244311023363829E-5</v>
      </c>
      <c r="AM254" s="16">
        <f t="shared" ca="1" si="141"/>
        <v>-2.2432119514471547E-4</v>
      </c>
      <c r="AO254" s="16">
        <f t="shared" ca="1" si="142"/>
        <v>0</v>
      </c>
      <c r="AP254" s="16">
        <f t="shared" ca="1" si="143"/>
        <v>-6.227262156890249E-4</v>
      </c>
      <c r="AQ254" s="16">
        <f t="shared" ca="1" si="144"/>
        <v>-2.1434977432166423E-4</v>
      </c>
      <c r="AR254" s="16">
        <f t="shared" ca="1" si="145"/>
        <v>0</v>
      </c>
      <c r="AS254" s="16">
        <f t="shared" ca="1" si="146"/>
        <v>0</v>
      </c>
    </row>
    <row r="255" spans="1:45" x14ac:dyDescent="0.25">
      <c r="A255" s="69">
        <f t="shared" ca="1" si="147"/>
        <v>2451.5805130552121</v>
      </c>
      <c r="B255" s="69">
        <f t="shared" ca="1" si="148"/>
        <v>2134.8962544807073</v>
      </c>
      <c r="C255" s="69">
        <f t="shared" ca="1" si="149"/>
        <v>2228.1354435824292</v>
      </c>
      <c r="D255" s="69">
        <f t="shared" ca="1" si="150"/>
        <v>2908.490815408984</v>
      </c>
      <c r="E255" s="69">
        <f t="shared" ca="1" si="151"/>
        <v>1930.3717869333743</v>
      </c>
      <c r="F255" s="69">
        <f t="shared" ca="1" si="152"/>
        <v>1221.2964527360152</v>
      </c>
      <c r="G255" s="69">
        <f t="shared" ca="1" si="153"/>
        <v>966.43266026419872</v>
      </c>
      <c r="H255" s="69">
        <f t="shared" ca="1" si="154"/>
        <v>1188.4063486807825</v>
      </c>
      <c r="I255" s="69">
        <f t="shared" ca="1" si="155"/>
        <v>1050.1261769361026</v>
      </c>
      <c r="J255" s="69">
        <f t="shared" ca="1" si="156"/>
        <v>1147.5562647754855</v>
      </c>
      <c r="K255" s="69">
        <f t="shared" ca="1" si="157"/>
        <v>1179.9525911686771</v>
      </c>
      <c r="L255" s="69">
        <f t="shared" ca="1" si="158"/>
        <v>955.57237485027156</v>
      </c>
      <c r="M255" s="69">
        <f t="shared" ca="1" si="159"/>
        <v>988.11543422484669</v>
      </c>
      <c r="N255" s="69">
        <f t="shared" ca="1" si="160"/>
        <v>574.09890322546869</v>
      </c>
      <c r="O255" s="69">
        <f t="shared" ca="1" si="161"/>
        <v>627.67600086539392</v>
      </c>
      <c r="P255" s="69">
        <f t="shared" ca="1" si="162"/>
        <v>721.8864407063121</v>
      </c>
      <c r="Q255" s="69">
        <f t="shared" ca="1" si="163"/>
        <v>952.41455395807225</v>
      </c>
      <c r="R255" s="69">
        <f t="shared" ca="1" si="164"/>
        <v>784.83018862725964</v>
      </c>
      <c r="S255" s="69">
        <f t="shared" ca="1" si="165"/>
        <v>698.58629195916717</v>
      </c>
      <c r="T255" s="69">
        <f t="shared" ca="1" si="166"/>
        <v>805.74923962500372</v>
      </c>
      <c r="U255" s="69">
        <f t="shared" ca="1" si="167"/>
        <v>1691.593143497417</v>
      </c>
      <c r="V255" s="69">
        <f t="shared" ca="1" si="168"/>
        <v>1913.4499727307457</v>
      </c>
      <c r="W255" s="69">
        <f t="shared" ca="1" si="169"/>
        <v>1176.3620727369255</v>
      </c>
      <c r="X255" s="69">
        <f t="shared" ca="1" si="170"/>
        <v>1490.001389167317</v>
      </c>
      <c r="Y255" s="69">
        <f t="shared" ca="1" si="171"/>
        <v>1210.5771232547791</v>
      </c>
      <c r="AA255" s="20">
        <f t="shared" ca="1" si="131"/>
        <v>6.5474649360249136E+16</v>
      </c>
      <c r="AB255" s="20">
        <f t="shared" ca="1" si="132"/>
        <v>1690336346310618.3</v>
      </c>
      <c r="AC255" s="20">
        <f t="shared" ca="1" si="133"/>
        <v>401474594596784.13</v>
      </c>
      <c r="AD255" s="20">
        <f t="shared" ca="1" si="134"/>
        <v>303732015080747.38</v>
      </c>
      <c r="AE255" s="20">
        <f t="shared" ca="1" si="135"/>
        <v>6868045727922195</v>
      </c>
      <c r="AG255" s="16">
        <f t="shared" ca="1" si="136"/>
        <v>1.4756108285938853E-4</v>
      </c>
      <c r="AH255" s="16">
        <f t="shared" ca="1" si="137"/>
        <v>-6.249460592277202E-4</v>
      </c>
      <c r="AI255" s="16">
        <f t="shared" ca="1" si="138"/>
        <v>1.1685682224862196E-3</v>
      </c>
      <c r="AJ255" s="16">
        <f t="shared" ca="1" si="139"/>
        <v>-3.2556087903151313E-4</v>
      </c>
      <c r="AK255" s="16">
        <f t="shared" ca="1" si="140"/>
        <v>-6.7102117710113145E-4</v>
      </c>
      <c r="AM255" s="16">
        <f t="shared" ca="1" si="141"/>
        <v>3.6562236708637482E-4</v>
      </c>
      <c r="AO255" s="16">
        <f t="shared" ca="1" si="142"/>
        <v>0</v>
      </c>
      <c r="AP255" s="16">
        <f t="shared" ca="1" si="143"/>
        <v>-6.249460592277202E-4</v>
      </c>
      <c r="AQ255" s="16">
        <f t="shared" ca="1" si="144"/>
        <v>0</v>
      </c>
      <c r="AR255" s="16">
        <f t="shared" ca="1" si="145"/>
        <v>-3.2556087903151313E-4</v>
      </c>
      <c r="AS255" s="16">
        <f t="shared" ca="1" si="146"/>
        <v>-6.7102117710113145E-4</v>
      </c>
    </row>
    <row r="256" spans="1:45" x14ac:dyDescent="0.25">
      <c r="A256" s="69">
        <f t="shared" ca="1" si="147"/>
        <v>2451.3647816966004</v>
      </c>
      <c r="B256" s="69">
        <f t="shared" ca="1" si="148"/>
        <v>2135.153556552144</v>
      </c>
      <c r="C256" s="69">
        <f t="shared" ca="1" si="149"/>
        <v>2228.1354435824292</v>
      </c>
      <c r="D256" s="69">
        <f t="shared" ca="1" si="150"/>
        <v>2908.1683309642108</v>
      </c>
      <c r="E256" s="69">
        <f t="shared" ca="1" si="151"/>
        <v>1930.8079652243582</v>
      </c>
      <c r="F256" s="69">
        <f t="shared" ca="1" si="152"/>
        <v>1221.4082157356895</v>
      </c>
      <c r="G256" s="69">
        <f t="shared" ca="1" si="153"/>
        <v>966.31718665480344</v>
      </c>
      <c r="H256" s="69">
        <f t="shared" ca="1" si="154"/>
        <v>1187.9958031115448</v>
      </c>
      <c r="I256" s="69">
        <f t="shared" ca="1" si="155"/>
        <v>1049.7568651986858</v>
      </c>
      <c r="J256" s="69">
        <f t="shared" ca="1" si="156"/>
        <v>1147.6713722064387</v>
      </c>
      <c r="K256" s="69">
        <f t="shared" ca="1" si="157"/>
        <v>1180.4424604079229</v>
      </c>
      <c r="L256" s="69">
        <f t="shared" ca="1" si="158"/>
        <v>956.01851794211939</v>
      </c>
      <c r="M256" s="69">
        <f t="shared" ca="1" si="159"/>
        <v>988.11543422484669</v>
      </c>
      <c r="N256" s="69">
        <f t="shared" ca="1" si="160"/>
        <v>574.19066719291902</v>
      </c>
      <c r="O256" s="69">
        <f t="shared" ca="1" si="161"/>
        <v>627.75565190958184</v>
      </c>
      <c r="P256" s="69">
        <f t="shared" ca="1" si="162"/>
        <v>721.61918973192098</v>
      </c>
      <c r="Q256" s="69">
        <f t="shared" ca="1" si="163"/>
        <v>952.41455395807225</v>
      </c>
      <c r="R256" s="69">
        <f t="shared" ca="1" si="164"/>
        <v>784.84929881501114</v>
      </c>
      <c r="S256" s="69">
        <f t="shared" ca="1" si="165"/>
        <v>698.60052261422049</v>
      </c>
      <c r="T256" s="69">
        <f t="shared" ca="1" si="166"/>
        <v>805.74923962500372</v>
      </c>
      <c r="U256" s="69">
        <f t="shared" ca="1" si="167"/>
        <v>1691.593143497417</v>
      </c>
      <c r="V256" s="69">
        <f t="shared" ca="1" si="168"/>
        <v>1913.4499727307457</v>
      </c>
      <c r="W256" s="69">
        <f t="shared" ca="1" si="169"/>
        <v>1175.9362104105364</v>
      </c>
      <c r="X256" s="69">
        <f t="shared" ca="1" si="170"/>
        <v>1490.001389167317</v>
      </c>
      <c r="Y256" s="69">
        <f t="shared" ca="1" si="171"/>
        <v>1210.2031862139584</v>
      </c>
      <c r="AA256" s="20">
        <f t="shared" ca="1" si="131"/>
        <v>6.548431158327508E+16</v>
      </c>
      <c r="AB256" s="20">
        <f t="shared" ca="1" si="132"/>
        <v>1689280307290304.5</v>
      </c>
      <c r="AC256" s="20">
        <f t="shared" ca="1" si="133"/>
        <v>401944019274127.25</v>
      </c>
      <c r="AD256" s="20">
        <f t="shared" ca="1" si="134"/>
        <v>303633147913441.88</v>
      </c>
      <c r="AE256" s="20">
        <f t="shared" ca="1" si="135"/>
        <v>6863438669683150</v>
      </c>
      <c r="AG256" s="16">
        <f t="shared" ca="1" si="136"/>
        <v>2.4352405533394265E-4</v>
      </c>
      <c r="AH256" s="16">
        <f t="shared" ca="1" si="137"/>
        <v>6.3395102363552084E-4</v>
      </c>
      <c r="AI256" s="16">
        <f t="shared" ca="1" si="138"/>
        <v>2.6031351567941293E-4</v>
      </c>
      <c r="AJ256" s="16">
        <f t="shared" ca="1" si="139"/>
        <v>3.2315905691588065E-4</v>
      </c>
      <c r="AK256" s="16">
        <f t="shared" ca="1" si="140"/>
        <v>-6.7234259201955527E-5</v>
      </c>
      <c r="AM256" s="16">
        <f t="shared" ca="1" si="141"/>
        <v>1.460947651564757E-3</v>
      </c>
      <c r="AO256" s="16">
        <f t="shared" ca="1" si="142"/>
        <v>0</v>
      </c>
      <c r="AP256" s="16">
        <f t="shared" ca="1" si="143"/>
        <v>0</v>
      </c>
      <c r="AQ256" s="16">
        <f t="shared" ca="1" si="144"/>
        <v>0</v>
      </c>
      <c r="AR256" s="16">
        <f t="shared" ca="1" si="145"/>
        <v>0</v>
      </c>
      <c r="AS256" s="16">
        <f t="shared" ca="1" si="146"/>
        <v>-6.7234259201955527E-5</v>
      </c>
    </row>
    <row r="257" spans="1:45" x14ac:dyDescent="0.25">
      <c r="A257" s="69">
        <f t="shared" ca="1" si="147"/>
        <v>2451.3647816966004</v>
      </c>
      <c r="B257" s="69">
        <f t="shared" ca="1" si="148"/>
        <v>2135.4474469868755</v>
      </c>
      <c r="C257" s="69">
        <f t="shared" ca="1" si="149"/>
        <v>2228.1354435824292</v>
      </c>
      <c r="D257" s="69">
        <f t="shared" ca="1" si="150"/>
        <v>2908.1683309642108</v>
      </c>
      <c r="E257" s="69">
        <f t="shared" ca="1" si="151"/>
        <v>1931.0124289723615</v>
      </c>
      <c r="F257" s="69">
        <f t="shared" ca="1" si="152"/>
        <v>1221.6638195404305</v>
      </c>
      <c r="G257" s="69">
        <f t="shared" ca="1" si="153"/>
        <v>966.62153652501956</v>
      </c>
      <c r="H257" s="69">
        <f t="shared" ca="1" si="154"/>
        <v>1188.1779423551247</v>
      </c>
      <c r="I257" s="69">
        <f t="shared" ca="1" si="155"/>
        <v>1049.7568651986858</v>
      </c>
      <c r="J257" s="69">
        <f t="shared" ca="1" si="156"/>
        <v>1147.6214375765351</v>
      </c>
      <c r="K257" s="69">
        <f t="shared" ca="1" si="157"/>
        <v>1180.7267787907531</v>
      </c>
      <c r="L257" s="69">
        <f t="shared" ca="1" si="158"/>
        <v>956.01851794211939</v>
      </c>
      <c r="M257" s="69">
        <f t="shared" ca="1" si="159"/>
        <v>988.11543422484669</v>
      </c>
      <c r="N257" s="69">
        <f t="shared" ca="1" si="160"/>
        <v>574.18328238390643</v>
      </c>
      <c r="O257" s="69">
        <f t="shared" ca="1" si="161"/>
        <v>627.77595786089967</v>
      </c>
      <c r="P257" s="69">
        <f t="shared" ca="1" si="162"/>
        <v>721.61335006050297</v>
      </c>
      <c r="Q257" s="69">
        <f t="shared" ca="1" si="163"/>
        <v>952.41455395807225</v>
      </c>
      <c r="R257" s="69">
        <f t="shared" ca="1" si="164"/>
        <v>784.67397146554765</v>
      </c>
      <c r="S257" s="69">
        <f t="shared" ca="1" si="165"/>
        <v>698.60052261422049</v>
      </c>
      <c r="T257" s="69">
        <f t="shared" ca="1" si="166"/>
        <v>806.19628556639827</v>
      </c>
      <c r="U257" s="69">
        <f t="shared" ca="1" si="167"/>
        <v>1691.7299721003412</v>
      </c>
      <c r="V257" s="69">
        <f t="shared" ca="1" si="168"/>
        <v>1913.1665765580512</v>
      </c>
      <c r="W257" s="69">
        <f t="shared" ca="1" si="169"/>
        <v>1175.9362104105364</v>
      </c>
      <c r="X257" s="69">
        <f t="shared" ca="1" si="170"/>
        <v>1490.001389167317</v>
      </c>
      <c r="Y257" s="69">
        <f t="shared" ca="1" si="171"/>
        <v>1210.2031862139584</v>
      </c>
      <c r="AA257" s="20">
        <f t="shared" ca="1" si="131"/>
        <v>6.5500260530289904E+16</v>
      </c>
      <c r="AB257" s="20">
        <f t="shared" ca="1" si="132"/>
        <v>1690351567797788.5</v>
      </c>
      <c r="AC257" s="20">
        <f t="shared" ca="1" si="133"/>
        <v>402048664354564.25</v>
      </c>
      <c r="AD257" s="20">
        <f t="shared" ca="1" si="134"/>
        <v>303731285571352.44</v>
      </c>
      <c r="AE257" s="20">
        <f t="shared" ca="1" si="135"/>
        <v>6862977226981169</v>
      </c>
      <c r="AG257" s="16">
        <f t="shared" ca="1" si="136"/>
        <v>-2.6446089496833783E-4</v>
      </c>
      <c r="AH257" s="16">
        <f t="shared" ca="1" si="137"/>
        <v>-6.3907776496114298E-4</v>
      </c>
      <c r="AI257" s="16">
        <f t="shared" ca="1" si="138"/>
        <v>2.5957113603878809E-4</v>
      </c>
      <c r="AJ257" s="16">
        <f t="shared" ca="1" si="139"/>
        <v>2.8296529196150568E-4</v>
      </c>
      <c r="AK257" s="16">
        <f t="shared" ca="1" si="140"/>
        <v>-2.3276325049431659E-4</v>
      </c>
      <c r="AM257" s="16">
        <f t="shared" ca="1" si="141"/>
        <v>-3.6100223192918703E-4</v>
      </c>
      <c r="AO257" s="16">
        <f t="shared" ca="1" si="142"/>
        <v>-2.6446089496833783E-4</v>
      </c>
      <c r="AP257" s="16">
        <f t="shared" ca="1" si="143"/>
        <v>-6.3907776496114298E-4</v>
      </c>
      <c r="AQ257" s="16">
        <f t="shared" ca="1" si="144"/>
        <v>0</v>
      </c>
      <c r="AR257" s="16">
        <f t="shared" ca="1" si="145"/>
        <v>0</v>
      </c>
      <c r="AS257" s="16">
        <f t="shared" ca="1" si="146"/>
        <v>-2.3276325049431659E-4</v>
      </c>
    </row>
    <row r="258" spans="1:45" x14ac:dyDescent="0.25">
      <c r="A258" s="69">
        <f t="shared" ca="1" si="147"/>
        <v>2451.2421631650977</v>
      </c>
      <c r="B258" s="69">
        <f t="shared" ca="1" si="148"/>
        <v>2135.3012127104166</v>
      </c>
      <c r="C258" s="69">
        <f t="shared" ca="1" si="149"/>
        <v>2228.1354435824292</v>
      </c>
      <c r="D258" s="69">
        <f t="shared" ca="1" si="150"/>
        <v>2908.2229868035984</v>
      </c>
      <c r="E258" s="69">
        <f t="shared" ca="1" si="151"/>
        <v>1930.6943188391676</v>
      </c>
      <c r="F258" s="69">
        <f t="shared" ca="1" si="152"/>
        <v>1221.6638195404305</v>
      </c>
      <c r="G258" s="69">
        <f t="shared" ca="1" si="153"/>
        <v>966.45592375872104</v>
      </c>
      <c r="H258" s="69">
        <f t="shared" ca="1" si="154"/>
        <v>1188.1779423551247</v>
      </c>
      <c r="I258" s="69">
        <f t="shared" ca="1" si="155"/>
        <v>1049.2659756190799</v>
      </c>
      <c r="J258" s="69">
        <f t="shared" ca="1" si="156"/>
        <v>1147.6214375765351</v>
      </c>
      <c r="K258" s="69">
        <f t="shared" ca="1" si="157"/>
        <v>1180.7267787907531</v>
      </c>
      <c r="L258" s="69">
        <f t="shared" ca="1" si="158"/>
        <v>955.9689145722466</v>
      </c>
      <c r="M258" s="69">
        <f t="shared" ca="1" si="159"/>
        <v>988.35849948976261</v>
      </c>
      <c r="N258" s="69">
        <f t="shared" ca="1" si="160"/>
        <v>574.18328238390643</v>
      </c>
      <c r="O258" s="69">
        <f t="shared" ca="1" si="161"/>
        <v>627.81707813310811</v>
      </c>
      <c r="P258" s="69">
        <f t="shared" ca="1" si="162"/>
        <v>721.12162086092417</v>
      </c>
      <c r="Q258" s="69">
        <f t="shared" ca="1" si="163"/>
        <v>952.41455395807225</v>
      </c>
      <c r="R258" s="69">
        <f t="shared" ca="1" si="164"/>
        <v>784.69062603294276</v>
      </c>
      <c r="S258" s="69">
        <f t="shared" ca="1" si="165"/>
        <v>698.83345998491393</v>
      </c>
      <c r="T258" s="69">
        <f t="shared" ca="1" si="166"/>
        <v>806.68823513113875</v>
      </c>
      <c r="U258" s="69">
        <f t="shared" ca="1" si="167"/>
        <v>1691.7893376580171</v>
      </c>
      <c r="V258" s="69">
        <f t="shared" ca="1" si="168"/>
        <v>1912.9431973580681</v>
      </c>
      <c r="W258" s="69">
        <f t="shared" ca="1" si="169"/>
        <v>1175.7178288234165</v>
      </c>
      <c r="X258" s="69">
        <f t="shared" ca="1" si="170"/>
        <v>1490.001389167317</v>
      </c>
      <c r="Y258" s="69">
        <f t="shared" ca="1" si="171"/>
        <v>1210.2451052191257</v>
      </c>
      <c r="AA258" s="20">
        <f t="shared" ca="1" si="131"/>
        <v>6.548294056309736E+16</v>
      </c>
      <c r="AB258" s="20">
        <f t="shared" ca="1" si="132"/>
        <v>1689271646809342.8</v>
      </c>
      <c r="AC258" s="20">
        <f t="shared" ca="1" si="133"/>
        <v>402153038128737.19</v>
      </c>
      <c r="AD258" s="20">
        <f t="shared" ca="1" si="134"/>
        <v>303817243144183.25</v>
      </c>
      <c r="AE258" s="20">
        <f t="shared" ca="1" si="135"/>
        <v>6861379963993022</v>
      </c>
      <c r="AG258" s="16">
        <f t="shared" ca="1" si="136"/>
        <v>-5.685159366432955E-5</v>
      </c>
      <c r="AH258" s="16">
        <f t="shared" ca="1" si="137"/>
        <v>-6.2180174111860632E-4</v>
      </c>
      <c r="AI258" s="16">
        <f t="shared" ca="1" si="138"/>
        <v>1.5292414622699948E-4</v>
      </c>
      <c r="AJ258" s="16">
        <f t="shared" ca="1" si="139"/>
        <v>5.9305518600625011E-4</v>
      </c>
      <c r="AK258" s="16">
        <f t="shared" ca="1" si="140"/>
        <v>-2.075729614959369E-4</v>
      </c>
      <c r="AM258" s="16">
        <f t="shared" ca="1" si="141"/>
        <v>6.7325997450313774E-5</v>
      </c>
      <c r="AO258" s="16">
        <f t="shared" ca="1" si="142"/>
        <v>-5.685159366432955E-5</v>
      </c>
      <c r="AP258" s="16">
        <f t="shared" ca="1" si="143"/>
        <v>-6.2180174111860632E-4</v>
      </c>
      <c r="AQ258" s="16">
        <f t="shared" ca="1" si="144"/>
        <v>0</v>
      </c>
      <c r="AR258" s="16">
        <f t="shared" ca="1" si="145"/>
        <v>0</v>
      </c>
      <c r="AS258" s="16">
        <f t="shared" ca="1" si="146"/>
        <v>-2.075729614959369E-4</v>
      </c>
    </row>
    <row r="259" spans="1:45" x14ac:dyDescent="0.25">
      <c r="A259" s="69">
        <f t="shared" ca="1" si="147"/>
        <v>2451.0601430915835</v>
      </c>
      <c r="B259" s="69">
        <f t="shared" ca="1" si="148"/>
        <v>2135.3012127104166</v>
      </c>
      <c r="C259" s="69">
        <f t="shared" ca="1" si="149"/>
        <v>2228.6214169952686</v>
      </c>
      <c r="D259" s="69">
        <f t="shared" ca="1" si="150"/>
        <v>2907.8563550061481</v>
      </c>
      <c r="E259" s="69">
        <f t="shared" ca="1" si="151"/>
        <v>1930.5502920636061</v>
      </c>
      <c r="F259" s="69">
        <f t="shared" ca="1" si="152"/>
        <v>1221.6638195404305</v>
      </c>
      <c r="G259" s="69">
        <f t="shared" ca="1" si="153"/>
        <v>966.45592375872104</v>
      </c>
      <c r="H259" s="69">
        <f t="shared" ca="1" si="154"/>
        <v>1188.0477065589712</v>
      </c>
      <c r="I259" s="69">
        <f t="shared" ca="1" si="155"/>
        <v>1049.048917710227</v>
      </c>
      <c r="J259" s="69">
        <f t="shared" ca="1" si="156"/>
        <v>1147.2711242628243</v>
      </c>
      <c r="K259" s="69">
        <f t="shared" ca="1" si="157"/>
        <v>1180.7267787907531</v>
      </c>
      <c r="L259" s="69">
        <f t="shared" ca="1" si="158"/>
        <v>955.9689145722466</v>
      </c>
      <c r="M259" s="69">
        <f t="shared" ca="1" si="159"/>
        <v>988.50965492682678</v>
      </c>
      <c r="N259" s="69">
        <f t="shared" ca="1" si="160"/>
        <v>574.18328238390643</v>
      </c>
      <c r="O259" s="69">
        <f t="shared" ca="1" si="161"/>
        <v>627.81707813310811</v>
      </c>
      <c r="P259" s="69">
        <f t="shared" ca="1" si="162"/>
        <v>720.83442496241776</v>
      </c>
      <c r="Q259" s="69">
        <f t="shared" ca="1" si="163"/>
        <v>952.85897504973366</v>
      </c>
      <c r="R259" s="69">
        <f t="shared" ca="1" si="164"/>
        <v>784.53495835737976</v>
      </c>
      <c r="S259" s="69">
        <f t="shared" ca="1" si="165"/>
        <v>699.22405184993863</v>
      </c>
      <c r="T259" s="69">
        <f t="shared" ca="1" si="166"/>
        <v>806.82096030328285</v>
      </c>
      <c r="U259" s="69">
        <f t="shared" ca="1" si="167"/>
        <v>1691.7893376580171</v>
      </c>
      <c r="V259" s="69">
        <f t="shared" ca="1" si="168"/>
        <v>1913.0877058448707</v>
      </c>
      <c r="W259" s="69">
        <f t="shared" ca="1" si="169"/>
        <v>1175.385015411495</v>
      </c>
      <c r="X259" s="69">
        <f t="shared" ca="1" si="170"/>
        <v>1490.001389167317</v>
      </c>
      <c r="Y259" s="69">
        <f t="shared" ca="1" si="171"/>
        <v>1210.2451052191257</v>
      </c>
      <c r="AA259" s="20">
        <f t="shared" ref="AA259:AA322" ca="1" si="172">A259*B259*C259*D259*E259</f>
        <v>6.5479217859390344E+16</v>
      </c>
      <c r="AB259" s="20">
        <f t="shared" ref="AB259:AB322" ca="1" si="173">F259*G259*H259*I259*J259</f>
        <v>1688221581258261.3</v>
      </c>
      <c r="AC259" s="20">
        <f t="shared" ref="AC259:AC322" ca="1" si="174">K259*L259*M259*N259*O259</f>
        <v>402214541741319.5</v>
      </c>
      <c r="AD259" s="20">
        <f t="shared" ref="AD259:AD322" ca="1" si="175">P259*Q259*R259*S259*T259</f>
        <v>303997476974849.44</v>
      </c>
      <c r="AE259" s="20">
        <f t="shared" ref="AE259:AE322" ca="1" si="176">U259*V259*W259*X259*Y259</f>
        <v>6859955874840262</v>
      </c>
      <c r="AG259" s="16">
        <f t="shared" ca="1" si="136"/>
        <v>1.9356206873933073E-4</v>
      </c>
      <c r="AH259" s="16">
        <f t="shared" ca="1" si="137"/>
        <v>-8.2220819091774629E-4</v>
      </c>
      <c r="AI259" s="16">
        <f t="shared" ca="1" si="138"/>
        <v>-5.3546525576308784E-4</v>
      </c>
      <c r="AJ259" s="16">
        <f t="shared" ca="1" si="139"/>
        <v>6.7104542306709253E-4</v>
      </c>
      <c r="AK259" s="16">
        <f t="shared" ca="1" si="140"/>
        <v>-1.7980040601394377E-4</v>
      </c>
      <c r="AM259" s="16">
        <f t="shared" ca="1" si="141"/>
        <v>-4.9306595487441087E-4</v>
      </c>
      <c r="AO259" s="16">
        <f t="shared" ca="1" si="142"/>
        <v>0</v>
      </c>
      <c r="AP259" s="16">
        <f t="shared" ca="1" si="143"/>
        <v>-8.2220819091774629E-4</v>
      </c>
      <c r="AQ259" s="16">
        <f t="shared" ca="1" si="144"/>
        <v>-5.3546525576308784E-4</v>
      </c>
      <c r="AR259" s="16">
        <f t="shared" ca="1" si="145"/>
        <v>0</v>
      </c>
      <c r="AS259" s="16">
        <f t="shared" ca="1" si="146"/>
        <v>-1.7980040601394377E-4</v>
      </c>
    </row>
    <row r="260" spans="1:45" x14ac:dyDescent="0.25">
      <c r="A260" s="69">
        <f t="shared" ca="1" si="147"/>
        <v>2451.0601430915835</v>
      </c>
      <c r="B260" s="69">
        <f t="shared" ca="1" si="148"/>
        <v>2135.3012127104166</v>
      </c>
      <c r="C260" s="69">
        <f t="shared" ca="1" si="149"/>
        <v>2228.8275274089528</v>
      </c>
      <c r="D260" s="69">
        <f t="shared" ca="1" si="150"/>
        <v>2908.1503046410321</v>
      </c>
      <c r="E260" s="69">
        <f t="shared" ca="1" si="151"/>
        <v>1930.5502920636061</v>
      </c>
      <c r="F260" s="69">
        <f t="shared" ca="1" si="152"/>
        <v>1221.1984051738041</v>
      </c>
      <c r="G260" s="69">
        <f t="shared" ca="1" si="153"/>
        <v>966.45592375872104</v>
      </c>
      <c r="H260" s="69">
        <f t="shared" ca="1" si="154"/>
        <v>1188.0477065589712</v>
      </c>
      <c r="I260" s="69">
        <f t="shared" ca="1" si="155"/>
        <v>1048.9766172903874</v>
      </c>
      <c r="J260" s="69">
        <f t="shared" ca="1" si="156"/>
        <v>1146.844137075007</v>
      </c>
      <c r="K260" s="69">
        <f t="shared" ca="1" si="157"/>
        <v>1180.7267787907531</v>
      </c>
      <c r="L260" s="69">
        <f t="shared" ca="1" si="158"/>
        <v>955.58804044969656</v>
      </c>
      <c r="M260" s="69">
        <f t="shared" ca="1" si="159"/>
        <v>988.37426900233095</v>
      </c>
      <c r="N260" s="69">
        <f t="shared" ca="1" si="160"/>
        <v>574.18328238390643</v>
      </c>
      <c r="O260" s="69">
        <f t="shared" ca="1" si="161"/>
        <v>627.81707813310811</v>
      </c>
      <c r="P260" s="69">
        <f t="shared" ca="1" si="162"/>
        <v>720.85020758903067</v>
      </c>
      <c r="Q260" s="69">
        <f t="shared" ca="1" si="163"/>
        <v>953.21471533739839</v>
      </c>
      <c r="R260" s="69">
        <f t="shared" ca="1" si="164"/>
        <v>784.53495835737976</v>
      </c>
      <c r="S260" s="69">
        <f t="shared" ca="1" si="165"/>
        <v>699.60481007079932</v>
      </c>
      <c r="T260" s="69">
        <f t="shared" ca="1" si="166"/>
        <v>806.60434565645687</v>
      </c>
      <c r="U260" s="69">
        <f t="shared" ca="1" si="167"/>
        <v>1691.7893376580171</v>
      </c>
      <c r="V260" s="69">
        <f t="shared" ca="1" si="168"/>
        <v>1912.6138174515836</v>
      </c>
      <c r="W260" s="69">
        <f t="shared" ca="1" si="169"/>
        <v>1175.8355524586975</v>
      </c>
      <c r="X260" s="69">
        <f t="shared" ca="1" si="170"/>
        <v>1490.001389167317</v>
      </c>
      <c r="Y260" s="69">
        <f t="shared" ca="1" si="171"/>
        <v>1209.8635777499112</v>
      </c>
      <c r="AA260" s="20">
        <f t="shared" ca="1" si="172"/>
        <v>6.5491893378968968E+16</v>
      </c>
      <c r="AB260" s="20">
        <f t="shared" ca="1" si="173"/>
        <v>1686834082130805.8</v>
      </c>
      <c r="AC260" s="20">
        <f t="shared" ca="1" si="174"/>
        <v>401999227480651.81</v>
      </c>
      <c r="AD260" s="20">
        <f t="shared" ca="1" si="175"/>
        <v>304201541551039.75</v>
      </c>
      <c r="AE260" s="20">
        <f t="shared" ca="1" si="176"/>
        <v>6858722562867047</v>
      </c>
      <c r="AG260" s="16">
        <f t="shared" ref="AG260:AG323" ca="1" si="177">LN(AA261/AA260)</f>
        <v>-8.8967391680757303E-5</v>
      </c>
      <c r="AH260" s="16">
        <f t="shared" ref="AH260:AH323" ca="1" si="178">LN(AB261/AB260)</f>
        <v>-3.7419088664157027E-4</v>
      </c>
      <c r="AI260" s="16">
        <f t="shared" ref="AI260:AI323" ca="1" si="179">LN(AC261/AC260)</f>
        <v>-2.1665475523030127E-4</v>
      </c>
      <c r="AJ260" s="16">
        <f t="shared" ref="AJ260:AJ323" ca="1" si="180">LN(AD261/AD260)</f>
        <v>1.1362187708680725E-3</v>
      </c>
      <c r="AK260" s="16">
        <f t="shared" ref="AK260:AK323" ca="1" si="181">LN(AE261/AE260)</f>
        <v>1.6235214818325074E-4</v>
      </c>
      <c r="AM260" s="16">
        <f t="shared" ref="AM260:AM323" ca="1" si="182">AG260+AH260+AI260+AJ260</f>
        <v>4.5640573731544373E-4</v>
      </c>
      <c r="AO260" s="16">
        <f t="shared" ref="AO260:AO323" ca="1" si="183">MIN(AG260,0)</f>
        <v>-8.8967391680757303E-5</v>
      </c>
      <c r="AP260" s="16">
        <f t="shared" ref="AP260:AP323" ca="1" si="184">MIN(AH260,0)</f>
        <v>-3.7419088664157027E-4</v>
      </c>
      <c r="AQ260" s="16">
        <f t="shared" ref="AQ260:AQ323" ca="1" si="185">MIN(AI260,0)</f>
        <v>-2.1665475523030127E-4</v>
      </c>
      <c r="AR260" s="16">
        <f t="shared" ref="AR260:AR323" ca="1" si="186">MIN(AJ260,0)</f>
        <v>0</v>
      </c>
      <c r="AS260" s="16">
        <f t="shared" ref="AS260:AS323" ca="1" si="187">MIN(AK260,0)</f>
        <v>0</v>
      </c>
    </row>
    <row r="261" spans="1:45" x14ac:dyDescent="0.25">
      <c r="A261" s="69">
        <f t="shared" ref="A261:A324" ca="1" si="188">A260+ $A$1 * RAND()  * RANDBETWEEN(-1,1)</f>
        <v>2450.8921166059968</v>
      </c>
      <c r="B261" s="69">
        <f t="shared" ref="B261:B324" ca="1" si="189">B260+ $A$1 * RAND()  * RANDBETWEEN(-1,1)</f>
        <v>2135.257626391191</v>
      </c>
      <c r="C261" s="69">
        <f t="shared" ref="C261:C324" ca="1" si="190">C260+ $A$1 * RAND()  * RANDBETWEEN(-1,1)</f>
        <v>2228.8275274089528</v>
      </c>
      <c r="D261" s="69">
        <f t="shared" ref="D261:D324" ca="1" si="191">D260+ $A$1 * RAND()  * RANDBETWEEN(-1,1)</f>
        <v>2908.1503046410321</v>
      </c>
      <c r="E261" s="69">
        <f t="shared" ref="E261:E324" ca="1" si="192">E260+ $A$1 * RAND()  * RANDBETWEEN(-1,1)</f>
        <v>1930.5502920636061</v>
      </c>
      <c r="F261" s="69">
        <f t="shared" ref="F261:F324" ca="1" si="193">F260+ $A$1 * RAND()  * RANDBETWEEN(-1,1)</f>
        <v>1221.3002704302185</v>
      </c>
      <c r="G261" s="69">
        <f t="shared" ref="G261:G324" ca="1" si="194">G260+ $A$1 * RAND()  * RANDBETWEEN(-1,1)</f>
        <v>966.35519569559312</v>
      </c>
      <c r="H261" s="69">
        <f t="shared" ref="H261:H324" ca="1" si="195">H260+ $A$1 * RAND()  * RANDBETWEEN(-1,1)</f>
        <v>1188.0477065589712</v>
      </c>
      <c r="I261" s="69">
        <f t="shared" ref="I261:I324" ca="1" si="196">I260+ $A$1 * RAND()  * RANDBETWEEN(-1,1)</f>
        <v>1048.9766172903874</v>
      </c>
      <c r="J261" s="69">
        <f t="shared" ref="J261:J324" ca="1" si="197">J260+ $A$1 * RAND()  * RANDBETWEEN(-1,1)</f>
        <v>1146.438946083003</v>
      </c>
      <c r="K261" s="69">
        <f t="shared" ref="K261:K324" ca="1" si="198">K260+ $A$1 * RAND()  * RANDBETWEEN(-1,1)</f>
        <v>1180.4858762640588</v>
      </c>
      <c r="L261" s="69">
        <f t="shared" ref="L261:L324" ca="1" si="199">L260+ $A$1 * RAND()  * RANDBETWEEN(-1,1)</f>
        <v>955.16140740248238</v>
      </c>
      <c r="M261" s="69">
        <f t="shared" ref="M261:M324" ca="1" si="200">M260+ $A$1 * RAND()  * RANDBETWEEN(-1,1)</f>
        <v>988.37426900233095</v>
      </c>
      <c r="N261" s="69">
        <f t="shared" ref="N261:N324" ca="1" si="201">N260+ $A$1 * RAND()  * RANDBETWEEN(-1,1)</f>
        <v>574.43250676037246</v>
      </c>
      <c r="O261" s="69">
        <f t="shared" ref="O261:O324" ca="1" si="202">O260+ $A$1 * RAND()  * RANDBETWEEN(-1,1)</f>
        <v>627.81707813310811</v>
      </c>
      <c r="P261" s="69">
        <f t="shared" ref="P261:P324" ca="1" si="203">P260+ $A$1 * RAND()  * RANDBETWEEN(-1,1)</f>
        <v>720.85020758903067</v>
      </c>
      <c r="Q261" s="69">
        <f t="shared" ref="Q261:Q324" ca="1" si="204">Q260+ $A$1 * RAND()  * RANDBETWEEN(-1,1)</f>
        <v>953.21471533739839</v>
      </c>
      <c r="R261" s="69">
        <f t="shared" ref="R261:R324" ca="1" si="205">R260+ $A$1 * RAND()  * RANDBETWEEN(-1,1)</f>
        <v>784.9336819406991</v>
      </c>
      <c r="S261" s="69">
        <f t="shared" ref="S261:S324" ca="1" si="206">S260+ $A$1 * RAND()  * RANDBETWEEN(-1,1)</f>
        <v>699.80794051432474</v>
      </c>
      <c r="T261" s="69">
        <f t="shared" ref="T261:T324" ca="1" si="207">T260+ $A$1 * RAND()  * RANDBETWEEN(-1,1)</f>
        <v>806.87687113470361</v>
      </c>
      <c r="U261" s="69">
        <f t="shared" ref="U261:U324" ca="1" si="208">U260+ $A$1 * RAND()  * RANDBETWEEN(-1,1)</f>
        <v>1691.4333856897101</v>
      </c>
      <c r="V261" s="69">
        <f t="shared" ref="V261:V324" ca="1" si="209">V260+ $A$1 * RAND()  * RANDBETWEEN(-1,1)</f>
        <v>1913.001937127477</v>
      </c>
      <c r="W261" s="69">
        <f t="shared" ref="W261:W324" ca="1" si="210">W260+ $A$1 * RAND()  * RANDBETWEEN(-1,1)</f>
        <v>1175.4017942385185</v>
      </c>
      <c r="X261" s="69">
        <f t="shared" ref="X261:X324" ca="1" si="211">X260+ $A$1 * RAND()  * RANDBETWEEN(-1,1)</f>
        <v>1490.4199502626568</v>
      </c>
      <c r="Y261" s="69">
        <f t="shared" ref="Y261:Y324" ca="1" si="212">Y260+ $A$1 * RAND()  * RANDBETWEEN(-1,1)</f>
        <v>1210.1757097521997</v>
      </c>
      <c r="AA261" s="20">
        <f t="shared" ca="1" si="172"/>
        <v>6.5486066995221736E+16</v>
      </c>
      <c r="AB261" s="20">
        <f t="shared" ca="1" si="173"/>
        <v>1686203002269526</v>
      </c>
      <c r="AC261" s="20">
        <f t="shared" ca="1" si="174"/>
        <v>401912141870515.63</v>
      </c>
      <c r="AD261" s="20">
        <f t="shared" ca="1" si="175"/>
        <v>304547377488112.75</v>
      </c>
      <c r="AE261" s="20">
        <f t="shared" ca="1" si="176"/>
        <v>6859836181605672</v>
      </c>
      <c r="AG261" s="16">
        <f t="shared" ca="1" si="177"/>
        <v>4.7137314973697385E-5</v>
      </c>
      <c r="AH261" s="16">
        <f t="shared" ca="1" si="178"/>
        <v>4.0901958430619869E-4</v>
      </c>
      <c r="AI261" s="16">
        <f t="shared" ca="1" si="179"/>
        <v>-4.885662174690063E-4</v>
      </c>
      <c r="AJ261" s="16">
        <f t="shared" ca="1" si="180"/>
        <v>6.2634516381179447E-4</v>
      </c>
      <c r="AK261" s="16">
        <f t="shared" ca="1" si="181"/>
        <v>4.9987562724220511E-4</v>
      </c>
      <c r="AM261" s="16">
        <f t="shared" ca="1" si="182"/>
        <v>5.9393584562268426E-4</v>
      </c>
      <c r="AO261" s="16">
        <f t="shared" ca="1" si="183"/>
        <v>0</v>
      </c>
      <c r="AP261" s="16">
        <f t="shared" ca="1" si="184"/>
        <v>0</v>
      </c>
      <c r="AQ261" s="16">
        <f t="shared" ca="1" si="185"/>
        <v>-4.885662174690063E-4</v>
      </c>
      <c r="AR261" s="16">
        <f t="shared" ca="1" si="186"/>
        <v>0</v>
      </c>
      <c r="AS261" s="16">
        <f t="shared" ca="1" si="187"/>
        <v>0</v>
      </c>
    </row>
    <row r="262" spans="1:45" x14ac:dyDescent="0.25">
      <c r="A262" s="69">
        <f t="shared" ca="1" si="188"/>
        <v>2451.007647802558</v>
      </c>
      <c r="B262" s="69">
        <f t="shared" ca="1" si="189"/>
        <v>2135.257626391191</v>
      </c>
      <c r="C262" s="69">
        <f t="shared" ca="1" si="190"/>
        <v>2228.8275274089528</v>
      </c>
      <c r="D262" s="69">
        <f t="shared" ca="1" si="191"/>
        <v>2908.1503046410321</v>
      </c>
      <c r="E262" s="69">
        <f t="shared" ca="1" si="192"/>
        <v>1930.5502920636061</v>
      </c>
      <c r="F262" s="69">
        <f t="shared" ca="1" si="193"/>
        <v>1221.3002704302185</v>
      </c>
      <c r="G262" s="69">
        <f t="shared" ca="1" si="194"/>
        <v>966.14976205691687</v>
      </c>
      <c r="H262" s="69">
        <f t="shared" ca="1" si="195"/>
        <v>1188.1062567738118</v>
      </c>
      <c r="I262" s="69">
        <f t="shared" ca="1" si="196"/>
        <v>1049.1950259381899</v>
      </c>
      <c r="J262" s="69">
        <f t="shared" ca="1" si="197"/>
        <v>1146.8565061535592</v>
      </c>
      <c r="K262" s="69">
        <f t="shared" ca="1" si="198"/>
        <v>1180.1487621301389</v>
      </c>
      <c r="L262" s="69">
        <f t="shared" ca="1" si="199"/>
        <v>955.16140740248238</v>
      </c>
      <c r="M262" s="69">
        <f t="shared" ca="1" si="200"/>
        <v>988.37426900233095</v>
      </c>
      <c r="N262" s="69">
        <f t="shared" ca="1" si="201"/>
        <v>574.43250676037246</v>
      </c>
      <c r="O262" s="69">
        <f t="shared" ca="1" si="202"/>
        <v>627.68967365427102</v>
      </c>
      <c r="P262" s="69">
        <f t="shared" ca="1" si="203"/>
        <v>721.15580375139132</v>
      </c>
      <c r="Q262" s="69">
        <f t="shared" ca="1" si="204"/>
        <v>952.77303294306182</v>
      </c>
      <c r="R262" s="69">
        <f t="shared" ca="1" si="205"/>
        <v>784.91190244727704</v>
      </c>
      <c r="S262" s="69">
        <f t="shared" ca="1" si="206"/>
        <v>700.26054204824823</v>
      </c>
      <c r="T262" s="69">
        <f t="shared" ca="1" si="207"/>
        <v>806.91493243925333</v>
      </c>
      <c r="U262" s="69">
        <f t="shared" ca="1" si="208"/>
        <v>1691.4333856897101</v>
      </c>
      <c r="V262" s="69">
        <f t="shared" ca="1" si="209"/>
        <v>1913.1834208151897</v>
      </c>
      <c r="W262" s="69">
        <f t="shared" ca="1" si="210"/>
        <v>1175.8492626703205</v>
      </c>
      <c r="X262" s="69">
        <f t="shared" ca="1" si="211"/>
        <v>1490.4898104142644</v>
      </c>
      <c r="Y262" s="69">
        <f t="shared" ca="1" si="212"/>
        <v>1210.1485032786193</v>
      </c>
      <c r="AA262" s="20">
        <f t="shared" ca="1" si="172"/>
        <v>6.548915390534184E+16</v>
      </c>
      <c r="AB262" s="20">
        <f t="shared" ca="1" si="173"/>
        <v>1686892833388171.5</v>
      </c>
      <c r="AC262" s="20">
        <f t="shared" ca="1" si="174"/>
        <v>401715829135397.25</v>
      </c>
      <c r="AD262" s="20">
        <f t="shared" ca="1" si="175"/>
        <v>304738189015854.75</v>
      </c>
      <c r="AE262" s="20">
        <f t="shared" ca="1" si="176"/>
        <v>6863266103715543</v>
      </c>
      <c r="AG262" s="16">
        <f t="shared" ca="1" si="177"/>
        <v>-3.0285338355665764E-4</v>
      </c>
      <c r="AH262" s="16">
        <f t="shared" ca="1" si="178"/>
        <v>-2.291135693353137E-4</v>
      </c>
      <c r="AI262" s="16">
        <f t="shared" ca="1" si="179"/>
        <v>4.8307586914013656E-4</v>
      </c>
      <c r="AJ262" s="16">
        <f t="shared" ca="1" si="180"/>
        <v>2.2973467969733831E-4</v>
      </c>
      <c r="AK262" s="16">
        <f t="shared" ca="1" si="181"/>
        <v>3.6754412181328735E-5</v>
      </c>
      <c r="AM262" s="16">
        <f t="shared" ca="1" si="182"/>
        <v>1.8084359594550356E-4</v>
      </c>
      <c r="AO262" s="16">
        <f t="shared" ca="1" si="183"/>
        <v>-3.0285338355665764E-4</v>
      </c>
      <c r="AP262" s="16">
        <f t="shared" ca="1" si="184"/>
        <v>-2.291135693353137E-4</v>
      </c>
      <c r="AQ262" s="16">
        <f t="shared" ca="1" si="185"/>
        <v>0</v>
      </c>
      <c r="AR262" s="16">
        <f t="shared" ca="1" si="186"/>
        <v>0</v>
      </c>
      <c r="AS262" s="16">
        <f t="shared" ca="1" si="187"/>
        <v>0</v>
      </c>
    </row>
    <row r="263" spans="1:45" x14ac:dyDescent="0.25">
      <c r="A263" s="69">
        <f t="shared" ca="1" si="188"/>
        <v>2450.7592302948451</v>
      </c>
      <c r="B263" s="69">
        <f t="shared" ca="1" si="189"/>
        <v>2135.0151809855765</v>
      </c>
      <c r="C263" s="69">
        <f t="shared" ca="1" si="190"/>
        <v>2228.6315224186183</v>
      </c>
      <c r="D263" s="69">
        <f t="shared" ca="1" si="191"/>
        <v>2908.1503046410321</v>
      </c>
      <c r="E263" s="69">
        <f t="shared" ca="1" si="192"/>
        <v>1930.5502920636061</v>
      </c>
      <c r="F263" s="69">
        <f t="shared" ca="1" si="193"/>
        <v>1221.3002704302185</v>
      </c>
      <c r="G263" s="69">
        <f t="shared" ca="1" si="194"/>
        <v>965.65211383739029</v>
      </c>
      <c r="H263" s="69">
        <f t="shared" ca="1" si="195"/>
        <v>1187.9222242398437</v>
      </c>
      <c r="I263" s="69">
        <f t="shared" ca="1" si="196"/>
        <v>1049.5714785314042</v>
      </c>
      <c r="J263" s="69">
        <f t="shared" ca="1" si="197"/>
        <v>1146.9508662222559</v>
      </c>
      <c r="K263" s="69">
        <f t="shared" ca="1" si="198"/>
        <v>1180.1487621301389</v>
      </c>
      <c r="L263" s="69">
        <f t="shared" ca="1" si="199"/>
        <v>955.42382307247624</v>
      </c>
      <c r="M263" s="69">
        <f t="shared" ca="1" si="200"/>
        <v>988.37426900233095</v>
      </c>
      <c r="N263" s="69">
        <f t="shared" ca="1" si="201"/>
        <v>574.43250676037246</v>
      </c>
      <c r="O263" s="69">
        <f t="shared" ca="1" si="202"/>
        <v>627.82048477327896</v>
      </c>
      <c r="P263" s="69">
        <f t="shared" ca="1" si="203"/>
        <v>720.82755379341836</v>
      </c>
      <c r="Q263" s="69">
        <f t="shared" ca="1" si="204"/>
        <v>952.77303294306182</v>
      </c>
      <c r="R263" s="69">
        <f t="shared" ca="1" si="205"/>
        <v>784.59041480404915</v>
      </c>
      <c r="S263" s="69">
        <f t="shared" ca="1" si="206"/>
        <v>700.69054498886237</v>
      </c>
      <c r="T263" s="69">
        <f t="shared" ca="1" si="207"/>
        <v>807.30299502844275</v>
      </c>
      <c r="U263" s="69">
        <f t="shared" ca="1" si="208"/>
        <v>1691.4333856897101</v>
      </c>
      <c r="V263" s="69">
        <f t="shared" ca="1" si="209"/>
        <v>1913.5820511734441</v>
      </c>
      <c r="W263" s="69">
        <f t="shared" ca="1" si="210"/>
        <v>1175.945503023022</v>
      </c>
      <c r="X263" s="69">
        <f t="shared" ca="1" si="211"/>
        <v>1490.687317303679</v>
      </c>
      <c r="Y263" s="69">
        <f t="shared" ca="1" si="212"/>
        <v>1209.6815602944582</v>
      </c>
      <c r="AA263" s="20">
        <f t="shared" ca="1" si="172"/>
        <v>6.5469323296530408E+16</v>
      </c>
      <c r="AB263" s="20">
        <f t="shared" ca="1" si="173"/>
        <v>1686506387621702.8</v>
      </c>
      <c r="AC263" s="20">
        <f t="shared" ca="1" si="174"/>
        <v>401909935238916.75</v>
      </c>
      <c r="AD263" s="20">
        <f t="shared" ca="1" si="175"/>
        <v>304808205988455.31</v>
      </c>
      <c r="AE263" s="20">
        <f t="shared" ca="1" si="176"/>
        <v>6863518363662633</v>
      </c>
      <c r="AG263" s="16">
        <f t="shared" ca="1" si="177"/>
        <v>-5.2816526953954805E-4</v>
      </c>
      <c r="AH263" s="16">
        <f t="shared" ca="1" si="178"/>
        <v>-4.9689484360556345E-4</v>
      </c>
      <c r="AI263" s="16">
        <f t="shared" ca="1" si="179"/>
        <v>1.7502780160982116E-3</v>
      </c>
      <c r="AJ263" s="16">
        <f t="shared" ca="1" si="180"/>
        <v>2.0797754075255751E-4</v>
      </c>
      <c r="AK263" s="16">
        <f t="shared" ca="1" si="181"/>
        <v>-5.0399870028480461E-4</v>
      </c>
      <c r="AM263" s="16">
        <f t="shared" ca="1" si="182"/>
        <v>9.3319544370565766E-4</v>
      </c>
      <c r="AO263" s="16">
        <f t="shared" ca="1" si="183"/>
        <v>-5.2816526953954805E-4</v>
      </c>
      <c r="AP263" s="16">
        <f t="shared" ca="1" si="184"/>
        <v>-4.9689484360556345E-4</v>
      </c>
      <c r="AQ263" s="16">
        <f t="shared" ca="1" si="185"/>
        <v>0</v>
      </c>
      <c r="AR263" s="16">
        <f t="shared" ca="1" si="186"/>
        <v>0</v>
      </c>
      <c r="AS263" s="16">
        <f t="shared" ca="1" si="187"/>
        <v>-5.0399870028480461E-4</v>
      </c>
    </row>
    <row r="264" spans="1:45" x14ac:dyDescent="0.25">
      <c r="A264" s="69">
        <f t="shared" ca="1" si="188"/>
        <v>2450.7592302948451</v>
      </c>
      <c r="B264" s="69">
        <f t="shared" ca="1" si="189"/>
        <v>2134.551563439712</v>
      </c>
      <c r="C264" s="69">
        <f t="shared" ca="1" si="190"/>
        <v>2228.3496067198785</v>
      </c>
      <c r="D264" s="69">
        <f t="shared" ca="1" si="191"/>
        <v>2908.1503046410321</v>
      </c>
      <c r="E264" s="69">
        <f t="shared" ca="1" si="192"/>
        <v>1930.1941636119982</v>
      </c>
      <c r="F264" s="69">
        <f t="shared" ca="1" si="193"/>
        <v>1221.3002704302185</v>
      </c>
      <c r="G264" s="69">
        <f t="shared" ca="1" si="194"/>
        <v>965.23926430552342</v>
      </c>
      <c r="H264" s="69">
        <f t="shared" ca="1" si="195"/>
        <v>1187.9222242398437</v>
      </c>
      <c r="I264" s="69">
        <f t="shared" ca="1" si="196"/>
        <v>1049.4987782944872</v>
      </c>
      <c r="J264" s="69">
        <f t="shared" ca="1" si="197"/>
        <v>1146.9508662222559</v>
      </c>
      <c r="K264" s="69">
        <f t="shared" ca="1" si="198"/>
        <v>1180.6030434374636</v>
      </c>
      <c r="L264" s="69">
        <f t="shared" ca="1" si="199"/>
        <v>955.71301953506327</v>
      </c>
      <c r="M264" s="69">
        <f t="shared" ca="1" si="200"/>
        <v>988.8083254260921</v>
      </c>
      <c r="N264" s="69">
        <f t="shared" ca="1" si="201"/>
        <v>574.4736366457447</v>
      </c>
      <c r="O264" s="69">
        <f t="shared" ca="1" si="202"/>
        <v>628.16720589907095</v>
      </c>
      <c r="P264" s="69">
        <f t="shared" ca="1" si="203"/>
        <v>721.26262629123391</v>
      </c>
      <c r="Q264" s="69">
        <f t="shared" ca="1" si="204"/>
        <v>952.77303294306182</v>
      </c>
      <c r="R264" s="69">
        <f t="shared" ca="1" si="205"/>
        <v>784.28023809445506</v>
      </c>
      <c r="S264" s="69">
        <f t="shared" ca="1" si="206"/>
        <v>700.69054498886237</v>
      </c>
      <c r="T264" s="69">
        <f t="shared" ca="1" si="207"/>
        <v>807.30299502844275</v>
      </c>
      <c r="U264" s="69">
        <f t="shared" ca="1" si="208"/>
        <v>1691.0017257711802</v>
      </c>
      <c r="V264" s="69">
        <f t="shared" ca="1" si="209"/>
        <v>1913.1730915286837</v>
      </c>
      <c r="W264" s="69">
        <f t="shared" ca="1" si="210"/>
        <v>1175.6175737439801</v>
      </c>
      <c r="X264" s="69">
        <f t="shared" ca="1" si="211"/>
        <v>1490.8939416491169</v>
      </c>
      <c r="Y264" s="69">
        <f t="shared" ca="1" si="212"/>
        <v>1209.8089189443617</v>
      </c>
      <c r="AA264" s="20">
        <f t="shared" ca="1" si="172"/>
        <v>6.543475380375128E+16</v>
      </c>
      <c r="AB264" s="20">
        <f t="shared" ca="1" si="173"/>
        <v>1685668579462501</v>
      </c>
      <c r="AC264" s="20">
        <f t="shared" ca="1" si="174"/>
        <v>402614005342487.31</v>
      </c>
      <c r="AD264" s="20">
        <f t="shared" ca="1" si="175"/>
        <v>304871605842182.31</v>
      </c>
      <c r="AE264" s="20">
        <f t="shared" ca="1" si="176"/>
        <v>6860060030898781</v>
      </c>
      <c r="AG264" s="16">
        <f t="shared" ca="1" si="177"/>
        <v>3.0123575055588427E-4</v>
      </c>
      <c r="AH264" s="16">
        <f t="shared" ca="1" si="178"/>
        <v>8.0147027098612697E-4</v>
      </c>
      <c r="AI264" s="16">
        <f t="shared" ca="1" si="179"/>
        <v>-2.9447424002748477E-5</v>
      </c>
      <c r="AJ264" s="16">
        <f t="shared" ca="1" si="180"/>
        <v>3.0660170636631926E-4</v>
      </c>
      <c r="AK264" s="16">
        <f t="shared" ca="1" si="181"/>
        <v>-3.0937627965144473E-4</v>
      </c>
      <c r="AM264" s="16">
        <f t="shared" ca="1" si="182"/>
        <v>1.379860303905582E-3</v>
      </c>
      <c r="AO264" s="16">
        <f t="shared" ca="1" si="183"/>
        <v>0</v>
      </c>
      <c r="AP264" s="16">
        <f t="shared" ca="1" si="184"/>
        <v>0</v>
      </c>
      <c r="AQ264" s="16">
        <f t="shared" ca="1" si="185"/>
        <v>-2.9447424002748477E-5</v>
      </c>
      <c r="AR264" s="16">
        <f t="shared" ca="1" si="186"/>
        <v>0</v>
      </c>
      <c r="AS264" s="16">
        <f t="shared" ca="1" si="187"/>
        <v>-3.0937627965144473E-4</v>
      </c>
    </row>
    <row r="265" spans="1:45" x14ac:dyDescent="0.25">
      <c r="A265" s="69">
        <f t="shared" ca="1" si="188"/>
        <v>2450.8960707074748</v>
      </c>
      <c r="B265" s="69">
        <f t="shared" ca="1" si="189"/>
        <v>2134.5067112102606</v>
      </c>
      <c r="C265" s="69">
        <f t="shared" ca="1" si="190"/>
        <v>2228.7349754488996</v>
      </c>
      <c r="D265" s="69">
        <f t="shared" ca="1" si="191"/>
        <v>2908.4222002062188</v>
      </c>
      <c r="E265" s="69">
        <f t="shared" ca="1" si="192"/>
        <v>1930.1941636119982</v>
      </c>
      <c r="F265" s="69">
        <f t="shared" ca="1" si="193"/>
        <v>1221.2921476318461</v>
      </c>
      <c r="G265" s="69">
        <f t="shared" ca="1" si="194"/>
        <v>965.23926430552342</v>
      </c>
      <c r="H265" s="69">
        <f t="shared" ca="1" si="195"/>
        <v>1188.3187492913783</v>
      </c>
      <c r="I265" s="69">
        <f t="shared" ca="1" si="196"/>
        <v>1049.9967574055788</v>
      </c>
      <c r="J265" s="69">
        <f t="shared" ca="1" si="197"/>
        <v>1146.9508662222559</v>
      </c>
      <c r="K265" s="69">
        <f t="shared" ca="1" si="198"/>
        <v>1180.5475753323574</v>
      </c>
      <c r="L265" s="69">
        <f t="shared" ca="1" si="199"/>
        <v>955.71301953506327</v>
      </c>
      <c r="M265" s="69">
        <f t="shared" ca="1" si="200"/>
        <v>989.23678828699076</v>
      </c>
      <c r="N265" s="69">
        <f t="shared" ca="1" si="201"/>
        <v>574.23488794292371</v>
      </c>
      <c r="O265" s="69">
        <f t="shared" ca="1" si="202"/>
        <v>628.16720589907095</v>
      </c>
      <c r="P265" s="69">
        <f t="shared" ca="1" si="203"/>
        <v>721.26262629123391</v>
      </c>
      <c r="Q265" s="69">
        <f t="shared" ca="1" si="204"/>
        <v>952.63534238304226</v>
      </c>
      <c r="R265" s="69">
        <f t="shared" ca="1" si="205"/>
        <v>784.77312488569362</v>
      </c>
      <c r="S265" s="69">
        <f t="shared" ca="1" si="206"/>
        <v>700.56644101628603</v>
      </c>
      <c r="T265" s="69">
        <f t="shared" ca="1" si="207"/>
        <v>807.30299502844275</v>
      </c>
      <c r="U265" s="69">
        <f t="shared" ca="1" si="208"/>
        <v>1690.9098936257064</v>
      </c>
      <c r="V265" s="69">
        <f t="shared" ca="1" si="209"/>
        <v>1913.2051177281828</v>
      </c>
      <c r="W265" s="69">
        <f t="shared" ca="1" si="210"/>
        <v>1175.1516995501077</v>
      </c>
      <c r="X265" s="69">
        <f t="shared" ca="1" si="211"/>
        <v>1490.8939416491169</v>
      </c>
      <c r="Y265" s="69">
        <f t="shared" ca="1" si="212"/>
        <v>1209.959610987795</v>
      </c>
      <c r="AA265" s="20">
        <f t="shared" ca="1" si="172"/>
        <v>6.5454468060096112E+16</v>
      </c>
      <c r="AB265" s="20">
        <f t="shared" ca="1" si="173"/>
        <v>1687020134258821.8</v>
      </c>
      <c r="AC265" s="20">
        <f t="shared" ca="1" si="174"/>
        <v>402602149571724.38</v>
      </c>
      <c r="AD265" s="20">
        <f t="shared" ca="1" si="175"/>
        <v>304965094327888.44</v>
      </c>
      <c r="AE265" s="20">
        <f t="shared" ca="1" si="176"/>
        <v>6857938019315186</v>
      </c>
      <c r="AG265" s="16">
        <f t="shared" ca="1" si="177"/>
        <v>-2.2466990877133757E-4</v>
      </c>
      <c r="AH265" s="16">
        <f t="shared" ca="1" si="178"/>
        <v>-9.4367153077690364E-4</v>
      </c>
      <c r="AI265" s="16">
        <f t="shared" ca="1" si="179"/>
        <v>-9.90430273815981E-4</v>
      </c>
      <c r="AJ265" s="16">
        <f t="shared" ca="1" si="180"/>
        <v>6.2323991195476543E-4</v>
      </c>
      <c r="AK265" s="16">
        <f t="shared" ca="1" si="181"/>
        <v>1.656433974101365E-4</v>
      </c>
      <c r="AM265" s="16">
        <f t="shared" ca="1" si="182"/>
        <v>-1.5355318014094567E-3</v>
      </c>
      <c r="AO265" s="16">
        <f t="shared" ca="1" si="183"/>
        <v>-2.2466990877133757E-4</v>
      </c>
      <c r="AP265" s="16">
        <f t="shared" ca="1" si="184"/>
        <v>-9.4367153077690364E-4</v>
      </c>
      <c r="AQ265" s="16">
        <f t="shared" ca="1" si="185"/>
        <v>-9.90430273815981E-4</v>
      </c>
      <c r="AR265" s="16">
        <f t="shared" ca="1" si="186"/>
        <v>0</v>
      </c>
      <c r="AS265" s="16">
        <f t="shared" ca="1" si="187"/>
        <v>0</v>
      </c>
    </row>
    <row r="266" spans="1:45" x14ac:dyDescent="0.25">
      <c r="A266" s="69">
        <f t="shared" ca="1" si="188"/>
        <v>2451.2643454228219</v>
      </c>
      <c r="B266" s="69">
        <f t="shared" ca="1" si="189"/>
        <v>2134.5067112102606</v>
      </c>
      <c r="C266" s="69">
        <f t="shared" ca="1" si="190"/>
        <v>2228.7349754488996</v>
      </c>
      <c r="D266" s="69">
        <f t="shared" ca="1" si="191"/>
        <v>2908.049744744801</v>
      </c>
      <c r="E266" s="69">
        <f t="shared" ca="1" si="192"/>
        <v>1929.717752690344</v>
      </c>
      <c r="F266" s="69">
        <f t="shared" ca="1" si="193"/>
        <v>1221.2921476318461</v>
      </c>
      <c r="G266" s="69">
        <f t="shared" ca="1" si="194"/>
        <v>964.82428009147156</v>
      </c>
      <c r="H266" s="69">
        <f t="shared" ca="1" si="195"/>
        <v>1188.36248558957</v>
      </c>
      <c r="I266" s="69">
        <f t="shared" ca="1" si="196"/>
        <v>1049.638962540912</v>
      </c>
      <c r="J266" s="69">
        <f t="shared" ca="1" si="197"/>
        <v>1146.7104462461002</v>
      </c>
      <c r="K266" s="69">
        <f t="shared" ca="1" si="198"/>
        <v>1180.1963115659664</v>
      </c>
      <c r="L266" s="69">
        <f t="shared" ca="1" si="199"/>
        <v>955.71301953506327</v>
      </c>
      <c r="M266" s="69">
        <f t="shared" ca="1" si="200"/>
        <v>989.23678828699076</v>
      </c>
      <c r="N266" s="69">
        <f t="shared" ca="1" si="201"/>
        <v>574.23488794292371</v>
      </c>
      <c r="O266" s="69">
        <f t="shared" ca="1" si="202"/>
        <v>627.73213543612928</v>
      </c>
      <c r="P266" s="69">
        <f t="shared" ca="1" si="203"/>
        <v>721.65714120428004</v>
      </c>
      <c r="Q266" s="69">
        <f t="shared" ca="1" si="204"/>
        <v>952.49550057624981</v>
      </c>
      <c r="R266" s="69">
        <f t="shared" ca="1" si="205"/>
        <v>784.77312488569362</v>
      </c>
      <c r="S266" s="69">
        <f t="shared" ca="1" si="206"/>
        <v>700.72283662781479</v>
      </c>
      <c r="T266" s="69">
        <f t="shared" ca="1" si="207"/>
        <v>807.30299502844275</v>
      </c>
      <c r="U266" s="69">
        <f t="shared" ca="1" si="208"/>
        <v>1690.5626251122433</v>
      </c>
      <c r="V266" s="69">
        <f t="shared" ca="1" si="209"/>
        <v>1913.5605899412819</v>
      </c>
      <c r="W266" s="69">
        <f t="shared" ca="1" si="210"/>
        <v>1175.1516995501077</v>
      </c>
      <c r="X266" s="69">
        <f t="shared" ca="1" si="211"/>
        <v>1491.3229929339407</v>
      </c>
      <c r="Y266" s="69">
        <f t="shared" ca="1" si="212"/>
        <v>1209.8356162728351</v>
      </c>
      <c r="AA266" s="20">
        <f t="shared" ca="1" si="172"/>
        <v>6.543976406256312E+16</v>
      </c>
      <c r="AB266" s="20">
        <f t="shared" ca="1" si="173"/>
        <v>1685428892309223</v>
      </c>
      <c r="AC266" s="20">
        <f t="shared" ca="1" si="174"/>
        <v>402203597616026.5</v>
      </c>
      <c r="AD266" s="20">
        <f t="shared" ca="1" si="175"/>
        <v>305155219987222.06</v>
      </c>
      <c r="AE266" s="20">
        <f t="shared" ca="1" si="176"/>
        <v>6859074085556272</v>
      </c>
      <c r="AG266" s="16">
        <f t="shared" ca="1" si="177"/>
        <v>-2.3403384597185597E-5</v>
      </c>
      <c r="AH266" s="16">
        <f t="shared" ca="1" si="178"/>
        <v>-4.6607034018287939E-4</v>
      </c>
      <c r="AI266" s="16">
        <f t="shared" ca="1" si="179"/>
        <v>-7.5961223580551845E-4</v>
      </c>
      <c r="AJ266" s="16">
        <f t="shared" ca="1" si="180"/>
        <v>1.6541212533483269E-4</v>
      </c>
      <c r="AK266" s="16">
        <f t="shared" ca="1" si="181"/>
        <v>-2.3715490919807783E-4</v>
      </c>
      <c r="AM266" s="16">
        <f t="shared" ca="1" si="182"/>
        <v>-1.0836738352507506E-3</v>
      </c>
      <c r="AO266" s="16">
        <f t="shared" ca="1" si="183"/>
        <v>-2.3403384597185597E-5</v>
      </c>
      <c r="AP266" s="16">
        <f t="shared" ca="1" si="184"/>
        <v>-4.6607034018287939E-4</v>
      </c>
      <c r="AQ266" s="16">
        <f t="shared" ca="1" si="185"/>
        <v>-7.5961223580551845E-4</v>
      </c>
      <c r="AR266" s="16">
        <f t="shared" ca="1" si="186"/>
        <v>0</v>
      </c>
      <c r="AS266" s="16">
        <f t="shared" ca="1" si="187"/>
        <v>-2.3715490919807783E-4</v>
      </c>
    </row>
    <row r="267" spans="1:45" x14ac:dyDescent="0.25">
      <c r="A267" s="69">
        <f t="shared" ca="1" si="188"/>
        <v>2451.2639342369757</v>
      </c>
      <c r="B267" s="69">
        <f t="shared" ca="1" si="189"/>
        <v>2134.331907448644</v>
      </c>
      <c r="C267" s="69">
        <f t="shared" ca="1" si="190"/>
        <v>2228.6547002141838</v>
      </c>
      <c r="D267" s="69">
        <f t="shared" ca="1" si="191"/>
        <v>2908.3250944803294</v>
      </c>
      <c r="E267" s="69">
        <f t="shared" ca="1" si="192"/>
        <v>1929.717752690344</v>
      </c>
      <c r="F267" s="69">
        <f t="shared" ca="1" si="193"/>
        <v>1221.2921476318461</v>
      </c>
      <c r="G267" s="69">
        <f t="shared" ca="1" si="194"/>
        <v>964.82428009147156</v>
      </c>
      <c r="H267" s="69">
        <f t="shared" ca="1" si="195"/>
        <v>1188.36248558957</v>
      </c>
      <c r="I267" s="69">
        <f t="shared" ca="1" si="196"/>
        <v>1049.1737170333486</v>
      </c>
      <c r="J267" s="69">
        <f t="shared" ca="1" si="197"/>
        <v>1146.6843832906757</v>
      </c>
      <c r="K267" s="69">
        <f t="shared" ca="1" si="198"/>
        <v>1180.1442283665374</v>
      </c>
      <c r="L267" s="69">
        <f t="shared" ca="1" si="199"/>
        <v>955.71301953506327</v>
      </c>
      <c r="M267" s="69">
        <f t="shared" ca="1" si="200"/>
        <v>989.25906183838197</v>
      </c>
      <c r="N267" s="69">
        <f t="shared" ca="1" si="201"/>
        <v>574.1514660158989</v>
      </c>
      <c r="O267" s="69">
        <f t="shared" ca="1" si="202"/>
        <v>627.36018226965007</v>
      </c>
      <c r="P267" s="69">
        <f t="shared" ca="1" si="203"/>
        <v>721.65714120428004</v>
      </c>
      <c r="Q267" s="69">
        <f t="shared" ca="1" si="204"/>
        <v>952.65062843940825</v>
      </c>
      <c r="R267" s="69">
        <f t="shared" ca="1" si="205"/>
        <v>784.31445499531685</v>
      </c>
      <c r="S267" s="69">
        <f t="shared" ca="1" si="206"/>
        <v>700.72283662781479</v>
      </c>
      <c r="T267" s="69">
        <f t="shared" ca="1" si="207"/>
        <v>807.77717718646943</v>
      </c>
      <c r="U267" s="69">
        <f t="shared" ca="1" si="208"/>
        <v>1690.5626251122433</v>
      </c>
      <c r="V267" s="69">
        <f t="shared" ca="1" si="209"/>
        <v>1913.6448336300061</v>
      </c>
      <c r="W267" s="69">
        <f t="shared" ca="1" si="210"/>
        <v>1174.8213185921809</v>
      </c>
      <c r="X267" s="69">
        <f t="shared" ca="1" si="211"/>
        <v>1491.3229929339407</v>
      </c>
      <c r="Y267" s="69">
        <f t="shared" ca="1" si="212"/>
        <v>1209.8356162728351</v>
      </c>
      <c r="AA267" s="20">
        <f t="shared" ca="1" si="172"/>
        <v>6.543823256851796E+16</v>
      </c>
      <c r="AB267" s="20">
        <f t="shared" ca="1" si="173"/>
        <v>1684643546919343</v>
      </c>
      <c r="AC267" s="20">
        <f t="shared" ca="1" si="174"/>
        <v>401898194850516.19</v>
      </c>
      <c r="AD267" s="20">
        <f t="shared" ca="1" si="175"/>
        <v>305205700535649.5</v>
      </c>
      <c r="AE267" s="20">
        <f t="shared" ca="1" si="176"/>
        <v>6857447615334651</v>
      </c>
      <c r="AG267" s="16">
        <f t="shared" ca="1" si="177"/>
        <v>2.1428604188982985E-4</v>
      </c>
      <c r="AH267" s="16">
        <f t="shared" ca="1" si="178"/>
        <v>-6.2052876486979572E-4</v>
      </c>
      <c r="AI267" s="16">
        <f t="shared" ca="1" si="179"/>
        <v>-8.0577057036421325E-4</v>
      </c>
      <c r="AJ267" s="16">
        <f t="shared" ca="1" si="180"/>
        <v>5.5059902337933854E-4</v>
      </c>
      <c r="AK267" s="16">
        <f t="shared" ca="1" si="181"/>
        <v>-4.4880832157569254E-4</v>
      </c>
      <c r="AM267" s="16">
        <f t="shared" ca="1" si="182"/>
        <v>-6.6141426996484056E-4</v>
      </c>
      <c r="AO267" s="16">
        <f t="shared" ca="1" si="183"/>
        <v>0</v>
      </c>
      <c r="AP267" s="16">
        <f t="shared" ca="1" si="184"/>
        <v>-6.2052876486979572E-4</v>
      </c>
      <c r="AQ267" s="16">
        <f t="shared" ca="1" si="185"/>
        <v>-8.0577057036421325E-4</v>
      </c>
      <c r="AR267" s="16">
        <f t="shared" ca="1" si="186"/>
        <v>0</v>
      </c>
      <c r="AS267" s="16">
        <f t="shared" ca="1" si="187"/>
        <v>-4.4880832157569254E-4</v>
      </c>
    </row>
    <row r="268" spans="1:45" x14ac:dyDescent="0.25">
      <c r="A268" s="69">
        <f t="shared" ca="1" si="188"/>
        <v>2451.473650187696</v>
      </c>
      <c r="B268" s="69">
        <f t="shared" ca="1" si="189"/>
        <v>2134.331907448644</v>
      </c>
      <c r="C268" s="69">
        <f t="shared" ca="1" si="190"/>
        <v>2228.3560275756909</v>
      </c>
      <c r="D268" s="69">
        <f t="shared" ca="1" si="191"/>
        <v>2908.418812317766</v>
      </c>
      <c r="E268" s="69">
        <f t="shared" ca="1" si="192"/>
        <v>1930.1626729365191</v>
      </c>
      <c r="F268" s="69">
        <f t="shared" ca="1" si="193"/>
        <v>1221.2921476318461</v>
      </c>
      <c r="G268" s="69">
        <f t="shared" ca="1" si="194"/>
        <v>964.35493650552303</v>
      </c>
      <c r="H268" s="69">
        <f t="shared" ca="1" si="195"/>
        <v>1188.5783854678962</v>
      </c>
      <c r="I268" s="69">
        <f t="shared" ca="1" si="196"/>
        <v>1049.1737170333486</v>
      </c>
      <c r="J268" s="69">
        <f t="shared" ca="1" si="197"/>
        <v>1146.3225268708379</v>
      </c>
      <c r="K268" s="69">
        <f t="shared" ca="1" si="198"/>
        <v>1179.712933909889</v>
      </c>
      <c r="L268" s="69">
        <f t="shared" ca="1" si="199"/>
        <v>955.60686696707933</v>
      </c>
      <c r="M268" s="69">
        <f t="shared" ca="1" si="200"/>
        <v>989.24531512191777</v>
      </c>
      <c r="N268" s="69">
        <f t="shared" ca="1" si="201"/>
        <v>574.1514660158989</v>
      </c>
      <c r="O268" s="69">
        <f t="shared" ca="1" si="202"/>
        <v>627.16242507628886</v>
      </c>
      <c r="P268" s="69">
        <f t="shared" ca="1" si="203"/>
        <v>721.65714120428004</v>
      </c>
      <c r="Q268" s="69">
        <f t="shared" ca="1" si="204"/>
        <v>952.65062843940825</v>
      </c>
      <c r="R268" s="69">
        <f t="shared" ca="1" si="205"/>
        <v>784.63713522165335</v>
      </c>
      <c r="S268" s="69">
        <f t="shared" ca="1" si="206"/>
        <v>700.72283662781479</v>
      </c>
      <c r="T268" s="69">
        <f t="shared" ca="1" si="207"/>
        <v>807.88968150330447</v>
      </c>
      <c r="U268" s="69">
        <f t="shared" ca="1" si="208"/>
        <v>1690.7949030252084</v>
      </c>
      <c r="V268" s="69">
        <f t="shared" ca="1" si="209"/>
        <v>1913.1612805551536</v>
      </c>
      <c r="W268" s="69">
        <f t="shared" ca="1" si="210"/>
        <v>1174.6070386509018</v>
      </c>
      <c r="X268" s="69">
        <f t="shared" ca="1" si="211"/>
        <v>1491.598411088208</v>
      </c>
      <c r="Y268" s="69">
        <f t="shared" ca="1" si="212"/>
        <v>1209.4295064558153</v>
      </c>
      <c r="AA268" s="20">
        <f t="shared" ca="1" si="172"/>
        <v>6.5452256570883656E+16</v>
      </c>
      <c r="AB268" s="20">
        <f t="shared" ca="1" si="173"/>
        <v>1683598501413859</v>
      </c>
      <c r="AC268" s="20">
        <f t="shared" ca="1" si="174"/>
        <v>401574487547246.69</v>
      </c>
      <c r="AD268" s="20">
        <f t="shared" ca="1" si="175"/>
        <v>305373792767757.06</v>
      </c>
      <c r="AE268" s="20">
        <f t="shared" ca="1" si="176"/>
        <v>6854370626320906</v>
      </c>
      <c r="AG268" s="16">
        <f t="shared" ca="1" si="177"/>
        <v>-1.0382068715524422E-4</v>
      </c>
      <c r="AH268" s="16">
        <f t="shared" ca="1" si="178"/>
        <v>9.5212274154552192E-5</v>
      </c>
      <c r="AI268" s="16">
        <f t="shared" ca="1" si="179"/>
        <v>-2.8854612008277688E-4</v>
      </c>
      <c r="AJ268" s="16">
        <f t="shared" ca="1" si="180"/>
        <v>-1.2041188824574395E-4</v>
      </c>
      <c r="AK268" s="16">
        <f t="shared" ca="1" si="181"/>
        <v>2.7944791971786306E-4</v>
      </c>
      <c r="AM268" s="16">
        <f t="shared" ca="1" si="182"/>
        <v>-4.1756642132921286E-4</v>
      </c>
      <c r="AO268" s="16">
        <f t="shared" ca="1" si="183"/>
        <v>-1.0382068715524422E-4</v>
      </c>
      <c r="AP268" s="16">
        <f t="shared" ca="1" si="184"/>
        <v>0</v>
      </c>
      <c r="AQ268" s="16">
        <f t="shared" ca="1" si="185"/>
        <v>-2.8854612008277688E-4</v>
      </c>
      <c r="AR268" s="16">
        <f t="shared" ca="1" si="186"/>
        <v>-1.2041188824574395E-4</v>
      </c>
      <c r="AS268" s="16">
        <f t="shared" ca="1" si="187"/>
        <v>0</v>
      </c>
    </row>
    <row r="269" spans="1:45" x14ac:dyDescent="0.25">
      <c r="A269" s="69">
        <f t="shared" ca="1" si="188"/>
        <v>2451.2152203495971</v>
      </c>
      <c r="B269" s="69">
        <f t="shared" ca="1" si="189"/>
        <v>2134.2407002703853</v>
      </c>
      <c r="C269" s="69">
        <f t="shared" ca="1" si="190"/>
        <v>2228.4937985255683</v>
      </c>
      <c r="D269" s="69">
        <f t="shared" ca="1" si="191"/>
        <v>2908.418812317766</v>
      </c>
      <c r="E269" s="69">
        <f t="shared" ca="1" si="192"/>
        <v>1930.1289203629367</v>
      </c>
      <c r="F269" s="69">
        <f t="shared" ca="1" si="193"/>
        <v>1221.2921476318461</v>
      </c>
      <c r="G269" s="69">
        <f t="shared" ca="1" si="194"/>
        <v>964.02157625274936</v>
      </c>
      <c r="H269" s="69">
        <f t="shared" ca="1" si="195"/>
        <v>1188.5783854678962</v>
      </c>
      <c r="I269" s="69">
        <f t="shared" ca="1" si="196"/>
        <v>1049.4838546168828</v>
      </c>
      <c r="J269" s="69">
        <f t="shared" ca="1" si="197"/>
        <v>1146.4892097948907</v>
      </c>
      <c r="K269" s="69">
        <f t="shared" ca="1" si="198"/>
        <v>1179.712933909889</v>
      </c>
      <c r="L269" s="69">
        <f t="shared" ca="1" si="199"/>
        <v>955.16126033326782</v>
      </c>
      <c r="M269" s="69">
        <f t="shared" ca="1" si="200"/>
        <v>989.42128795357303</v>
      </c>
      <c r="N269" s="69">
        <f t="shared" ca="1" si="201"/>
        <v>574.1514660158989</v>
      </c>
      <c r="O269" s="69">
        <f t="shared" ca="1" si="202"/>
        <v>627.16242507628886</v>
      </c>
      <c r="P269" s="69">
        <f t="shared" ca="1" si="203"/>
        <v>721.42329502253892</v>
      </c>
      <c r="Q269" s="69">
        <f t="shared" ca="1" si="204"/>
        <v>952.61654714802535</v>
      </c>
      <c r="R269" s="69">
        <f t="shared" ca="1" si="205"/>
        <v>784.40950357023439</v>
      </c>
      <c r="S269" s="69">
        <f t="shared" ca="1" si="206"/>
        <v>700.96218620293098</v>
      </c>
      <c r="T269" s="69">
        <f t="shared" ca="1" si="207"/>
        <v>808.04165414387944</v>
      </c>
      <c r="U269" s="69">
        <f t="shared" ca="1" si="208"/>
        <v>1691.2914273102344</v>
      </c>
      <c r="V269" s="69">
        <f t="shared" ca="1" si="209"/>
        <v>1913.6261375793133</v>
      </c>
      <c r="W269" s="69">
        <f t="shared" ca="1" si="210"/>
        <v>1174.6070386509018</v>
      </c>
      <c r="X269" s="69">
        <f t="shared" ca="1" si="211"/>
        <v>1491.2149388715809</v>
      </c>
      <c r="Y269" s="69">
        <f t="shared" ca="1" si="212"/>
        <v>1209.4295064558153</v>
      </c>
      <c r="AA269" s="20">
        <f t="shared" ca="1" si="172"/>
        <v>6.5445461625364664E+16</v>
      </c>
      <c r="AB269" s="20">
        <f t="shared" ca="1" si="173"/>
        <v>1683758808287411.8</v>
      </c>
      <c r="AC269" s="20">
        <f t="shared" ca="1" si="174"/>
        <v>401458631502650.63</v>
      </c>
      <c r="AD269" s="20">
        <f t="shared" ca="1" si="175"/>
        <v>305337024346471.06</v>
      </c>
      <c r="AE269" s="20">
        <f t="shared" ca="1" si="176"/>
        <v>6856286333591146</v>
      </c>
      <c r="AG269" s="16">
        <f t="shared" ca="1" si="177"/>
        <v>3.673761675851151E-4</v>
      </c>
      <c r="AH269" s="16">
        <f t="shared" ca="1" si="178"/>
        <v>3.4185776743981595E-4</v>
      </c>
      <c r="AI269" s="16">
        <f t="shared" ca="1" si="179"/>
        <v>-3.4930821046353104E-4</v>
      </c>
      <c r="AJ269" s="16">
        <f t="shared" ca="1" si="180"/>
        <v>-1.5792514409629377E-3</v>
      </c>
      <c r="AK269" s="16">
        <f t="shared" ca="1" si="181"/>
        <v>9.5193195605995944E-4</v>
      </c>
      <c r="AM269" s="16">
        <f t="shared" ca="1" si="182"/>
        <v>-1.2193257164015378E-3</v>
      </c>
      <c r="AO269" s="16">
        <f t="shared" ca="1" si="183"/>
        <v>0</v>
      </c>
      <c r="AP269" s="16">
        <f t="shared" ca="1" si="184"/>
        <v>0</v>
      </c>
      <c r="AQ269" s="16">
        <f t="shared" ca="1" si="185"/>
        <v>-3.4930821046353104E-4</v>
      </c>
      <c r="AR269" s="16">
        <f t="shared" ca="1" si="186"/>
        <v>-1.5792514409629377E-3</v>
      </c>
      <c r="AS269" s="16">
        <f t="shared" ca="1" si="187"/>
        <v>0</v>
      </c>
    </row>
    <row r="270" spans="1:45" x14ac:dyDescent="0.25">
      <c r="A270" s="69">
        <f t="shared" ca="1" si="188"/>
        <v>2451.533394844083</v>
      </c>
      <c r="B270" s="69">
        <f t="shared" ca="1" si="189"/>
        <v>2134.730069410356</v>
      </c>
      <c r="C270" s="69">
        <f t="shared" ca="1" si="190"/>
        <v>2228.4637480397719</v>
      </c>
      <c r="D270" s="69">
        <f t="shared" ca="1" si="191"/>
        <v>2908.418812317766</v>
      </c>
      <c r="E270" s="69">
        <f t="shared" ca="1" si="192"/>
        <v>1930.1709949524572</v>
      </c>
      <c r="F270" s="69">
        <f t="shared" ca="1" si="193"/>
        <v>1221.2921476318461</v>
      </c>
      <c r="G270" s="69">
        <f t="shared" ca="1" si="194"/>
        <v>963.73493470509266</v>
      </c>
      <c r="H270" s="69">
        <f t="shared" ca="1" si="195"/>
        <v>1188.5783854678962</v>
      </c>
      <c r="I270" s="69">
        <f t="shared" ca="1" si="196"/>
        <v>1049.7666961696279</v>
      </c>
      <c r="J270" s="69">
        <f t="shared" ca="1" si="197"/>
        <v>1146.9132280833096</v>
      </c>
      <c r="K270" s="69">
        <f t="shared" ca="1" si="198"/>
        <v>1179.712933909889</v>
      </c>
      <c r="L270" s="69">
        <f t="shared" ca="1" si="199"/>
        <v>954.8821419334048</v>
      </c>
      <c r="M270" s="69">
        <f t="shared" ca="1" si="200"/>
        <v>989.15932636779769</v>
      </c>
      <c r="N270" s="69">
        <f t="shared" ca="1" si="201"/>
        <v>573.99041833841068</v>
      </c>
      <c r="O270" s="69">
        <f t="shared" ca="1" si="202"/>
        <v>627.46873662472331</v>
      </c>
      <c r="P270" s="69">
        <f t="shared" ca="1" si="203"/>
        <v>721.42329502253892</v>
      </c>
      <c r="Q270" s="69">
        <f t="shared" ca="1" si="204"/>
        <v>952.28058486521729</v>
      </c>
      <c r="R270" s="69">
        <f t="shared" ca="1" si="205"/>
        <v>783.91419975434542</v>
      </c>
      <c r="S270" s="69">
        <f t="shared" ca="1" si="206"/>
        <v>700.96218620293098</v>
      </c>
      <c r="T270" s="69">
        <f t="shared" ca="1" si="207"/>
        <v>807.56110815192289</v>
      </c>
      <c r="U270" s="69">
        <f t="shared" ca="1" si="208"/>
        <v>1691.504204043594</v>
      </c>
      <c r="V270" s="69">
        <f t="shared" ca="1" si="209"/>
        <v>1913.8594445062865</v>
      </c>
      <c r="W270" s="69">
        <f t="shared" ca="1" si="210"/>
        <v>1174.6879403364148</v>
      </c>
      <c r="X270" s="69">
        <f t="shared" ca="1" si="211"/>
        <v>1491.5861520188753</v>
      </c>
      <c r="Y270" s="69">
        <f t="shared" ca="1" si="212"/>
        <v>1209.8969756570627</v>
      </c>
      <c r="AA270" s="20">
        <f t="shared" ca="1" si="172"/>
        <v>6.5469509145214808E+16</v>
      </c>
      <c r="AB270" s="20">
        <f t="shared" ca="1" si="173"/>
        <v>1684334512713428</v>
      </c>
      <c r="AC270" s="20">
        <f t="shared" ca="1" si="174"/>
        <v>401318423195887.31</v>
      </c>
      <c r="AD270" s="20">
        <f t="shared" ca="1" si="175"/>
        <v>304855200971062.88</v>
      </c>
      <c r="AE270" s="20">
        <f t="shared" ca="1" si="176"/>
        <v>6862816159133692</v>
      </c>
      <c r="AG270" s="16">
        <f t="shared" ca="1" si="177"/>
        <v>1.7152289725270794E-4</v>
      </c>
      <c r="AH270" s="16">
        <f t="shared" ca="1" si="178"/>
        <v>6.2765410322983129E-6</v>
      </c>
      <c r="AI270" s="16">
        <f t="shared" ca="1" si="179"/>
        <v>-2.6975588866319202E-4</v>
      </c>
      <c r="AJ270" s="16">
        <f t="shared" ca="1" si="180"/>
        <v>-6.0432653297696255E-5</v>
      </c>
      <c r="AK270" s="16">
        <f t="shared" ca="1" si="181"/>
        <v>-2.616072725311737E-4</v>
      </c>
      <c r="AM270" s="16">
        <f t="shared" ca="1" si="182"/>
        <v>-1.5238910367588204E-4</v>
      </c>
      <c r="AO270" s="16">
        <f t="shared" ca="1" si="183"/>
        <v>0</v>
      </c>
      <c r="AP270" s="16">
        <f t="shared" ca="1" si="184"/>
        <v>0</v>
      </c>
      <c r="AQ270" s="16">
        <f t="shared" ca="1" si="185"/>
        <v>-2.6975588866319202E-4</v>
      </c>
      <c r="AR270" s="16">
        <f t="shared" ca="1" si="186"/>
        <v>-6.0432653297696255E-5</v>
      </c>
      <c r="AS270" s="16">
        <f t="shared" ca="1" si="187"/>
        <v>-2.616072725311737E-4</v>
      </c>
    </row>
    <row r="271" spans="1:45" x14ac:dyDescent="0.25">
      <c r="A271" s="69">
        <f t="shared" ca="1" si="188"/>
        <v>2451.6360554370176</v>
      </c>
      <c r="B271" s="69">
        <f t="shared" ca="1" si="189"/>
        <v>2134.8327847519454</v>
      </c>
      <c r="C271" s="69">
        <f t="shared" ca="1" si="190"/>
        <v>2228.8942879197161</v>
      </c>
      <c r="D271" s="69">
        <f t="shared" ca="1" si="191"/>
        <v>2908.418812317766</v>
      </c>
      <c r="E271" s="69">
        <f t="shared" ca="1" si="192"/>
        <v>1929.9555051244386</v>
      </c>
      <c r="F271" s="69">
        <f t="shared" ca="1" si="193"/>
        <v>1221.5185110084667</v>
      </c>
      <c r="G271" s="69">
        <f t="shared" ca="1" si="194"/>
        <v>963.73493470509266</v>
      </c>
      <c r="H271" s="69">
        <f t="shared" ca="1" si="195"/>
        <v>1188.7994698482808</v>
      </c>
      <c r="I271" s="69">
        <f t="shared" ca="1" si="196"/>
        <v>1049.3835552455871</v>
      </c>
      <c r="J271" s="69">
        <f t="shared" ca="1" si="197"/>
        <v>1146.9132280833096</v>
      </c>
      <c r="K271" s="69">
        <f t="shared" ca="1" si="198"/>
        <v>1179.712933909889</v>
      </c>
      <c r="L271" s="69">
        <f t="shared" ca="1" si="199"/>
        <v>954.8821419334048</v>
      </c>
      <c r="M271" s="69">
        <f t="shared" ca="1" si="200"/>
        <v>989.15932636779769</v>
      </c>
      <c r="N271" s="69">
        <f t="shared" ca="1" si="201"/>
        <v>573.83560192528603</v>
      </c>
      <c r="O271" s="69">
        <f t="shared" ca="1" si="202"/>
        <v>627.46873662472331</v>
      </c>
      <c r="P271" s="69">
        <f t="shared" ca="1" si="203"/>
        <v>721.5994761427487</v>
      </c>
      <c r="Q271" s="69">
        <f t="shared" ca="1" si="204"/>
        <v>952.14206874563502</v>
      </c>
      <c r="R271" s="69">
        <f t="shared" ca="1" si="205"/>
        <v>783.69188854618346</v>
      </c>
      <c r="S271" s="69">
        <f t="shared" ca="1" si="206"/>
        <v>700.96218620293098</v>
      </c>
      <c r="T271" s="69">
        <f t="shared" ca="1" si="207"/>
        <v>807.6616422217046</v>
      </c>
      <c r="U271" s="69">
        <f t="shared" ca="1" si="208"/>
        <v>1691.3510451431005</v>
      </c>
      <c r="V271" s="69">
        <f t="shared" ca="1" si="209"/>
        <v>1913.8594445062865</v>
      </c>
      <c r="W271" s="69">
        <f t="shared" ca="1" si="210"/>
        <v>1174.6879403364148</v>
      </c>
      <c r="X271" s="69">
        <f t="shared" ca="1" si="211"/>
        <v>1491.720216469407</v>
      </c>
      <c r="Y271" s="69">
        <f t="shared" ca="1" si="212"/>
        <v>1209.5813140471275</v>
      </c>
      <c r="AA271" s="20">
        <f t="shared" ca="1" si="172"/>
        <v>6.5480739628220072E+16</v>
      </c>
      <c r="AB271" s="20">
        <f t="shared" ca="1" si="173"/>
        <v>1684345084541286.5</v>
      </c>
      <c r="AC271" s="20">
        <f t="shared" ca="1" si="174"/>
        <v>401210179788305.88</v>
      </c>
      <c r="AD271" s="20">
        <f t="shared" ca="1" si="175"/>
        <v>304836778319067.06</v>
      </c>
      <c r="AE271" s="20">
        <f t="shared" ca="1" si="176"/>
        <v>6861021031335900</v>
      </c>
      <c r="AG271" s="16">
        <f t="shared" ca="1" si="177"/>
        <v>-1.1299261180625004E-4</v>
      </c>
      <c r="AH271" s="16">
        <f t="shared" ca="1" si="178"/>
        <v>-3.2599495086540721E-4</v>
      </c>
      <c r="AI271" s="16">
        <f t="shared" ca="1" si="179"/>
        <v>-3.1800870780728007E-4</v>
      </c>
      <c r="AJ271" s="16">
        <f t="shared" ca="1" si="180"/>
        <v>5.1124340417854739E-4</v>
      </c>
      <c r="AK271" s="16">
        <f t="shared" ca="1" si="181"/>
        <v>-4.5357788406518666E-5</v>
      </c>
      <c r="AM271" s="16">
        <f t="shared" ca="1" si="182"/>
        <v>-2.4575286630038995E-4</v>
      </c>
      <c r="AO271" s="16">
        <f t="shared" ca="1" si="183"/>
        <v>-1.1299261180625004E-4</v>
      </c>
      <c r="AP271" s="16">
        <f t="shared" ca="1" si="184"/>
        <v>-3.2599495086540721E-4</v>
      </c>
      <c r="AQ271" s="16">
        <f t="shared" ca="1" si="185"/>
        <v>-3.1800870780728007E-4</v>
      </c>
      <c r="AR271" s="16">
        <f t="shared" ca="1" si="186"/>
        <v>0</v>
      </c>
      <c r="AS271" s="16">
        <f t="shared" ca="1" si="187"/>
        <v>-4.5357788406518666E-5</v>
      </c>
    </row>
    <row r="272" spans="1:45" x14ac:dyDescent="0.25">
      <c r="A272" s="69">
        <f t="shared" ca="1" si="188"/>
        <v>2451.351787920903</v>
      </c>
      <c r="B272" s="69">
        <f t="shared" ca="1" si="189"/>
        <v>2134.8327847519454</v>
      </c>
      <c r="C272" s="69">
        <f t="shared" ca="1" si="190"/>
        <v>2228.8080154974687</v>
      </c>
      <c r="D272" s="69">
        <f t="shared" ca="1" si="191"/>
        <v>2908.5400126265872</v>
      </c>
      <c r="E272" s="69">
        <f t="shared" ca="1" si="192"/>
        <v>1929.9555051244386</v>
      </c>
      <c r="F272" s="69">
        <f t="shared" ca="1" si="193"/>
        <v>1221.3359091078098</v>
      </c>
      <c r="G272" s="69">
        <f t="shared" ca="1" si="194"/>
        <v>963.73493470509266</v>
      </c>
      <c r="H272" s="69">
        <f t="shared" ca="1" si="195"/>
        <v>1188.3095787295197</v>
      </c>
      <c r="I272" s="69">
        <f t="shared" ca="1" si="196"/>
        <v>1049.3835552455871</v>
      </c>
      <c r="J272" s="69">
        <f t="shared" ca="1" si="197"/>
        <v>1147.1835618378432</v>
      </c>
      <c r="K272" s="69">
        <f t="shared" ca="1" si="198"/>
        <v>1180.1442314097533</v>
      </c>
      <c r="L272" s="69">
        <f t="shared" ca="1" si="199"/>
        <v>954.8821419334048</v>
      </c>
      <c r="M272" s="69">
        <f t="shared" ca="1" si="200"/>
        <v>989.15932636779769</v>
      </c>
      <c r="N272" s="69">
        <f t="shared" ca="1" si="201"/>
        <v>573.46402178547714</v>
      </c>
      <c r="O272" s="69">
        <f t="shared" ca="1" si="202"/>
        <v>627.44628002852903</v>
      </c>
      <c r="P272" s="69">
        <f t="shared" ca="1" si="203"/>
        <v>721.78488566459225</v>
      </c>
      <c r="Q272" s="69">
        <f t="shared" ca="1" si="204"/>
        <v>952.13857181300421</v>
      </c>
      <c r="R272" s="69">
        <f t="shared" ca="1" si="205"/>
        <v>783.89411238032585</v>
      </c>
      <c r="S272" s="69">
        <f t="shared" ca="1" si="206"/>
        <v>700.96218620293098</v>
      </c>
      <c r="T272" s="69">
        <f t="shared" ca="1" si="207"/>
        <v>807.6616422217046</v>
      </c>
      <c r="U272" s="69">
        <f t="shared" ca="1" si="208"/>
        <v>1690.9690822310747</v>
      </c>
      <c r="V272" s="69">
        <f t="shared" ca="1" si="209"/>
        <v>1913.8594445062865</v>
      </c>
      <c r="W272" s="69">
        <f t="shared" ca="1" si="210"/>
        <v>1174.6879403364148</v>
      </c>
      <c r="X272" s="69">
        <f t="shared" ca="1" si="211"/>
        <v>1491.9341257044716</v>
      </c>
      <c r="Y272" s="69">
        <f t="shared" ca="1" si="212"/>
        <v>1209.6262064627806</v>
      </c>
      <c r="AA272" s="20">
        <f t="shared" ca="1" si="172"/>
        <v>6.5473341206417848E+16</v>
      </c>
      <c r="AB272" s="20">
        <f t="shared" ca="1" si="173"/>
        <v>1683796086038443</v>
      </c>
      <c r="AC272" s="20">
        <f t="shared" ca="1" si="174"/>
        <v>401082611742422.06</v>
      </c>
      <c r="AD272" s="20">
        <f t="shared" ca="1" si="175"/>
        <v>304992663955690.19</v>
      </c>
      <c r="AE272" s="20">
        <f t="shared" ca="1" si="176"/>
        <v>6860709837653290</v>
      </c>
      <c r="AG272" s="16">
        <f t="shared" ca="1" si="177"/>
        <v>1.9110715144014402E-4</v>
      </c>
      <c r="AH272" s="16">
        <f t="shared" ca="1" si="178"/>
        <v>5.4805152037849954E-4</v>
      </c>
      <c r="AI272" s="16">
        <f t="shared" ca="1" si="179"/>
        <v>-4.2882683740514007E-4</v>
      </c>
      <c r="AJ272" s="16">
        <f t="shared" ca="1" si="180"/>
        <v>3.0406239446333463E-4</v>
      </c>
      <c r="AK272" s="16">
        <f t="shared" ca="1" si="181"/>
        <v>-2.651587472148177E-5</v>
      </c>
      <c r="AM272" s="16">
        <f t="shared" ca="1" si="182"/>
        <v>6.1439422887683815E-4</v>
      </c>
      <c r="AO272" s="16">
        <f t="shared" ca="1" si="183"/>
        <v>0</v>
      </c>
      <c r="AP272" s="16">
        <f t="shared" ca="1" si="184"/>
        <v>0</v>
      </c>
      <c r="AQ272" s="16">
        <f t="shared" ca="1" si="185"/>
        <v>-4.2882683740514007E-4</v>
      </c>
      <c r="AR272" s="16">
        <f t="shared" ca="1" si="186"/>
        <v>0</v>
      </c>
      <c r="AS272" s="16">
        <f t="shared" ca="1" si="187"/>
        <v>-2.651587472148177E-5</v>
      </c>
    </row>
    <row r="273" spans="1:45" x14ac:dyDescent="0.25">
      <c r="A273" s="69">
        <f t="shared" ca="1" si="188"/>
        <v>2451.351787920903</v>
      </c>
      <c r="B273" s="69">
        <f t="shared" ca="1" si="189"/>
        <v>2134.8327847519454</v>
      </c>
      <c r="C273" s="69">
        <f t="shared" ca="1" si="190"/>
        <v>2228.6329968300656</v>
      </c>
      <c r="D273" s="69">
        <f t="shared" ca="1" si="191"/>
        <v>2908.923264905161</v>
      </c>
      <c r="E273" s="69">
        <f t="shared" ca="1" si="192"/>
        <v>1930.2216193130112</v>
      </c>
      <c r="F273" s="69">
        <f t="shared" ca="1" si="193"/>
        <v>1221.5599216230237</v>
      </c>
      <c r="G273" s="69">
        <f t="shared" ca="1" si="194"/>
        <v>964.1830383454934</v>
      </c>
      <c r="H273" s="69">
        <f t="shared" ca="1" si="195"/>
        <v>1188.0313957107351</v>
      </c>
      <c r="I273" s="69">
        <f t="shared" ca="1" si="196"/>
        <v>1049.8163910297044</v>
      </c>
      <c r="J273" s="69">
        <f t="shared" ca="1" si="197"/>
        <v>1146.8641619192808</v>
      </c>
      <c r="K273" s="69">
        <f t="shared" ca="1" si="198"/>
        <v>1179.7576683532607</v>
      </c>
      <c r="L273" s="69">
        <f t="shared" ca="1" si="199"/>
        <v>954.41635025952814</v>
      </c>
      <c r="M273" s="69">
        <f t="shared" ca="1" si="200"/>
        <v>988.94408167123811</v>
      </c>
      <c r="N273" s="69">
        <f t="shared" ca="1" si="201"/>
        <v>573.46402178547714</v>
      </c>
      <c r="O273" s="69">
        <f t="shared" ca="1" si="202"/>
        <v>627.82557868974811</v>
      </c>
      <c r="P273" s="69">
        <f t="shared" ca="1" si="203"/>
        <v>721.78488566459225</v>
      </c>
      <c r="Q273" s="69">
        <f t="shared" ca="1" si="204"/>
        <v>952.13857181300421</v>
      </c>
      <c r="R273" s="69">
        <f t="shared" ca="1" si="205"/>
        <v>784.31317855429074</v>
      </c>
      <c r="S273" s="69">
        <f t="shared" ca="1" si="206"/>
        <v>700.80071002570696</v>
      </c>
      <c r="T273" s="69">
        <f t="shared" ca="1" si="207"/>
        <v>807.6616422217046</v>
      </c>
      <c r="U273" s="69">
        <f t="shared" ca="1" si="208"/>
        <v>1690.6843049532943</v>
      </c>
      <c r="V273" s="69">
        <f t="shared" ca="1" si="209"/>
        <v>1914.2383182434928</v>
      </c>
      <c r="W273" s="69">
        <f t="shared" ca="1" si="210"/>
        <v>1174.6221190072288</v>
      </c>
      <c r="X273" s="69">
        <f t="shared" ca="1" si="211"/>
        <v>1491.9341257044716</v>
      </c>
      <c r="Y273" s="69">
        <f t="shared" ca="1" si="212"/>
        <v>1209.6262064627806</v>
      </c>
      <c r="AA273" s="20">
        <f t="shared" ca="1" si="172"/>
        <v>6.5485854825834064E+16</v>
      </c>
      <c r="AB273" s="20">
        <f t="shared" ca="1" si="173"/>
        <v>1684719145962496.8</v>
      </c>
      <c r="AC273" s="20">
        <f t="shared" ca="1" si="174"/>
        <v>400910653627252.88</v>
      </c>
      <c r="AD273" s="20">
        <f t="shared" ca="1" si="175"/>
        <v>305085414855702.06</v>
      </c>
      <c r="AE273" s="20">
        <f t="shared" ca="1" si="176"/>
        <v>6860527922342567</v>
      </c>
      <c r="AG273" s="16">
        <f t="shared" ca="1" si="177"/>
        <v>-1.3013774392688773E-4</v>
      </c>
      <c r="AH273" s="16">
        <f t="shared" ca="1" si="178"/>
        <v>-5.8484520431744715E-4</v>
      </c>
      <c r="AI273" s="16">
        <f t="shared" ca="1" si="179"/>
        <v>4.3776673325007011E-4</v>
      </c>
      <c r="AJ273" s="16">
        <f t="shared" ca="1" si="180"/>
        <v>-6.4662341250833709E-4</v>
      </c>
      <c r="AK273" s="16">
        <f t="shared" ca="1" si="181"/>
        <v>2.6260587248346602E-4</v>
      </c>
      <c r="AM273" s="16">
        <f t="shared" ca="1" si="182"/>
        <v>-9.2383962750260183E-4</v>
      </c>
      <c r="AO273" s="16">
        <f t="shared" ca="1" si="183"/>
        <v>-1.3013774392688773E-4</v>
      </c>
      <c r="AP273" s="16">
        <f t="shared" ca="1" si="184"/>
        <v>-5.8484520431744715E-4</v>
      </c>
      <c r="AQ273" s="16">
        <f t="shared" ca="1" si="185"/>
        <v>0</v>
      </c>
      <c r="AR273" s="16">
        <f t="shared" ca="1" si="186"/>
        <v>-6.4662341250833709E-4</v>
      </c>
      <c r="AS273" s="16">
        <f t="shared" ca="1" si="187"/>
        <v>0</v>
      </c>
    </row>
    <row r="274" spans="1:45" x14ac:dyDescent="0.25">
      <c r="A274" s="69">
        <f t="shared" ca="1" si="188"/>
        <v>2451.351787920903</v>
      </c>
      <c r="B274" s="69">
        <f t="shared" ca="1" si="189"/>
        <v>2134.8327847519454</v>
      </c>
      <c r="C274" s="69">
        <f t="shared" ca="1" si="190"/>
        <v>2228.6329968300656</v>
      </c>
      <c r="D274" s="69">
        <f t="shared" ca="1" si="191"/>
        <v>2908.923264905161</v>
      </c>
      <c r="E274" s="69">
        <f t="shared" ca="1" si="192"/>
        <v>1929.9704409704409</v>
      </c>
      <c r="F274" s="69">
        <f t="shared" ca="1" si="193"/>
        <v>1221.4176219367184</v>
      </c>
      <c r="G274" s="69">
        <f t="shared" ca="1" si="194"/>
        <v>964.1830383454934</v>
      </c>
      <c r="H274" s="69">
        <f t="shared" ca="1" si="195"/>
        <v>1188.0313957107351</v>
      </c>
      <c r="I274" s="69">
        <f t="shared" ca="1" si="196"/>
        <v>1049.6323702505811</v>
      </c>
      <c r="J274" s="69">
        <f t="shared" ca="1" si="197"/>
        <v>1146.5281290639616</v>
      </c>
      <c r="K274" s="69">
        <f t="shared" ca="1" si="198"/>
        <v>1179.5061616808762</v>
      </c>
      <c r="L274" s="69">
        <f t="shared" ca="1" si="199"/>
        <v>954.29210124420467</v>
      </c>
      <c r="M274" s="69">
        <f t="shared" ca="1" si="200"/>
        <v>989.38849723867963</v>
      </c>
      <c r="N274" s="69">
        <f t="shared" ca="1" si="201"/>
        <v>573.35165520338967</v>
      </c>
      <c r="O274" s="69">
        <f t="shared" ca="1" si="202"/>
        <v>628.15706138169105</v>
      </c>
      <c r="P274" s="69">
        <f t="shared" ca="1" si="203"/>
        <v>721.29401942488948</v>
      </c>
      <c r="Q274" s="69">
        <f t="shared" ca="1" si="204"/>
        <v>951.82218090190133</v>
      </c>
      <c r="R274" s="69">
        <f t="shared" ca="1" si="205"/>
        <v>784.55130801129746</v>
      </c>
      <c r="S274" s="69">
        <f t="shared" ca="1" si="206"/>
        <v>700.84448464040179</v>
      </c>
      <c r="T274" s="69">
        <f t="shared" ca="1" si="207"/>
        <v>807.6616422217046</v>
      </c>
      <c r="U274" s="69">
        <f t="shared" ca="1" si="208"/>
        <v>1690.6843049532943</v>
      </c>
      <c r="V274" s="69">
        <f t="shared" ca="1" si="209"/>
        <v>1914.2383182434928</v>
      </c>
      <c r="W274" s="69">
        <f t="shared" ca="1" si="210"/>
        <v>1174.9306221792283</v>
      </c>
      <c r="X274" s="69">
        <f t="shared" ca="1" si="211"/>
        <v>1491.9341257044716</v>
      </c>
      <c r="Y274" s="69">
        <f t="shared" ca="1" si="212"/>
        <v>1209.6262064627806</v>
      </c>
      <c r="AA274" s="20">
        <f t="shared" ca="1" si="172"/>
        <v>6.5477333198932584E+16</v>
      </c>
      <c r="AB274" s="20">
        <f t="shared" ca="1" si="173"/>
        <v>1683734134117162.3</v>
      </c>
      <c r="AC274" s="20">
        <f t="shared" ca="1" si="174"/>
        <v>401086197395223.94</v>
      </c>
      <c r="AD274" s="20">
        <f t="shared" ca="1" si="175"/>
        <v>304888203251333.38</v>
      </c>
      <c r="AE274" s="20">
        <f t="shared" ca="1" si="176"/>
        <v>6862329773841348</v>
      </c>
      <c r="AG274" s="16">
        <f t="shared" ca="1" si="177"/>
        <v>1.0582620256224443E-4</v>
      </c>
      <c r="AH274" s="16">
        <f t="shared" ca="1" si="178"/>
        <v>-2.0925881173151326E-4</v>
      </c>
      <c r="AI274" s="16">
        <f t="shared" ca="1" si="179"/>
        <v>-4.8841750040579969E-4</v>
      </c>
      <c r="AJ274" s="16">
        <f t="shared" ca="1" si="180"/>
        <v>2.385177646133138E-6</v>
      </c>
      <c r="AK274" s="16">
        <f t="shared" ca="1" si="181"/>
        <v>-7.6357380232144789E-5</v>
      </c>
      <c r="AM274" s="16">
        <f t="shared" ca="1" si="182"/>
        <v>-5.8946493192893544E-4</v>
      </c>
      <c r="AO274" s="16">
        <f t="shared" ca="1" si="183"/>
        <v>0</v>
      </c>
      <c r="AP274" s="16">
        <f t="shared" ca="1" si="184"/>
        <v>-2.0925881173151326E-4</v>
      </c>
      <c r="AQ274" s="16">
        <f t="shared" ca="1" si="185"/>
        <v>-4.8841750040579969E-4</v>
      </c>
      <c r="AR274" s="16">
        <f t="shared" ca="1" si="186"/>
        <v>0</v>
      </c>
      <c r="AS274" s="16">
        <f t="shared" ca="1" si="187"/>
        <v>-7.6357380232144789E-5</v>
      </c>
    </row>
    <row r="275" spans="1:45" x14ac:dyDescent="0.25">
      <c r="A275" s="69">
        <f t="shared" ca="1" si="188"/>
        <v>2450.9891064094836</v>
      </c>
      <c r="B275" s="69">
        <f t="shared" ca="1" si="189"/>
        <v>2134.7970908926131</v>
      </c>
      <c r="C275" s="69">
        <f t="shared" ca="1" si="190"/>
        <v>2228.6329968300656</v>
      </c>
      <c r="D275" s="69">
        <f t="shared" ca="1" si="191"/>
        <v>2909.2854494890476</v>
      </c>
      <c r="E275" s="69">
        <f t="shared" ca="1" si="192"/>
        <v>1930.2522532375574</v>
      </c>
      <c r="F275" s="69">
        <f t="shared" ca="1" si="193"/>
        <v>1221.4389159119319</v>
      </c>
      <c r="G275" s="69">
        <f t="shared" ca="1" si="194"/>
        <v>964.1830383454934</v>
      </c>
      <c r="H275" s="69">
        <f t="shared" ca="1" si="195"/>
        <v>1188.0313957107351</v>
      </c>
      <c r="I275" s="69">
        <f t="shared" ca="1" si="196"/>
        <v>1049.6323702505811</v>
      </c>
      <c r="J275" s="69">
        <f t="shared" ca="1" si="197"/>
        <v>1146.2682492165486</v>
      </c>
      <c r="K275" s="69">
        <f t="shared" ca="1" si="198"/>
        <v>1179.5061616808762</v>
      </c>
      <c r="L275" s="69">
        <f t="shared" ca="1" si="199"/>
        <v>954.27411879953706</v>
      </c>
      <c r="M275" s="69">
        <f t="shared" ca="1" si="200"/>
        <v>989.30250185027717</v>
      </c>
      <c r="N275" s="69">
        <f t="shared" ca="1" si="201"/>
        <v>572.8939321007872</v>
      </c>
      <c r="O275" s="69">
        <f t="shared" ca="1" si="202"/>
        <v>628.41842624861886</v>
      </c>
      <c r="P275" s="69">
        <f t="shared" ca="1" si="203"/>
        <v>721.24313401449376</v>
      </c>
      <c r="Q275" s="69">
        <f t="shared" ca="1" si="204"/>
        <v>951.54371787563616</v>
      </c>
      <c r="R275" s="69">
        <f t="shared" ca="1" si="205"/>
        <v>784.94984030540843</v>
      </c>
      <c r="S275" s="69">
        <f t="shared" ca="1" si="206"/>
        <v>700.7447544592934</v>
      </c>
      <c r="T275" s="69">
        <f t="shared" ca="1" si="207"/>
        <v>807.6616422217046</v>
      </c>
      <c r="U275" s="69">
        <f t="shared" ca="1" si="208"/>
        <v>1690.6843049532943</v>
      </c>
      <c r="V275" s="69">
        <f t="shared" ca="1" si="209"/>
        <v>1914.0147722050365</v>
      </c>
      <c r="W275" s="69">
        <f t="shared" ca="1" si="210"/>
        <v>1174.7739817746324</v>
      </c>
      <c r="X275" s="69">
        <f t="shared" ca="1" si="211"/>
        <v>1492.1933834998815</v>
      </c>
      <c r="Y275" s="69">
        <f t="shared" ca="1" si="212"/>
        <v>1209.6262064627806</v>
      </c>
      <c r="AA275" s="20">
        <f t="shared" ca="1" si="172"/>
        <v>6.5484262783118248E+16</v>
      </c>
      <c r="AB275" s="20">
        <f t="shared" ca="1" si="173"/>
        <v>1683381834775141.5</v>
      </c>
      <c r="AC275" s="20">
        <f t="shared" ca="1" si="174"/>
        <v>400890347709345.25</v>
      </c>
      <c r="AD275" s="20">
        <f t="shared" ca="1" si="175"/>
        <v>304888930464727.63</v>
      </c>
      <c r="AE275" s="20">
        <f t="shared" ca="1" si="176"/>
        <v>6861805804322253</v>
      </c>
      <c r="AG275" s="16">
        <f t="shared" ca="1" si="177"/>
        <v>-3.4290234453971329E-4</v>
      </c>
      <c r="AH275" s="16">
        <f t="shared" ca="1" si="178"/>
        <v>4.2975143382177882E-4</v>
      </c>
      <c r="AI275" s="16">
        <f t="shared" ca="1" si="179"/>
        <v>-6.7035760586275645E-4</v>
      </c>
      <c r="AJ275" s="16">
        <f t="shared" ca="1" si="180"/>
        <v>4.8520228610792582E-4</v>
      </c>
      <c r="AK275" s="16">
        <f t="shared" ca="1" si="181"/>
        <v>-4.0333194007058029E-4</v>
      </c>
      <c r="AM275" s="16">
        <f t="shared" ca="1" si="182"/>
        <v>-9.8306230472765103E-5</v>
      </c>
      <c r="AO275" s="16">
        <f t="shared" ca="1" si="183"/>
        <v>-3.4290234453971329E-4</v>
      </c>
      <c r="AP275" s="16">
        <f t="shared" ca="1" si="184"/>
        <v>0</v>
      </c>
      <c r="AQ275" s="16">
        <f t="shared" ca="1" si="185"/>
        <v>-6.7035760586275645E-4</v>
      </c>
      <c r="AR275" s="16">
        <f t="shared" ca="1" si="186"/>
        <v>0</v>
      </c>
      <c r="AS275" s="16">
        <f t="shared" ca="1" si="187"/>
        <v>-4.0333194007058029E-4</v>
      </c>
    </row>
    <row r="276" spans="1:45" x14ac:dyDescent="0.25">
      <c r="A276" s="69">
        <f t="shared" ca="1" si="188"/>
        <v>2450.9129605173002</v>
      </c>
      <c r="B276" s="69">
        <f t="shared" ca="1" si="189"/>
        <v>2134.7970908926131</v>
      </c>
      <c r="C276" s="69">
        <f t="shared" ca="1" si="190"/>
        <v>2228.417206667581</v>
      </c>
      <c r="D276" s="69">
        <f t="shared" ca="1" si="191"/>
        <v>2909.2854494890476</v>
      </c>
      <c r="E276" s="69">
        <f t="shared" ca="1" si="192"/>
        <v>1929.8372868268764</v>
      </c>
      <c r="F276" s="69">
        <f t="shared" ca="1" si="193"/>
        <v>1221.8199159538506</v>
      </c>
      <c r="G276" s="69">
        <f t="shared" ca="1" si="194"/>
        <v>964.1830383454934</v>
      </c>
      <c r="H276" s="69">
        <f t="shared" ca="1" si="195"/>
        <v>1188.0852739745178</v>
      </c>
      <c r="I276" s="69">
        <f t="shared" ca="1" si="196"/>
        <v>1049.6514639394663</v>
      </c>
      <c r="J276" s="69">
        <f t="shared" ca="1" si="197"/>
        <v>1146.3305303442899</v>
      </c>
      <c r="K276" s="69">
        <f t="shared" ca="1" si="198"/>
        <v>1179.2060496607562</v>
      </c>
      <c r="L276" s="69">
        <f t="shared" ca="1" si="199"/>
        <v>954.58104721403697</v>
      </c>
      <c r="M276" s="69">
        <f t="shared" ca="1" si="200"/>
        <v>989.30250185027717</v>
      </c>
      <c r="N276" s="69">
        <f t="shared" ca="1" si="201"/>
        <v>572.4715955944672</v>
      </c>
      <c r="O276" s="69">
        <f t="shared" ca="1" si="202"/>
        <v>628.41842624861886</v>
      </c>
      <c r="P276" s="69">
        <f t="shared" ca="1" si="203"/>
        <v>721.24313401449376</v>
      </c>
      <c r="Q276" s="69">
        <f t="shared" ca="1" si="204"/>
        <v>951.91652952699224</v>
      </c>
      <c r="R276" s="69">
        <f t="shared" ca="1" si="205"/>
        <v>784.57711280874219</v>
      </c>
      <c r="S276" s="69">
        <f t="shared" ca="1" si="206"/>
        <v>700.7447544592934</v>
      </c>
      <c r="T276" s="69">
        <f t="shared" ca="1" si="207"/>
        <v>808.12087795393597</v>
      </c>
      <c r="U276" s="69">
        <f t="shared" ca="1" si="208"/>
        <v>1690.6843049532943</v>
      </c>
      <c r="V276" s="69">
        <f t="shared" ca="1" si="209"/>
        <v>1913.7875679626777</v>
      </c>
      <c r="W276" s="69">
        <f t="shared" ca="1" si="210"/>
        <v>1174.7739817746324</v>
      </c>
      <c r="X276" s="69">
        <f t="shared" ca="1" si="211"/>
        <v>1491.7401700946787</v>
      </c>
      <c r="Y276" s="69">
        <f t="shared" ca="1" si="212"/>
        <v>1209.6493707760346</v>
      </c>
      <c r="AA276" s="20">
        <f t="shared" ca="1" si="172"/>
        <v>6.5461811925325336E+16</v>
      </c>
      <c r="AB276" s="20">
        <f t="shared" ca="1" si="173"/>
        <v>1684105426003353.3</v>
      </c>
      <c r="AC276" s="20">
        <f t="shared" ca="1" si="174"/>
        <v>400621697871432.88</v>
      </c>
      <c r="AD276" s="20">
        <f t="shared" ca="1" si="175"/>
        <v>305036899165271.06</v>
      </c>
      <c r="AE276" s="20">
        <f t="shared" ca="1" si="176"/>
        <v>6859038776927583</v>
      </c>
      <c r="AG276" s="16">
        <f t="shared" ca="1" si="177"/>
        <v>2.4845798208671197E-4</v>
      </c>
      <c r="AH276" s="16">
        <f t="shared" ca="1" si="178"/>
        <v>2.4902293102700457E-4</v>
      </c>
      <c r="AI276" s="16">
        <f t="shared" ca="1" si="179"/>
        <v>-1.5059517316124021E-4</v>
      </c>
      <c r="AJ276" s="16">
        <f t="shared" ca="1" si="180"/>
        <v>-2.6657105918098228E-4</v>
      </c>
      <c r="AK276" s="16">
        <f t="shared" ca="1" si="181"/>
        <v>1.2169398220664337E-4</v>
      </c>
      <c r="AM276" s="16">
        <f t="shared" ca="1" si="182"/>
        <v>8.0314680771494085E-5</v>
      </c>
      <c r="AO276" s="16">
        <f t="shared" ca="1" si="183"/>
        <v>0</v>
      </c>
      <c r="AP276" s="16">
        <f t="shared" ca="1" si="184"/>
        <v>0</v>
      </c>
      <c r="AQ276" s="16">
        <f t="shared" ca="1" si="185"/>
        <v>-1.5059517316124021E-4</v>
      </c>
      <c r="AR276" s="16">
        <f t="shared" ca="1" si="186"/>
        <v>-2.6657105918098228E-4</v>
      </c>
      <c r="AS276" s="16">
        <f t="shared" ca="1" si="187"/>
        <v>0</v>
      </c>
    </row>
    <row r="277" spans="1:45" x14ac:dyDescent="0.25">
      <c r="A277" s="69">
        <f t="shared" ca="1" si="188"/>
        <v>2451.3196189594869</v>
      </c>
      <c r="B277" s="69">
        <f t="shared" ca="1" si="189"/>
        <v>2134.7970908926131</v>
      </c>
      <c r="C277" s="69">
        <f t="shared" ca="1" si="190"/>
        <v>2228.417206667581</v>
      </c>
      <c r="D277" s="69">
        <f t="shared" ca="1" si="191"/>
        <v>2909.2180805809435</v>
      </c>
      <c r="E277" s="69">
        <f t="shared" ca="1" si="192"/>
        <v>1930.0412955329809</v>
      </c>
      <c r="F277" s="69">
        <f t="shared" ca="1" si="193"/>
        <v>1221.7454312291879</v>
      </c>
      <c r="G277" s="69">
        <f t="shared" ca="1" si="194"/>
        <v>964.12773399160176</v>
      </c>
      <c r="H277" s="69">
        <f t="shared" ca="1" si="195"/>
        <v>1187.771049325273</v>
      </c>
      <c r="I277" s="69">
        <f t="shared" ca="1" si="196"/>
        <v>1050.0144713602015</v>
      </c>
      <c r="J277" s="69">
        <f t="shared" ca="1" si="197"/>
        <v>1146.6585261653318</v>
      </c>
      <c r="K277" s="69">
        <f t="shared" ca="1" si="198"/>
        <v>1179.2060496607562</v>
      </c>
      <c r="L277" s="69">
        <f t="shared" ca="1" si="199"/>
        <v>954.82786079393054</v>
      </c>
      <c r="M277" s="69">
        <f t="shared" ca="1" si="200"/>
        <v>989.39338834095065</v>
      </c>
      <c r="N277" s="69">
        <f t="shared" ca="1" si="201"/>
        <v>572.4715955944672</v>
      </c>
      <c r="O277" s="69">
        <f t="shared" ca="1" si="202"/>
        <v>628.10367766998002</v>
      </c>
      <c r="P277" s="69">
        <f t="shared" ca="1" si="203"/>
        <v>721.24313401449376</v>
      </c>
      <c r="Q277" s="69">
        <f t="shared" ca="1" si="204"/>
        <v>951.91652952699224</v>
      </c>
      <c r="R277" s="69">
        <f t="shared" ca="1" si="205"/>
        <v>784.467092268128</v>
      </c>
      <c r="S277" s="69">
        <f t="shared" ca="1" si="206"/>
        <v>701.00355954763734</v>
      </c>
      <c r="T277" s="69">
        <f t="shared" ca="1" si="207"/>
        <v>807.72047848769262</v>
      </c>
      <c r="U277" s="69">
        <f t="shared" ca="1" si="208"/>
        <v>1690.8003513017702</v>
      </c>
      <c r="V277" s="69">
        <f t="shared" ca="1" si="209"/>
        <v>1913.8891117315075</v>
      </c>
      <c r="W277" s="69">
        <f t="shared" ca="1" si="210"/>
        <v>1174.7739817746324</v>
      </c>
      <c r="X277" s="69">
        <f t="shared" ca="1" si="211"/>
        <v>1491.7401700946787</v>
      </c>
      <c r="Y277" s="69">
        <f t="shared" ca="1" si="212"/>
        <v>1209.6493707760346</v>
      </c>
      <c r="AA277" s="20">
        <f t="shared" ca="1" si="172"/>
        <v>6.5478078455711024E+16</v>
      </c>
      <c r="AB277" s="20">
        <f t="shared" ca="1" si="173"/>
        <v>1684524859094756.5</v>
      </c>
      <c r="AC277" s="20">
        <f t="shared" ca="1" si="174"/>
        <v>400561370720072.69</v>
      </c>
      <c r="AD277" s="20">
        <f t="shared" ca="1" si="175"/>
        <v>304955595992989.13</v>
      </c>
      <c r="AE277" s="20">
        <f t="shared" ca="1" si="176"/>
        <v>6859873531461729</v>
      </c>
      <c r="AG277" s="16">
        <f t="shared" ca="1" si="177"/>
        <v>-2.5685136652068563E-5</v>
      </c>
      <c r="AH277" s="16">
        <f t="shared" ca="1" si="178"/>
        <v>3.4614614027422467E-4</v>
      </c>
      <c r="AI277" s="16">
        <f t="shared" ca="1" si="179"/>
        <v>1.4656434207958733E-4</v>
      </c>
      <c r="AJ277" s="16">
        <f t="shared" ca="1" si="180"/>
        <v>3.8743431226318767E-4</v>
      </c>
      <c r="AK277" s="16">
        <f t="shared" ca="1" si="181"/>
        <v>6.8623184226330192E-5</v>
      </c>
      <c r="AM277" s="16">
        <f t="shared" ca="1" si="182"/>
        <v>8.5445965796493114E-4</v>
      </c>
      <c r="AO277" s="16">
        <f t="shared" ca="1" si="183"/>
        <v>-2.5685136652068563E-5</v>
      </c>
      <c r="AP277" s="16">
        <f t="shared" ca="1" si="184"/>
        <v>0</v>
      </c>
      <c r="AQ277" s="16">
        <f t="shared" ca="1" si="185"/>
        <v>0</v>
      </c>
      <c r="AR277" s="16">
        <f t="shared" ca="1" si="186"/>
        <v>0</v>
      </c>
      <c r="AS277" s="16">
        <f t="shared" ca="1" si="187"/>
        <v>0</v>
      </c>
    </row>
    <row r="278" spans="1:45" x14ac:dyDescent="0.25">
      <c r="A278" s="69">
        <f t="shared" ca="1" si="188"/>
        <v>2451.3196189594869</v>
      </c>
      <c r="B278" s="69">
        <f t="shared" ca="1" si="189"/>
        <v>2134.7970908926131</v>
      </c>
      <c r="C278" s="69">
        <f t="shared" ca="1" si="190"/>
        <v>2228.1796249549602</v>
      </c>
      <c r="D278" s="69">
        <f t="shared" ca="1" si="191"/>
        <v>2909.2180805809435</v>
      </c>
      <c r="E278" s="69">
        <f t="shared" ca="1" si="192"/>
        <v>1930.1975099470621</v>
      </c>
      <c r="F278" s="69">
        <f t="shared" ca="1" si="193"/>
        <v>1221.7454312291879</v>
      </c>
      <c r="G278" s="69">
        <f t="shared" ca="1" si="194"/>
        <v>964.12773399160176</v>
      </c>
      <c r="H278" s="69">
        <f t="shared" ca="1" si="195"/>
        <v>1188.0553916291369</v>
      </c>
      <c r="I278" s="69">
        <f t="shared" ca="1" si="196"/>
        <v>1049.9614481535448</v>
      </c>
      <c r="J278" s="69">
        <f t="shared" ca="1" si="197"/>
        <v>1146.8388892694704</v>
      </c>
      <c r="K278" s="69">
        <f t="shared" ca="1" si="198"/>
        <v>1179.2060496607562</v>
      </c>
      <c r="L278" s="69">
        <f t="shared" ca="1" si="199"/>
        <v>954.91032131113411</v>
      </c>
      <c r="M278" s="69">
        <f t="shared" ca="1" si="200"/>
        <v>989.39338834095065</v>
      </c>
      <c r="N278" s="69">
        <f t="shared" ca="1" si="201"/>
        <v>572.50606309334876</v>
      </c>
      <c r="O278" s="69">
        <f t="shared" ca="1" si="202"/>
        <v>628.10367766998002</v>
      </c>
      <c r="P278" s="69">
        <f t="shared" ca="1" si="203"/>
        <v>721.04333493328875</v>
      </c>
      <c r="Q278" s="69">
        <f t="shared" ca="1" si="204"/>
        <v>951.54226610831836</v>
      </c>
      <c r="R278" s="69">
        <f t="shared" ca="1" si="205"/>
        <v>784.91567482935011</v>
      </c>
      <c r="S278" s="69">
        <f t="shared" ca="1" si="206"/>
        <v>701.17710081726318</v>
      </c>
      <c r="T278" s="69">
        <f t="shared" ca="1" si="207"/>
        <v>807.91317566589817</v>
      </c>
      <c r="U278" s="69">
        <f t="shared" ca="1" si="208"/>
        <v>1690.6111639592136</v>
      </c>
      <c r="V278" s="69">
        <f t="shared" ca="1" si="209"/>
        <v>1914.2346412961524</v>
      </c>
      <c r="W278" s="69">
        <f t="shared" ca="1" si="210"/>
        <v>1174.7739817746324</v>
      </c>
      <c r="X278" s="69">
        <f t="shared" ca="1" si="211"/>
        <v>1491.7401700946787</v>
      </c>
      <c r="Y278" s="69">
        <f t="shared" ca="1" si="212"/>
        <v>1209.6493707760346</v>
      </c>
      <c r="AA278" s="20">
        <f t="shared" ca="1" si="172"/>
        <v>6.5476396663916792E+16</v>
      </c>
      <c r="AB278" s="20">
        <f t="shared" ca="1" si="173"/>
        <v>1685108051802057.5</v>
      </c>
      <c r="AC278" s="20">
        <f t="shared" ca="1" si="174"/>
        <v>400620083036295.69</v>
      </c>
      <c r="AD278" s="20">
        <f t="shared" ca="1" si="175"/>
        <v>305073769145282.25</v>
      </c>
      <c r="AE278" s="20">
        <f t="shared" ca="1" si="176"/>
        <v>6860344293979274</v>
      </c>
      <c r="AG278" s="16">
        <f t="shared" ca="1" si="177"/>
        <v>-4.1203265004245212E-6</v>
      </c>
      <c r="AH278" s="16">
        <f t="shared" ca="1" si="178"/>
        <v>6.162361931960949E-4</v>
      </c>
      <c r="AI278" s="16">
        <f t="shared" ca="1" si="179"/>
        <v>-2.4930193230329642E-4</v>
      </c>
      <c r="AJ278" s="16">
        <f t="shared" ca="1" si="180"/>
        <v>6.6259908123624683E-4</v>
      </c>
      <c r="AK278" s="16">
        <f t="shared" ca="1" si="181"/>
        <v>-1.4090361001549445E-4</v>
      </c>
      <c r="AM278" s="16">
        <f t="shared" ca="1" si="182"/>
        <v>1.0254130156286208E-3</v>
      </c>
      <c r="AO278" s="16">
        <f t="shared" ca="1" si="183"/>
        <v>-4.1203265004245212E-6</v>
      </c>
      <c r="AP278" s="16">
        <f t="shared" ca="1" si="184"/>
        <v>0</v>
      </c>
      <c r="AQ278" s="16">
        <f t="shared" ca="1" si="185"/>
        <v>-2.4930193230329642E-4</v>
      </c>
      <c r="AR278" s="16">
        <f t="shared" ca="1" si="186"/>
        <v>0</v>
      </c>
      <c r="AS278" s="16">
        <f t="shared" ca="1" si="187"/>
        <v>-1.4090361001549445E-4</v>
      </c>
    </row>
    <row r="279" spans="1:45" x14ac:dyDescent="0.25">
      <c r="A279" s="69">
        <f t="shared" ca="1" si="188"/>
        <v>2451.2109393280525</v>
      </c>
      <c r="B279" s="69">
        <f t="shared" ca="1" si="189"/>
        <v>2134.7970908926131</v>
      </c>
      <c r="C279" s="69">
        <f t="shared" ca="1" si="190"/>
        <v>2228.1796249549602</v>
      </c>
      <c r="D279" s="69">
        <f t="shared" ca="1" si="191"/>
        <v>2909.2180805809435</v>
      </c>
      <c r="E279" s="69">
        <f t="shared" ca="1" si="192"/>
        <v>1930.2751359638276</v>
      </c>
      <c r="F279" s="69">
        <f t="shared" ca="1" si="193"/>
        <v>1221.7313078558425</v>
      </c>
      <c r="G279" s="69">
        <f t="shared" ca="1" si="194"/>
        <v>964.40216136483446</v>
      </c>
      <c r="H279" s="69">
        <f t="shared" ca="1" si="195"/>
        <v>1188.0553916291369</v>
      </c>
      <c r="I279" s="69">
        <f t="shared" ca="1" si="196"/>
        <v>1049.9614481535448</v>
      </c>
      <c r="J279" s="69">
        <f t="shared" ca="1" si="197"/>
        <v>1147.2325505206027</v>
      </c>
      <c r="K279" s="69">
        <f t="shared" ca="1" si="198"/>
        <v>1178.8152485373528</v>
      </c>
      <c r="L279" s="69">
        <f t="shared" ca="1" si="199"/>
        <v>954.91032131113411</v>
      </c>
      <c r="M279" s="69">
        <f t="shared" ca="1" si="200"/>
        <v>989.39338834095065</v>
      </c>
      <c r="N279" s="69">
        <f t="shared" ca="1" si="201"/>
        <v>572.28474832529901</v>
      </c>
      <c r="O279" s="69">
        <f t="shared" ca="1" si="202"/>
        <v>628.39820800990606</v>
      </c>
      <c r="P279" s="69">
        <f t="shared" ca="1" si="203"/>
        <v>721.09132193317646</v>
      </c>
      <c r="Q279" s="69">
        <f t="shared" ca="1" si="204"/>
        <v>951.54226610831836</v>
      </c>
      <c r="R279" s="69">
        <f t="shared" ca="1" si="205"/>
        <v>784.91567482935011</v>
      </c>
      <c r="S279" s="69">
        <f t="shared" ca="1" si="206"/>
        <v>701.5951613938845</v>
      </c>
      <c r="T279" s="69">
        <f t="shared" ca="1" si="207"/>
        <v>807.91317566589817</v>
      </c>
      <c r="U279" s="69">
        <f t="shared" ca="1" si="208"/>
        <v>1690.6111639592136</v>
      </c>
      <c r="V279" s="69">
        <f t="shared" ca="1" si="209"/>
        <v>1914.2346412961524</v>
      </c>
      <c r="W279" s="69">
        <f t="shared" ca="1" si="210"/>
        <v>1174.7739817746324</v>
      </c>
      <c r="X279" s="69">
        <f t="shared" ca="1" si="211"/>
        <v>1491.7401700946787</v>
      </c>
      <c r="Y279" s="69">
        <f t="shared" ca="1" si="212"/>
        <v>1209.4789388203601</v>
      </c>
      <c r="AA279" s="20">
        <f t="shared" ca="1" si="172"/>
        <v>6.5476126880340264E+16</v>
      </c>
      <c r="AB279" s="20">
        <f t="shared" ca="1" si="173"/>
        <v>1686146796396159.5</v>
      </c>
      <c r="AC279" s="20">
        <f t="shared" ca="1" si="174"/>
        <v>400520220124000.94</v>
      </c>
      <c r="AD279" s="20">
        <f t="shared" ca="1" si="175"/>
        <v>305275977728639.88</v>
      </c>
      <c r="AE279" s="20">
        <f t="shared" ca="1" si="176"/>
        <v>6859377714801150</v>
      </c>
      <c r="AG279" s="16">
        <f t="shared" ca="1" si="177"/>
        <v>1.1943863471494177E-4</v>
      </c>
      <c r="AH279" s="16">
        <f t="shared" ca="1" si="178"/>
        <v>-1.9627665619927718E-4</v>
      </c>
      <c r="AI279" s="16">
        <f t="shared" ca="1" si="179"/>
        <v>6.2963488154946478E-5</v>
      </c>
      <c r="AJ279" s="16">
        <f t="shared" ca="1" si="180"/>
        <v>2.9881513406781291E-4</v>
      </c>
      <c r="AK279" s="16">
        <f t="shared" ca="1" si="181"/>
        <v>3.0289314001875558E-4</v>
      </c>
      <c r="AM279" s="16">
        <f t="shared" ca="1" si="182"/>
        <v>2.8494060073842398E-4</v>
      </c>
      <c r="AO279" s="16">
        <f t="shared" ca="1" si="183"/>
        <v>0</v>
      </c>
      <c r="AP279" s="16">
        <f t="shared" ca="1" si="184"/>
        <v>-1.9627665619927718E-4</v>
      </c>
      <c r="AQ279" s="16">
        <f t="shared" ca="1" si="185"/>
        <v>0</v>
      </c>
      <c r="AR279" s="16">
        <f t="shared" ca="1" si="186"/>
        <v>0</v>
      </c>
      <c r="AS279" s="16">
        <f t="shared" ca="1" si="187"/>
        <v>0</v>
      </c>
    </row>
    <row r="280" spans="1:45" x14ac:dyDescent="0.25">
      <c r="A280" s="69">
        <f t="shared" ca="1" si="188"/>
        <v>2451.2109393280525</v>
      </c>
      <c r="B280" s="69">
        <f t="shared" ca="1" si="189"/>
        <v>2134.7970908926131</v>
      </c>
      <c r="C280" s="69">
        <f t="shared" ca="1" si="190"/>
        <v>2228.1796249549602</v>
      </c>
      <c r="D280" s="69">
        <f t="shared" ca="1" si="191"/>
        <v>2909.1570297908652</v>
      </c>
      <c r="E280" s="69">
        <f t="shared" ca="1" si="192"/>
        <v>1930.5462122349236</v>
      </c>
      <c r="F280" s="69">
        <f t="shared" ca="1" si="193"/>
        <v>1221.4255134968496</v>
      </c>
      <c r="G280" s="69">
        <f t="shared" ca="1" si="194"/>
        <v>964.46996325488908</v>
      </c>
      <c r="H280" s="69">
        <f t="shared" ca="1" si="195"/>
        <v>1188.1005453866067</v>
      </c>
      <c r="I280" s="69">
        <f t="shared" ca="1" si="196"/>
        <v>1049.9614481535448</v>
      </c>
      <c r="J280" s="69">
        <f t="shared" ca="1" si="197"/>
        <v>1147.170306539512</v>
      </c>
      <c r="K280" s="69">
        <f t="shared" ca="1" si="198"/>
        <v>1178.9758648010877</v>
      </c>
      <c r="L280" s="69">
        <f t="shared" ca="1" si="199"/>
        <v>954.62221451597384</v>
      </c>
      <c r="M280" s="69">
        <f t="shared" ca="1" si="200"/>
        <v>989.61946765649657</v>
      </c>
      <c r="N280" s="69">
        <f t="shared" ca="1" si="201"/>
        <v>572.28474832529901</v>
      </c>
      <c r="O280" s="69">
        <f t="shared" ca="1" si="202"/>
        <v>628.39820800990606</v>
      </c>
      <c r="P280" s="69">
        <f t="shared" ca="1" si="203"/>
        <v>721.54162953556875</v>
      </c>
      <c r="Q280" s="69">
        <f t="shared" ca="1" si="204"/>
        <v>951.83108212040486</v>
      </c>
      <c r="R280" s="69">
        <f t="shared" ca="1" si="205"/>
        <v>784.62439817358256</v>
      </c>
      <c r="S280" s="69">
        <f t="shared" ca="1" si="206"/>
        <v>701.39320145156853</v>
      </c>
      <c r="T280" s="69">
        <f t="shared" ca="1" si="207"/>
        <v>807.93750454269059</v>
      </c>
      <c r="U280" s="69">
        <f t="shared" ca="1" si="208"/>
        <v>1690.6111639592136</v>
      </c>
      <c r="V280" s="69">
        <f t="shared" ca="1" si="209"/>
        <v>1914.5447078720795</v>
      </c>
      <c r="W280" s="69">
        <f t="shared" ca="1" si="210"/>
        <v>1174.724389872689</v>
      </c>
      <c r="X280" s="69">
        <f t="shared" ca="1" si="211"/>
        <v>1491.7574869221639</v>
      </c>
      <c r="Y280" s="69">
        <f t="shared" ca="1" si="212"/>
        <v>1209.6864225732936</v>
      </c>
      <c r="AA280" s="20">
        <f t="shared" ca="1" si="172"/>
        <v>6.5483947726587576E+16</v>
      </c>
      <c r="AB280" s="20">
        <f t="shared" ca="1" si="173"/>
        <v>1685815877617979.8</v>
      </c>
      <c r="AC280" s="20">
        <f t="shared" ca="1" si="174"/>
        <v>400545439068064.56</v>
      </c>
      <c r="AD280" s="20">
        <f t="shared" ca="1" si="175"/>
        <v>305367212441330.13</v>
      </c>
      <c r="AE280" s="20">
        <f t="shared" ca="1" si="176"/>
        <v>6861455687941778</v>
      </c>
      <c r="AG280" s="16">
        <f t="shared" ca="1" si="177"/>
        <v>6.3866423558608178E-5</v>
      </c>
      <c r="AH280" s="16">
        <f t="shared" ca="1" si="178"/>
        <v>8.2401377644957399E-6</v>
      </c>
      <c r="AI280" s="16">
        <f t="shared" ca="1" si="179"/>
        <v>-6.9898961868202012E-4</v>
      </c>
      <c r="AJ280" s="16">
        <f t="shared" ca="1" si="180"/>
        <v>5.3522862464340146E-4</v>
      </c>
      <c r="AK280" s="16">
        <f t="shared" ca="1" si="181"/>
        <v>8.753911575035073E-4</v>
      </c>
      <c r="AM280" s="16">
        <f t="shared" ca="1" si="182"/>
        <v>-9.165443271551472E-5</v>
      </c>
      <c r="AO280" s="16">
        <f t="shared" ca="1" si="183"/>
        <v>0</v>
      </c>
      <c r="AP280" s="16">
        <f t="shared" ca="1" si="184"/>
        <v>0</v>
      </c>
      <c r="AQ280" s="16">
        <f t="shared" ca="1" si="185"/>
        <v>-6.9898961868202012E-4</v>
      </c>
      <c r="AR280" s="16">
        <f t="shared" ca="1" si="186"/>
        <v>0</v>
      </c>
      <c r="AS280" s="16">
        <f t="shared" ca="1" si="187"/>
        <v>0</v>
      </c>
    </row>
    <row r="281" spans="1:45" x14ac:dyDescent="0.25">
      <c r="A281" s="69">
        <f t="shared" ca="1" si="188"/>
        <v>2451.2109393280525</v>
      </c>
      <c r="B281" s="69">
        <f t="shared" ca="1" si="189"/>
        <v>2134.963789873028</v>
      </c>
      <c r="C281" s="69">
        <f t="shared" ca="1" si="190"/>
        <v>2228.1796249549602</v>
      </c>
      <c r="D281" s="69">
        <f t="shared" ca="1" si="191"/>
        <v>2909.0581346659801</v>
      </c>
      <c r="E281" s="69">
        <f t="shared" ca="1" si="192"/>
        <v>1930.5843947768487</v>
      </c>
      <c r="F281" s="69">
        <f t="shared" ca="1" si="193"/>
        <v>1221.4255134968496</v>
      </c>
      <c r="G281" s="69">
        <f t="shared" ca="1" si="194"/>
        <v>964.46996325488908</v>
      </c>
      <c r="H281" s="69">
        <f t="shared" ca="1" si="195"/>
        <v>1188.1005453866067</v>
      </c>
      <c r="I281" s="69">
        <f t="shared" ca="1" si="196"/>
        <v>1049.9614481535448</v>
      </c>
      <c r="J281" s="69">
        <f t="shared" ca="1" si="197"/>
        <v>1147.1797594198238</v>
      </c>
      <c r="K281" s="69">
        <f t="shared" ca="1" si="198"/>
        <v>1178.9758648010877</v>
      </c>
      <c r="L281" s="69">
        <f t="shared" ca="1" si="199"/>
        <v>954.59665125109836</v>
      </c>
      <c r="M281" s="69">
        <f t="shared" ca="1" si="200"/>
        <v>989.61946765649657</v>
      </c>
      <c r="N281" s="69">
        <f t="shared" ca="1" si="201"/>
        <v>572.28474832529901</v>
      </c>
      <c r="O281" s="69">
        <f t="shared" ca="1" si="202"/>
        <v>627.97593386069218</v>
      </c>
      <c r="P281" s="69">
        <f t="shared" ca="1" si="203"/>
        <v>721.83826387965587</v>
      </c>
      <c r="Q281" s="69">
        <f t="shared" ca="1" si="204"/>
        <v>951.83108212040486</v>
      </c>
      <c r="R281" s="69">
        <f t="shared" ca="1" si="205"/>
        <v>784.88986989969862</v>
      </c>
      <c r="S281" s="69">
        <f t="shared" ca="1" si="206"/>
        <v>701.39320145156853</v>
      </c>
      <c r="T281" s="69">
        <f t="shared" ca="1" si="207"/>
        <v>807.76455657192753</v>
      </c>
      <c r="U281" s="69">
        <f t="shared" ca="1" si="208"/>
        <v>1691.1048978400609</v>
      </c>
      <c r="V281" s="69">
        <f t="shared" ca="1" si="209"/>
        <v>1914.6542996260073</v>
      </c>
      <c r="W281" s="69">
        <f t="shared" ca="1" si="210"/>
        <v>1175.0311675954438</v>
      </c>
      <c r="X281" s="69">
        <f t="shared" ca="1" si="211"/>
        <v>1491.7574869221639</v>
      </c>
      <c r="Y281" s="69">
        <f t="shared" ca="1" si="212"/>
        <v>1210.0070737670169</v>
      </c>
      <c r="AA281" s="20">
        <f t="shared" ca="1" si="172"/>
        <v>6.5488130085684112E+16</v>
      </c>
      <c r="AB281" s="20">
        <f t="shared" ca="1" si="173"/>
        <v>1685829769030290.5</v>
      </c>
      <c r="AC281" s="20">
        <f t="shared" ca="1" si="174"/>
        <v>400265559792095.19</v>
      </c>
      <c r="AD281" s="20">
        <f t="shared" ca="1" si="175"/>
        <v>305530697461484.75</v>
      </c>
      <c r="AE281" s="20">
        <f t="shared" ca="1" si="176"/>
        <v>6867464775345858</v>
      </c>
      <c r="AG281" s="16">
        <f t="shared" ca="1" si="177"/>
        <v>-8.5855168709315856E-5</v>
      </c>
      <c r="AH281" s="16">
        <f t="shared" ca="1" si="178"/>
        <v>-3.8215133710839776E-5</v>
      </c>
      <c r="AI281" s="16">
        <f t="shared" ca="1" si="179"/>
        <v>-5.1037830788060114E-4</v>
      </c>
      <c r="AJ281" s="16">
        <f t="shared" ca="1" si="180"/>
        <v>-2.4711346968851305E-4</v>
      </c>
      <c r="AK281" s="16">
        <f t="shared" ca="1" si="181"/>
        <v>-5.1290120261220172E-4</v>
      </c>
      <c r="AM281" s="16">
        <f t="shared" ca="1" si="182"/>
        <v>-8.8156207998926978E-4</v>
      </c>
      <c r="AO281" s="16">
        <f t="shared" ca="1" si="183"/>
        <v>-8.5855168709315856E-5</v>
      </c>
      <c r="AP281" s="16">
        <f t="shared" ca="1" si="184"/>
        <v>-3.8215133710839776E-5</v>
      </c>
      <c r="AQ281" s="16">
        <f t="shared" ca="1" si="185"/>
        <v>-5.1037830788060114E-4</v>
      </c>
      <c r="AR281" s="16">
        <f t="shared" ca="1" si="186"/>
        <v>-2.4711346968851305E-4</v>
      </c>
      <c r="AS281" s="16">
        <f t="shared" ca="1" si="187"/>
        <v>-5.1290120261220172E-4</v>
      </c>
    </row>
    <row r="282" spans="1:45" x14ac:dyDescent="0.25">
      <c r="A282" s="69">
        <f t="shared" ca="1" si="188"/>
        <v>2450.7247645633042</v>
      </c>
      <c r="B282" s="69">
        <f t="shared" ca="1" si="189"/>
        <v>2134.8002106417234</v>
      </c>
      <c r="C282" s="69">
        <f t="shared" ca="1" si="190"/>
        <v>2228.3586189964967</v>
      </c>
      <c r="D282" s="69">
        <f t="shared" ca="1" si="191"/>
        <v>2909.3746532108858</v>
      </c>
      <c r="E282" s="69">
        <f t="shared" ca="1" si="192"/>
        <v>1930.5843947768487</v>
      </c>
      <c r="F282" s="69">
        <f t="shared" ca="1" si="193"/>
        <v>1221.4255134968496</v>
      </c>
      <c r="G282" s="69">
        <f t="shared" ca="1" si="194"/>
        <v>964.07493839661561</v>
      </c>
      <c r="H282" s="69">
        <f t="shared" ca="1" si="195"/>
        <v>1188.317898066334</v>
      </c>
      <c r="I282" s="69">
        <f t="shared" ca="1" si="196"/>
        <v>1050.1594069403459</v>
      </c>
      <c r="J282" s="69">
        <f t="shared" ca="1" si="197"/>
        <v>1147.1797594198238</v>
      </c>
      <c r="K282" s="69">
        <f t="shared" ca="1" si="198"/>
        <v>1178.9758648010877</v>
      </c>
      <c r="L282" s="69">
        <f t="shared" ca="1" si="199"/>
        <v>954.59665125109836</v>
      </c>
      <c r="M282" s="69">
        <f t="shared" ca="1" si="200"/>
        <v>989.88219533335041</v>
      </c>
      <c r="N282" s="69">
        <f t="shared" ca="1" si="201"/>
        <v>572.03015485080323</v>
      </c>
      <c r="O282" s="69">
        <f t="shared" ca="1" si="202"/>
        <v>627.7681988724745</v>
      </c>
      <c r="P282" s="69">
        <f t="shared" ca="1" si="203"/>
        <v>721.7358463673811</v>
      </c>
      <c r="Q282" s="69">
        <f t="shared" ca="1" si="204"/>
        <v>951.7467977780442</v>
      </c>
      <c r="R282" s="69">
        <f t="shared" ca="1" si="205"/>
        <v>784.88986989969862</v>
      </c>
      <c r="S282" s="69">
        <f t="shared" ca="1" si="206"/>
        <v>701.38151247791097</v>
      </c>
      <c r="T282" s="69">
        <f t="shared" ca="1" si="207"/>
        <v>807.76455657192753</v>
      </c>
      <c r="U282" s="69">
        <f t="shared" ca="1" si="208"/>
        <v>1690.6365196367433</v>
      </c>
      <c r="V282" s="69">
        <f t="shared" ca="1" si="209"/>
        <v>1914.162377489555</v>
      </c>
      <c r="W282" s="69">
        <f t="shared" ca="1" si="210"/>
        <v>1174.9522917474487</v>
      </c>
      <c r="X282" s="69">
        <f t="shared" ca="1" si="211"/>
        <v>1491.8890502113729</v>
      </c>
      <c r="Y282" s="69">
        <f t="shared" ca="1" si="212"/>
        <v>1210.0070737670169</v>
      </c>
      <c r="AA282" s="20">
        <f t="shared" ca="1" si="172"/>
        <v>6.5482507832580344E+16</v>
      </c>
      <c r="AB282" s="20">
        <f t="shared" ca="1" si="173"/>
        <v>1685765346051227.5</v>
      </c>
      <c r="AC282" s="20">
        <f t="shared" ca="1" si="174"/>
        <v>400061325055908.5</v>
      </c>
      <c r="AD282" s="20">
        <f t="shared" ca="1" si="175"/>
        <v>305455206038596.56</v>
      </c>
      <c r="AE282" s="20">
        <f t="shared" ca="1" si="176"/>
        <v>6863943347553159</v>
      </c>
      <c r="AG282" s="16">
        <f t="shared" ca="1" si="177"/>
        <v>-2.5893702460802958E-4</v>
      </c>
      <c r="AH282" s="16">
        <f t="shared" ca="1" si="178"/>
        <v>-3.5829871425077132E-4</v>
      </c>
      <c r="AI282" s="16">
        <f t="shared" ca="1" si="179"/>
        <v>1.6604275591731883E-3</v>
      </c>
      <c r="AJ282" s="16">
        <f t="shared" ca="1" si="180"/>
        <v>1.237830726386646E-3</v>
      </c>
      <c r="AK282" s="16">
        <f t="shared" ca="1" si="181"/>
        <v>-1.2961233682453306E-4</v>
      </c>
      <c r="AM282" s="16">
        <f t="shared" ca="1" si="182"/>
        <v>2.2810225467010331E-3</v>
      </c>
      <c r="AO282" s="16">
        <f t="shared" ca="1" si="183"/>
        <v>-2.5893702460802958E-4</v>
      </c>
      <c r="AP282" s="16">
        <f t="shared" ca="1" si="184"/>
        <v>-3.5829871425077132E-4</v>
      </c>
      <c r="AQ282" s="16">
        <f t="shared" ca="1" si="185"/>
        <v>0</v>
      </c>
      <c r="AR282" s="16">
        <f t="shared" ca="1" si="186"/>
        <v>0</v>
      </c>
      <c r="AS282" s="16">
        <f t="shared" ca="1" si="187"/>
        <v>-1.2961233682453306E-4</v>
      </c>
    </row>
    <row r="283" spans="1:45" x14ac:dyDescent="0.25">
      <c r="A283" s="69">
        <f t="shared" ca="1" si="188"/>
        <v>2450.7247645633042</v>
      </c>
      <c r="B283" s="69">
        <f t="shared" ca="1" si="189"/>
        <v>2134.8002106417234</v>
      </c>
      <c r="C283" s="69">
        <f t="shared" ca="1" si="190"/>
        <v>2228.3586189964967</v>
      </c>
      <c r="D283" s="69">
        <f t="shared" ca="1" si="191"/>
        <v>2909.3746532108858</v>
      </c>
      <c r="E283" s="69">
        <f t="shared" ca="1" si="192"/>
        <v>1930.0845597136054</v>
      </c>
      <c r="F283" s="69">
        <f t="shared" ca="1" si="193"/>
        <v>1221.4255134968496</v>
      </c>
      <c r="G283" s="69">
        <f t="shared" ca="1" si="194"/>
        <v>964.07493839661561</v>
      </c>
      <c r="H283" s="69">
        <f t="shared" ca="1" si="195"/>
        <v>1188.2860293314022</v>
      </c>
      <c r="I283" s="69">
        <f t="shared" ca="1" si="196"/>
        <v>1049.8113577926315</v>
      </c>
      <c r="J283" s="69">
        <f t="shared" ca="1" si="197"/>
        <v>1147.1797594198238</v>
      </c>
      <c r="K283" s="69">
        <f t="shared" ca="1" si="198"/>
        <v>1178.6622819526322</v>
      </c>
      <c r="L283" s="69">
        <f t="shared" ca="1" si="199"/>
        <v>955.03185169857943</v>
      </c>
      <c r="M283" s="69">
        <f t="shared" ca="1" si="200"/>
        <v>989.88219533335041</v>
      </c>
      <c r="N283" s="69">
        <f t="shared" ca="1" si="201"/>
        <v>572.49784975253351</v>
      </c>
      <c r="O283" s="69">
        <f t="shared" ca="1" si="202"/>
        <v>628.17850079175957</v>
      </c>
      <c r="P283" s="69">
        <f t="shared" ca="1" si="203"/>
        <v>721.7358463673811</v>
      </c>
      <c r="Q283" s="69">
        <f t="shared" ca="1" si="204"/>
        <v>951.7467977780442</v>
      </c>
      <c r="R283" s="69">
        <f t="shared" ca="1" si="205"/>
        <v>785.30280037630553</v>
      </c>
      <c r="S283" s="69">
        <f t="shared" ca="1" si="206"/>
        <v>701.63556233183419</v>
      </c>
      <c r="T283" s="69">
        <f t="shared" ca="1" si="207"/>
        <v>808.04709841039198</v>
      </c>
      <c r="U283" s="69">
        <f t="shared" ca="1" si="208"/>
        <v>1690.1670296581644</v>
      </c>
      <c r="V283" s="69">
        <f t="shared" ca="1" si="209"/>
        <v>1913.7626443618926</v>
      </c>
      <c r="W283" s="69">
        <f t="shared" ca="1" si="210"/>
        <v>1174.9522917474487</v>
      </c>
      <c r="X283" s="69">
        <f t="shared" ca="1" si="211"/>
        <v>1492.2573503053754</v>
      </c>
      <c r="Y283" s="69">
        <f t="shared" ca="1" si="212"/>
        <v>1210.1403508174108</v>
      </c>
      <c r="AA283" s="20">
        <f t="shared" ca="1" si="172"/>
        <v>6.546555418189696E+16</v>
      </c>
      <c r="AB283" s="20">
        <f t="shared" ca="1" si="173"/>
        <v>1685161446689851.8</v>
      </c>
      <c r="AC283" s="20">
        <f t="shared" ca="1" si="174"/>
        <v>400726149699226</v>
      </c>
      <c r="AD283" s="20">
        <f t="shared" ca="1" si="175"/>
        <v>305833541987789.31</v>
      </c>
      <c r="AE283" s="20">
        <f t="shared" ca="1" si="176"/>
        <v>6863053753468481</v>
      </c>
      <c r="AG283" s="16">
        <f t="shared" ca="1" si="177"/>
        <v>-2.7202019077209581E-4</v>
      </c>
      <c r="AH283" s="16">
        <f t="shared" ca="1" si="178"/>
        <v>4.743175965178743E-4</v>
      </c>
      <c r="AI283" s="16">
        <f t="shared" ca="1" si="179"/>
        <v>-6.6795230715922295E-4</v>
      </c>
      <c r="AJ283" s="16">
        <f t="shared" ca="1" si="180"/>
        <v>-1.1781931225099136E-4</v>
      </c>
      <c r="AK283" s="16">
        <f t="shared" ca="1" si="181"/>
        <v>-8.4972295734555723E-4</v>
      </c>
      <c r="AM283" s="16">
        <f t="shared" ca="1" si="182"/>
        <v>-5.8347421366443581E-4</v>
      </c>
      <c r="AO283" s="16">
        <f t="shared" ca="1" si="183"/>
        <v>-2.7202019077209581E-4</v>
      </c>
      <c r="AP283" s="16">
        <f t="shared" ca="1" si="184"/>
        <v>0</v>
      </c>
      <c r="AQ283" s="16">
        <f t="shared" ca="1" si="185"/>
        <v>-6.6795230715922295E-4</v>
      </c>
      <c r="AR283" s="16">
        <f t="shared" ca="1" si="186"/>
        <v>-1.1781931225099136E-4</v>
      </c>
      <c r="AS283" s="16">
        <f t="shared" ca="1" si="187"/>
        <v>-8.4972295734555723E-4</v>
      </c>
    </row>
    <row r="284" spans="1:45" x14ac:dyDescent="0.25">
      <c r="A284" s="69">
        <f t="shared" ca="1" si="188"/>
        <v>2450.7247645633042</v>
      </c>
      <c r="B284" s="69">
        <f t="shared" ca="1" si="189"/>
        <v>2134.4982299393837</v>
      </c>
      <c r="C284" s="69">
        <f t="shared" ca="1" si="190"/>
        <v>2227.9286674597806</v>
      </c>
      <c r="D284" s="69">
        <f t="shared" ca="1" si="191"/>
        <v>2909.5562329980812</v>
      </c>
      <c r="E284" s="69">
        <f t="shared" ca="1" si="192"/>
        <v>1930.0845597136054</v>
      </c>
      <c r="F284" s="69">
        <f t="shared" ca="1" si="193"/>
        <v>1221.4255134968496</v>
      </c>
      <c r="G284" s="69">
        <f t="shared" ca="1" si="194"/>
        <v>964.46304296612288</v>
      </c>
      <c r="H284" s="69">
        <f t="shared" ca="1" si="195"/>
        <v>1188.3713891191069</v>
      </c>
      <c r="I284" s="69">
        <f t="shared" ca="1" si="196"/>
        <v>1049.8113577926315</v>
      </c>
      <c r="J284" s="69">
        <f t="shared" ca="1" si="197"/>
        <v>1147.1797594198238</v>
      </c>
      <c r="K284" s="69">
        <f t="shared" ca="1" si="198"/>
        <v>1178.6622819526322</v>
      </c>
      <c r="L284" s="69">
        <f t="shared" ca="1" si="199"/>
        <v>954.8242661841756</v>
      </c>
      <c r="M284" s="69">
        <f t="shared" ca="1" si="200"/>
        <v>989.84599157019409</v>
      </c>
      <c r="N284" s="69">
        <f t="shared" ca="1" si="201"/>
        <v>572.61901018303058</v>
      </c>
      <c r="O284" s="69">
        <f t="shared" ca="1" si="202"/>
        <v>627.7856309762999</v>
      </c>
      <c r="P284" s="69">
        <f t="shared" ca="1" si="203"/>
        <v>721.71604443622027</v>
      </c>
      <c r="Q284" s="69">
        <f t="shared" ca="1" si="204"/>
        <v>951.91834906923077</v>
      </c>
      <c r="R284" s="69">
        <f t="shared" ca="1" si="205"/>
        <v>785.30280037630553</v>
      </c>
      <c r="S284" s="69">
        <f t="shared" ca="1" si="206"/>
        <v>701.63556233183419</v>
      </c>
      <c r="T284" s="69">
        <f t="shared" ca="1" si="207"/>
        <v>807.82845830221936</v>
      </c>
      <c r="U284" s="69">
        <f t="shared" ca="1" si="208"/>
        <v>1689.9641054461415</v>
      </c>
      <c r="V284" s="69">
        <f t="shared" ca="1" si="209"/>
        <v>1913.7626443618926</v>
      </c>
      <c r="W284" s="69">
        <f t="shared" ca="1" si="210"/>
        <v>1174.8514088232421</v>
      </c>
      <c r="X284" s="69">
        <f t="shared" ca="1" si="211"/>
        <v>1491.8656769932711</v>
      </c>
      <c r="Y284" s="69">
        <f t="shared" ca="1" si="212"/>
        <v>1209.6790312128064</v>
      </c>
      <c r="AA284" s="20">
        <f t="shared" ca="1" si="172"/>
        <v>6.544774865120112E+16</v>
      </c>
      <c r="AB284" s="20">
        <f t="shared" ca="1" si="173"/>
        <v>1685960938008401.5</v>
      </c>
      <c r="AC284" s="20">
        <f t="shared" ca="1" si="174"/>
        <v>400458573117141.56</v>
      </c>
      <c r="AD284" s="20">
        <f t="shared" ca="1" si="175"/>
        <v>305797511012823.06</v>
      </c>
      <c r="AE284" s="20">
        <f t="shared" ca="1" si="176"/>
        <v>6857224536097313</v>
      </c>
      <c r="AG284" s="16">
        <f t="shared" ca="1" si="177"/>
        <v>-1.103845489233556E-4</v>
      </c>
      <c r="AH284" s="16">
        <f t="shared" ca="1" si="178"/>
        <v>-1.9576265306571041E-5</v>
      </c>
      <c r="AI284" s="16">
        <f t="shared" ca="1" si="179"/>
        <v>2.9771931384962825E-4</v>
      </c>
      <c r="AJ284" s="16">
        <f t="shared" ca="1" si="180"/>
        <v>-6.2782928268458082E-4</v>
      </c>
      <c r="AK284" s="16">
        <f t="shared" ca="1" si="181"/>
        <v>2.8223755120335403E-4</v>
      </c>
      <c r="AM284" s="16">
        <f t="shared" ca="1" si="182"/>
        <v>-4.6007078306487919E-4</v>
      </c>
      <c r="AO284" s="16">
        <f t="shared" ca="1" si="183"/>
        <v>-1.103845489233556E-4</v>
      </c>
      <c r="AP284" s="16">
        <f t="shared" ca="1" si="184"/>
        <v>-1.9576265306571041E-5</v>
      </c>
      <c r="AQ284" s="16">
        <f t="shared" ca="1" si="185"/>
        <v>0</v>
      </c>
      <c r="AR284" s="16">
        <f t="shared" ca="1" si="186"/>
        <v>-6.2782928268458082E-4</v>
      </c>
      <c r="AS284" s="16">
        <f t="shared" ca="1" si="187"/>
        <v>0</v>
      </c>
    </row>
    <row r="285" spans="1:45" x14ac:dyDescent="0.25">
      <c r="A285" s="69">
        <f t="shared" ca="1" si="188"/>
        <v>2450.9211400286813</v>
      </c>
      <c r="B285" s="69">
        <f t="shared" ca="1" si="189"/>
        <v>2134.4982299393837</v>
      </c>
      <c r="C285" s="69">
        <f t="shared" ca="1" si="190"/>
        <v>2227.6666352939551</v>
      </c>
      <c r="D285" s="69">
        <f t="shared" ca="1" si="191"/>
        <v>2909.2161402938095</v>
      </c>
      <c r="E285" s="69">
        <f t="shared" ca="1" si="192"/>
        <v>1930.1694920404843</v>
      </c>
      <c r="F285" s="69">
        <f t="shared" ca="1" si="193"/>
        <v>1221.4526667787047</v>
      </c>
      <c r="G285" s="69">
        <f t="shared" ca="1" si="194"/>
        <v>964.46304296612288</v>
      </c>
      <c r="H285" s="69">
        <f t="shared" ca="1" si="195"/>
        <v>1187.9465912822095</v>
      </c>
      <c r="I285" s="69">
        <f t="shared" ca="1" si="196"/>
        <v>1049.8113577926315</v>
      </c>
      <c r="J285" s="69">
        <f t="shared" ca="1" si="197"/>
        <v>1147.5420033474063</v>
      </c>
      <c r="K285" s="69">
        <f t="shared" ca="1" si="198"/>
        <v>1179.0132447200804</v>
      </c>
      <c r="L285" s="69">
        <f t="shared" ca="1" si="199"/>
        <v>954.8242661841756</v>
      </c>
      <c r="M285" s="69">
        <f t="shared" ca="1" si="200"/>
        <v>989.84599157019409</v>
      </c>
      <c r="N285" s="69">
        <f t="shared" ca="1" si="201"/>
        <v>572.61901018303058</v>
      </c>
      <c r="O285" s="69">
        <f t="shared" ca="1" si="202"/>
        <v>627.7856309762999</v>
      </c>
      <c r="P285" s="69">
        <f t="shared" ca="1" si="203"/>
        <v>721.36580722881718</v>
      </c>
      <c r="Q285" s="69">
        <f t="shared" ca="1" si="204"/>
        <v>951.91834906923077</v>
      </c>
      <c r="R285" s="69">
        <f t="shared" ca="1" si="205"/>
        <v>785.30280037630553</v>
      </c>
      <c r="S285" s="69">
        <f t="shared" ca="1" si="206"/>
        <v>701.79817308147403</v>
      </c>
      <c r="T285" s="69">
        <f t="shared" ca="1" si="207"/>
        <v>807.52625753522568</v>
      </c>
      <c r="U285" s="69">
        <f t="shared" ca="1" si="208"/>
        <v>1690.3063239086832</v>
      </c>
      <c r="V285" s="69">
        <f t="shared" ca="1" si="209"/>
        <v>1913.7626443618926</v>
      </c>
      <c r="W285" s="69">
        <f t="shared" ca="1" si="210"/>
        <v>1174.8514088232421</v>
      </c>
      <c r="X285" s="69">
        <f t="shared" ca="1" si="211"/>
        <v>1492.096946242362</v>
      </c>
      <c r="Y285" s="69">
        <f t="shared" ca="1" si="212"/>
        <v>1209.5880056591106</v>
      </c>
      <c r="AA285" s="20">
        <f t="shared" ca="1" si="172"/>
        <v>6.544052462970572E+16</v>
      </c>
      <c r="AB285" s="20">
        <f t="shared" ca="1" si="173"/>
        <v>1685927933512836</v>
      </c>
      <c r="AC285" s="20">
        <f t="shared" ca="1" si="174"/>
        <v>400577815118197.81</v>
      </c>
      <c r="AD285" s="20">
        <f t="shared" ca="1" si="175"/>
        <v>305605582636269</v>
      </c>
      <c r="AE285" s="20">
        <f t="shared" ca="1" si="176"/>
        <v>6859160175500646</v>
      </c>
      <c r="AG285" s="16">
        <f t="shared" ca="1" si="177"/>
        <v>3.1453286808925918E-5</v>
      </c>
      <c r="AH285" s="16">
        <f t="shared" ca="1" si="178"/>
        <v>1.1966345505535761E-3</v>
      </c>
      <c r="AI285" s="16">
        <f t="shared" ca="1" si="179"/>
        <v>-9.7870706459571885E-4</v>
      </c>
      <c r="AJ285" s="16">
        <f t="shared" ca="1" si="180"/>
        <v>1.2717336046452797E-4</v>
      </c>
      <c r="AK285" s="16">
        <f t="shared" ca="1" si="181"/>
        <v>-1.1471962101809129E-4</v>
      </c>
      <c r="AM285" s="16">
        <f t="shared" ca="1" si="182"/>
        <v>3.7655413323131105E-4</v>
      </c>
      <c r="AO285" s="16">
        <f t="shared" ca="1" si="183"/>
        <v>0</v>
      </c>
      <c r="AP285" s="16">
        <f t="shared" ca="1" si="184"/>
        <v>0</v>
      </c>
      <c r="AQ285" s="16">
        <f t="shared" ca="1" si="185"/>
        <v>-9.7870706459571885E-4</v>
      </c>
      <c r="AR285" s="16">
        <f t="shared" ca="1" si="186"/>
        <v>0</v>
      </c>
      <c r="AS285" s="16">
        <f t="shared" ca="1" si="187"/>
        <v>-1.1471962101809129E-4</v>
      </c>
    </row>
    <row r="286" spans="1:45" x14ac:dyDescent="0.25">
      <c r="A286" s="69">
        <f t="shared" ca="1" si="188"/>
        <v>2450.9211400286813</v>
      </c>
      <c r="B286" s="69">
        <f t="shared" ca="1" si="189"/>
        <v>2134.5008327552118</v>
      </c>
      <c r="C286" s="69">
        <f t="shared" ca="1" si="190"/>
        <v>2227.9337347612959</v>
      </c>
      <c r="D286" s="69">
        <f t="shared" ca="1" si="191"/>
        <v>2908.9553118612348</v>
      </c>
      <c r="E286" s="69">
        <f t="shared" ca="1" si="192"/>
        <v>1930.1694920404843</v>
      </c>
      <c r="F286" s="69">
        <f t="shared" ca="1" si="193"/>
        <v>1221.7646000614184</v>
      </c>
      <c r="G286" s="69">
        <f t="shared" ca="1" si="194"/>
        <v>964.91463239513848</v>
      </c>
      <c r="H286" s="69">
        <f t="shared" ca="1" si="195"/>
        <v>1188.1974360093802</v>
      </c>
      <c r="I286" s="69">
        <f t="shared" ca="1" si="196"/>
        <v>1049.7170143586263</v>
      </c>
      <c r="J286" s="69">
        <f t="shared" ca="1" si="197"/>
        <v>1147.9458990947373</v>
      </c>
      <c r="K286" s="69">
        <f t="shared" ca="1" si="198"/>
        <v>1179.0235373065984</v>
      </c>
      <c r="L286" s="69">
        <f t="shared" ca="1" si="199"/>
        <v>954.39391154444513</v>
      </c>
      <c r="M286" s="69">
        <f t="shared" ca="1" si="200"/>
        <v>989.84599157019409</v>
      </c>
      <c r="N286" s="69">
        <f t="shared" ca="1" si="201"/>
        <v>572.31181426704632</v>
      </c>
      <c r="O286" s="69">
        <f t="shared" ca="1" si="202"/>
        <v>627.7856309762999</v>
      </c>
      <c r="P286" s="69">
        <f t="shared" ca="1" si="203"/>
        <v>721.59581366985947</v>
      </c>
      <c r="Q286" s="69">
        <f t="shared" ca="1" si="204"/>
        <v>952.21979028567262</v>
      </c>
      <c r="R286" s="69">
        <f t="shared" ca="1" si="205"/>
        <v>785.02702549497599</v>
      </c>
      <c r="S286" s="69">
        <f t="shared" ca="1" si="206"/>
        <v>701.93622050111844</v>
      </c>
      <c r="T286" s="69">
        <f t="shared" ca="1" si="207"/>
        <v>807.24068964559751</v>
      </c>
      <c r="U286" s="69">
        <f t="shared" ca="1" si="208"/>
        <v>1690.3063239086832</v>
      </c>
      <c r="V286" s="69">
        <f t="shared" ca="1" si="209"/>
        <v>1913.6254342852585</v>
      </c>
      <c r="W286" s="69">
        <f t="shared" ca="1" si="210"/>
        <v>1174.8514088232421</v>
      </c>
      <c r="X286" s="69">
        <f t="shared" ca="1" si="211"/>
        <v>1492.096946242362</v>
      </c>
      <c r="Y286" s="69">
        <f t="shared" ca="1" si="212"/>
        <v>1209.5359696320065</v>
      </c>
      <c r="AA286" s="20">
        <f t="shared" ca="1" si="172"/>
        <v>6.5442582981666624E+16</v>
      </c>
      <c r="AB286" s="20">
        <f t="shared" ca="1" si="173"/>
        <v>1687946580678411.8</v>
      </c>
      <c r="AC286" s="20">
        <f t="shared" ca="1" si="174"/>
        <v>400185958568287.06</v>
      </c>
      <c r="AD286" s="20">
        <f t="shared" ca="1" si="175"/>
        <v>305644449996583.63</v>
      </c>
      <c r="AE286" s="20">
        <f t="shared" ca="1" si="176"/>
        <v>6858373340378387</v>
      </c>
      <c r="AG286" s="16">
        <f t="shared" ca="1" si="177"/>
        <v>1.5107422622268914E-4</v>
      </c>
      <c r="AH286" s="16">
        <f t="shared" ca="1" si="178"/>
        <v>-4.7527231381933732E-4</v>
      </c>
      <c r="AI286" s="16">
        <f t="shared" ca="1" si="179"/>
        <v>3.5621267550188556E-4</v>
      </c>
      <c r="AJ286" s="16">
        <f t="shared" ca="1" si="180"/>
        <v>8.3427113843275249E-4</v>
      </c>
      <c r="AK286" s="16">
        <f t="shared" ca="1" si="181"/>
        <v>-1.6396897584580196E-4</v>
      </c>
      <c r="AM286" s="16">
        <f t="shared" ca="1" si="182"/>
        <v>8.6628572633798981E-4</v>
      </c>
      <c r="AO286" s="16">
        <f t="shared" ca="1" si="183"/>
        <v>0</v>
      </c>
      <c r="AP286" s="16">
        <f t="shared" ca="1" si="184"/>
        <v>-4.7527231381933732E-4</v>
      </c>
      <c r="AQ286" s="16">
        <f t="shared" ca="1" si="185"/>
        <v>0</v>
      </c>
      <c r="AR286" s="16">
        <f t="shared" ca="1" si="186"/>
        <v>0</v>
      </c>
      <c r="AS286" s="16">
        <f t="shared" ca="1" si="187"/>
        <v>-1.6396897584580196E-4</v>
      </c>
    </row>
    <row r="287" spans="1:45" x14ac:dyDescent="0.25">
      <c r="A287" s="69">
        <f t="shared" ca="1" si="188"/>
        <v>2450.9211400286813</v>
      </c>
      <c r="B287" s="69">
        <f t="shared" ca="1" si="189"/>
        <v>2134.5008327552118</v>
      </c>
      <c r="C287" s="69">
        <f t="shared" ca="1" si="190"/>
        <v>2228.1975652885926</v>
      </c>
      <c r="D287" s="69">
        <f t="shared" ca="1" si="191"/>
        <v>2909.050325301564</v>
      </c>
      <c r="E287" s="69">
        <f t="shared" ca="1" si="192"/>
        <v>1930.1694920404843</v>
      </c>
      <c r="F287" s="69">
        <f t="shared" ca="1" si="193"/>
        <v>1221.5570613096706</v>
      </c>
      <c r="G287" s="69">
        <f t="shared" ca="1" si="194"/>
        <v>964.91463239513848</v>
      </c>
      <c r="H287" s="69">
        <f t="shared" ca="1" si="195"/>
        <v>1188.1974360093802</v>
      </c>
      <c r="I287" s="69">
        <f t="shared" ca="1" si="196"/>
        <v>1049.7170143586263</v>
      </c>
      <c r="J287" s="69">
        <f t="shared" ca="1" si="197"/>
        <v>1147.595381594128</v>
      </c>
      <c r="K287" s="69">
        <f t="shared" ca="1" si="198"/>
        <v>1179.0123252527628</v>
      </c>
      <c r="L287" s="69">
        <f t="shared" ca="1" si="199"/>
        <v>954.56952178186395</v>
      </c>
      <c r="M287" s="69">
        <f t="shared" ca="1" si="200"/>
        <v>989.55736934116146</v>
      </c>
      <c r="N287" s="69">
        <f t="shared" ca="1" si="201"/>
        <v>572.582789576138</v>
      </c>
      <c r="O287" s="69">
        <f t="shared" ca="1" si="202"/>
        <v>627.7856309762999</v>
      </c>
      <c r="P287" s="69">
        <f t="shared" ca="1" si="203"/>
        <v>721.59581366985947</v>
      </c>
      <c r="Q287" s="69">
        <f t="shared" ca="1" si="204"/>
        <v>952.21979028567262</v>
      </c>
      <c r="R287" s="69">
        <f t="shared" ca="1" si="205"/>
        <v>785.02702549497599</v>
      </c>
      <c r="S287" s="69">
        <f t="shared" ca="1" si="206"/>
        <v>702.37471141814297</v>
      </c>
      <c r="T287" s="69">
        <f t="shared" ca="1" si="207"/>
        <v>807.41004913647157</v>
      </c>
      <c r="U287" s="69">
        <f t="shared" ca="1" si="208"/>
        <v>1689.8097426205545</v>
      </c>
      <c r="V287" s="69">
        <f t="shared" ca="1" si="209"/>
        <v>1913.4746093155227</v>
      </c>
      <c r="W287" s="69">
        <f t="shared" ca="1" si="210"/>
        <v>1174.9894895298548</v>
      </c>
      <c r="X287" s="69">
        <f t="shared" ca="1" si="211"/>
        <v>1492.2329600941273</v>
      </c>
      <c r="Y287" s="69">
        <f t="shared" ca="1" si="212"/>
        <v>1209.5359696320065</v>
      </c>
      <c r="AA287" s="20">
        <f t="shared" ca="1" si="172"/>
        <v>6.5452470416102048E+16</v>
      </c>
      <c r="AB287" s="20">
        <f t="shared" ca="1" si="173"/>
        <v>1687144537011081.5</v>
      </c>
      <c r="AC287" s="20">
        <f t="shared" ca="1" si="174"/>
        <v>400328535271593.81</v>
      </c>
      <c r="AD287" s="20">
        <f t="shared" ca="1" si="175"/>
        <v>305899546734965.31</v>
      </c>
      <c r="AE287" s="20">
        <f t="shared" ca="1" si="176"/>
        <v>6857248872117271</v>
      </c>
      <c r="AG287" s="16">
        <f t="shared" ca="1" si="177"/>
        <v>1.2428723551084113E-4</v>
      </c>
      <c r="AH287" s="16">
        <f t="shared" ca="1" si="178"/>
        <v>1.2712112344290399E-4</v>
      </c>
      <c r="AI287" s="16">
        <f t="shared" ca="1" si="179"/>
        <v>4.5847482106471573E-4</v>
      </c>
      <c r="AJ287" s="16">
        <f t="shared" ca="1" si="180"/>
        <v>8.4249754670046365E-4</v>
      </c>
      <c r="AK287" s="16">
        <f t="shared" ca="1" si="181"/>
        <v>-3.456011540585158E-4</v>
      </c>
      <c r="AM287" s="16">
        <f t="shared" ca="1" si="182"/>
        <v>1.5523807267189245E-3</v>
      </c>
      <c r="AO287" s="16">
        <f t="shared" ca="1" si="183"/>
        <v>0</v>
      </c>
      <c r="AP287" s="16">
        <f t="shared" ca="1" si="184"/>
        <v>0</v>
      </c>
      <c r="AQ287" s="16">
        <f t="shared" ca="1" si="185"/>
        <v>0</v>
      </c>
      <c r="AR287" s="16">
        <f t="shared" ca="1" si="186"/>
        <v>0</v>
      </c>
      <c r="AS287" s="16">
        <f t="shared" ca="1" si="187"/>
        <v>-3.456011540585158E-4</v>
      </c>
    </row>
    <row r="288" spans="1:45" x14ac:dyDescent="0.25">
      <c r="A288" s="69">
        <f t="shared" ca="1" si="188"/>
        <v>2451.114768773165</v>
      </c>
      <c r="B288" s="69">
        <f t="shared" ca="1" si="189"/>
        <v>2134.5008327552118</v>
      </c>
      <c r="C288" s="69">
        <f t="shared" ca="1" si="190"/>
        <v>2228.1975652885926</v>
      </c>
      <c r="D288" s="69">
        <f t="shared" ca="1" si="191"/>
        <v>2909.1820731186353</v>
      </c>
      <c r="E288" s="69">
        <f t="shared" ca="1" si="192"/>
        <v>1930.1694920404843</v>
      </c>
      <c r="F288" s="69">
        <f t="shared" ca="1" si="193"/>
        <v>1221.3578718225112</v>
      </c>
      <c r="G288" s="69">
        <f t="shared" ca="1" si="194"/>
        <v>965.33197421014393</v>
      </c>
      <c r="H288" s="69">
        <f t="shared" ca="1" si="195"/>
        <v>1188.0284543408886</v>
      </c>
      <c r="I288" s="69">
        <f t="shared" ca="1" si="196"/>
        <v>1049.7170143586263</v>
      </c>
      <c r="J288" s="69">
        <f t="shared" ca="1" si="197"/>
        <v>1147.595381594128</v>
      </c>
      <c r="K288" s="69">
        <f t="shared" ca="1" si="198"/>
        <v>1179.3748975118474</v>
      </c>
      <c r="L288" s="69">
        <f t="shared" ca="1" si="199"/>
        <v>954.89782217853292</v>
      </c>
      <c r="M288" s="69">
        <f t="shared" ca="1" si="200"/>
        <v>989.55736934116146</v>
      </c>
      <c r="N288" s="69">
        <f t="shared" ca="1" si="201"/>
        <v>572.8376028484131</v>
      </c>
      <c r="O288" s="69">
        <f t="shared" ca="1" si="202"/>
        <v>627.38536247365789</v>
      </c>
      <c r="P288" s="69">
        <f t="shared" ca="1" si="203"/>
        <v>721.64092082263983</v>
      </c>
      <c r="Q288" s="69">
        <f t="shared" ca="1" si="204"/>
        <v>952.21979028567262</v>
      </c>
      <c r="R288" s="69">
        <f t="shared" ca="1" si="205"/>
        <v>785.49403082080698</v>
      </c>
      <c r="S288" s="69">
        <f t="shared" ca="1" si="206"/>
        <v>702.37471141814297</v>
      </c>
      <c r="T288" s="69">
        <f t="shared" ca="1" si="207"/>
        <v>807.55965616678111</v>
      </c>
      <c r="U288" s="69">
        <f t="shared" ca="1" si="208"/>
        <v>1689.5262926650917</v>
      </c>
      <c r="V288" s="69">
        <f t="shared" ca="1" si="209"/>
        <v>1913.4746093155227</v>
      </c>
      <c r="W288" s="69">
        <f t="shared" ca="1" si="210"/>
        <v>1175.1010218449937</v>
      </c>
      <c r="X288" s="69">
        <f t="shared" ca="1" si="211"/>
        <v>1492.060725373831</v>
      </c>
      <c r="Y288" s="69">
        <f t="shared" ca="1" si="212"/>
        <v>1209.3456806442225</v>
      </c>
      <c r="AA288" s="20">
        <f t="shared" ca="1" si="172"/>
        <v>6.5460605828260896E+16</v>
      </c>
      <c r="AB288" s="20">
        <f t="shared" ca="1" si="173"/>
        <v>1687359022352557</v>
      </c>
      <c r="AC288" s="20">
        <f t="shared" ca="1" si="174"/>
        <v>400512117905961.56</v>
      </c>
      <c r="AD288" s="20">
        <f t="shared" ca="1" si="175"/>
        <v>306157374947193.88</v>
      </c>
      <c r="AE288" s="20">
        <f t="shared" ca="1" si="176"/>
        <v>6854879408461672</v>
      </c>
      <c r="AG288" s="16">
        <f t="shared" ca="1" si="177"/>
        <v>-1.4435254076637215E-5</v>
      </c>
      <c r="AH288" s="16">
        <f t="shared" ca="1" si="178"/>
        <v>3.558171665024946E-4</v>
      </c>
      <c r="AI288" s="16">
        <f t="shared" ca="1" si="179"/>
        <v>7.6394446137700888E-4</v>
      </c>
      <c r="AJ288" s="16">
        <f t="shared" ca="1" si="180"/>
        <v>2.8618046465467522E-4</v>
      </c>
      <c r="AK288" s="16">
        <f t="shared" ca="1" si="181"/>
        <v>3.9570239046287075E-4</v>
      </c>
      <c r="AM288" s="16">
        <f t="shared" ca="1" si="182"/>
        <v>1.3915068384575415E-3</v>
      </c>
      <c r="AO288" s="16">
        <f t="shared" ca="1" si="183"/>
        <v>-1.4435254076637215E-5</v>
      </c>
      <c r="AP288" s="16">
        <f t="shared" ca="1" si="184"/>
        <v>0</v>
      </c>
      <c r="AQ288" s="16">
        <f t="shared" ca="1" si="185"/>
        <v>0</v>
      </c>
      <c r="AR288" s="16">
        <f t="shared" ca="1" si="186"/>
        <v>0</v>
      </c>
      <c r="AS288" s="16">
        <f t="shared" ca="1" si="187"/>
        <v>0</v>
      </c>
    </row>
    <row r="289" spans="1:45" x14ac:dyDescent="0.25">
      <c r="A289" s="69">
        <f t="shared" ca="1" si="188"/>
        <v>2451.114768773165</v>
      </c>
      <c r="B289" s="69">
        <f t="shared" ca="1" si="189"/>
        <v>2134.9405975714149</v>
      </c>
      <c r="C289" s="69">
        <f t="shared" ca="1" si="190"/>
        <v>2228.5603881894276</v>
      </c>
      <c r="D289" s="69">
        <f t="shared" ca="1" si="191"/>
        <v>2908.7293455511067</v>
      </c>
      <c r="E289" s="69">
        <f t="shared" ca="1" si="192"/>
        <v>1929.730181587654</v>
      </c>
      <c r="F289" s="69">
        <f t="shared" ca="1" si="193"/>
        <v>1221.3578718225112</v>
      </c>
      <c r="G289" s="69">
        <f t="shared" ca="1" si="194"/>
        <v>965.79339319444659</v>
      </c>
      <c r="H289" s="69">
        <f t="shared" ca="1" si="195"/>
        <v>1188.0284543408886</v>
      </c>
      <c r="I289" s="69">
        <f t="shared" ca="1" si="196"/>
        <v>1049.6624668137049</v>
      </c>
      <c r="J289" s="69">
        <f t="shared" ca="1" si="197"/>
        <v>1147.514945795263</v>
      </c>
      <c r="K289" s="69">
        <f t="shared" ca="1" si="198"/>
        <v>1179.0860374891918</v>
      </c>
      <c r="L289" s="69">
        <f t="shared" ca="1" si="199"/>
        <v>955.01417452095359</v>
      </c>
      <c r="M289" s="69">
        <f t="shared" ca="1" si="200"/>
        <v>989.94752476128758</v>
      </c>
      <c r="N289" s="69">
        <f t="shared" ca="1" si="201"/>
        <v>572.94257557193851</v>
      </c>
      <c r="O289" s="69">
        <f t="shared" ca="1" si="202"/>
        <v>627.57965096925705</v>
      </c>
      <c r="P289" s="69">
        <f t="shared" ca="1" si="203"/>
        <v>722.0118173572348</v>
      </c>
      <c r="Q289" s="69">
        <f t="shared" ca="1" si="204"/>
        <v>952.21979028567262</v>
      </c>
      <c r="R289" s="69">
        <f t="shared" ca="1" si="205"/>
        <v>785.4080412239116</v>
      </c>
      <c r="S289" s="69">
        <f t="shared" ca="1" si="206"/>
        <v>702.37471141814297</v>
      </c>
      <c r="T289" s="69">
        <f t="shared" ca="1" si="207"/>
        <v>807.46423067004139</v>
      </c>
      <c r="U289" s="69">
        <f t="shared" ca="1" si="208"/>
        <v>1689.6724440713174</v>
      </c>
      <c r="V289" s="69">
        <f t="shared" ca="1" si="209"/>
        <v>1913.7216854300302</v>
      </c>
      <c r="W289" s="69">
        <f t="shared" ca="1" si="210"/>
        <v>1175.1010218449937</v>
      </c>
      <c r="X289" s="69">
        <f t="shared" ca="1" si="211"/>
        <v>1492.0789392349191</v>
      </c>
      <c r="Y289" s="69">
        <f t="shared" ca="1" si="212"/>
        <v>1209.5487210245913</v>
      </c>
      <c r="AA289" s="20">
        <f t="shared" ca="1" si="172"/>
        <v>6.5459660894603952E+16</v>
      </c>
      <c r="AB289" s="20">
        <f t="shared" ca="1" si="173"/>
        <v>1687959520486199.5</v>
      </c>
      <c r="AC289" s="20">
        <f t="shared" ca="1" si="174"/>
        <v>400818203821583.94</v>
      </c>
      <c r="AD289" s="20">
        <f t="shared" ca="1" si="175"/>
        <v>306245003745240.75</v>
      </c>
      <c r="AE289" s="20">
        <f t="shared" ca="1" si="176"/>
        <v>6857592437370547</v>
      </c>
      <c r="AG289" s="16">
        <f t="shared" ca="1" si="177"/>
        <v>-8.5860547610255449E-5</v>
      </c>
      <c r="AH289" s="16">
        <f t="shared" ca="1" si="178"/>
        <v>3.3342617552035926E-4</v>
      </c>
      <c r="AI289" s="16">
        <f t="shared" ca="1" si="179"/>
        <v>-1.0436296159236844E-4</v>
      </c>
      <c r="AJ289" s="16">
        <f t="shared" ca="1" si="180"/>
        <v>3.0715336262999039E-4</v>
      </c>
      <c r="AK289" s="16">
        <f t="shared" ca="1" si="181"/>
        <v>-3.3530731178088988E-5</v>
      </c>
      <c r="AM289" s="16">
        <f t="shared" ca="1" si="182"/>
        <v>4.5035602894772579E-4</v>
      </c>
      <c r="AO289" s="16">
        <f t="shared" ca="1" si="183"/>
        <v>-8.5860547610255449E-5</v>
      </c>
      <c r="AP289" s="16">
        <f t="shared" ca="1" si="184"/>
        <v>0</v>
      </c>
      <c r="AQ289" s="16">
        <f t="shared" ca="1" si="185"/>
        <v>-1.0436296159236844E-4</v>
      </c>
      <c r="AR289" s="16">
        <f t="shared" ca="1" si="186"/>
        <v>0</v>
      </c>
      <c r="AS289" s="16">
        <f t="shared" ca="1" si="187"/>
        <v>-3.3530731178088988E-5</v>
      </c>
    </row>
    <row r="290" spans="1:45" x14ac:dyDescent="0.25">
      <c r="A290" s="69">
        <f t="shared" ca="1" si="188"/>
        <v>2450.6887541168398</v>
      </c>
      <c r="B290" s="69">
        <f t="shared" ca="1" si="189"/>
        <v>2134.9405975714149</v>
      </c>
      <c r="C290" s="69">
        <f t="shared" ca="1" si="190"/>
        <v>2228.5603881894276</v>
      </c>
      <c r="D290" s="69">
        <f t="shared" ca="1" si="191"/>
        <v>2908.7293455511067</v>
      </c>
      <c r="E290" s="69">
        <f t="shared" ca="1" si="192"/>
        <v>1929.8999262071816</v>
      </c>
      <c r="F290" s="69">
        <f t="shared" ca="1" si="193"/>
        <v>1221.0707035079581</v>
      </c>
      <c r="G290" s="69">
        <f t="shared" ca="1" si="194"/>
        <v>966.25321759712267</v>
      </c>
      <c r="H290" s="69">
        <f t="shared" ca="1" si="195"/>
        <v>1187.625806436886</v>
      </c>
      <c r="I290" s="69">
        <f t="shared" ca="1" si="196"/>
        <v>1050.1155540835543</v>
      </c>
      <c r="J290" s="69">
        <f t="shared" ca="1" si="197"/>
        <v>1147.514945795263</v>
      </c>
      <c r="K290" s="69">
        <f t="shared" ca="1" si="198"/>
        <v>1178.7092758319397</v>
      </c>
      <c r="L290" s="69">
        <f t="shared" ca="1" si="199"/>
        <v>954.80318070026544</v>
      </c>
      <c r="M290" s="69">
        <f t="shared" ca="1" si="200"/>
        <v>989.94752476128758</v>
      </c>
      <c r="N290" s="69">
        <f t="shared" ca="1" si="201"/>
        <v>572.94257557193851</v>
      </c>
      <c r="O290" s="69">
        <f t="shared" ca="1" si="202"/>
        <v>627.85344975388796</v>
      </c>
      <c r="P290" s="69">
        <f t="shared" ca="1" si="203"/>
        <v>722.0118173572348</v>
      </c>
      <c r="Q290" s="69">
        <f t="shared" ca="1" si="204"/>
        <v>952.02191295045304</v>
      </c>
      <c r="R290" s="69">
        <f t="shared" ca="1" si="205"/>
        <v>785.4080412239116</v>
      </c>
      <c r="S290" s="69">
        <f t="shared" ca="1" si="206"/>
        <v>702.73651443014148</v>
      </c>
      <c r="T290" s="69">
        <f t="shared" ca="1" si="207"/>
        <v>807.46423067004139</v>
      </c>
      <c r="U290" s="69">
        <f t="shared" ca="1" si="208"/>
        <v>1689.6724440713174</v>
      </c>
      <c r="V290" s="69">
        <f t="shared" ca="1" si="209"/>
        <v>1913.6310551927913</v>
      </c>
      <c r="W290" s="69">
        <f t="shared" ca="1" si="210"/>
        <v>1175.4420103179268</v>
      </c>
      <c r="X290" s="69">
        <f t="shared" ca="1" si="211"/>
        <v>1492.0789392349191</v>
      </c>
      <c r="Y290" s="69">
        <f t="shared" ca="1" si="212"/>
        <v>1209.2145599105381</v>
      </c>
      <c r="AA290" s="20">
        <f t="shared" ca="1" si="172"/>
        <v>6.5454040733551664E+16</v>
      </c>
      <c r="AB290" s="20">
        <f t="shared" ca="1" si="173"/>
        <v>1688522424211751.5</v>
      </c>
      <c r="AC290" s="20">
        <f t="shared" ca="1" si="174"/>
        <v>400776375429478.38</v>
      </c>
      <c r="AD290" s="20">
        <f t="shared" ca="1" si="175"/>
        <v>306339082375473.94</v>
      </c>
      <c r="AE290" s="20">
        <f t="shared" ca="1" si="176"/>
        <v>6857362501136987</v>
      </c>
      <c r="AG290" s="16">
        <f t="shared" ca="1" si="177"/>
        <v>-5.9585169089349374E-5</v>
      </c>
      <c r="AH290" s="16">
        <f t="shared" ca="1" si="178"/>
        <v>-4.9520459729017355E-4</v>
      </c>
      <c r="AI290" s="16">
        <f t="shared" ca="1" si="179"/>
        <v>-1.0347919742684198E-3</v>
      </c>
      <c r="AJ290" s="16">
        <f t="shared" ca="1" si="180"/>
        <v>-7.4418599748377241E-4</v>
      </c>
      <c r="AK290" s="16">
        <f t="shared" ca="1" si="181"/>
        <v>-2.146320932444709E-4</v>
      </c>
      <c r="AM290" s="16">
        <f t="shared" ca="1" si="182"/>
        <v>-2.3337677381317151E-3</v>
      </c>
      <c r="AO290" s="16">
        <f t="shared" ca="1" si="183"/>
        <v>-5.9585169089349374E-5</v>
      </c>
      <c r="AP290" s="16">
        <f t="shared" ca="1" si="184"/>
        <v>-4.9520459729017355E-4</v>
      </c>
      <c r="AQ290" s="16">
        <f t="shared" ca="1" si="185"/>
        <v>-1.0347919742684198E-3</v>
      </c>
      <c r="AR290" s="16">
        <f t="shared" ca="1" si="186"/>
        <v>-7.4418599748377241E-4</v>
      </c>
      <c r="AS290" s="16">
        <f t="shared" ca="1" si="187"/>
        <v>-2.146320932444709E-4</v>
      </c>
    </row>
    <row r="291" spans="1:45" x14ac:dyDescent="0.25">
      <c r="A291" s="69">
        <f t="shared" ca="1" si="188"/>
        <v>2450.7103436467828</v>
      </c>
      <c r="B291" s="69">
        <f t="shared" ca="1" si="189"/>
        <v>2135.0392074624442</v>
      </c>
      <c r="C291" s="69">
        <f t="shared" ca="1" si="190"/>
        <v>2228.5603881894276</v>
      </c>
      <c r="D291" s="69">
        <f t="shared" ca="1" si="191"/>
        <v>2908.3413417000979</v>
      </c>
      <c r="E291" s="69">
        <f t="shared" ca="1" si="192"/>
        <v>1929.9362464408998</v>
      </c>
      <c r="F291" s="69">
        <f t="shared" ca="1" si="193"/>
        <v>1221.3347670942505</v>
      </c>
      <c r="G291" s="69">
        <f t="shared" ca="1" si="194"/>
        <v>965.93390851419895</v>
      </c>
      <c r="H291" s="69">
        <f t="shared" ca="1" si="195"/>
        <v>1187.625806436886</v>
      </c>
      <c r="I291" s="69">
        <f t="shared" ca="1" si="196"/>
        <v>1049.6178333460168</v>
      </c>
      <c r="J291" s="69">
        <f t="shared" ca="1" si="197"/>
        <v>1147.6218517231371</v>
      </c>
      <c r="K291" s="69">
        <f t="shared" ca="1" si="198"/>
        <v>1178.7092758319397</v>
      </c>
      <c r="L291" s="69">
        <f t="shared" ca="1" si="199"/>
        <v>954.51121469741724</v>
      </c>
      <c r="M291" s="69">
        <f t="shared" ca="1" si="200"/>
        <v>989.68707191987994</v>
      </c>
      <c r="N291" s="69">
        <f t="shared" ca="1" si="201"/>
        <v>572.67574595428368</v>
      </c>
      <c r="O291" s="69">
        <f t="shared" ca="1" si="202"/>
        <v>627.85344975388796</v>
      </c>
      <c r="P291" s="69">
        <f t="shared" ca="1" si="203"/>
        <v>722.0118173572348</v>
      </c>
      <c r="Q291" s="69">
        <f t="shared" ca="1" si="204"/>
        <v>952.32350971407243</v>
      </c>
      <c r="R291" s="69">
        <f t="shared" ca="1" si="205"/>
        <v>785.33397638056715</v>
      </c>
      <c r="S291" s="69">
        <f t="shared" ca="1" si="206"/>
        <v>702.32089194110279</v>
      </c>
      <c r="T291" s="69">
        <f t="shared" ca="1" si="207"/>
        <v>807.16147460523973</v>
      </c>
      <c r="U291" s="69">
        <f t="shared" ca="1" si="208"/>
        <v>1690.0171746288306</v>
      </c>
      <c r="V291" s="69">
        <f t="shared" ca="1" si="209"/>
        <v>1913.1655859389816</v>
      </c>
      <c r="W291" s="69">
        <f t="shared" ca="1" si="210"/>
        <v>1174.981496915218</v>
      </c>
      <c r="X291" s="69">
        <f t="shared" ca="1" si="211"/>
        <v>1492.4551673937435</v>
      </c>
      <c r="Y291" s="69">
        <f t="shared" ca="1" si="212"/>
        <v>1209.1714789183789</v>
      </c>
      <c r="AA291" s="20">
        <f t="shared" ca="1" si="172"/>
        <v>6.5450140759658432E+16</v>
      </c>
      <c r="AB291" s="20">
        <f t="shared" ca="1" si="173"/>
        <v>1687686467146628.5</v>
      </c>
      <c r="AC291" s="20">
        <f t="shared" ca="1" si="174"/>
        <v>400361869753268.63</v>
      </c>
      <c r="AD291" s="20">
        <f t="shared" ca="1" si="175"/>
        <v>306111193926101.88</v>
      </c>
      <c r="AE291" s="20">
        <f t="shared" ca="1" si="176"/>
        <v>6855890849006770</v>
      </c>
      <c r="AG291" s="16">
        <f t="shared" ca="1" si="177"/>
        <v>-8.4580185700737431E-6</v>
      </c>
      <c r="AH291" s="16">
        <f t="shared" ca="1" si="178"/>
        <v>-3.2994501088695887E-4</v>
      </c>
      <c r="AI291" s="16">
        <f t="shared" ca="1" si="179"/>
        <v>-1.1026624311157513E-4</v>
      </c>
      <c r="AJ291" s="16">
        <f t="shared" ca="1" si="180"/>
        <v>-4.1016055324079521E-4</v>
      </c>
      <c r="AK291" s="16">
        <f t="shared" ca="1" si="181"/>
        <v>-4.470166252729209E-4</v>
      </c>
      <c r="AM291" s="16">
        <f t="shared" ca="1" si="182"/>
        <v>-8.5882982580940293E-4</v>
      </c>
      <c r="AO291" s="16">
        <f t="shared" ca="1" si="183"/>
        <v>-8.4580185700737431E-6</v>
      </c>
      <c r="AP291" s="16">
        <f t="shared" ca="1" si="184"/>
        <v>-3.2994501088695887E-4</v>
      </c>
      <c r="AQ291" s="16">
        <f t="shared" ca="1" si="185"/>
        <v>-1.1026624311157513E-4</v>
      </c>
      <c r="AR291" s="16">
        <f t="shared" ca="1" si="186"/>
        <v>-4.1016055324079521E-4</v>
      </c>
      <c r="AS291" s="16">
        <f t="shared" ca="1" si="187"/>
        <v>-4.470166252729209E-4</v>
      </c>
    </row>
    <row r="292" spans="1:45" x14ac:dyDescent="0.25">
      <c r="A292" s="69">
        <f t="shared" ca="1" si="188"/>
        <v>2450.8685681268394</v>
      </c>
      <c r="B292" s="69">
        <f t="shared" ca="1" si="189"/>
        <v>2134.8385284483129</v>
      </c>
      <c r="C292" s="69">
        <f t="shared" ca="1" si="190"/>
        <v>2228.3054112625196</v>
      </c>
      <c r="D292" s="69">
        <f t="shared" ca="1" si="191"/>
        <v>2908.1119784276575</v>
      </c>
      <c r="E292" s="69">
        <f t="shared" ca="1" si="192"/>
        <v>1930.3498100820673</v>
      </c>
      <c r="F292" s="69">
        <f t="shared" ca="1" si="193"/>
        <v>1221.1642297779579</v>
      </c>
      <c r="G292" s="69">
        <f t="shared" ca="1" si="194"/>
        <v>965.93390851419895</v>
      </c>
      <c r="H292" s="69">
        <f t="shared" ca="1" si="195"/>
        <v>1187.8891258268554</v>
      </c>
      <c r="I292" s="69">
        <f t="shared" ca="1" si="196"/>
        <v>1049.6178333460168</v>
      </c>
      <c r="J292" s="69">
        <f t="shared" ca="1" si="197"/>
        <v>1147.149131291658</v>
      </c>
      <c r="K292" s="69">
        <f t="shared" ca="1" si="198"/>
        <v>1178.7652999212937</v>
      </c>
      <c r="L292" s="69">
        <f t="shared" ca="1" si="199"/>
        <v>954.20891502028519</v>
      </c>
      <c r="M292" s="69">
        <f t="shared" ca="1" si="200"/>
        <v>989.84440634521195</v>
      </c>
      <c r="N292" s="69">
        <f t="shared" ca="1" si="201"/>
        <v>572.67574595428368</v>
      </c>
      <c r="O292" s="69">
        <f t="shared" ca="1" si="202"/>
        <v>627.85344975388796</v>
      </c>
      <c r="P292" s="69">
        <f t="shared" ca="1" si="203"/>
        <v>721.90805615863167</v>
      </c>
      <c r="Q292" s="69">
        <f t="shared" ca="1" si="204"/>
        <v>951.91884269429647</v>
      </c>
      <c r="R292" s="69">
        <f t="shared" ca="1" si="205"/>
        <v>785.60268232202168</v>
      </c>
      <c r="S292" s="69">
        <f t="shared" ca="1" si="206"/>
        <v>702.19201441902715</v>
      </c>
      <c r="T292" s="69">
        <f t="shared" ca="1" si="207"/>
        <v>807.16147460523973</v>
      </c>
      <c r="U292" s="69">
        <f t="shared" ca="1" si="208"/>
        <v>1689.7866425028656</v>
      </c>
      <c r="V292" s="69">
        <f t="shared" ca="1" si="209"/>
        <v>1913.1655859389816</v>
      </c>
      <c r="W292" s="69">
        <f t="shared" ca="1" si="210"/>
        <v>1174.7554411327501</v>
      </c>
      <c r="X292" s="69">
        <f t="shared" ca="1" si="211"/>
        <v>1492.3807703826233</v>
      </c>
      <c r="Y292" s="69">
        <f t="shared" ca="1" si="212"/>
        <v>1209.0888472744607</v>
      </c>
      <c r="AA292" s="20">
        <f t="shared" ca="1" si="172"/>
        <v>6.5449587183493552E+16</v>
      </c>
      <c r="AB292" s="20">
        <f t="shared" ca="1" si="173"/>
        <v>1687129715270654.8</v>
      </c>
      <c r="AC292" s="20">
        <f t="shared" ca="1" si="174"/>
        <v>400317725787845.13</v>
      </c>
      <c r="AD292" s="20">
        <f t="shared" ca="1" si="175"/>
        <v>305985664934728.06</v>
      </c>
      <c r="AE292" s="20">
        <f t="shared" ca="1" si="176"/>
        <v>6852826836699450</v>
      </c>
      <c r="AG292" s="16">
        <f t="shared" ca="1" si="177"/>
        <v>2.4099077507059816E-5</v>
      </c>
      <c r="AH292" s="16">
        <f t="shared" ca="1" si="178"/>
        <v>-2.076328281356098E-4</v>
      </c>
      <c r="AI292" s="16">
        <f t="shared" ca="1" si="179"/>
        <v>7.8934810803156453E-4</v>
      </c>
      <c r="AJ292" s="16">
        <f t="shared" ca="1" si="180"/>
        <v>1.8780760893344025E-5</v>
      </c>
      <c r="AK292" s="16">
        <f t="shared" ca="1" si="181"/>
        <v>-2.6608287720277098E-4</v>
      </c>
      <c r="AM292" s="16">
        <f t="shared" ca="1" si="182"/>
        <v>6.2459511829635864E-4</v>
      </c>
      <c r="AO292" s="16">
        <f t="shared" ca="1" si="183"/>
        <v>0</v>
      </c>
      <c r="AP292" s="16">
        <f t="shared" ca="1" si="184"/>
        <v>-2.076328281356098E-4</v>
      </c>
      <c r="AQ292" s="16">
        <f t="shared" ca="1" si="185"/>
        <v>0</v>
      </c>
      <c r="AR292" s="16">
        <f t="shared" ca="1" si="186"/>
        <v>0</v>
      </c>
      <c r="AS292" s="16">
        <f t="shared" ca="1" si="187"/>
        <v>-2.6608287720277098E-4</v>
      </c>
    </row>
    <row r="293" spans="1:45" x14ac:dyDescent="0.25">
      <c r="A293" s="69">
        <f t="shared" ca="1" si="188"/>
        <v>2450.7703388311165</v>
      </c>
      <c r="B293" s="69">
        <f t="shared" ca="1" si="189"/>
        <v>2134.8385284483129</v>
      </c>
      <c r="C293" s="69">
        <f t="shared" ca="1" si="190"/>
        <v>2228.0638764955061</v>
      </c>
      <c r="D293" s="69">
        <f t="shared" ca="1" si="191"/>
        <v>2908.1119784276575</v>
      </c>
      <c r="E293" s="69">
        <f t="shared" ca="1" si="192"/>
        <v>1930.6829767873276</v>
      </c>
      <c r="F293" s="69">
        <f t="shared" ca="1" si="193"/>
        <v>1221.0037168242518</v>
      </c>
      <c r="G293" s="69">
        <f t="shared" ca="1" si="194"/>
        <v>965.85315805280209</v>
      </c>
      <c r="H293" s="69">
        <f t="shared" ca="1" si="195"/>
        <v>1187.8450247613991</v>
      </c>
      <c r="I293" s="69">
        <f t="shared" ca="1" si="196"/>
        <v>1050.0591906457539</v>
      </c>
      <c r="J293" s="69">
        <f t="shared" ca="1" si="197"/>
        <v>1146.7180465702163</v>
      </c>
      <c r="K293" s="69">
        <f t="shared" ca="1" si="198"/>
        <v>1178.7689236346712</v>
      </c>
      <c r="L293" s="69">
        <f t="shared" ca="1" si="199"/>
        <v>954.06030118230115</v>
      </c>
      <c r="M293" s="69">
        <f t="shared" ca="1" si="200"/>
        <v>990.31115815027795</v>
      </c>
      <c r="N293" s="69">
        <f t="shared" ca="1" si="201"/>
        <v>572.94531186776021</v>
      </c>
      <c r="O293" s="69">
        <f t="shared" ca="1" si="202"/>
        <v>627.85344975388796</v>
      </c>
      <c r="P293" s="69">
        <f t="shared" ca="1" si="203"/>
        <v>721.90805615863167</v>
      </c>
      <c r="Q293" s="69">
        <f t="shared" ca="1" si="204"/>
        <v>951.91884269429647</v>
      </c>
      <c r="R293" s="69">
        <f t="shared" ca="1" si="205"/>
        <v>785.61743667670419</v>
      </c>
      <c r="S293" s="69">
        <f t="shared" ca="1" si="206"/>
        <v>702.19201441902715</v>
      </c>
      <c r="T293" s="69">
        <f t="shared" ca="1" si="207"/>
        <v>807.16147460523973</v>
      </c>
      <c r="U293" s="69">
        <f t="shared" ca="1" si="208"/>
        <v>1689.3063129229458</v>
      </c>
      <c r="V293" s="69">
        <f t="shared" ca="1" si="209"/>
        <v>1913.1655859389816</v>
      </c>
      <c r="W293" s="69">
        <f t="shared" ca="1" si="210"/>
        <v>1174.9526859038813</v>
      </c>
      <c r="X293" s="69">
        <f t="shared" ca="1" si="211"/>
        <v>1491.8869308391436</v>
      </c>
      <c r="Y293" s="69">
        <f t="shared" ca="1" si="212"/>
        <v>1209.3080572064921</v>
      </c>
      <c r="AA293" s="20">
        <f t="shared" ca="1" si="172"/>
        <v>6.545116447717348E+16</v>
      </c>
      <c r="AB293" s="20">
        <f t="shared" ca="1" si="173"/>
        <v>1686779448121179.3</v>
      </c>
      <c r="AC293" s="20">
        <f t="shared" ca="1" si="174"/>
        <v>400633840573197.69</v>
      </c>
      <c r="AD293" s="20">
        <f t="shared" ca="1" si="175"/>
        <v>305991411632301.5</v>
      </c>
      <c r="AE293" s="20">
        <f t="shared" ca="1" si="176"/>
        <v>6851003659386658</v>
      </c>
      <c r="AG293" s="16">
        <f t="shared" ca="1" si="177"/>
        <v>-1.6848378052799427E-4</v>
      </c>
      <c r="AH293" s="16">
        <f t="shared" ca="1" si="178"/>
        <v>1.1082734311089347E-4</v>
      </c>
      <c r="AI293" s="16">
        <f t="shared" ca="1" si="179"/>
        <v>-3.1410748014401991E-4</v>
      </c>
      <c r="AJ293" s="16">
        <f t="shared" ca="1" si="180"/>
        <v>5.0361768720042172E-4</v>
      </c>
      <c r="AK293" s="16">
        <f t="shared" ca="1" si="181"/>
        <v>-4.0957426054119431E-4</v>
      </c>
      <c r="AM293" s="16">
        <f t="shared" ca="1" si="182"/>
        <v>1.3185376963930099E-4</v>
      </c>
      <c r="AO293" s="16">
        <f t="shared" ca="1" si="183"/>
        <v>-1.6848378052799427E-4</v>
      </c>
      <c r="AP293" s="16">
        <f t="shared" ca="1" si="184"/>
        <v>0</v>
      </c>
      <c r="AQ293" s="16">
        <f t="shared" ca="1" si="185"/>
        <v>-3.1410748014401991E-4</v>
      </c>
      <c r="AR293" s="16">
        <f t="shared" ca="1" si="186"/>
        <v>0</v>
      </c>
      <c r="AS293" s="16">
        <f t="shared" ca="1" si="187"/>
        <v>-4.0957426054119431E-4</v>
      </c>
    </row>
    <row r="294" spans="1:45" x14ac:dyDescent="0.25">
      <c r="A294" s="69">
        <f t="shared" ca="1" si="188"/>
        <v>2450.7703388311165</v>
      </c>
      <c r="B294" s="69">
        <f t="shared" ca="1" si="189"/>
        <v>2134.6393653052924</v>
      </c>
      <c r="C294" s="69">
        <f t="shared" ca="1" si="190"/>
        <v>2228.0638764955061</v>
      </c>
      <c r="D294" s="69">
        <f t="shared" ca="1" si="191"/>
        <v>2908.1119784276575</v>
      </c>
      <c r="E294" s="69">
        <f t="shared" ca="1" si="192"/>
        <v>1930.5378189634116</v>
      </c>
      <c r="F294" s="69">
        <f t="shared" ca="1" si="193"/>
        <v>1221.3160810997224</v>
      </c>
      <c r="G294" s="69">
        <f t="shared" ca="1" si="194"/>
        <v>965.55823538305879</v>
      </c>
      <c r="H294" s="69">
        <f t="shared" ca="1" si="195"/>
        <v>1187.8450247613991</v>
      </c>
      <c r="I294" s="69">
        <f t="shared" ca="1" si="196"/>
        <v>1050.5288419240014</v>
      </c>
      <c r="J294" s="69">
        <f t="shared" ca="1" si="197"/>
        <v>1146.389293554354</v>
      </c>
      <c r="K294" s="69">
        <f t="shared" ca="1" si="198"/>
        <v>1179.0728858151977</v>
      </c>
      <c r="L294" s="69">
        <f t="shared" ca="1" si="199"/>
        <v>954.18085374273335</v>
      </c>
      <c r="M294" s="69">
        <f t="shared" ca="1" si="200"/>
        <v>990.19442465907321</v>
      </c>
      <c r="N294" s="69">
        <f t="shared" ca="1" si="201"/>
        <v>572.85869799365719</v>
      </c>
      <c r="O294" s="69">
        <f t="shared" ca="1" si="202"/>
        <v>627.58401984275815</v>
      </c>
      <c r="P294" s="69">
        <f t="shared" ca="1" si="203"/>
        <v>722.19315094189278</v>
      </c>
      <c r="Q294" s="69">
        <f t="shared" ca="1" si="204"/>
        <v>952.08398830512795</v>
      </c>
      <c r="R294" s="69">
        <f t="shared" ca="1" si="205"/>
        <v>785.20429386789021</v>
      </c>
      <c r="S294" s="69">
        <f t="shared" ca="1" si="206"/>
        <v>702.51602892100072</v>
      </c>
      <c r="T294" s="69">
        <f t="shared" ca="1" si="207"/>
        <v>807.16147460523973</v>
      </c>
      <c r="U294" s="69">
        <f t="shared" ca="1" si="208"/>
        <v>1689.0467383380294</v>
      </c>
      <c r="V294" s="69">
        <f t="shared" ca="1" si="209"/>
        <v>1912.7647611161028</v>
      </c>
      <c r="W294" s="69">
        <f t="shared" ca="1" si="210"/>
        <v>1174.8981995470042</v>
      </c>
      <c r="X294" s="69">
        <f t="shared" ca="1" si="211"/>
        <v>1491.8869308391436</v>
      </c>
      <c r="Y294" s="69">
        <f t="shared" ca="1" si="212"/>
        <v>1209.3080572064921</v>
      </c>
      <c r="AA294" s="20">
        <f t="shared" ca="1" si="172"/>
        <v>6.544013794646428E+16</v>
      </c>
      <c r="AB294" s="20">
        <f t="shared" ca="1" si="173"/>
        <v>1686966399765314.3</v>
      </c>
      <c r="AC294" s="20">
        <f t="shared" ca="1" si="174"/>
        <v>400508018248975.94</v>
      </c>
      <c r="AD294" s="20">
        <f t="shared" ca="1" si="175"/>
        <v>306145553130265.38</v>
      </c>
      <c r="AE294" s="20">
        <f t="shared" ca="1" si="176"/>
        <v>6848198239182070</v>
      </c>
      <c r="AG294" s="16">
        <f t="shared" ca="1" si="177"/>
        <v>2.2256900754315169E-4</v>
      </c>
      <c r="AH294" s="16">
        <f t="shared" ca="1" si="178"/>
        <v>-5.8371835141619509E-5</v>
      </c>
      <c r="AI294" s="16">
        <f t="shared" ca="1" si="179"/>
        <v>1.0505594083069468E-3</v>
      </c>
      <c r="AJ294" s="16">
        <f t="shared" ca="1" si="180"/>
        <v>2.9359533386718835E-4</v>
      </c>
      <c r="AK294" s="16">
        <f t="shared" ca="1" si="181"/>
        <v>4.283138073428332E-4</v>
      </c>
      <c r="AM294" s="16">
        <f t="shared" ca="1" si="182"/>
        <v>1.5083519145756672E-3</v>
      </c>
      <c r="AO294" s="16">
        <f t="shared" ca="1" si="183"/>
        <v>0</v>
      </c>
      <c r="AP294" s="16">
        <f t="shared" ca="1" si="184"/>
        <v>-5.8371835141619509E-5</v>
      </c>
      <c r="AQ294" s="16">
        <f t="shared" ca="1" si="185"/>
        <v>0</v>
      </c>
      <c r="AR294" s="16">
        <f t="shared" ca="1" si="186"/>
        <v>0</v>
      </c>
      <c r="AS294" s="16">
        <f t="shared" ca="1" si="187"/>
        <v>0</v>
      </c>
    </row>
    <row r="295" spans="1:45" x14ac:dyDescent="0.25">
      <c r="A295" s="69">
        <f t="shared" ca="1" si="188"/>
        <v>2450.7703388311165</v>
      </c>
      <c r="B295" s="69">
        <f t="shared" ca="1" si="189"/>
        <v>2135.0379309516043</v>
      </c>
      <c r="C295" s="69">
        <f t="shared" ca="1" si="190"/>
        <v>2227.9947931183506</v>
      </c>
      <c r="D295" s="69">
        <f t="shared" ca="1" si="191"/>
        <v>2908.3064782669721</v>
      </c>
      <c r="E295" s="69">
        <f t="shared" ca="1" si="192"/>
        <v>1930.5378189634116</v>
      </c>
      <c r="F295" s="69">
        <f t="shared" ca="1" si="193"/>
        <v>1221.386796587969</v>
      </c>
      <c r="G295" s="69">
        <f t="shared" ca="1" si="194"/>
        <v>965.22094540672651</v>
      </c>
      <c r="H295" s="69">
        <f t="shared" ca="1" si="195"/>
        <v>1187.8450247613991</v>
      </c>
      <c r="I295" s="69">
        <f t="shared" ca="1" si="196"/>
        <v>1050.5749476349133</v>
      </c>
      <c r="J295" s="69">
        <f t="shared" ca="1" si="197"/>
        <v>1146.6062383280221</v>
      </c>
      <c r="K295" s="69">
        <f t="shared" ca="1" si="198"/>
        <v>1179.2488551366946</v>
      </c>
      <c r="L295" s="69">
        <f t="shared" ca="1" si="199"/>
        <v>954.18085374273335</v>
      </c>
      <c r="M295" s="69">
        <f t="shared" ca="1" si="200"/>
        <v>990.48062686107005</v>
      </c>
      <c r="N295" s="69">
        <f t="shared" ca="1" si="201"/>
        <v>573.18283379319348</v>
      </c>
      <c r="O295" s="69">
        <f t="shared" ca="1" si="202"/>
        <v>627.61331024609387</v>
      </c>
      <c r="P295" s="69">
        <f t="shared" ca="1" si="203"/>
        <v>722.40521461008859</v>
      </c>
      <c r="Q295" s="69">
        <f t="shared" ca="1" si="204"/>
        <v>952.08398830512795</v>
      </c>
      <c r="R295" s="69">
        <f t="shared" ca="1" si="205"/>
        <v>785.20429386789021</v>
      </c>
      <c r="S295" s="69">
        <f t="shared" ca="1" si="206"/>
        <v>702.51602892100072</v>
      </c>
      <c r="T295" s="69">
        <f t="shared" ca="1" si="207"/>
        <v>807.16147460523973</v>
      </c>
      <c r="U295" s="69">
        <f t="shared" ca="1" si="208"/>
        <v>1689.0467383380294</v>
      </c>
      <c r="V295" s="69">
        <f t="shared" ca="1" si="209"/>
        <v>1913.0159592816017</v>
      </c>
      <c r="W295" s="69">
        <f t="shared" ca="1" si="210"/>
        <v>1175.2717412215188</v>
      </c>
      <c r="X295" s="69">
        <f t="shared" ca="1" si="211"/>
        <v>1491.8557661564682</v>
      </c>
      <c r="Y295" s="69">
        <f t="shared" ca="1" si="212"/>
        <v>1209.3080572064921</v>
      </c>
      <c r="AA295" s="20">
        <f t="shared" ca="1" si="172"/>
        <v>6.5454704513993616E+16</v>
      </c>
      <c r="AB295" s="20">
        <f t="shared" ca="1" si="173"/>
        <v>1686867931314657.8</v>
      </c>
      <c r="AC295" s="20">
        <f t="shared" ca="1" si="174"/>
        <v>400928996808424.31</v>
      </c>
      <c r="AD295" s="20">
        <f t="shared" ca="1" si="175"/>
        <v>306235449232040.88</v>
      </c>
      <c r="AE295" s="20">
        <f t="shared" ca="1" si="176"/>
        <v>6851132045293314</v>
      </c>
      <c r="AG295" s="16">
        <f t="shared" ca="1" si="177"/>
        <v>5.0570700755963238E-4</v>
      </c>
      <c r="AH295" s="16">
        <f t="shared" ca="1" si="178"/>
        <v>-1.4030236448131934E-4</v>
      </c>
      <c r="AI295" s="16">
        <f t="shared" ca="1" si="179"/>
        <v>-1.3044683151892415E-3</v>
      </c>
      <c r="AJ295" s="16">
        <f t="shared" ca="1" si="180"/>
        <v>-5.0552843844470241E-4</v>
      </c>
      <c r="AK295" s="16">
        <f t="shared" ca="1" si="181"/>
        <v>4.6098954106268134E-4</v>
      </c>
      <c r="AM295" s="16">
        <f t="shared" ca="1" si="182"/>
        <v>-1.4445921105556308E-3</v>
      </c>
      <c r="AO295" s="16">
        <f t="shared" ca="1" si="183"/>
        <v>0</v>
      </c>
      <c r="AP295" s="16">
        <f t="shared" ca="1" si="184"/>
        <v>-1.4030236448131934E-4</v>
      </c>
      <c r="AQ295" s="16">
        <f t="shared" ca="1" si="185"/>
        <v>-1.3044683151892415E-3</v>
      </c>
      <c r="AR295" s="16">
        <f t="shared" ca="1" si="186"/>
        <v>-5.0552843844470241E-4</v>
      </c>
      <c r="AS295" s="16">
        <f t="shared" ca="1" si="187"/>
        <v>0</v>
      </c>
    </row>
    <row r="296" spans="1:45" x14ac:dyDescent="0.25">
      <c r="A296" s="69">
        <f t="shared" ca="1" si="188"/>
        <v>2451.1635561237208</v>
      </c>
      <c r="B296" s="69">
        <f t="shared" ca="1" si="189"/>
        <v>2135.4519108341788</v>
      </c>
      <c r="C296" s="69">
        <f t="shared" ca="1" si="190"/>
        <v>2227.9947931183506</v>
      </c>
      <c r="D296" s="69">
        <f t="shared" ca="1" si="191"/>
        <v>2908.7468121216366</v>
      </c>
      <c r="E296" s="69">
        <f t="shared" ca="1" si="192"/>
        <v>1930.5378189634116</v>
      </c>
      <c r="F296" s="69">
        <f t="shared" ca="1" si="193"/>
        <v>1221.0805358745888</v>
      </c>
      <c r="G296" s="69">
        <f t="shared" ca="1" si="194"/>
        <v>965.22094540672651</v>
      </c>
      <c r="H296" s="69">
        <f t="shared" ca="1" si="195"/>
        <v>1187.7807571232738</v>
      </c>
      <c r="I296" s="69">
        <f t="shared" ca="1" si="196"/>
        <v>1050.4329784054598</v>
      </c>
      <c r="J296" s="69">
        <f t="shared" ca="1" si="197"/>
        <v>1146.9499589202212</v>
      </c>
      <c r="K296" s="69">
        <f t="shared" ca="1" si="198"/>
        <v>1179.2488551366946</v>
      </c>
      <c r="L296" s="69">
        <f t="shared" ca="1" si="199"/>
        <v>953.99275171657314</v>
      </c>
      <c r="M296" s="69">
        <f t="shared" ca="1" si="200"/>
        <v>990.05286014996761</v>
      </c>
      <c r="N296" s="69">
        <f t="shared" ca="1" si="201"/>
        <v>572.79586939503656</v>
      </c>
      <c r="O296" s="69">
        <f t="shared" ca="1" si="202"/>
        <v>627.61331024609387</v>
      </c>
      <c r="P296" s="69">
        <f t="shared" ca="1" si="203"/>
        <v>722.40521461008859</v>
      </c>
      <c r="Q296" s="69">
        <f t="shared" ca="1" si="204"/>
        <v>952.08398830512795</v>
      </c>
      <c r="R296" s="69">
        <f t="shared" ca="1" si="205"/>
        <v>785.24720324218026</v>
      </c>
      <c r="S296" s="69">
        <f t="shared" ca="1" si="206"/>
        <v>702.51602892100072</v>
      </c>
      <c r="T296" s="69">
        <f t="shared" ca="1" si="207"/>
        <v>806.70945007152773</v>
      </c>
      <c r="U296" s="69">
        <f t="shared" ca="1" si="208"/>
        <v>1689.5192395841962</v>
      </c>
      <c r="V296" s="69">
        <f t="shared" ca="1" si="209"/>
        <v>1913.0159592816017</v>
      </c>
      <c r="W296" s="69">
        <f t="shared" ca="1" si="210"/>
        <v>1175.2717412215188</v>
      </c>
      <c r="X296" s="69">
        <f t="shared" ca="1" si="211"/>
        <v>1491.878392211112</v>
      </c>
      <c r="Y296" s="69">
        <f t="shared" ca="1" si="212"/>
        <v>1209.5089618089473</v>
      </c>
      <c r="AA296" s="20">
        <f t="shared" ca="1" si="172"/>
        <v>6.5487813787834376E+16</v>
      </c>
      <c r="AB296" s="20">
        <f t="shared" ca="1" si="173"/>
        <v>1686631276357339.8</v>
      </c>
      <c r="AC296" s="20">
        <f t="shared" ca="1" si="174"/>
        <v>400406338605094.63</v>
      </c>
      <c r="AD296" s="20">
        <f t="shared" ca="1" si="175"/>
        <v>306080677627614.06</v>
      </c>
      <c r="AE296" s="20">
        <f t="shared" ca="1" si="176"/>
        <v>6854291073594193</v>
      </c>
      <c r="AG296" s="16">
        <f t="shared" ca="1" si="177"/>
        <v>-8.4907690008922726E-5</v>
      </c>
      <c r="AH296" s="16">
        <f t="shared" ca="1" si="178"/>
        <v>-1.0143680798547212E-3</v>
      </c>
      <c r="AI296" s="16">
        <f t="shared" ca="1" si="179"/>
        <v>-1.1773267863034662E-3</v>
      </c>
      <c r="AJ296" s="16">
        <f t="shared" ca="1" si="180"/>
        <v>8.152022340746414E-4</v>
      </c>
      <c r="AK296" s="16">
        <f t="shared" ca="1" si="181"/>
        <v>2.0162683509039201E-5</v>
      </c>
      <c r="AM296" s="16">
        <f t="shared" ca="1" si="182"/>
        <v>-1.4614003220924689E-3</v>
      </c>
      <c r="AO296" s="16">
        <f t="shared" ca="1" si="183"/>
        <v>-8.4907690008922726E-5</v>
      </c>
      <c r="AP296" s="16">
        <f t="shared" ca="1" si="184"/>
        <v>-1.0143680798547212E-3</v>
      </c>
      <c r="AQ296" s="16">
        <f t="shared" ca="1" si="185"/>
        <v>-1.1773267863034662E-3</v>
      </c>
      <c r="AR296" s="16">
        <f t="shared" ca="1" si="186"/>
        <v>0</v>
      </c>
      <c r="AS296" s="16">
        <f t="shared" ca="1" si="187"/>
        <v>0</v>
      </c>
    </row>
    <row r="297" spans="1:45" x14ac:dyDescent="0.25">
      <c r="A297" s="69">
        <f t="shared" ca="1" si="188"/>
        <v>2451.1635561237208</v>
      </c>
      <c r="B297" s="69">
        <f t="shared" ca="1" si="189"/>
        <v>2135.4519108341788</v>
      </c>
      <c r="C297" s="69">
        <f t="shared" ca="1" si="190"/>
        <v>2227.9947931183506</v>
      </c>
      <c r="D297" s="69">
        <f t="shared" ca="1" si="191"/>
        <v>2908.4998476337391</v>
      </c>
      <c r="E297" s="69">
        <f t="shared" ca="1" si="192"/>
        <v>1930.5378189634116</v>
      </c>
      <c r="F297" s="69">
        <f t="shared" ca="1" si="193"/>
        <v>1221.0805358745888</v>
      </c>
      <c r="G297" s="69">
        <f t="shared" ca="1" si="194"/>
        <v>964.80612156746417</v>
      </c>
      <c r="H297" s="69">
        <f t="shared" ca="1" si="195"/>
        <v>1187.7215622713238</v>
      </c>
      <c r="I297" s="69">
        <f t="shared" ca="1" si="196"/>
        <v>1050.3162835566727</v>
      </c>
      <c r="J297" s="69">
        <f t="shared" ca="1" si="197"/>
        <v>1146.4642496094086</v>
      </c>
      <c r="K297" s="69">
        <f t="shared" ca="1" si="198"/>
        <v>1178.7557692434755</v>
      </c>
      <c r="L297" s="69">
        <f t="shared" ca="1" si="199"/>
        <v>953.99275171657314</v>
      </c>
      <c r="M297" s="69">
        <f t="shared" ca="1" si="200"/>
        <v>990.0807087380241</v>
      </c>
      <c r="N297" s="69">
        <f t="shared" ca="1" si="201"/>
        <v>572.79586939503656</v>
      </c>
      <c r="O297" s="69">
        <f t="shared" ca="1" si="202"/>
        <v>627.11942753969856</v>
      </c>
      <c r="P297" s="69">
        <f t="shared" ca="1" si="203"/>
        <v>722.40521461008859</v>
      </c>
      <c r="Q297" s="69">
        <f t="shared" ca="1" si="204"/>
        <v>952.31871133282311</v>
      </c>
      <c r="R297" s="69">
        <f t="shared" ca="1" si="205"/>
        <v>785.24720324218026</v>
      </c>
      <c r="S297" s="69">
        <f t="shared" ca="1" si="206"/>
        <v>702.97419645235391</v>
      </c>
      <c r="T297" s="69">
        <f t="shared" ca="1" si="207"/>
        <v>806.64227676171004</v>
      </c>
      <c r="U297" s="69">
        <f t="shared" ca="1" si="208"/>
        <v>1689.1874791088021</v>
      </c>
      <c r="V297" s="69">
        <f t="shared" ca="1" si="209"/>
        <v>1913.0159592816017</v>
      </c>
      <c r="W297" s="69">
        <f t="shared" ca="1" si="210"/>
        <v>1175.3106824381675</v>
      </c>
      <c r="X297" s="69">
        <f t="shared" ca="1" si="211"/>
        <v>1491.878392211112</v>
      </c>
      <c r="Y297" s="69">
        <f t="shared" ca="1" si="212"/>
        <v>1209.7308212772928</v>
      </c>
      <c r="AA297" s="20">
        <f t="shared" ca="1" si="172"/>
        <v>6.54822536048964E+16</v>
      </c>
      <c r="AB297" s="20">
        <f t="shared" ca="1" si="173"/>
        <v>1684921278858182.3</v>
      </c>
      <c r="AC297" s="20">
        <f t="shared" ca="1" si="174"/>
        <v>399935206889662.94</v>
      </c>
      <c r="AD297" s="20">
        <f t="shared" ca="1" si="175"/>
        <v>306330297011138.94</v>
      </c>
      <c r="AE297" s="20">
        <f t="shared" ca="1" si="176"/>
        <v>6854429275889049</v>
      </c>
      <c r="AG297" s="16">
        <f t="shared" ca="1" si="177"/>
        <v>-1.821587183417901E-4</v>
      </c>
      <c r="AH297" s="16">
        <f t="shared" ca="1" si="178"/>
        <v>-2.3351417799216827E-4</v>
      </c>
      <c r="AI297" s="16">
        <f t="shared" ca="1" si="179"/>
        <v>-1.4167450256946056E-3</v>
      </c>
      <c r="AJ297" s="16">
        <f t="shared" ca="1" si="180"/>
        <v>-3.0866029084657007E-4</v>
      </c>
      <c r="AK297" s="16">
        <f t="shared" ca="1" si="181"/>
        <v>4.5737406328441349E-4</v>
      </c>
      <c r="AM297" s="16">
        <f t="shared" ca="1" si="182"/>
        <v>-2.141078212875134E-3</v>
      </c>
      <c r="AO297" s="16">
        <f t="shared" ca="1" si="183"/>
        <v>-1.821587183417901E-4</v>
      </c>
      <c r="AP297" s="16">
        <f t="shared" ca="1" si="184"/>
        <v>-2.3351417799216827E-4</v>
      </c>
      <c r="AQ297" s="16">
        <f t="shared" ca="1" si="185"/>
        <v>-1.4167450256946056E-3</v>
      </c>
      <c r="AR297" s="16">
        <f t="shared" ca="1" si="186"/>
        <v>-3.0866029084657007E-4</v>
      </c>
      <c r="AS297" s="16">
        <f t="shared" ca="1" si="187"/>
        <v>0</v>
      </c>
    </row>
    <row r="298" spans="1:45" x14ac:dyDescent="0.25">
      <c r="A298" s="69">
        <f t="shared" ca="1" si="188"/>
        <v>2451.5451031136377</v>
      </c>
      <c r="B298" s="69">
        <f t="shared" ca="1" si="189"/>
        <v>2135.3510858415125</v>
      </c>
      <c r="C298" s="69">
        <f t="shared" ca="1" si="190"/>
        <v>2227.5377449963235</v>
      </c>
      <c r="D298" s="69">
        <f t="shared" ca="1" si="191"/>
        <v>2908.3342437381434</v>
      </c>
      <c r="E298" s="69">
        <f t="shared" ca="1" si="192"/>
        <v>1930.4828170738265</v>
      </c>
      <c r="F298" s="69">
        <f t="shared" ca="1" si="193"/>
        <v>1221.3276159721536</v>
      </c>
      <c r="G298" s="69">
        <f t="shared" ca="1" si="194"/>
        <v>964.80612156746417</v>
      </c>
      <c r="H298" s="69">
        <f t="shared" ca="1" si="195"/>
        <v>1187.7215622713238</v>
      </c>
      <c r="I298" s="69">
        <f t="shared" ca="1" si="196"/>
        <v>1049.8586143273269</v>
      </c>
      <c r="J298" s="69">
        <f t="shared" ca="1" si="197"/>
        <v>1146.4642496094086</v>
      </c>
      <c r="K298" s="69">
        <f t="shared" ca="1" si="198"/>
        <v>1178.7557692434755</v>
      </c>
      <c r="L298" s="69">
        <f t="shared" ca="1" si="199"/>
        <v>953.97856608291499</v>
      </c>
      <c r="M298" s="69">
        <f t="shared" ca="1" si="200"/>
        <v>990.0807087380241</v>
      </c>
      <c r="N298" s="69">
        <f t="shared" ca="1" si="201"/>
        <v>572.29787987632255</v>
      </c>
      <c r="O298" s="69">
        <f t="shared" ca="1" si="202"/>
        <v>626.78582878909469</v>
      </c>
      <c r="P298" s="69">
        <f t="shared" ca="1" si="203"/>
        <v>722.11762378528294</v>
      </c>
      <c r="Q298" s="69">
        <f t="shared" ca="1" si="204"/>
        <v>952.10017683365686</v>
      </c>
      <c r="R298" s="69">
        <f t="shared" ca="1" si="205"/>
        <v>785.4977553910345</v>
      </c>
      <c r="S298" s="69">
        <f t="shared" ca="1" si="206"/>
        <v>702.97419645235391</v>
      </c>
      <c r="T298" s="69">
        <f t="shared" ca="1" si="207"/>
        <v>806.64227676171004</v>
      </c>
      <c r="U298" s="69">
        <f t="shared" ca="1" si="208"/>
        <v>1689.1874791088021</v>
      </c>
      <c r="V298" s="69">
        <f t="shared" ca="1" si="209"/>
        <v>1912.7576317945159</v>
      </c>
      <c r="W298" s="69">
        <f t="shared" ca="1" si="210"/>
        <v>1175.4262521664341</v>
      </c>
      <c r="X298" s="69">
        <f t="shared" ca="1" si="211"/>
        <v>1492.03834039757</v>
      </c>
      <c r="Y298" s="69">
        <f t="shared" ca="1" si="212"/>
        <v>1210.1989405857025</v>
      </c>
      <c r="AA298" s="20">
        <f t="shared" ca="1" si="172"/>
        <v>6.5470326527849112E+16</v>
      </c>
      <c r="AB298" s="20">
        <f t="shared" ca="1" si="173"/>
        <v>1684527871785620.5</v>
      </c>
      <c r="AC298" s="20">
        <f t="shared" ca="1" si="174"/>
        <v>399369001853491.75</v>
      </c>
      <c r="AD298" s="20">
        <f t="shared" ca="1" si="175"/>
        <v>306235759603290.81</v>
      </c>
      <c r="AE298" s="20">
        <f t="shared" ca="1" si="176"/>
        <v>6857565031110347</v>
      </c>
      <c r="AG298" s="16">
        <f t="shared" ca="1" si="177"/>
        <v>-2.4641056009459751E-4</v>
      </c>
      <c r="AH298" s="16">
        <f t="shared" ca="1" si="178"/>
        <v>-1.312639517077948E-4</v>
      </c>
      <c r="AI298" s="16">
        <f t="shared" ca="1" si="179"/>
        <v>-5.3682405510569332E-4</v>
      </c>
      <c r="AJ298" s="16">
        <f t="shared" ca="1" si="180"/>
        <v>-7.4972855852027394E-4</v>
      </c>
      <c r="AK298" s="16">
        <f t="shared" ca="1" si="181"/>
        <v>-4.5197088985824763E-4</v>
      </c>
      <c r="AM298" s="16">
        <f t="shared" ca="1" si="182"/>
        <v>-1.6642271254283594E-3</v>
      </c>
      <c r="AO298" s="16">
        <f t="shared" ca="1" si="183"/>
        <v>-2.4641056009459751E-4</v>
      </c>
      <c r="AP298" s="16">
        <f t="shared" ca="1" si="184"/>
        <v>-1.312639517077948E-4</v>
      </c>
      <c r="AQ298" s="16">
        <f t="shared" ca="1" si="185"/>
        <v>-5.3682405510569332E-4</v>
      </c>
      <c r="AR298" s="16">
        <f t="shared" ca="1" si="186"/>
        <v>-7.4972855852027394E-4</v>
      </c>
      <c r="AS298" s="16">
        <f t="shared" ca="1" si="187"/>
        <v>-4.5197088985824763E-4</v>
      </c>
    </row>
    <row r="299" spans="1:45" x14ac:dyDescent="0.25">
      <c r="A299" s="69">
        <f t="shared" ca="1" si="188"/>
        <v>2451.2226279227252</v>
      </c>
      <c r="B299" s="69">
        <f t="shared" ca="1" si="189"/>
        <v>2135.3510858415125</v>
      </c>
      <c r="C299" s="69">
        <f t="shared" ca="1" si="190"/>
        <v>2227.0599770045455</v>
      </c>
      <c r="D299" s="69">
        <f t="shared" ca="1" si="191"/>
        <v>2908.0375288344017</v>
      </c>
      <c r="E299" s="69">
        <f t="shared" ca="1" si="192"/>
        <v>1930.8721781818037</v>
      </c>
      <c r="F299" s="69">
        <f t="shared" ca="1" si="193"/>
        <v>1221.3276159721536</v>
      </c>
      <c r="G299" s="69">
        <f t="shared" ca="1" si="194"/>
        <v>964.74528915325095</v>
      </c>
      <c r="H299" s="69">
        <f t="shared" ca="1" si="195"/>
        <v>1187.6405499229936</v>
      </c>
      <c r="I299" s="69">
        <f t="shared" ca="1" si="196"/>
        <v>1049.8586143273269</v>
      </c>
      <c r="J299" s="69">
        <f t="shared" ca="1" si="197"/>
        <v>1146.4642496094086</v>
      </c>
      <c r="K299" s="69">
        <f t="shared" ca="1" si="198"/>
        <v>1178.7557692434755</v>
      </c>
      <c r="L299" s="69">
        <f t="shared" ca="1" si="199"/>
        <v>954.11233629214178</v>
      </c>
      <c r="M299" s="69">
        <f t="shared" ca="1" si="200"/>
        <v>989.79847581391266</v>
      </c>
      <c r="N299" s="69">
        <f t="shared" ca="1" si="201"/>
        <v>572.29787987632255</v>
      </c>
      <c r="O299" s="69">
        <f t="shared" ca="1" si="202"/>
        <v>626.5402166426253</v>
      </c>
      <c r="P299" s="69">
        <f t="shared" ca="1" si="203"/>
        <v>722.11762378528294</v>
      </c>
      <c r="Q299" s="69">
        <f t="shared" ca="1" si="204"/>
        <v>952.1877742176232</v>
      </c>
      <c r="R299" s="69">
        <f t="shared" ca="1" si="205"/>
        <v>785.09626677391907</v>
      </c>
      <c r="S299" s="69">
        <f t="shared" ca="1" si="206"/>
        <v>702.74192178269709</v>
      </c>
      <c r="T299" s="69">
        <f t="shared" ca="1" si="207"/>
        <v>806.64227676171004</v>
      </c>
      <c r="U299" s="69">
        <f t="shared" ca="1" si="208"/>
        <v>1689.2652733948012</v>
      </c>
      <c r="V299" s="69">
        <f t="shared" ca="1" si="209"/>
        <v>1912.7576317945159</v>
      </c>
      <c r="W299" s="69">
        <f t="shared" ca="1" si="210"/>
        <v>1175.3973418252717</v>
      </c>
      <c r="X299" s="69">
        <f t="shared" ca="1" si="211"/>
        <v>1491.7026866184665</v>
      </c>
      <c r="Y299" s="69">
        <f t="shared" ca="1" si="212"/>
        <v>1209.8983165660732</v>
      </c>
      <c r="AA299" s="20">
        <f t="shared" ca="1" si="172"/>
        <v>6.5454195935475576E+16</v>
      </c>
      <c r="AB299" s="20">
        <f t="shared" ca="1" si="173"/>
        <v>1684306768512170.3</v>
      </c>
      <c r="AC299" s="20">
        <f t="shared" ca="1" si="174"/>
        <v>399154668501230.13</v>
      </c>
      <c r="AD299" s="20">
        <f t="shared" ca="1" si="175"/>
        <v>306006251953646.13</v>
      </c>
      <c r="AE299" s="20">
        <f t="shared" ca="1" si="176"/>
        <v>6854466311659219</v>
      </c>
      <c r="AG299" s="16">
        <f t="shared" ca="1" si="177"/>
        <v>-7.0283515506482988E-6</v>
      </c>
      <c r="AH299" s="16">
        <f t="shared" ca="1" si="178"/>
        <v>2.3189854727199239E-4</v>
      </c>
      <c r="AI299" s="16">
        <f t="shared" ca="1" si="179"/>
        <v>-3.6648694500089851E-4</v>
      </c>
      <c r="AJ299" s="16">
        <f t="shared" ca="1" si="180"/>
        <v>9.8180221106549531E-4</v>
      </c>
      <c r="AK299" s="16">
        <f t="shared" ca="1" si="181"/>
        <v>-3.3825754836387906E-4</v>
      </c>
      <c r="AM299" s="16">
        <f t="shared" ca="1" si="182"/>
        <v>8.4018546178594089E-4</v>
      </c>
      <c r="AO299" s="16">
        <f t="shared" ca="1" si="183"/>
        <v>-7.0283515506482988E-6</v>
      </c>
      <c r="AP299" s="16">
        <f t="shared" ca="1" si="184"/>
        <v>0</v>
      </c>
      <c r="AQ299" s="16">
        <f t="shared" ca="1" si="185"/>
        <v>-3.6648694500089851E-4</v>
      </c>
      <c r="AR299" s="16">
        <f t="shared" ca="1" si="186"/>
        <v>0</v>
      </c>
      <c r="AS299" s="16">
        <f t="shared" ca="1" si="187"/>
        <v>-3.3825754836387906E-4</v>
      </c>
    </row>
    <row r="300" spans="1:45" x14ac:dyDescent="0.25">
      <c r="A300" s="69">
        <f t="shared" ca="1" si="188"/>
        <v>2451.2053999289092</v>
      </c>
      <c r="B300" s="69">
        <f t="shared" ca="1" si="189"/>
        <v>2135.3510858415125</v>
      </c>
      <c r="C300" s="69">
        <f t="shared" ca="1" si="190"/>
        <v>2227.0599770045455</v>
      </c>
      <c r="D300" s="69">
        <f t="shared" ca="1" si="191"/>
        <v>2908.0375288344017</v>
      </c>
      <c r="E300" s="69">
        <f t="shared" ca="1" si="192"/>
        <v>1930.8721781818037</v>
      </c>
      <c r="F300" s="69">
        <f t="shared" ca="1" si="193"/>
        <v>1221.3276159721536</v>
      </c>
      <c r="G300" s="69">
        <f t="shared" ca="1" si="194"/>
        <v>964.74528915325095</v>
      </c>
      <c r="H300" s="69">
        <f t="shared" ca="1" si="195"/>
        <v>1188.0706195950415</v>
      </c>
      <c r="I300" s="69">
        <f t="shared" ca="1" si="196"/>
        <v>1049.8586143273269</v>
      </c>
      <c r="J300" s="69">
        <f t="shared" ca="1" si="197"/>
        <v>1146.3150389988148</v>
      </c>
      <c r="K300" s="69">
        <f t="shared" ca="1" si="198"/>
        <v>1178.968391136342</v>
      </c>
      <c r="L300" s="69">
        <f t="shared" ca="1" si="199"/>
        <v>954.00824634175387</v>
      </c>
      <c r="M300" s="69">
        <f t="shared" ca="1" si="200"/>
        <v>990.02499009829171</v>
      </c>
      <c r="N300" s="69">
        <f t="shared" ca="1" si="201"/>
        <v>571.88618314088092</v>
      </c>
      <c r="O300" s="69">
        <f t="shared" ca="1" si="202"/>
        <v>626.57346439326693</v>
      </c>
      <c r="P300" s="69">
        <f t="shared" ca="1" si="203"/>
        <v>722.17092489109461</v>
      </c>
      <c r="Q300" s="69">
        <f t="shared" ca="1" si="204"/>
        <v>952.51145978046827</v>
      </c>
      <c r="R300" s="69">
        <f t="shared" ca="1" si="205"/>
        <v>785.09626677391907</v>
      </c>
      <c r="S300" s="69">
        <f t="shared" ca="1" si="206"/>
        <v>702.74192178269709</v>
      </c>
      <c r="T300" s="69">
        <f t="shared" ca="1" si="207"/>
        <v>807.10066986306117</v>
      </c>
      <c r="U300" s="69">
        <f t="shared" ca="1" si="208"/>
        <v>1689.2652733948012</v>
      </c>
      <c r="V300" s="69">
        <f t="shared" ca="1" si="209"/>
        <v>1912.7576317945159</v>
      </c>
      <c r="W300" s="69">
        <f t="shared" ca="1" si="210"/>
        <v>1174.9998220378973</v>
      </c>
      <c r="X300" s="69">
        <f t="shared" ca="1" si="211"/>
        <v>1491.7026866184665</v>
      </c>
      <c r="Y300" s="69">
        <f t="shared" ca="1" si="212"/>
        <v>1209.8983165660732</v>
      </c>
      <c r="AA300" s="20">
        <f t="shared" ca="1" si="172"/>
        <v>6.545373590199272E+16</v>
      </c>
      <c r="AB300" s="20">
        <f t="shared" ca="1" si="173"/>
        <v>1684697402096878.5</v>
      </c>
      <c r="AC300" s="20">
        <f t="shared" ca="1" si="174"/>
        <v>399008410328680.69</v>
      </c>
      <c r="AD300" s="20">
        <f t="shared" ca="1" si="175"/>
        <v>306306837101850.25</v>
      </c>
      <c r="AE300" s="20">
        <f t="shared" ca="1" si="176"/>
        <v>6852148128782826</v>
      </c>
      <c r="AG300" s="16">
        <f t="shared" ca="1" si="177"/>
        <v>-1.1710350482818924E-5</v>
      </c>
      <c r="AH300" s="16">
        <f t="shared" ca="1" si="178"/>
        <v>-6.2475102409717941E-5</v>
      </c>
      <c r="AI300" s="16">
        <f t="shared" ca="1" si="179"/>
        <v>-3.4796195910577981E-4</v>
      </c>
      <c r="AJ300" s="16">
        <f t="shared" ca="1" si="180"/>
        <v>3.1921193177814207E-4</v>
      </c>
      <c r="AK300" s="16">
        <f t="shared" ca="1" si="181"/>
        <v>-1.1919857339279362E-4</v>
      </c>
      <c r="AM300" s="16">
        <f t="shared" ca="1" si="182"/>
        <v>-1.0293548022017457E-4</v>
      </c>
      <c r="AO300" s="16">
        <f t="shared" ca="1" si="183"/>
        <v>-1.1710350482818924E-5</v>
      </c>
      <c r="AP300" s="16">
        <f t="shared" ca="1" si="184"/>
        <v>-6.2475102409717941E-5</v>
      </c>
      <c r="AQ300" s="16">
        <f t="shared" ca="1" si="185"/>
        <v>-3.4796195910577981E-4</v>
      </c>
      <c r="AR300" s="16">
        <f t="shared" ca="1" si="186"/>
        <v>0</v>
      </c>
      <c r="AS300" s="16">
        <f t="shared" ca="1" si="187"/>
        <v>-1.1919857339279362E-4</v>
      </c>
    </row>
    <row r="301" spans="1:45" x14ac:dyDescent="0.25">
      <c r="A301" s="69">
        <f t="shared" ca="1" si="188"/>
        <v>2451.2053999289092</v>
      </c>
      <c r="B301" s="69">
        <f t="shared" ca="1" si="189"/>
        <v>2135.3510858415125</v>
      </c>
      <c r="C301" s="69">
        <f t="shared" ca="1" si="190"/>
        <v>2227.0599770045455</v>
      </c>
      <c r="D301" s="69">
        <f t="shared" ca="1" si="191"/>
        <v>2908.0034748951143</v>
      </c>
      <c r="E301" s="69">
        <f t="shared" ca="1" si="192"/>
        <v>1930.8721781818037</v>
      </c>
      <c r="F301" s="69">
        <f t="shared" ca="1" si="193"/>
        <v>1221.3276159721536</v>
      </c>
      <c r="G301" s="69">
        <f t="shared" ca="1" si="194"/>
        <v>964.93787816073836</v>
      </c>
      <c r="H301" s="69">
        <f t="shared" ca="1" si="195"/>
        <v>1187.7592885031443</v>
      </c>
      <c r="I301" s="69">
        <f t="shared" ca="1" si="196"/>
        <v>1049.8586143273269</v>
      </c>
      <c r="J301" s="69">
        <f t="shared" ca="1" si="197"/>
        <v>1146.3150389988148</v>
      </c>
      <c r="K301" s="69">
        <f t="shared" ca="1" si="198"/>
        <v>1178.968391136342</v>
      </c>
      <c r="L301" s="69">
        <f t="shared" ca="1" si="199"/>
        <v>954.00824634175387</v>
      </c>
      <c r="M301" s="69">
        <f t="shared" ca="1" si="200"/>
        <v>989.79315069164011</v>
      </c>
      <c r="N301" s="69">
        <f t="shared" ca="1" si="201"/>
        <v>571.82112951040824</v>
      </c>
      <c r="O301" s="69">
        <f t="shared" ca="1" si="202"/>
        <v>626.57346439326693</v>
      </c>
      <c r="P301" s="69">
        <f t="shared" ca="1" si="203"/>
        <v>722.39781762434495</v>
      </c>
      <c r="Q301" s="69">
        <f t="shared" ca="1" si="204"/>
        <v>952.51145978046827</v>
      </c>
      <c r="R301" s="69">
        <f t="shared" ca="1" si="205"/>
        <v>784.62776401367842</v>
      </c>
      <c r="S301" s="69">
        <f t="shared" ca="1" si="206"/>
        <v>703.21476670640209</v>
      </c>
      <c r="T301" s="69">
        <f t="shared" ca="1" si="207"/>
        <v>807.04366850164138</v>
      </c>
      <c r="U301" s="69">
        <f t="shared" ca="1" si="208"/>
        <v>1688.9406503849818</v>
      </c>
      <c r="V301" s="69">
        <f t="shared" ca="1" si="209"/>
        <v>1912.819934398078</v>
      </c>
      <c r="W301" s="69">
        <f t="shared" ca="1" si="210"/>
        <v>1175.4297784570438</v>
      </c>
      <c r="X301" s="69">
        <f t="shared" ca="1" si="211"/>
        <v>1491.7026866184665</v>
      </c>
      <c r="Y301" s="69">
        <f t="shared" ca="1" si="212"/>
        <v>1209.5046349181839</v>
      </c>
      <c r="AA301" s="20">
        <f t="shared" ca="1" si="172"/>
        <v>6.5452969420292792E+16</v>
      </c>
      <c r="AB301" s="20">
        <f t="shared" ca="1" si="173"/>
        <v>1684592153741888.3</v>
      </c>
      <c r="AC301" s="20">
        <f t="shared" ca="1" si="174"/>
        <v>398869594733196.94</v>
      </c>
      <c r="AD301" s="20">
        <f t="shared" ca="1" si="175"/>
        <v>306404629506459.19</v>
      </c>
      <c r="AE301" s="20">
        <f t="shared" ca="1" si="176"/>
        <v>6851331411177953</v>
      </c>
      <c r="AG301" s="16">
        <f t="shared" ca="1" si="177"/>
        <v>4.9198444779305925E-4</v>
      </c>
      <c r="AH301" s="16">
        <f t="shared" ca="1" si="178"/>
        <v>-5.2935189182627424E-4</v>
      </c>
      <c r="AI301" s="16">
        <f t="shared" ca="1" si="179"/>
        <v>-2.7291104875172393E-4</v>
      </c>
      <c r="AJ301" s="16">
        <f t="shared" ca="1" si="180"/>
        <v>8.0020078139757408E-4</v>
      </c>
      <c r="AK301" s="16">
        <f t="shared" ca="1" si="181"/>
        <v>2.1255776927354136E-5</v>
      </c>
      <c r="AM301" s="16">
        <f t="shared" ca="1" si="182"/>
        <v>4.8992228861263515E-4</v>
      </c>
      <c r="AO301" s="16">
        <f t="shared" ca="1" si="183"/>
        <v>0</v>
      </c>
      <c r="AP301" s="16">
        <f t="shared" ca="1" si="184"/>
        <v>-5.2935189182627424E-4</v>
      </c>
      <c r="AQ301" s="16">
        <f t="shared" ca="1" si="185"/>
        <v>-2.7291104875172393E-4</v>
      </c>
      <c r="AR301" s="16">
        <f t="shared" ca="1" si="186"/>
        <v>0</v>
      </c>
      <c r="AS301" s="16">
        <f t="shared" ca="1" si="187"/>
        <v>0</v>
      </c>
    </row>
    <row r="302" spans="1:45" x14ac:dyDescent="0.25">
      <c r="A302" s="69">
        <f t="shared" ca="1" si="188"/>
        <v>2451.6725452568312</v>
      </c>
      <c r="B302" s="69">
        <f t="shared" ca="1" si="189"/>
        <v>2135.8150697264509</v>
      </c>
      <c r="C302" s="69">
        <f t="shared" ca="1" si="190"/>
        <v>2227.4635982997684</v>
      </c>
      <c r="D302" s="69">
        <f t="shared" ca="1" si="191"/>
        <v>2907.7212461035924</v>
      </c>
      <c r="E302" s="69">
        <f t="shared" ca="1" si="192"/>
        <v>1930.8721781818037</v>
      </c>
      <c r="F302" s="69">
        <f t="shared" ca="1" si="193"/>
        <v>1220.89927468377</v>
      </c>
      <c r="G302" s="69">
        <f t="shared" ca="1" si="194"/>
        <v>964.8511924203417</v>
      </c>
      <c r="H302" s="69">
        <f t="shared" ca="1" si="195"/>
        <v>1187.653899719319</v>
      </c>
      <c r="I302" s="69">
        <f t="shared" ca="1" si="196"/>
        <v>1049.8586143273269</v>
      </c>
      <c r="J302" s="69">
        <f t="shared" ca="1" si="197"/>
        <v>1146.3150389988148</v>
      </c>
      <c r="K302" s="69">
        <f t="shared" ca="1" si="198"/>
        <v>1178.968391136342</v>
      </c>
      <c r="L302" s="69">
        <f t="shared" ca="1" si="199"/>
        <v>954.45685505583072</v>
      </c>
      <c r="M302" s="69">
        <f t="shared" ca="1" si="200"/>
        <v>989.86692443736263</v>
      </c>
      <c r="N302" s="69">
        <f t="shared" ca="1" si="201"/>
        <v>571.70165726542621</v>
      </c>
      <c r="O302" s="69">
        <f t="shared" ca="1" si="202"/>
        <v>626.19223953021879</v>
      </c>
      <c r="P302" s="69">
        <f t="shared" ca="1" si="203"/>
        <v>722.67294007946111</v>
      </c>
      <c r="Q302" s="69">
        <f t="shared" ca="1" si="204"/>
        <v>952.89407323223679</v>
      </c>
      <c r="R302" s="69">
        <f t="shared" ca="1" si="205"/>
        <v>784.98776624877655</v>
      </c>
      <c r="S302" s="69">
        <f t="shared" ca="1" si="206"/>
        <v>702.90479100067466</v>
      </c>
      <c r="T302" s="69">
        <f t="shared" ca="1" si="207"/>
        <v>807.04366850164138</v>
      </c>
      <c r="U302" s="69">
        <f t="shared" ca="1" si="208"/>
        <v>1688.9406503849818</v>
      </c>
      <c r="V302" s="69">
        <f t="shared" ca="1" si="209"/>
        <v>1912.6958279977814</v>
      </c>
      <c r="W302" s="69">
        <f t="shared" ca="1" si="210"/>
        <v>1175.4297784570438</v>
      </c>
      <c r="X302" s="69">
        <f t="shared" ca="1" si="211"/>
        <v>1491.3977433678358</v>
      </c>
      <c r="Y302" s="69">
        <f t="shared" ca="1" si="212"/>
        <v>1209.8561516522993</v>
      </c>
      <c r="AA302" s="20">
        <f t="shared" ca="1" si="172"/>
        <v>6.5485179186011664E+16</v>
      </c>
      <c r="AB302" s="20">
        <f t="shared" ca="1" si="173"/>
        <v>1683700647679377.3</v>
      </c>
      <c r="AC302" s="20">
        <f t="shared" ca="1" si="174"/>
        <v>398760753666423.5</v>
      </c>
      <c r="AD302" s="20">
        <f t="shared" ca="1" si="175"/>
        <v>306649912855289.44</v>
      </c>
      <c r="AE302" s="20">
        <f t="shared" ca="1" si="176"/>
        <v>6851477043097838</v>
      </c>
      <c r="AG302" s="16">
        <f t="shared" ca="1" si="177"/>
        <v>-8.3998829715528398E-5</v>
      </c>
      <c r="AH302" s="16">
        <f t="shared" ca="1" si="178"/>
        <v>1.0701225324007584E-4</v>
      </c>
      <c r="AI302" s="16">
        <f t="shared" ca="1" si="179"/>
        <v>-1.8905712585582692E-4</v>
      </c>
      <c r="AJ302" s="16">
        <f t="shared" ca="1" si="180"/>
        <v>-3.0772065723531098E-4</v>
      </c>
      <c r="AK302" s="16">
        <f t="shared" ca="1" si="181"/>
        <v>4.504121465577415E-4</v>
      </c>
      <c r="AM302" s="16">
        <f t="shared" ca="1" si="182"/>
        <v>-4.7376435956659048E-4</v>
      </c>
      <c r="AO302" s="16">
        <f t="shared" ca="1" si="183"/>
        <v>-8.3998829715528398E-5</v>
      </c>
      <c r="AP302" s="16">
        <f t="shared" ca="1" si="184"/>
        <v>0</v>
      </c>
      <c r="AQ302" s="16">
        <f t="shared" ca="1" si="185"/>
        <v>-1.8905712585582692E-4</v>
      </c>
      <c r="AR302" s="16">
        <f t="shared" ca="1" si="186"/>
        <v>-3.0772065723531098E-4</v>
      </c>
      <c r="AS302" s="16">
        <f t="shared" ca="1" si="187"/>
        <v>0</v>
      </c>
    </row>
    <row r="303" spans="1:45" x14ac:dyDescent="0.25">
      <c r="A303" s="69">
        <f t="shared" ca="1" si="188"/>
        <v>2451.9694734833502</v>
      </c>
      <c r="B303" s="69">
        <f t="shared" ca="1" si="189"/>
        <v>2135.8150697264509</v>
      </c>
      <c r="C303" s="69">
        <f t="shared" ca="1" si="190"/>
        <v>2227.4635982997684</v>
      </c>
      <c r="D303" s="69">
        <f t="shared" ca="1" si="191"/>
        <v>2907.7212461035924</v>
      </c>
      <c r="E303" s="69">
        <f t="shared" ca="1" si="192"/>
        <v>1930.4761891649225</v>
      </c>
      <c r="F303" s="69">
        <f t="shared" ca="1" si="193"/>
        <v>1221.3781420011524</v>
      </c>
      <c r="G303" s="69">
        <f t="shared" ca="1" si="194"/>
        <v>964.47585556109959</v>
      </c>
      <c r="H303" s="69">
        <f t="shared" ca="1" si="195"/>
        <v>1187.977340010347</v>
      </c>
      <c r="I303" s="69">
        <f t="shared" ca="1" si="196"/>
        <v>1049.6818870347815</v>
      </c>
      <c r="J303" s="69">
        <f t="shared" ca="1" si="197"/>
        <v>1146.3150389988148</v>
      </c>
      <c r="K303" s="69">
        <f t="shared" ca="1" si="198"/>
        <v>1179.0633144781652</v>
      </c>
      <c r="L303" s="69">
        <f t="shared" ca="1" si="199"/>
        <v>954.46293928217096</v>
      </c>
      <c r="M303" s="69">
        <f t="shared" ca="1" si="200"/>
        <v>989.98306937399354</v>
      </c>
      <c r="N303" s="69">
        <f t="shared" ca="1" si="201"/>
        <v>571.37308526277036</v>
      </c>
      <c r="O303" s="69">
        <f t="shared" ca="1" si="202"/>
        <v>626.30598030115186</v>
      </c>
      <c r="P303" s="69">
        <f t="shared" ca="1" si="203"/>
        <v>722.67294007946111</v>
      </c>
      <c r="Q303" s="69">
        <f t="shared" ca="1" si="204"/>
        <v>952.70737087737939</v>
      </c>
      <c r="R303" s="69">
        <f t="shared" ca="1" si="205"/>
        <v>784.50874159647719</v>
      </c>
      <c r="S303" s="69">
        <f t="shared" ca="1" si="206"/>
        <v>702.90479100067466</v>
      </c>
      <c r="T303" s="69">
        <f t="shared" ca="1" si="207"/>
        <v>807.44620014117697</v>
      </c>
      <c r="U303" s="69">
        <f t="shared" ca="1" si="208"/>
        <v>1689.2848654972072</v>
      </c>
      <c r="V303" s="69">
        <f t="shared" ca="1" si="209"/>
        <v>1912.6958279977814</v>
      </c>
      <c r="W303" s="69">
        <f t="shared" ca="1" si="210"/>
        <v>1175.2655528341147</v>
      </c>
      <c r="X303" s="69">
        <f t="shared" ca="1" si="211"/>
        <v>1491.3977433678358</v>
      </c>
      <c r="Y303" s="69">
        <f t="shared" ca="1" si="212"/>
        <v>1210.3236731802785</v>
      </c>
      <c r="AA303" s="20">
        <f t="shared" ca="1" si="172"/>
        <v>6.5479678738615136E+16</v>
      </c>
      <c r="AB303" s="20">
        <f t="shared" ca="1" si="173"/>
        <v>1683880833920363</v>
      </c>
      <c r="AC303" s="20">
        <f t="shared" ca="1" si="174"/>
        <v>398685372230354.56</v>
      </c>
      <c r="AD303" s="20">
        <f t="shared" ca="1" si="175"/>
        <v>306555564859722.56</v>
      </c>
      <c r="AE303" s="20">
        <f t="shared" ca="1" si="176"/>
        <v>6854563726667614</v>
      </c>
      <c r="AG303" s="16">
        <f t="shared" ca="1" si="177"/>
        <v>2.5112196868429314E-4</v>
      </c>
      <c r="AH303" s="16">
        <f t="shared" ca="1" si="178"/>
        <v>-7.7941874500921525E-5</v>
      </c>
      <c r="AI303" s="16">
        <f t="shared" ca="1" si="179"/>
        <v>2.5247929439019409E-4</v>
      </c>
      <c r="AJ303" s="16">
        <f t="shared" ca="1" si="180"/>
        <v>-8.0583118988081779E-4</v>
      </c>
      <c r="AK303" s="16">
        <f t="shared" ca="1" si="181"/>
        <v>2.8107650099567491E-4</v>
      </c>
      <c r="AM303" s="16">
        <f t="shared" ca="1" si="182"/>
        <v>-3.8017180130725211E-4</v>
      </c>
      <c r="AO303" s="16">
        <f t="shared" ca="1" si="183"/>
        <v>0</v>
      </c>
      <c r="AP303" s="16">
        <f t="shared" ca="1" si="184"/>
        <v>-7.7941874500921525E-5</v>
      </c>
      <c r="AQ303" s="16">
        <f t="shared" ca="1" si="185"/>
        <v>0</v>
      </c>
      <c r="AR303" s="16">
        <f t="shared" ca="1" si="186"/>
        <v>-8.0583118988081779E-4</v>
      </c>
      <c r="AS303" s="16">
        <f t="shared" ca="1" si="187"/>
        <v>0</v>
      </c>
    </row>
    <row r="304" spans="1:45" x14ac:dyDescent="0.25">
      <c r="A304" s="69">
        <f t="shared" ca="1" si="188"/>
        <v>2451.9694734833502</v>
      </c>
      <c r="B304" s="69">
        <f t="shared" ca="1" si="189"/>
        <v>2135.7245961116892</v>
      </c>
      <c r="C304" s="69">
        <f t="shared" ca="1" si="190"/>
        <v>2227.9577992438185</v>
      </c>
      <c r="D304" s="69">
        <f t="shared" ca="1" si="191"/>
        <v>2907.8650435897939</v>
      </c>
      <c r="E304" s="69">
        <f t="shared" ca="1" si="192"/>
        <v>1930.5190233001463</v>
      </c>
      <c r="F304" s="69">
        <f t="shared" ca="1" si="193"/>
        <v>1221.3781420011524</v>
      </c>
      <c r="G304" s="69">
        <f t="shared" ca="1" si="194"/>
        <v>964.33090947801588</v>
      </c>
      <c r="H304" s="69">
        <f t="shared" ca="1" si="195"/>
        <v>1188.0813369531606</v>
      </c>
      <c r="I304" s="69">
        <f t="shared" ca="1" si="196"/>
        <v>1049.6818870347815</v>
      </c>
      <c r="J304" s="69">
        <f t="shared" ca="1" si="197"/>
        <v>1146.2976345034024</v>
      </c>
      <c r="K304" s="69">
        <f t="shared" ca="1" si="198"/>
        <v>1179.0633144781652</v>
      </c>
      <c r="L304" s="69">
        <f t="shared" ca="1" si="199"/>
        <v>954.703951835662</v>
      </c>
      <c r="M304" s="69">
        <f t="shared" ca="1" si="200"/>
        <v>989.98306937399354</v>
      </c>
      <c r="N304" s="69">
        <f t="shared" ca="1" si="201"/>
        <v>571.37308526277036</v>
      </c>
      <c r="O304" s="69">
        <f t="shared" ca="1" si="202"/>
        <v>626.30598030115186</v>
      </c>
      <c r="P304" s="69">
        <f t="shared" ca="1" si="203"/>
        <v>722.41917270990109</v>
      </c>
      <c r="Q304" s="69">
        <f t="shared" ca="1" si="204"/>
        <v>952.70737087737939</v>
      </c>
      <c r="R304" s="69">
        <f t="shared" ca="1" si="205"/>
        <v>784.41499952672825</v>
      </c>
      <c r="S304" s="69">
        <f t="shared" ca="1" si="206"/>
        <v>703.02104712257062</v>
      </c>
      <c r="T304" s="69">
        <f t="shared" ca="1" si="207"/>
        <v>807.04217438827641</v>
      </c>
      <c r="U304" s="69">
        <f t="shared" ca="1" si="208"/>
        <v>1689.4836873791935</v>
      </c>
      <c r="V304" s="69">
        <f t="shared" ca="1" si="209"/>
        <v>1912.6958279977814</v>
      </c>
      <c r="W304" s="69">
        <f t="shared" ca="1" si="210"/>
        <v>1175.436887675721</v>
      </c>
      <c r="X304" s="69">
        <f t="shared" ca="1" si="211"/>
        <v>1491.3723150271637</v>
      </c>
      <c r="Y304" s="69">
        <f t="shared" ca="1" si="212"/>
        <v>1210.3656290233148</v>
      </c>
      <c r="AA304" s="20">
        <f t="shared" ca="1" si="172"/>
        <v>6.5496124189269336E+16</v>
      </c>
      <c r="AB304" s="20">
        <f t="shared" ca="1" si="173"/>
        <v>1683749594206332.3</v>
      </c>
      <c r="AC304" s="20">
        <f t="shared" ca="1" si="174"/>
        <v>398786044740146.31</v>
      </c>
      <c r="AD304" s="20">
        <f t="shared" ca="1" si="175"/>
        <v>306308632330456.44</v>
      </c>
      <c r="AE304" s="20">
        <f t="shared" ca="1" si="176"/>
        <v>6856490654250102</v>
      </c>
      <c r="AG304" s="16">
        <f t="shared" ca="1" si="177"/>
        <v>1.7303723873621446E-4</v>
      </c>
      <c r="AH304" s="16">
        <f t="shared" ca="1" si="178"/>
        <v>9.4627709538664913E-4</v>
      </c>
      <c r="AI304" s="16">
        <f t="shared" ca="1" si="179"/>
        <v>1.5406179209530861E-3</v>
      </c>
      <c r="AJ304" s="16">
        <f t="shared" ca="1" si="180"/>
        <v>8.4646328631497324E-4</v>
      </c>
      <c r="AK304" s="16">
        <f t="shared" ca="1" si="181"/>
        <v>3.2096635829948091E-4</v>
      </c>
      <c r="AM304" s="16">
        <f t="shared" ca="1" si="182"/>
        <v>3.5063955413909232E-3</v>
      </c>
      <c r="AO304" s="16">
        <f t="shared" ca="1" si="183"/>
        <v>0</v>
      </c>
      <c r="AP304" s="16">
        <f t="shared" ca="1" si="184"/>
        <v>0</v>
      </c>
      <c r="AQ304" s="16">
        <f t="shared" ca="1" si="185"/>
        <v>0</v>
      </c>
      <c r="AR304" s="16">
        <f t="shared" ca="1" si="186"/>
        <v>0</v>
      </c>
      <c r="AS304" s="16">
        <f t="shared" ca="1" si="187"/>
        <v>0</v>
      </c>
    </row>
    <row r="305" spans="1:45" x14ac:dyDescent="0.25">
      <c r="A305" s="69">
        <f t="shared" ca="1" si="188"/>
        <v>2451.9694734833502</v>
      </c>
      <c r="B305" s="69">
        <f t="shared" ca="1" si="189"/>
        <v>2136.0837914863364</v>
      </c>
      <c r="C305" s="69">
        <f t="shared" ca="1" si="190"/>
        <v>2228.0236735232179</v>
      </c>
      <c r="D305" s="69">
        <f t="shared" ca="1" si="191"/>
        <v>2907.5525455500301</v>
      </c>
      <c r="E305" s="69">
        <f t="shared" ca="1" si="192"/>
        <v>1930.6788240943165</v>
      </c>
      <c r="F305" s="69">
        <f t="shared" ca="1" si="193"/>
        <v>1221.3781420011524</v>
      </c>
      <c r="G305" s="69">
        <f t="shared" ca="1" si="194"/>
        <v>964.55071056671034</v>
      </c>
      <c r="H305" s="69">
        <f t="shared" ca="1" si="195"/>
        <v>1188.0813369531606</v>
      </c>
      <c r="I305" s="69">
        <f t="shared" ca="1" si="196"/>
        <v>1050.0443951388561</v>
      </c>
      <c r="J305" s="69">
        <f t="shared" ca="1" si="197"/>
        <v>1146.7253762241619</v>
      </c>
      <c r="K305" s="69">
        <f t="shared" ca="1" si="198"/>
        <v>1179.3680570916645</v>
      </c>
      <c r="L305" s="69">
        <f t="shared" ca="1" si="199"/>
        <v>954.42202323780714</v>
      </c>
      <c r="M305" s="69">
        <f t="shared" ca="1" si="200"/>
        <v>990.45983508112261</v>
      </c>
      <c r="N305" s="69">
        <f t="shared" ca="1" si="201"/>
        <v>571.65465221670922</v>
      </c>
      <c r="O305" s="69">
        <f t="shared" ca="1" si="202"/>
        <v>626.6840045951044</v>
      </c>
      <c r="P305" s="69">
        <f t="shared" ca="1" si="203"/>
        <v>722.84541190793277</v>
      </c>
      <c r="Q305" s="69">
        <f t="shared" ca="1" si="204"/>
        <v>952.70737087737939</v>
      </c>
      <c r="R305" s="69">
        <f t="shared" ca="1" si="205"/>
        <v>784.31793094126772</v>
      </c>
      <c r="S305" s="69">
        <f t="shared" ca="1" si="206"/>
        <v>703.28850958254816</v>
      </c>
      <c r="T305" s="69">
        <f t="shared" ca="1" si="207"/>
        <v>807.04217438827641</v>
      </c>
      <c r="U305" s="69">
        <f t="shared" ca="1" si="208"/>
        <v>1689.727846904</v>
      </c>
      <c r="V305" s="69">
        <f t="shared" ca="1" si="209"/>
        <v>1912.6417004097009</v>
      </c>
      <c r="W305" s="69">
        <f t="shared" ca="1" si="210"/>
        <v>1175.436887675721</v>
      </c>
      <c r="X305" s="69">
        <f t="shared" ca="1" si="211"/>
        <v>1491.6777182960202</v>
      </c>
      <c r="Y305" s="69">
        <f t="shared" ca="1" si="212"/>
        <v>1210.3656290233148</v>
      </c>
      <c r="AA305" s="20">
        <f t="shared" ca="1" si="172"/>
        <v>6.5507458438342272E+16</v>
      </c>
      <c r="AB305" s="20">
        <f t="shared" ca="1" si="173"/>
        <v>1685343641968191.5</v>
      </c>
      <c r="AC305" s="20">
        <f t="shared" ca="1" si="174"/>
        <v>399400895170482.38</v>
      </c>
      <c r="AD305" s="20">
        <f t="shared" ca="1" si="175"/>
        <v>306568021108056.44</v>
      </c>
      <c r="AE305" s="20">
        <f t="shared" ca="1" si="176"/>
        <v>6858691710299687</v>
      </c>
      <c r="AG305" s="16">
        <f t="shared" ca="1" si="177"/>
        <v>-5.2993591644759721E-4</v>
      </c>
      <c r="AH305" s="16">
        <f t="shared" ca="1" si="178"/>
        <v>-5.4094956424267595E-6</v>
      </c>
      <c r="AI305" s="16">
        <f t="shared" ca="1" si="179"/>
        <v>-1.2501854495541815E-4</v>
      </c>
      <c r="AJ305" s="16">
        <f t="shared" ca="1" si="180"/>
        <v>1.3854719801195184E-3</v>
      </c>
      <c r="AK305" s="16">
        <f t="shared" ca="1" si="181"/>
        <v>1.2013705973021847E-4</v>
      </c>
      <c r="AM305" s="16">
        <f t="shared" ca="1" si="182"/>
        <v>7.251080230740762E-4</v>
      </c>
      <c r="AO305" s="16">
        <f t="shared" ca="1" si="183"/>
        <v>-5.2993591644759721E-4</v>
      </c>
      <c r="AP305" s="16">
        <f t="shared" ca="1" si="184"/>
        <v>-5.4094956424267595E-6</v>
      </c>
      <c r="AQ305" s="16">
        <f t="shared" ca="1" si="185"/>
        <v>-1.2501854495541815E-4</v>
      </c>
      <c r="AR305" s="16">
        <f t="shared" ca="1" si="186"/>
        <v>0</v>
      </c>
      <c r="AS305" s="16">
        <f t="shared" ca="1" si="187"/>
        <v>0</v>
      </c>
    </row>
    <row r="306" spans="1:45" x14ac:dyDescent="0.25">
      <c r="A306" s="69">
        <f t="shared" ca="1" si="188"/>
        <v>2451.6949242331666</v>
      </c>
      <c r="B306" s="69">
        <f t="shared" ca="1" si="189"/>
        <v>2135.7045775593856</v>
      </c>
      <c r="C306" s="69">
        <f t="shared" ca="1" si="190"/>
        <v>2227.6198036264095</v>
      </c>
      <c r="D306" s="69">
        <f t="shared" ca="1" si="191"/>
        <v>2907.3806250839862</v>
      </c>
      <c r="E306" s="69">
        <f t="shared" ca="1" si="192"/>
        <v>1930.6788240943165</v>
      </c>
      <c r="F306" s="69">
        <f t="shared" ca="1" si="193"/>
        <v>1221.3781420011524</v>
      </c>
      <c r="G306" s="69">
        <f t="shared" ca="1" si="194"/>
        <v>964.59092230427029</v>
      </c>
      <c r="H306" s="69">
        <f t="shared" ca="1" si="195"/>
        <v>1188.4995897805863</v>
      </c>
      <c r="I306" s="69">
        <f t="shared" ca="1" si="196"/>
        <v>1049.7938306999004</v>
      </c>
      <c r="J306" s="69">
        <f t="shared" ca="1" si="197"/>
        <v>1146.5414268025581</v>
      </c>
      <c r="K306" s="69">
        <f t="shared" ca="1" si="198"/>
        <v>1179.1154848048188</v>
      </c>
      <c r="L306" s="69">
        <f t="shared" ca="1" si="199"/>
        <v>954.16991605465728</v>
      </c>
      <c r="M306" s="69">
        <f t="shared" ca="1" si="200"/>
        <v>990.80987068153422</v>
      </c>
      <c r="N306" s="69">
        <f t="shared" ca="1" si="201"/>
        <v>571.65465221670922</v>
      </c>
      <c r="O306" s="69">
        <f t="shared" ca="1" si="202"/>
        <v>626.6840045951044</v>
      </c>
      <c r="P306" s="69">
        <f t="shared" ca="1" si="203"/>
        <v>722.84541190793277</v>
      </c>
      <c r="Q306" s="69">
        <f t="shared" ca="1" si="204"/>
        <v>952.70737087737939</v>
      </c>
      <c r="R306" s="69">
        <f t="shared" ca="1" si="205"/>
        <v>784.72778373627716</v>
      </c>
      <c r="S306" s="69">
        <f t="shared" ca="1" si="206"/>
        <v>703.47061985106996</v>
      </c>
      <c r="T306" s="69">
        <f t="shared" ca="1" si="207"/>
        <v>807.52988930283641</v>
      </c>
      <c r="U306" s="69">
        <f t="shared" ca="1" si="208"/>
        <v>1689.6196998300718</v>
      </c>
      <c r="V306" s="69">
        <f t="shared" ca="1" si="209"/>
        <v>1912.5337338886175</v>
      </c>
      <c r="W306" s="69">
        <f t="shared" ca="1" si="210"/>
        <v>1175.7256480478945</v>
      </c>
      <c r="X306" s="69">
        <f t="shared" ca="1" si="211"/>
        <v>1491.998787448641</v>
      </c>
      <c r="Y306" s="69">
        <f t="shared" ca="1" si="212"/>
        <v>1210.0990670346148</v>
      </c>
      <c r="AA306" s="20">
        <f t="shared" ca="1" si="172"/>
        <v>6.5472752879993736E+16</v>
      </c>
      <c r="AB306" s="20">
        <f t="shared" ca="1" si="173"/>
        <v>1685334525133763</v>
      </c>
      <c r="AC306" s="20">
        <f t="shared" ca="1" si="174"/>
        <v>399350965772829.63</v>
      </c>
      <c r="AD306" s="20">
        <f t="shared" ca="1" si="175"/>
        <v>306993056880890.06</v>
      </c>
      <c r="AE306" s="20">
        <f t="shared" ca="1" si="176"/>
        <v>6859515742852792</v>
      </c>
      <c r="AG306" s="16">
        <f t="shared" ca="1" si="177"/>
        <v>1.5439483391048022E-4</v>
      </c>
      <c r="AH306" s="16">
        <f t="shared" ca="1" si="178"/>
        <v>-2.1657938187007875E-4</v>
      </c>
      <c r="AI306" s="16">
        <f t="shared" ca="1" si="179"/>
        <v>0</v>
      </c>
      <c r="AJ306" s="16">
        <f t="shared" ca="1" si="180"/>
        <v>-7.7021664612210851E-4</v>
      </c>
      <c r="AK306" s="16">
        <f t="shared" ca="1" si="181"/>
        <v>3.7174561532672548E-4</v>
      </c>
      <c r="AM306" s="16">
        <f t="shared" ca="1" si="182"/>
        <v>-8.3240119408170706E-4</v>
      </c>
      <c r="AO306" s="16">
        <f t="shared" ca="1" si="183"/>
        <v>0</v>
      </c>
      <c r="AP306" s="16">
        <f t="shared" ca="1" si="184"/>
        <v>-2.1657938187007875E-4</v>
      </c>
      <c r="AQ306" s="16">
        <f t="shared" ca="1" si="185"/>
        <v>0</v>
      </c>
      <c r="AR306" s="16">
        <f t="shared" ca="1" si="186"/>
        <v>-7.7021664612210851E-4</v>
      </c>
      <c r="AS306" s="16">
        <f t="shared" ca="1" si="187"/>
        <v>0</v>
      </c>
    </row>
    <row r="307" spans="1:45" x14ac:dyDescent="0.25">
      <c r="A307" s="69">
        <f t="shared" ca="1" si="188"/>
        <v>2451.4996318108451</v>
      </c>
      <c r="B307" s="69">
        <f t="shared" ca="1" si="189"/>
        <v>2135.5348813940336</v>
      </c>
      <c r="C307" s="69">
        <f t="shared" ca="1" si="190"/>
        <v>2227.6198036264095</v>
      </c>
      <c r="D307" s="69">
        <f t="shared" ca="1" si="191"/>
        <v>2907.5426984163028</v>
      </c>
      <c r="E307" s="69">
        <f t="shared" ca="1" si="192"/>
        <v>1931.1765594806216</v>
      </c>
      <c r="F307" s="69">
        <f t="shared" ca="1" si="193"/>
        <v>1221.7412094137221</v>
      </c>
      <c r="G307" s="69">
        <f t="shared" ca="1" si="194"/>
        <v>964.15783094677897</v>
      </c>
      <c r="H307" s="69">
        <f t="shared" ca="1" si="195"/>
        <v>1188.7289899839575</v>
      </c>
      <c r="I307" s="69">
        <f t="shared" ca="1" si="196"/>
        <v>1049.7293586938333</v>
      </c>
      <c r="J307" s="69">
        <f t="shared" ca="1" si="197"/>
        <v>1146.3163973368253</v>
      </c>
      <c r="K307" s="69">
        <f t="shared" ca="1" si="198"/>
        <v>1179.1154848048188</v>
      </c>
      <c r="L307" s="69">
        <f t="shared" ca="1" si="199"/>
        <v>954.16991605465728</v>
      </c>
      <c r="M307" s="69">
        <f t="shared" ca="1" si="200"/>
        <v>990.80987068153422</v>
      </c>
      <c r="N307" s="69">
        <f t="shared" ca="1" si="201"/>
        <v>571.65465221670922</v>
      </c>
      <c r="O307" s="69">
        <f t="shared" ca="1" si="202"/>
        <v>626.6840045951044</v>
      </c>
      <c r="P307" s="69">
        <f t="shared" ca="1" si="203"/>
        <v>722.84541190793277</v>
      </c>
      <c r="Q307" s="69">
        <f t="shared" ca="1" si="204"/>
        <v>952.70737087737939</v>
      </c>
      <c r="R307" s="69">
        <f t="shared" ca="1" si="205"/>
        <v>784.88992681411685</v>
      </c>
      <c r="S307" s="69">
        <f t="shared" ca="1" si="206"/>
        <v>703.14219620413837</v>
      </c>
      <c r="T307" s="69">
        <f t="shared" ca="1" si="207"/>
        <v>807.11827697879107</v>
      </c>
      <c r="U307" s="69">
        <f t="shared" ca="1" si="208"/>
        <v>1689.4983538645008</v>
      </c>
      <c r="V307" s="69">
        <f t="shared" ca="1" si="209"/>
        <v>1912.95136492448</v>
      </c>
      <c r="W307" s="69">
        <f t="shared" ca="1" si="210"/>
        <v>1175.9904809415796</v>
      </c>
      <c r="X307" s="69">
        <f t="shared" ca="1" si="211"/>
        <v>1491.998787448641</v>
      </c>
      <c r="Y307" s="69">
        <f t="shared" ca="1" si="212"/>
        <v>1210.0990670346148</v>
      </c>
      <c r="AA307" s="20">
        <f t="shared" ca="1" si="172"/>
        <v>6.5482862315202512E+16</v>
      </c>
      <c r="AB307" s="20">
        <f t="shared" ca="1" si="173"/>
        <v>1684969555947892.3</v>
      </c>
      <c r="AC307" s="20">
        <f t="shared" ca="1" si="174"/>
        <v>399350965772829.63</v>
      </c>
      <c r="AD307" s="20">
        <f t="shared" ca="1" si="175"/>
        <v>306756696754173.25</v>
      </c>
      <c r="AE307" s="20">
        <f t="shared" ca="1" si="176"/>
        <v>6862066211786912</v>
      </c>
      <c r="AG307" s="16">
        <f t="shared" ca="1" si="177"/>
        <v>-8.1319583363936257E-5</v>
      </c>
      <c r="AH307" s="16">
        <f t="shared" ca="1" si="178"/>
        <v>6.3922984894358088E-5</v>
      </c>
      <c r="AI307" s="16">
        <f t="shared" ca="1" si="179"/>
        <v>9.7041330910657465E-6</v>
      </c>
      <c r="AJ307" s="16">
        <f t="shared" ca="1" si="180"/>
        <v>-5.3220706126240827E-4</v>
      </c>
      <c r="AK307" s="16">
        <f t="shared" ca="1" si="181"/>
        <v>2.9707366278177431E-4</v>
      </c>
      <c r="AM307" s="16">
        <f t="shared" ca="1" si="182"/>
        <v>-5.3989952664092069E-4</v>
      </c>
      <c r="AO307" s="16">
        <f t="shared" ca="1" si="183"/>
        <v>-8.1319583363936257E-5</v>
      </c>
      <c r="AP307" s="16">
        <f t="shared" ca="1" si="184"/>
        <v>0</v>
      </c>
      <c r="AQ307" s="16">
        <f t="shared" ca="1" si="185"/>
        <v>0</v>
      </c>
      <c r="AR307" s="16">
        <f t="shared" ca="1" si="186"/>
        <v>-5.3220706126240827E-4</v>
      </c>
      <c r="AS307" s="16">
        <f t="shared" ca="1" si="187"/>
        <v>0</v>
      </c>
    </row>
    <row r="308" spans="1:45" x14ac:dyDescent="0.25">
      <c r="A308" s="69">
        <f t="shared" ca="1" si="188"/>
        <v>2451.9400961126503</v>
      </c>
      <c r="B308" s="69">
        <f t="shared" ca="1" si="189"/>
        <v>2135.5348813940336</v>
      </c>
      <c r="C308" s="69">
        <f t="shared" ca="1" si="190"/>
        <v>2227.5234225196332</v>
      </c>
      <c r="D308" s="69">
        <f t="shared" ca="1" si="191"/>
        <v>2907.1319450140763</v>
      </c>
      <c r="E308" s="69">
        <f t="shared" ca="1" si="192"/>
        <v>1931.028973356307</v>
      </c>
      <c r="F308" s="69">
        <f t="shared" ca="1" si="193"/>
        <v>1221.7412094137221</v>
      </c>
      <c r="G308" s="69">
        <f t="shared" ca="1" si="194"/>
        <v>964.15783094677897</v>
      </c>
      <c r="H308" s="69">
        <f t="shared" ca="1" si="195"/>
        <v>1188.3021456331485</v>
      </c>
      <c r="I308" s="69">
        <f t="shared" ca="1" si="196"/>
        <v>1050.1735550569827</v>
      </c>
      <c r="J308" s="69">
        <f t="shared" ca="1" si="197"/>
        <v>1146.3163973368253</v>
      </c>
      <c r="K308" s="69">
        <f t="shared" ca="1" si="198"/>
        <v>1179.4147038500003</v>
      </c>
      <c r="L308" s="69">
        <f t="shared" ca="1" si="199"/>
        <v>954.09281397389339</v>
      </c>
      <c r="M308" s="69">
        <f t="shared" ca="1" si="200"/>
        <v>990.59663880785683</v>
      </c>
      <c r="N308" s="69">
        <f t="shared" ca="1" si="201"/>
        <v>571.24772177432885</v>
      </c>
      <c r="O308" s="69">
        <f t="shared" ca="1" si="202"/>
        <v>627.1630445284685</v>
      </c>
      <c r="P308" s="69">
        <f t="shared" ca="1" si="203"/>
        <v>722.84541190793277</v>
      </c>
      <c r="Q308" s="69">
        <f t="shared" ca="1" si="204"/>
        <v>952.70737087737939</v>
      </c>
      <c r="R308" s="69">
        <f t="shared" ca="1" si="205"/>
        <v>785.31974055316232</v>
      </c>
      <c r="S308" s="69">
        <f t="shared" ca="1" si="206"/>
        <v>702.65704617167182</v>
      </c>
      <c r="T308" s="69">
        <f t="shared" ca="1" si="207"/>
        <v>806.80400196061578</v>
      </c>
      <c r="U308" s="69">
        <f t="shared" ca="1" si="208"/>
        <v>1689.6531385644291</v>
      </c>
      <c r="V308" s="69">
        <f t="shared" ca="1" si="209"/>
        <v>1913.2027427081011</v>
      </c>
      <c r="W308" s="69">
        <f t="shared" ca="1" si="210"/>
        <v>1175.9788590595319</v>
      </c>
      <c r="X308" s="69">
        <f t="shared" ca="1" si="211"/>
        <v>1492.1240386173483</v>
      </c>
      <c r="Y308" s="69">
        <f t="shared" ca="1" si="212"/>
        <v>1210.0990670346148</v>
      </c>
      <c r="AA308" s="20">
        <f t="shared" ca="1" si="172"/>
        <v>6.5477537492630672E+16</v>
      </c>
      <c r="AB308" s="20">
        <f t="shared" ca="1" si="173"/>
        <v>1685077267673955.5</v>
      </c>
      <c r="AC308" s="20">
        <f t="shared" ca="1" si="174"/>
        <v>399354841146555.06</v>
      </c>
      <c r="AD308" s="20">
        <f t="shared" ca="1" si="175"/>
        <v>306593482109916.69</v>
      </c>
      <c r="AE308" s="20">
        <f t="shared" ca="1" si="176"/>
        <v>6864105053758830</v>
      </c>
      <c r="AG308" s="16">
        <f t="shared" ca="1" si="177"/>
        <v>4.0172754852093473E-4</v>
      </c>
      <c r="AH308" s="16">
        <f t="shared" ca="1" si="178"/>
        <v>1.5947315426196888E-4</v>
      </c>
      <c r="AI308" s="16">
        <f t="shared" ca="1" si="179"/>
        <v>-1.2140554779251386E-3</v>
      </c>
      <c r="AJ308" s="16">
        <f t="shared" ca="1" si="180"/>
        <v>-4.4672555745282647E-5</v>
      </c>
      <c r="AK308" s="16">
        <f t="shared" ca="1" si="181"/>
        <v>-6.1380461343220935E-5</v>
      </c>
      <c r="AM308" s="16">
        <f t="shared" ca="1" si="182"/>
        <v>-6.9752733088751767E-4</v>
      </c>
      <c r="AO308" s="16">
        <f t="shared" ca="1" si="183"/>
        <v>0</v>
      </c>
      <c r="AP308" s="16">
        <f t="shared" ca="1" si="184"/>
        <v>0</v>
      </c>
      <c r="AQ308" s="16">
        <f t="shared" ca="1" si="185"/>
        <v>-1.2140554779251386E-3</v>
      </c>
      <c r="AR308" s="16">
        <f t="shared" ca="1" si="186"/>
        <v>-4.4672555745282647E-5</v>
      </c>
      <c r="AS308" s="16">
        <f t="shared" ca="1" si="187"/>
        <v>-6.1380461343220935E-5</v>
      </c>
    </row>
    <row r="309" spans="1:45" x14ac:dyDescent="0.25">
      <c r="A309" s="69">
        <f t="shared" ca="1" si="188"/>
        <v>2452.2221467860822</v>
      </c>
      <c r="B309" s="69">
        <f t="shared" ca="1" si="189"/>
        <v>2135.5348813940336</v>
      </c>
      <c r="C309" s="69">
        <f t="shared" ca="1" si="190"/>
        <v>2227.8290387183001</v>
      </c>
      <c r="D309" s="69">
        <f t="shared" ca="1" si="191"/>
        <v>2907.1319450140763</v>
      </c>
      <c r="E309" s="69">
        <f t="shared" ca="1" si="192"/>
        <v>1931.3177068453883</v>
      </c>
      <c r="F309" s="69">
        <f t="shared" ca="1" si="193"/>
        <v>1221.7412094137221</v>
      </c>
      <c r="G309" s="69">
        <f t="shared" ca="1" si="194"/>
        <v>963.90023842581206</v>
      </c>
      <c r="H309" s="69">
        <f t="shared" ca="1" si="195"/>
        <v>1188.3021456331485</v>
      </c>
      <c r="I309" s="69">
        <f t="shared" ca="1" si="196"/>
        <v>1050.1735550569827</v>
      </c>
      <c r="J309" s="69">
        <f t="shared" ca="1" si="197"/>
        <v>1146.8056088442136</v>
      </c>
      <c r="K309" s="69">
        <f t="shared" ca="1" si="198"/>
        <v>1179.0619155813747</v>
      </c>
      <c r="L309" s="69">
        <f t="shared" ca="1" si="199"/>
        <v>953.90432159570616</v>
      </c>
      <c r="M309" s="69">
        <f t="shared" ca="1" si="200"/>
        <v>990.14957196341049</v>
      </c>
      <c r="N309" s="69">
        <f t="shared" ca="1" si="201"/>
        <v>571.09584988460381</v>
      </c>
      <c r="O309" s="69">
        <f t="shared" ca="1" si="202"/>
        <v>627.1630445284685</v>
      </c>
      <c r="P309" s="69">
        <f t="shared" ca="1" si="203"/>
        <v>722.47923893472375</v>
      </c>
      <c r="Q309" s="69">
        <f t="shared" ca="1" si="204"/>
        <v>953.14764950626068</v>
      </c>
      <c r="R309" s="69">
        <f t="shared" ca="1" si="205"/>
        <v>785.31974055316232</v>
      </c>
      <c r="S309" s="69">
        <f t="shared" ca="1" si="206"/>
        <v>702.65704617167182</v>
      </c>
      <c r="T309" s="69">
        <f t="shared" ca="1" si="207"/>
        <v>806.80400196061578</v>
      </c>
      <c r="U309" s="69">
        <f t="shared" ca="1" si="208"/>
        <v>1689.6249481682999</v>
      </c>
      <c r="V309" s="69">
        <f t="shared" ca="1" si="209"/>
        <v>1913.2982009222865</v>
      </c>
      <c r="W309" s="69">
        <f t="shared" ca="1" si="210"/>
        <v>1175.9788590595319</v>
      </c>
      <c r="X309" s="69">
        <f t="shared" ca="1" si="211"/>
        <v>1492.4325105636647</v>
      </c>
      <c r="Y309" s="69">
        <f t="shared" ca="1" si="212"/>
        <v>1209.734517311836</v>
      </c>
      <c r="AA309" s="20">
        <f t="shared" ca="1" si="172"/>
        <v>6.550384690750532E+16</v>
      </c>
      <c r="AB309" s="20">
        <f t="shared" ca="1" si="173"/>
        <v>1685346013689324.3</v>
      </c>
      <c r="AC309" s="20">
        <f t="shared" ca="1" si="174"/>
        <v>398870296405639.13</v>
      </c>
      <c r="AD309" s="20">
        <f t="shared" ca="1" si="175"/>
        <v>306579786101416.13</v>
      </c>
      <c r="AE309" s="20">
        <f t="shared" ca="1" si="176"/>
        <v>6863683744754125</v>
      </c>
      <c r="AG309" s="16">
        <f t="shared" ca="1" si="177"/>
        <v>-3.0352737012524886E-4</v>
      </c>
      <c r="AH309" s="16">
        <f t="shared" ca="1" si="178"/>
        <v>-3.8200098641228233E-4</v>
      </c>
      <c r="AI309" s="16">
        <f t="shared" ca="1" si="179"/>
        <v>-6.6989632847042025E-4</v>
      </c>
      <c r="AJ309" s="16">
        <f t="shared" ca="1" si="180"/>
        <v>7.1901264403696687E-4</v>
      </c>
      <c r="AK309" s="16">
        <f t="shared" ca="1" si="181"/>
        <v>-4.0606829135164256E-4</v>
      </c>
      <c r="AM309" s="16">
        <f t="shared" ca="1" si="182"/>
        <v>-6.3641204097098457E-4</v>
      </c>
      <c r="AO309" s="16">
        <f t="shared" ca="1" si="183"/>
        <v>-3.0352737012524886E-4</v>
      </c>
      <c r="AP309" s="16">
        <f t="shared" ca="1" si="184"/>
        <v>-3.8200098641228233E-4</v>
      </c>
      <c r="AQ309" s="16">
        <f t="shared" ca="1" si="185"/>
        <v>-6.6989632847042025E-4</v>
      </c>
      <c r="AR309" s="16">
        <f t="shared" ca="1" si="186"/>
        <v>0</v>
      </c>
      <c r="AS309" s="16">
        <f t="shared" ca="1" si="187"/>
        <v>-4.0606829135164256E-4</v>
      </c>
    </row>
    <row r="310" spans="1:45" x14ac:dyDescent="0.25">
      <c r="A310" s="69">
        <f t="shared" ca="1" si="188"/>
        <v>2451.8470915958578</v>
      </c>
      <c r="B310" s="69">
        <f t="shared" ca="1" si="189"/>
        <v>2135.8311072753722</v>
      </c>
      <c r="C310" s="69">
        <f t="shared" ca="1" si="190"/>
        <v>2227.4796245420239</v>
      </c>
      <c r="D310" s="69">
        <f t="shared" ca="1" si="191"/>
        <v>2907.2822134947196</v>
      </c>
      <c r="E310" s="69">
        <f t="shared" ca="1" si="192"/>
        <v>1930.9621664919114</v>
      </c>
      <c r="F310" s="69">
        <f t="shared" ca="1" si="193"/>
        <v>1221.6034033457877</v>
      </c>
      <c r="G310" s="69">
        <f t="shared" ca="1" si="194"/>
        <v>963.51975829908008</v>
      </c>
      <c r="H310" s="69">
        <f t="shared" ca="1" si="195"/>
        <v>1188.7041225176592</v>
      </c>
      <c r="I310" s="69">
        <f t="shared" ca="1" si="196"/>
        <v>1050.1735550569827</v>
      </c>
      <c r="J310" s="69">
        <f t="shared" ca="1" si="197"/>
        <v>1146.5618086912882</v>
      </c>
      <c r="K310" s="69">
        <f t="shared" ca="1" si="198"/>
        <v>1179.53950230122</v>
      </c>
      <c r="L310" s="69">
        <f t="shared" ca="1" si="199"/>
        <v>953.96087206879861</v>
      </c>
      <c r="M310" s="69">
        <f t="shared" ca="1" si="200"/>
        <v>990.14957196341049</v>
      </c>
      <c r="N310" s="69">
        <f t="shared" ca="1" si="201"/>
        <v>570.61080901134676</v>
      </c>
      <c r="O310" s="69">
        <f t="shared" ca="1" si="202"/>
        <v>626.98465749174693</v>
      </c>
      <c r="P310" s="69">
        <f t="shared" ca="1" si="203"/>
        <v>722.42415220575799</v>
      </c>
      <c r="Q310" s="69">
        <f t="shared" ca="1" si="204"/>
        <v>953.24252771000897</v>
      </c>
      <c r="R310" s="69">
        <f t="shared" ca="1" si="205"/>
        <v>785.31974055316232</v>
      </c>
      <c r="S310" s="69">
        <f t="shared" ca="1" si="206"/>
        <v>703.14607256708382</v>
      </c>
      <c r="T310" s="69">
        <f t="shared" ca="1" si="207"/>
        <v>806.80400196061578</v>
      </c>
      <c r="U310" s="69">
        <f t="shared" ca="1" si="208"/>
        <v>1689.3799763570212</v>
      </c>
      <c r="V310" s="69">
        <f t="shared" ca="1" si="209"/>
        <v>1913.473548870621</v>
      </c>
      <c r="W310" s="69">
        <f t="shared" ca="1" si="210"/>
        <v>1175.8349358902906</v>
      </c>
      <c r="X310" s="69">
        <f t="shared" ca="1" si="211"/>
        <v>1492.4325105636647</v>
      </c>
      <c r="Y310" s="69">
        <f t="shared" ca="1" si="212"/>
        <v>1209.4559217878125</v>
      </c>
      <c r="AA310" s="20">
        <f t="shared" ca="1" si="172"/>
        <v>6.5483967714212648E+16</v>
      </c>
      <c r="AB310" s="20">
        <f t="shared" ca="1" si="173"/>
        <v>1684702332800843.5</v>
      </c>
      <c r="AC310" s="20">
        <f t="shared" ca="1" si="174"/>
        <v>398603184137294.13</v>
      </c>
      <c r="AD310" s="20">
        <f t="shared" ca="1" si="175"/>
        <v>306800300110709.56</v>
      </c>
      <c r="AE310" s="20">
        <f t="shared" ca="1" si="176"/>
        <v>6860897186228334</v>
      </c>
      <c r="AG310" s="16">
        <f t="shared" ca="1" si="177"/>
        <v>6.1261300705195887E-5</v>
      </c>
      <c r="AH310" s="16">
        <f t="shared" ca="1" si="178"/>
        <v>9.3900007550275691E-5</v>
      </c>
      <c r="AI310" s="16">
        <f t="shared" ca="1" si="179"/>
        <v>-8.713479700018414E-4</v>
      </c>
      <c r="AJ310" s="16">
        <f t="shared" ca="1" si="180"/>
        <v>2.0031255970418864E-4</v>
      </c>
      <c r="AK310" s="16">
        <f t="shared" ca="1" si="181"/>
        <v>4.9870899409724327E-4</v>
      </c>
      <c r="AM310" s="16">
        <f t="shared" ca="1" si="182"/>
        <v>-5.1587410204218128E-4</v>
      </c>
      <c r="AO310" s="16">
        <f t="shared" ca="1" si="183"/>
        <v>0</v>
      </c>
      <c r="AP310" s="16">
        <f t="shared" ca="1" si="184"/>
        <v>0</v>
      </c>
      <c r="AQ310" s="16">
        <f t="shared" ca="1" si="185"/>
        <v>-8.713479700018414E-4</v>
      </c>
      <c r="AR310" s="16">
        <f t="shared" ca="1" si="186"/>
        <v>0</v>
      </c>
      <c r="AS310" s="16">
        <f t="shared" ca="1" si="187"/>
        <v>0</v>
      </c>
    </row>
    <row r="311" spans="1:45" x14ac:dyDescent="0.25">
      <c r="A311" s="69">
        <f t="shared" ca="1" si="188"/>
        <v>2451.8470915958578</v>
      </c>
      <c r="B311" s="69">
        <f t="shared" ca="1" si="189"/>
        <v>2135.8311072753722</v>
      </c>
      <c r="C311" s="69">
        <f t="shared" ca="1" si="190"/>
        <v>2227.9498070516092</v>
      </c>
      <c r="D311" s="69">
        <f t="shared" ca="1" si="191"/>
        <v>2906.8467376567191</v>
      </c>
      <c r="E311" s="69">
        <f t="shared" ca="1" si="192"/>
        <v>1930.9621664919114</v>
      </c>
      <c r="F311" s="69">
        <f t="shared" ca="1" si="193"/>
        <v>1221.7125661059429</v>
      </c>
      <c r="G311" s="69">
        <f t="shared" ca="1" si="194"/>
        <v>963.47409652058627</v>
      </c>
      <c r="H311" s="69">
        <f t="shared" ca="1" si="195"/>
        <v>1189.1460311133442</v>
      </c>
      <c r="I311" s="69">
        <f t="shared" ca="1" si="196"/>
        <v>1049.8378136246063</v>
      </c>
      <c r="J311" s="69">
        <f t="shared" ca="1" si="197"/>
        <v>1146.5618086912882</v>
      </c>
      <c r="K311" s="69">
        <f t="shared" ca="1" si="198"/>
        <v>1179.53950230122</v>
      </c>
      <c r="L311" s="69">
        <f t="shared" ca="1" si="199"/>
        <v>954.02677228523942</v>
      </c>
      <c r="M311" s="69">
        <f t="shared" ca="1" si="200"/>
        <v>990.13068922305058</v>
      </c>
      <c r="N311" s="69">
        <f t="shared" ca="1" si="201"/>
        <v>570.25828745696128</v>
      </c>
      <c r="O311" s="69">
        <f t="shared" ca="1" si="202"/>
        <v>626.79447945790901</v>
      </c>
      <c r="P311" s="69">
        <f t="shared" ca="1" si="203"/>
        <v>722.42415220575799</v>
      </c>
      <c r="Q311" s="69">
        <f t="shared" ca="1" si="204"/>
        <v>953.533637025855</v>
      </c>
      <c r="R311" s="69">
        <f t="shared" ca="1" si="205"/>
        <v>785.31974055316232</v>
      </c>
      <c r="S311" s="69">
        <f t="shared" ca="1" si="206"/>
        <v>703.07222548474317</v>
      </c>
      <c r="T311" s="69">
        <f t="shared" ca="1" si="207"/>
        <v>806.80400196061578</v>
      </c>
      <c r="U311" s="69">
        <f t="shared" ca="1" si="208"/>
        <v>1689.3799763570212</v>
      </c>
      <c r="V311" s="69">
        <f t="shared" ca="1" si="209"/>
        <v>1913.473548870621</v>
      </c>
      <c r="W311" s="69">
        <f t="shared" ca="1" si="210"/>
        <v>1176.0772050017947</v>
      </c>
      <c r="X311" s="69">
        <f t="shared" ca="1" si="211"/>
        <v>1492.8693947892202</v>
      </c>
      <c r="Y311" s="69">
        <f t="shared" ca="1" si="212"/>
        <v>1209.4559217878125</v>
      </c>
      <c r="AA311" s="20">
        <f t="shared" ca="1" si="172"/>
        <v>6.54879794701316E+16</v>
      </c>
      <c r="AB311" s="20">
        <f t="shared" ca="1" si="173"/>
        <v>1684860533790034.3</v>
      </c>
      <c r="AC311" s="20">
        <f t="shared" ca="1" si="174"/>
        <v>398256013337211.5</v>
      </c>
      <c r="AD311" s="20">
        <f t="shared" ca="1" si="175"/>
        <v>306861762219753.44</v>
      </c>
      <c r="AE311" s="20">
        <f t="shared" ca="1" si="176"/>
        <v>6864319630693668</v>
      </c>
      <c r="AG311" s="16">
        <f t="shared" ca="1" si="177"/>
        <v>7.271322111067598E-4</v>
      </c>
      <c r="AH311" s="16">
        <f t="shared" ca="1" si="178"/>
        <v>-4.7362752877938276E-4</v>
      </c>
      <c r="AI311" s="16">
        <f t="shared" ca="1" si="179"/>
        <v>-1.6421857406955575E-5</v>
      </c>
      <c r="AJ311" s="16">
        <f t="shared" ca="1" si="180"/>
        <v>-1.2303875288170467E-3</v>
      </c>
      <c r="AK311" s="16">
        <f t="shared" ca="1" si="181"/>
        <v>-3.112208233561389E-5</v>
      </c>
      <c r="AM311" s="16">
        <f t="shared" ca="1" si="182"/>
        <v>-9.9330470389662521E-4</v>
      </c>
      <c r="AO311" s="16">
        <f t="shared" ca="1" si="183"/>
        <v>0</v>
      </c>
      <c r="AP311" s="16">
        <f t="shared" ca="1" si="184"/>
        <v>-4.7362752877938276E-4</v>
      </c>
      <c r="AQ311" s="16">
        <f t="shared" ca="1" si="185"/>
        <v>-1.6421857406955575E-5</v>
      </c>
      <c r="AR311" s="16">
        <f t="shared" ca="1" si="186"/>
        <v>-1.2303875288170467E-3</v>
      </c>
      <c r="AS311" s="16">
        <f t="shared" ca="1" si="187"/>
        <v>-3.112208233561389E-5</v>
      </c>
    </row>
    <row r="312" spans="1:45" x14ac:dyDescent="0.25">
      <c r="A312" s="69">
        <f t="shared" ca="1" si="188"/>
        <v>2452.19932944943</v>
      </c>
      <c r="B312" s="69">
        <f t="shared" ca="1" si="189"/>
        <v>2135.8981179439129</v>
      </c>
      <c r="C312" s="69">
        <f t="shared" ca="1" si="190"/>
        <v>2228.3282146445567</v>
      </c>
      <c r="D312" s="69">
        <f t="shared" ca="1" si="191"/>
        <v>2907.2082365735923</v>
      </c>
      <c r="E312" s="69">
        <f t="shared" ca="1" si="192"/>
        <v>1931.4602675232104</v>
      </c>
      <c r="F312" s="69">
        <f t="shared" ca="1" si="193"/>
        <v>1221.9971258926139</v>
      </c>
      <c r="G312" s="69">
        <f t="shared" ca="1" si="194"/>
        <v>963.6706428129969</v>
      </c>
      <c r="H312" s="69">
        <f t="shared" ca="1" si="195"/>
        <v>1188.6684304262419</v>
      </c>
      <c r="I312" s="69">
        <f t="shared" ca="1" si="196"/>
        <v>1049.5320946195195</v>
      </c>
      <c r="J312" s="69">
        <f t="shared" ca="1" si="197"/>
        <v>1146.3124202166557</v>
      </c>
      <c r="K312" s="69">
        <f t="shared" ca="1" si="198"/>
        <v>1179.2189924854094</v>
      </c>
      <c r="L312" s="69">
        <f t="shared" ca="1" si="199"/>
        <v>954.02677228523942</v>
      </c>
      <c r="M312" s="69">
        <f t="shared" ca="1" si="200"/>
        <v>990.51918854718588</v>
      </c>
      <c r="N312" s="69">
        <f t="shared" ca="1" si="201"/>
        <v>570.51211295247515</v>
      </c>
      <c r="O312" s="69">
        <f t="shared" ca="1" si="202"/>
        <v>626.42981477627245</v>
      </c>
      <c r="P312" s="69">
        <f t="shared" ca="1" si="203"/>
        <v>722.06393539048645</v>
      </c>
      <c r="Q312" s="69">
        <f t="shared" ca="1" si="204"/>
        <v>953.533637025855</v>
      </c>
      <c r="R312" s="69">
        <f t="shared" ca="1" si="205"/>
        <v>784.98344715388453</v>
      </c>
      <c r="S312" s="69">
        <f t="shared" ca="1" si="206"/>
        <v>703.15497596537284</v>
      </c>
      <c r="T312" s="69">
        <f t="shared" ca="1" si="207"/>
        <v>806.46439622578305</v>
      </c>
      <c r="U312" s="69">
        <f t="shared" ca="1" si="208"/>
        <v>1689.1070258893023</v>
      </c>
      <c r="V312" s="69">
        <f t="shared" ca="1" si="209"/>
        <v>1913.6634850102021</v>
      </c>
      <c r="W312" s="69">
        <f t="shared" ca="1" si="210"/>
        <v>1175.9760561963221</v>
      </c>
      <c r="X312" s="69">
        <f t="shared" ca="1" si="211"/>
        <v>1492.9891688759838</v>
      </c>
      <c r="Y312" s="69">
        <f t="shared" ca="1" si="212"/>
        <v>1209.500652181192</v>
      </c>
      <c r="AA312" s="20">
        <f t="shared" ca="1" si="172"/>
        <v>6.55356152060848E+16</v>
      </c>
      <c r="AB312" s="20">
        <f t="shared" ca="1" si="173"/>
        <v>1684062726405761.3</v>
      </c>
      <c r="AC312" s="20">
        <f t="shared" ca="1" si="174"/>
        <v>398249473287449.06</v>
      </c>
      <c r="AD312" s="20">
        <f t="shared" ca="1" si="175"/>
        <v>306484435511087.19</v>
      </c>
      <c r="AE312" s="20">
        <f t="shared" ca="1" si="176"/>
        <v>6864106002097244</v>
      </c>
      <c r="AG312" s="16">
        <f t="shared" ca="1" si="177"/>
        <v>1.643872992488255E-4</v>
      </c>
      <c r="AH312" s="16">
        <f t="shared" ca="1" si="178"/>
        <v>-1.2169168842449684E-3</v>
      </c>
      <c r="AI312" s="16">
        <f t="shared" ca="1" si="179"/>
        <v>-3.285828539381331E-4</v>
      </c>
      <c r="AJ312" s="16">
        <f t="shared" ca="1" si="180"/>
        <v>1.4013812605879901E-3</v>
      </c>
      <c r="AK312" s="16">
        <f t="shared" ca="1" si="181"/>
        <v>-1.7890612586350396E-5</v>
      </c>
      <c r="AM312" s="16">
        <f t="shared" ca="1" si="182"/>
        <v>2.0268821653714186E-5</v>
      </c>
      <c r="AO312" s="16">
        <f t="shared" ca="1" si="183"/>
        <v>0</v>
      </c>
      <c r="AP312" s="16">
        <f t="shared" ca="1" si="184"/>
        <v>-1.2169168842449684E-3</v>
      </c>
      <c r="AQ312" s="16">
        <f t="shared" ca="1" si="185"/>
        <v>-3.285828539381331E-4</v>
      </c>
      <c r="AR312" s="16">
        <f t="shared" ca="1" si="186"/>
        <v>0</v>
      </c>
      <c r="AS312" s="16">
        <f t="shared" ca="1" si="187"/>
        <v>-1.7890612586350396E-5</v>
      </c>
    </row>
    <row r="313" spans="1:45" x14ac:dyDescent="0.25">
      <c r="A313" s="69">
        <f t="shared" ca="1" si="188"/>
        <v>2451.9354521195023</v>
      </c>
      <c r="B313" s="69">
        <f t="shared" ca="1" si="189"/>
        <v>2135.8981179439129</v>
      </c>
      <c r="C313" s="69">
        <f t="shared" ca="1" si="190"/>
        <v>2228.5971675061751</v>
      </c>
      <c r="D313" s="69">
        <f t="shared" ca="1" si="191"/>
        <v>2907.1099652918706</v>
      </c>
      <c r="E313" s="69">
        <f t="shared" ca="1" si="192"/>
        <v>1931.8178426129118</v>
      </c>
      <c r="F313" s="69">
        <f t="shared" ca="1" si="193"/>
        <v>1221.9971258926139</v>
      </c>
      <c r="G313" s="69">
        <f t="shared" ca="1" si="194"/>
        <v>963.20705815080419</v>
      </c>
      <c r="H313" s="69">
        <f t="shared" ca="1" si="195"/>
        <v>1188.2206297216999</v>
      </c>
      <c r="I313" s="69">
        <f t="shared" ca="1" si="196"/>
        <v>1049.2589127266738</v>
      </c>
      <c r="J313" s="69">
        <f t="shared" ca="1" si="197"/>
        <v>1146.1993752112883</v>
      </c>
      <c r="K313" s="69">
        <f t="shared" ca="1" si="198"/>
        <v>1179.3997418712186</v>
      </c>
      <c r="L313" s="69">
        <f t="shared" ca="1" si="199"/>
        <v>953.82996935930703</v>
      </c>
      <c r="M313" s="69">
        <f t="shared" ca="1" si="200"/>
        <v>990.67386489670355</v>
      </c>
      <c r="N313" s="69">
        <f t="shared" ca="1" si="201"/>
        <v>570.26588356052798</v>
      </c>
      <c r="O313" s="69">
        <f t="shared" ca="1" si="202"/>
        <v>626.42981477627245</v>
      </c>
      <c r="P313" s="69">
        <f t="shared" ca="1" si="203"/>
        <v>722.55507555092618</v>
      </c>
      <c r="Q313" s="69">
        <f t="shared" ca="1" si="204"/>
        <v>953.93918905693158</v>
      </c>
      <c r="R313" s="69">
        <f t="shared" ca="1" si="205"/>
        <v>784.98344715388453</v>
      </c>
      <c r="S313" s="69">
        <f t="shared" ca="1" si="206"/>
        <v>703.36328043321726</v>
      </c>
      <c r="T313" s="69">
        <f t="shared" ca="1" si="207"/>
        <v>806.46439622578305</v>
      </c>
      <c r="U313" s="69">
        <f t="shared" ca="1" si="208"/>
        <v>1688.7401700807181</v>
      </c>
      <c r="V313" s="69">
        <f t="shared" ca="1" si="209"/>
        <v>1913.4758465865136</v>
      </c>
      <c r="W313" s="69">
        <f t="shared" ca="1" si="210"/>
        <v>1176.1439311531537</v>
      </c>
      <c r="X313" s="69">
        <f t="shared" ca="1" si="211"/>
        <v>1492.6153360935045</v>
      </c>
      <c r="Y313" s="69">
        <f t="shared" ca="1" si="212"/>
        <v>1209.9906704351292</v>
      </c>
      <c r="AA313" s="20">
        <f t="shared" ca="1" si="172"/>
        <v>6.554638931441216E+16</v>
      </c>
      <c r="AB313" s="20">
        <f t="shared" ca="1" si="173"/>
        <v>1682014608487261</v>
      </c>
      <c r="AC313" s="20">
        <f t="shared" ca="1" si="174"/>
        <v>398118636835421.5</v>
      </c>
      <c r="AD313" s="20">
        <f t="shared" ca="1" si="175"/>
        <v>306914238144012.38</v>
      </c>
      <c r="AE313" s="20">
        <f t="shared" ca="1" si="176"/>
        <v>6863983200134513</v>
      </c>
      <c r="AG313" s="16">
        <f t="shared" ca="1" si="177"/>
        <v>-2.766075693974586E-4</v>
      </c>
      <c r="AH313" s="16">
        <f t="shared" ca="1" si="178"/>
        <v>2.5439909021231639E-4</v>
      </c>
      <c r="AI313" s="16">
        <f t="shared" ca="1" si="179"/>
        <v>-2.5176258571989543E-4</v>
      </c>
      <c r="AJ313" s="16">
        <f t="shared" ca="1" si="180"/>
        <v>-3.9981737429422778E-4</v>
      </c>
      <c r="AK313" s="16">
        <f t="shared" ca="1" si="181"/>
        <v>6.6799658786578805E-5</v>
      </c>
      <c r="AM313" s="16">
        <f t="shared" ca="1" si="182"/>
        <v>-6.7378843919926542E-4</v>
      </c>
      <c r="AO313" s="16">
        <f t="shared" ca="1" si="183"/>
        <v>-2.766075693974586E-4</v>
      </c>
      <c r="AP313" s="16">
        <f t="shared" ca="1" si="184"/>
        <v>0</v>
      </c>
      <c r="AQ313" s="16">
        <f t="shared" ca="1" si="185"/>
        <v>-2.5176258571989543E-4</v>
      </c>
      <c r="AR313" s="16">
        <f t="shared" ca="1" si="186"/>
        <v>-3.9981737429422778E-4</v>
      </c>
      <c r="AS313" s="16">
        <f t="shared" ca="1" si="187"/>
        <v>0</v>
      </c>
    </row>
    <row r="314" spans="1:45" x14ac:dyDescent="0.25">
      <c r="A314" s="69">
        <f t="shared" ca="1" si="188"/>
        <v>2451.4721408488681</v>
      </c>
      <c r="B314" s="69">
        <f t="shared" ca="1" si="189"/>
        <v>2135.4221221712287</v>
      </c>
      <c r="C314" s="69">
        <f t="shared" ca="1" si="190"/>
        <v>2228.5971675061751</v>
      </c>
      <c r="D314" s="69">
        <f t="shared" ca="1" si="191"/>
        <v>2907.5319622031702</v>
      </c>
      <c r="E314" s="69">
        <f t="shared" ca="1" si="192"/>
        <v>1931.7987135224294</v>
      </c>
      <c r="F314" s="69">
        <f t="shared" ca="1" si="193"/>
        <v>1222.1910257863717</v>
      </c>
      <c r="G314" s="69">
        <f t="shared" ca="1" si="194"/>
        <v>963.47212686407215</v>
      </c>
      <c r="H314" s="69">
        <f t="shared" ca="1" si="195"/>
        <v>1188.2204830966893</v>
      </c>
      <c r="I314" s="69">
        <f t="shared" ca="1" si="196"/>
        <v>1049.2589127266738</v>
      </c>
      <c r="J314" s="69">
        <f t="shared" ca="1" si="197"/>
        <v>1145.9938851724896</v>
      </c>
      <c r="K314" s="69">
        <f t="shared" ca="1" si="198"/>
        <v>1179.3997418712186</v>
      </c>
      <c r="L314" s="69">
        <f t="shared" ca="1" si="199"/>
        <v>953.71179292597446</v>
      </c>
      <c r="M314" s="69">
        <f t="shared" ca="1" si="200"/>
        <v>990.67386489670355</v>
      </c>
      <c r="N314" s="69">
        <f t="shared" ca="1" si="201"/>
        <v>570.19297507512897</v>
      </c>
      <c r="O314" s="69">
        <f t="shared" ca="1" si="202"/>
        <v>626.42981477627245</v>
      </c>
      <c r="P314" s="69">
        <f t="shared" ca="1" si="203"/>
        <v>722.55507555092618</v>
      </c>
      <c r="Q314" s="69">
        <f t="shared" ca="1" si="204"/>
        <v>953.93918905693158</v>
      </c>
      <c r="R314" s="69">
        <f t="shared" ca="1" si="205"/>
        <v>784.98344715388453</v>
      </c>
      <c r="S314" s="69">
        <f t="shared" ca="1" si="206"/>
        <v>703.15374038605319</v>
      </c>
      <c r="T314" s="69">
        <f t="shared" ca="1" si="207"/>
        <v>806.38225278728692</v>
      </c>
      <c r="U314" s="69">
        <f t="shared" ca="1" si="208"/>
        <v>1689.0103725156605</v>
      </c>
      <c r="V314" s="69">
        <f t="shared" ca="1" si="209"/>
        <v>1913.5663748686347</v>
      </c>
      <c r="W314" s="69">
        <f t="shared" ca="1" si="210"/>
        <v>1176.1439311531537</v>
      </c>
      <c r="X314" s="69">
        <f t="shared" ca="1" si="211"/>
        <v>1493.0180943624257</v>
      </c>
      <c r="Y314" s="69">
        <f t="shared" ca="1" si="212"/>
        <v>1209.4943164341646</v>
      </c>
      <c r="AA314" s="20">
        <f t="shared" ca="1" si="172"/>
        <v>6.5528261194284328E+16</v>
      </c>
      <c r="AB314" s="20">
        <f t="shared" ca="1" si="173"/>
        <v>1682442565907065</v>
      </c>
      <c r="AC314" s="20">
        <f t="shared" ca="1" si="174"/>
        <v>398018418074185.13</v>
      </c>
      <c r="AD314" s="20">
        <f t="shared" ca="1" si="175"/>
        <v>306791553026639.19</v>
      </c>
      <c r="AE314" s="20">
        <f t="shared" ca="1" si="176"/>
        <v>6864441727184754</v>
      </c>
      <c r="AG314" s="16">
        <f t="shared" ca="1" si="177"/>
        <v>1.5135599634116437E-4</v>
      </c>
      <c r="AH314" s="16">
        <f t="shared" ca="1" si="178"/>
        <v>-5.587102479721552E-4</v>
      </c>
      <c r="AI314" s="16">
        <f t="shared" ca="1" si="179"/>
        <v>3.9501710508767408E-5</v>
      </c>
      <c r="AJ314" s="16">
        <f t="shared" ca="1" si="180"/>
        <v>-6.2113023869828728E-4</v>
      </c>
      <c r="AK314" s="16">
        <f t="shared" ca="1" si="181"/>
        <v>-4.3483068975217604E-4</v>
      </c>
      <c r="AM314" s="16">
        <f t="shared" ca="1" si="182"/>
        <v>-9.889827798205107E-4</v>
      </c>
      <c r="AO314" s="16">
        <f t="shared" ca="1" si="183"/>
        <v>0</v>
      </c>
      <c r="AP314" s="16">
        <f t="shared" ca="1" si="184"/>
        <v>-5.587102479721552E-4</v>
      </c>
      <c r="AQ314" s="16">
        <f t="shared" ca="1" si="185"/>
        <v>0</v>
      </c>
      <c r="AR314" s="16">
        <f t="shared" ca="1" si="186"/>
        <v>-6.2113023869828728E-4</v>
      </c>
      <c r="AS314" s="16">
        <f t="shared" ca="1" si="187"/>
        <v>-4.3483068975217604E-4</v>
      </c>
    </row>
    <row r="315" spans="1:45" x14ac:dyDescent="0.25">
      <c r="A315" s="69">
        <f t="shared" ca="1" si="188"/>
        <v>2451.5807300162114</v>
      </c>
      <c r="B315" s="69">
        <f t="shared" ca="1" si="189"/>
        <v>2135.5622274100374</v>
      </c>
      <c r="C315" s="69">
        <f t="shared" ca="1" si="190"/>
        <v>2228.5971675061751</v>
      </c>
      <c r="D315" s="69">
        <f t="shared" ca="1" si="191"/>
        <v>2907.9730184144228</v>
      </c>
      <c r="E315" s="69">
        <f t="shared" ca="1" si="192"/>
        <v>1931.5857844122506</v>
      </c>
      <c r="F315" s="69">
        <f t="shared" ca="1" si="193"/>
        <v>1222.1910257863717</v>
      </c>
      <c r="G315" s="69">
        <f t="shared" ca="1" si="194"/>
        <v>962.98838944084127</v>
      </c>
      <c r="H315" s="69">
        <f t="shared" ca="1" si="195"/>
        <v>1188.2204830966893</v>
      </c>
      <c r="I315" s="69">
        <f t="shared" ca="1" si="196"/>
        <v>1049.1533012685368</v>
      </c>
      <c r="J315" s="69">
        <f t="shared" ca="1" si="197"/>
        <v>1146.044483661102</v>
      </c>
      <c r="K315" s="69">
        <f t="shared" ca="1" si="198"/>
        <v>1179.753291298236</v>
      </c>
      <c r="L315" s="69">
        <f t="shared" ca="1" si="199"/>
        <v>953.71179292597446</v>
      </c>
      <c r="M315" s="69">
        <f t="shared" ca="1" si="200"/>
        <v>990.67386489670355</v>
      </c>
      <c r="N315" s="69">
        <f t="shared" ca="1" si="201"/>
        <v>570.19297507512897</v>
      </c>
      <c r="O315" s="69">
        <f t="shared" ca="1" si="202"/>
        <v>626.26682390145072</v>
      </c>
      <c r="P315" s="69">
        <f t="shared" ca="1" si="203"/>
        <v>722.55507555092618</v>
      </c>
      <c r="Q315" s="69">
        <f t="shared" ca="1" si="204"/>
        <v>954.08857646963202</v>
      </c>
      <c r="R315" s="69">
        <f t="shared" ca="1" si="205"/>
        <v>784.70631038847966</v>
      </c>
      <c r="S315" s="69">
        <f t="shared" ca="1" si="206"/>
        <v>703.15374038605319</v>
      </c>
      <c r="T315" s="69">
        <f t="shared" ca="1" si="207"/>
        <v>806.0399288768856</v>
      </c>
      <c r="U315" s="69">
        <f t="shared" ca="1" si="208"/>
        <v>1689.3426870207727</v>
      </c>
      <c r="V315" s="69">
        <f t="shared" ca="1" si="209"/>
        <v>1913.5663748686347</v>
      </c>
      <c r="W315" s="69">
        <f t="shared" ca="1" si="210"/>
        <v>1175.783880956865</v>
      </c>
      <c r="X315" s="69">
        <f t="shared" ca="1" si="211"/>
        <v>1493.0180943624257</v>
      </c>
      <c r="Y315" s="69">
        <f t="shared" ca="1" si="212"/>
        <v>1209.1008257380286</v>
      </c>
      <c r="AA315" s="20">
        <f t="shared" ca="1" si="172"/>
        <v>6.553818004016536E+16</v>
      </c>
      <c r="AB315" s="20">
        <f t="shared" ca="1" si="173"/>
        <v>1681502830548201.3</v>
      </c>
      <c r="AC315" s="20">
        <f t="shared" ca="1" si="174"/>
        <v>398034140793048.19</v>
      </c>
      <c r="AD315" s="20">
        <f t="shared" ca="1" si="175"/>
        <v>306601054684342.13</v>
      </c>
      <c r="AE315" s="20">
        <f t="shared" ca="1" si="176"/>
        <v>6861457506116232</v>
      </c>
      <c r="AG315" s="16">
        <f t="shared" ca="1" si="177"/>
        <v>1.6482597529228496E-4</v>
      </c>
      <c r="AH315" s="16">
        <f t="shared" ca="1" si="178"/>
        <v>-2.0111648015463525E-5</v>
      </c>
      <c r="AI315" s="16">
        <f t="shared" ca="1" si="179"/>
        <v>2.0589193343823432E-4</v>
      </c>
      <c r="AJ315" s="16">
        <f t="shared" ca="1" si="180"/>
        <v>-6.9559042622471378E-4</v>
      </c>
      <c r="AK315" s="16">
        <f t="shared" ca="1" si="181"/>
        <v>6.7499348220312371E-4</v>
      </c>
      <c r="AM315" s="16">
        <f t="shared" ca="1" si="182"/>
        <v>-3.4498416550965806E-4</v>
      </c>
      <c r="AO315" s="16">
        <f t="shared" ca="1" si="183"/>
        <v>0</v>
      </c>
      <c r="AP315" s="16">
        <f t="shared" ca="1" si="184"/>
        <v>-2.0111648015463525E-5</v>
      </c>
      <c r="AQ315" s="16">
        <f t="shared" ca="1" si="185"/>
        <v>0</v>
      </c>
      <c r="AR315" s="16">
        <f t="shared" ca="1" si="186"/>
        <v>-6.9559042622471378E-4</v>
      </c>
      <c r="AS315" s="16">
        <f t="shared" ca="1" si="187"/>
        <v>0</v>
      </c>
    </row>
    <row r="316" spans="1:45" x14ac:dyDescent="0.25">
      <c r="A316" s="69">
        <f t="shared" ca="1" si="188"/>
        <v>2451.3536527114188</v>
      </c>
      <c r="B316" s="69">
        <f t="shared" ca="1" si="189"/>
        <v>2135.5622274100374</v>
      </c>
      <c r="C316" s="69">
        <f t="shared" ca="1" si="190"/>
        <v>2228.5971675061751</v>
      </c>
      <c r="D316" s="69">
        <f t="shared" ca="1" si="191"/>
        <v>2907.9730184144228</v>
      </c>
      <c r="E316" s="69">
        <f t="shared" ca="1" si="192"/>
        <v>1932.0831450800877</v>
      </c>
      <c r="F316" s="69">
        <f t="shared" ca="1" si="193"/>
        <v>1222.0969171101915</v>
      </c>
      <c r="G316" s="69">
        <f t="shared" ca="1" si="194"/>
        <v>962.60112591232405</v>
      </c>
      <c r="H316" s="69">
        <f t="shared" ca="1" si="195"/>
        <v>1188.4799357389736</v>
      </c>
      <c r="I316" s="69">
        <f t="shared" ca="1" si="196"/>
        <v>1049.2089062830469</v>
      </c>
      <c r="J316" s="69">
        <f t="shared" ca="1" si="197"/>
        <v>1146.2597209668177</v>
      </c>
      <c r="K316" s="69">
        <f t="shared" ca="1" si="198"/>
        <v>1179.9244607266792</v>
      </c>
      <c r="L316" s="69">
        <f t="shared" ca="1" si="199"/>
        <v>953.77668341182437</v>
      </c>
      <c r="M316" s="69">
        <f t="shared" ca="1" si="200"/>
        <v>990.74493751543469</v>
      </c>
      <c r="N316" s="69">
        <f t="shared" ca="1" si="201"/>
        <v>570.19297507512897</v>
      </c>
      <c r="O316" s="69">
        <f t="shared" ca="1" si="202"/>
        <v>626.21737366469961</v>
      </c>
      <c r="P316" s="69">
        <f t="shared" ca="1" si="203"/>
        <v>722.43508997807442</v>
      </c>
      <c r="Q316" s="69">
        <f t="shared" ca="1" si="204"/>
        <v>954.08857646963202</v>
      </c>
      <c r="R316" s="69">
        <f t="shared" ca="1" si="205"/>
        <v>785.1278997546558</v>
      </c>
      <c r="S316" s="69">
        <f t="shared" ca="1" si="206"/>
        <v>702.70255015147131</v>
      </c>
      <c r="T316" s="69">
        <f t="shared" ca="1" si="207"/>
        <v>805.69762802632101</v>
      </c>
      <c r="U316" s="69">
        <f t="shared" ca="1" si="208"/>
        <v>1689.3426870207727</v>
      </c>
      <c r="V316" s="69">
        <f t="shared" ca="1" si="209"/>
        <v>1913.7462057922294</v>
      </c>
      <c r="W316" s="69">
        <f t="shared" ca="1" si="210"/>
        <v>1176.1400195648939</v>
      </c>
      <c r="X316" s="69">
        <f t="shared" ca="1" si="211"/>
        <v>1493.0180943624257</v>
      </c>
      <c r="Y316" s="69">
        <f t="shared" ca="1" si="212"/>
        <v>1209.4372108835773</v>
      </c>
      <c r="AA316" s="20">
        <f t="shared" ca="1" si="172"/>
        <v>6.554898332491588E+16</v>
      </c>
      <c r="AB316" s="20">
        <f t="shared" ca="1" si="173"/>
        <v>1681469013095199.8</v>
      </c>
      <c r="AC316" s="20">
        <f t="shared" ca="1" si="174"/>
        <v>398116101249079.31</v>
      </c>
      <c r="AD316" s="20">
        <f t="shared" ca="1" si="175"/>
        <v>306387860082691.31</v>
      </c>
      <c r="AE316" s="20">
        <f t="shared" ca="1" si="176"/>
        <v>6866090508658628</v>
      </c>
      <c r="AG316" s="16">
        <f t="shared" ca="1" si="177"/>
        <v>-1.4176582563614598E-4</v>
      </c>
      <c r="AH316" s="16">
        <f t="shared" ca="1" si="178"/>
        <v>-2.5243991386290156E-4</v>
      </c>
      <c r="AI316" s="16">
        <f t="shared" ca="1" si="179"/>
        <v>2.4980012025122564E-4</v>
      </c>
      <c r="AJ316" s="16">
        <f t="shared" ca="1" si="180"/>
        <v>1.2532604452342735E-3</v>
      </c>
      <c r="AK316" s="16">
        <f t="shared" ca="1" si="181"/>
        <v>-5.0996125176175453E-4</v>
      </c>
      <c r="AM316" s="16">
        <f t="shared" ca="1" si="182"/>
        <v>1.1088548259864516E-3</v>
      </c>
      <c r="AO316" s="16">
        <f t="shared" ca="1" si="183"/>
        <v>-1.4176582563614598E-4</v>
      </c>
      <c r="AP316" s="16">
        <f t="shared" ca="1" si="184"/>
        <v>-2.5243991386290156E-4</v>
      </c>
      <c r="AQ316" s="16">
        <f t="shared" ca="1" si="185"/>
        <v>0</v>
      </c>
      <c r="AR316" s="16">
        <f t="shared" ca="1" si="186"/>
        <v>0</v>
      </c>
      <c r="AS316" s="16">
        <f t="shared" ca="1" si="187"/>
        <v>-5.0996125176175453E-4</v>
      </c>
    </row>
    <row r="317" spans="1:45" x14ac:dyDescent="0.25">
      <c r="A317" s="69">
        <f t="shared" ca="1" si="188"/>
        <v>2451.1187393043128</v>
      </c>
      <c r="B317" s="69">
        <f t="shared" ca="1" si="189"/>
        <v>2135.2420203701367</v>
      </c>
      <c r="C317" s="69">
        <f t="shared" ca="1" si="190"/>
        <v>2228.5971675061751</v>
      </c>
      <c r="D317" s="69">
        <f t="shared" ca="1" si="191"/>
        <v>2908.2755228901883</v>
      </c>
      <c r="E317" s="69">
        <f t="shared" ca="1" si="192"/>
        <v>1932.0831450800877</v>
      </c>
      <c r="F317" s="69">
        <f t="shared" ca="1" si="193"/>
        <v>1222.1878626832936</v>
      </c>
      <c r="G317" s="69">
        <f t="shared" ca="1" si="194"/>
        <v>962.28654653826834</v>
      </c>
      <c r="H317" s="69">
        <f t="shared" ca="1" si="195"/>
        <v>1188.4799357389736</v>
      </c>
      <c r="I317" s="69">
        <f t="shared" ca="1" si="196"/>
        <v>1049.2089062830469</v>
      </c>
      <c r="J317" s="69">
        <f t="shared" ca="1" si="197"/>
        <v>1146.2597209668177</v>
      </c>
      <c r="K317" s="69">
        <f t="shared" ca="1" si="198"/>
        <v>1179.9740107371606</v>
      </c>
      <c r="L317" s="69">
        <f t="shared" ca="1" si="199"/>
        <v>953.77808390602115</v>
      </c>
      <c r="M317" s="69">
        <f t="shared" ca="1" si="200"/>
        <v>990.74493751543469</v>
      </c>
      <c r="N317" s="69">
        <f t="shared" ca="1" si="201"/>
        <v>570.18483967575821</v>
      </c>
      <c r="O317" s="69">
        <f t="shared" ca="1" si="202"/>
        <v>626.35553641131287</v>
      </c>
      <c r="P317" s="69">
        <f t="shared" ca="1" si="203"/>
        <v>722.81344161687707</v>
      </c>
      <c r="Q317" s="69">
        <f t="shared" ca="1" si="204"/>
        <v>954.43679880556351</v>
      </c>
      <c r="R317" s="69">
        <f t="shared" ca="1" si="205"/>
        <v>785.18251282941867</v>
      </c>
      <c r="S317" s="69">
        <f t="shared" ca="1" si="206"/>
        <v>703.0636192508797</v>
      </c>
      <c r="T317" s="69">
        <f t="shared" ca="1" si="207"/>
        <v>805.52161332148069</v>
      </c>
      <c r="U317" s="69">
        <f t="shared" ca="1" si="208"/>
        <v>1689.3426870207727</v>
      </c>
      <c r="V317" s="69">
        <f t="shared" ca="1" si="209"/>
        <v>1913.7865217755611</v>
      </c>
      <c r="W317" s="69">
        <f t="shared" ca="1" si="210"/>
        <v>1175.6839505291794</v>
      </c>
      <c r="X317" s="69">
        <f t="shared" ca="1" si="211"/>
        <v>1492.9279160018825</v>
      </c>
      <c r="Y317" s="69">
        <f t="shared" ca="1" si="212"/>
        <v>1209.3370943707782</v>
      </c>
      <c r="AA317" s="20">
        <f t="shared" ca="1" si="172"/>
        <v>6.5539691377831048E+16</v>
      </c>
      <c r="AB317" s="20">
        <f t="shared" ca="1" si="173"/>
        <v>1681044596774434.5</v>
      </c>
      <c r="AC317" s="20">
        <f t="shared" ca="1" si="174"/>
        <v>398215563121321.88</v>
      </c>
      <c r="AD317" s="20">
        <f t="shared" ca="1" si="175"/>
        <v>306772084585027.81</v>
      </c>
      <c r="AE317" s="20">
        <f t="shared" ca="1" si="176"/>
        <v>6862589961195769</v>
      </c>
      <c r="AG317" s="16">
        <f t="shared" ca="1" si="177"/>
        <v>-4.911324971586951E-4</v>
      </c>
      <c r="AH317" s="16">
        <f t="shared" ca="1" si="178"/>
        <v>-6.6913461933536841E-4</v>
      </c>
      <c r="AI317" s="16">
        <f t="shared" ca="1" si="179"/>
        <v>1.0767514551598434E-4</v>
      </c>
      <c r="AJ317" s="16">
        <f t="shared" ca="1" si="180"/>
        <v>1.7828266033831073E-3</v>
      </c>
      <c r="AK317" s="16">
        <f t="shared" ca="1" si="181"/>
        <v>1.2145533049584165E-3</v>
      </c>
      <c r="AM317" s="16">
        <f t="shared" ca="1" si="182"/>
        <v>7.3023463240502805E-4</v>
      </c>
      <c r="AO317" s="16">
        <f t="shared" ca="1" si="183"/>
        <v>-4.911324971586951E-4</v>
      </c>
      <c r="AP317" s="16">
        <f t="shared" ca="1" si="184"/>
        <v>-6.6913461933536841E-4</v>
      </c>
      <c r="AQ317" s="16">
        <f t="shared" ca="1" si="185"/>
        <v>0</v>
      </c>
      <c r="AR317" s="16">
        <f t="shared" ca="1" si="186"/>
        <v>0</v>
      </c>
      <c r="AS317" s="16">
        <f t="shared" ca="1" si="187"/>
        <v>0</v>
      </c>
    </row>
    <row r="318" spans="1:45" x14ac:dyDescent="0.25">
      <c r="A318" s="69">
        <f t="shared" ca="1" si="188"/>
        <v>2451.1187393043128</v>
      </c>
      <c r="B318" s="69">
        <f t="shared" ca="1" si="189"/>
        <v>2134.7536986902974</v>
      </c>
      <c r="C318" s="69">
        <f t="shared" ca="1" si="190"/>
        <v>2228.231469146735</v>
      </c>
      <c r="D318" s="69">
        <f t="shared" ca="1" si="191"/>
        <v>2907.9682736959194</v>
      </c>
      <c r="E318" s="69">
        <f t="shared" ca="1" si="192"/>
        <v>1932.0973438602402</v>
      </c>
      <c r="F318" s="69">
        <f t="shared" ca="1" si="193"/>
        <v>1222.070689825478</v>
      </c>
      <c r="G318" s="69">
        <f t="shared" ca="1" si="194"/>
        <v>962.00642314261177</v>
      </c>
      <c r="H318" s="69">
        <f t="shared" ca="1" si="195"/>
        <v>1188.6251562319803</v>
      </c>
      <c r="I318" s="69">
        <f t="shared" ca="1" si="196"/>
        <v>1049.2089062830469</v>
      </c>
      <c r="J318" s="69">
        <f t="shared" ca="1" si="197"/>
        <v>1145.7963852227181</v>
      </c>
      <c r="K318" s="69">
        <f t="shared" ca="1" si="198"/>
        <v>1179.9740107371606</v>
      </c>
      <c r="L318" s="69">
        <f t="shared" ca="1" si="199"/>
        <v>953.77808390602115</v>
      </c>
      <c r="M318" s="69">
        <f t="shared" ca="1" si="200"/>
        <v>990.95593130505142</v>
      </c>
      <c r="N318" s="69">
        <f t="shared" ca="1" si="201"/>
        <v>570.00226877621958</v>
      </c>
      <c r="O318" s="69">
        <f t="shared" ca="1" si="202"/>
        <v>626.49020498211314</v>
      </c>
      <c r="P318" s="69">
        <f t="shared" ca="1" si="203"/>
        <v>723.3010479105277</v>
      </c>
      <c r="Q318" s="69">
        <f t="shared" ca="1" si="204"/>
        <v>954.92368136684411</v>
      </c>
      <c r="R318" s="69">
        <f t="shared" ca="1" si="205"/>
        <v>785.4495791067867</v>
      </c>
      <c r="S318" s="69">
        <f t="shared" ca="1" si="206"/>
        <v>703.0636192508797</v>
      </c>
      <c r="T318" s="69">
        <f t="shared" ca="1" si="207"/>
        <v>805.72977793474911</v>
      </c>
      <c r="U318" s="69">
        <f t="shared" ca="1" si="208"/>
        <v>1689.7672615286958</v>
      </c>
      <c r="V318" s="69">
        <f t="shared" ca="1" si="209"/>
        <v>1914.1405811077657</v>
      </c>
      <c r="W318" s="69">
        <f t="shared" ca="1" si="210"/>
        <v>1175.8392398086019</v>
      </c>
      <c r="X318" s="69">
        <f t="shared" ca="1" si="211"/>
        <v>1493.393791453175</v>
      </c>
      <c r="Y318" s="69">
        <f t="shared" ca="1" si="212"/>
        <v>1209.7413107826305</v>
      </c>
      <c r="AA318" s="20">
        <f t="shared" ca="1" si="172"/>
        <v>6.5507510608699256E+16</v>
      </c>
      <c r="AB318" s="20">
        <f t="shared" ca="1" si="173"/>
        <v>1679920127890571.3</v>
      </c>
      <c r="AC318" s="20">
        <f t="shared" ca="1" si="174"/>
        <v>398258443348553.63</v>
      </c>
      <c r="AD318" s="20">
        <f t="shared" ca="1" si="175"/>
        <v>307319493841500.31</v>
      </c>
      <c r="AE318" s="20">
        <f t="shared" ca="1" si="176"/>
        <v>6870930006203099</v>
      </c>
      <c r="AG318" s="16">
        <f t="shared" ca="1" si="177"/>
        <v>-9.2073577195820447E-5</v>
      </c>
      <c r="AH318" s="16">
        <f t="shared" ca="1" si="178"/>
        <v>1.2883422816973672E-4</v>
      </c>
      <c r="AI318" s="16">
        <f t="shared" ca="1" si="179"/>
        <v>-2.8355796365549571E-4</v>
      </c>
      <c r="AJ318" s="16">
        <f t="shared" ca="1" si="180"/>
        <v>6.4699242140967201E-4</v>
      </c>
      <c r="AK318" s="16">
        <f t="shared" ca="1" si="181"/>
        <v>-1.5304474971080257E-4</v>
      </c>
      <c r="AM318" s="16">
        <f t="shared" ca="1" si="182"/>
        <v>4.0019510872809256E-4</v>
      </c>
      <c r="AO318" s="16">
        <f t="shared" ca="1" si="183"/>
        <v>-9.2073577195820447E-5</v>
      </c>
      <c r="AP318" s="16">
        <f t="shared" ca="1" si="184"/>
        <v>0</v>
      </c>
      <c r="AQ318" s="16">
        <f t="shared" ca="1" si="185"/>
        <v>-2.8355796365549571E-4</v>
      </c>
      <c r="AR318" s="16">
        <f t="shared" ca="1" si="186"/>
        <v>0</v>
      </c>
      <c r="AS318" s="16">
        <f t="shared" ca="1" si="187"/>
        <v>-1.5304474971080257E-4</v>
      </c>
    </row>
    <row r="319" spans="1:45" x14ac:dyDescent="0.25">
      <c r="A319" s="69">
        <f t="shared" ca="1" si="188"/>
        <v>2451.1921017581426</v>
      </c>
      <c r="B319" s="69">
        <f t="shared" ca="1" si="189"/>
        <v>2134.5185215195729</v>
      </c>
      <c r="C319" s="69">
        <f t="shared" ca="1" si="190"/>
        <v>2228.231469146735</v>
      </c>
      <c r="D319" s="69">
        <f t="shared" ca="1" si="191"/>
        <v>2908.2501894104958</v>
      </c>
      <c r="E319" s="69">
        <f t="shared" ca="1" si="192"/>
        <v>1931.8871961509637</v>
      </c>
      <c r="F319" s="69">
        <f t="shared" ca="1" si="193"/>
        <v>1221.7598073006545</v>
      </c>
      <c r="G319" s="69">
        <f t="shared" ca="1" si="194"/>
        <v>961.86274876297693</v>
      </c>
      <c r="H319" s="69">
        <f t="shared" ca="1" si="195"/>
        <v>1188.6251562319803</v>
      </c>
      <c r="I319" s="69">
        <f t="shared" ca="1" si="196"/>
        <v>1049.4321089438515</v>
      </c>
      <c r="J319" s="69">
        <f t="shared" ca="1" si="197"/>
        <v>1146.1629895838037</v>
      </c>
      <c r="K319" s="69">
        <f t="shared" ca="1" si="198"/>
        <v>1179.9740107371606</v>
      </c>
      <c r="L319" s="69">
        <f t="shared" ca="1" si="199"/>
        <v>953.77808390602115</v>
      </c>
      <c r="M319" s="69">
        <f t="shared" ca="1" si="200"/>
        <v>990.76211104920719</v>
      </c>
      <c r="N319" s="69">
        <f t="shared" ca="1" si="201"/>
        <v>570.00226877621958</v>
      </c>
      <c r="O319" s="69">
        <f t="shared" ca="1" si="202"/>
        <v>626.43510780715121</v>
      </c>
      <c r="P319" s="69">
        <f t="shared" ca="1" si="203"/>
        <v>723.3010479105277</v>
      </c>
      <c r="Q319" s="69">
        <f t="shared" ca="1" si="204"/>
        <v>955.23143940847967</v>
      </c>
      <c r="R319" s="69">
        <f t="shared" ca="1" si="205"/>
        <v>785.59072475273217</v>
      </c>
      <c r="S319" s="69">
        <f t="shared" ca="1" si="206"/>
        <v>703.48796493596763</v>
      </c>
      <c r="T319" s="69">
        <f t="shared" ca="1" si="207"/>
        <v>805.36058858449746</v>
      </c>
      <c r="U319" s="69">
        <f t="shared" ca="1" si="208"/>
        <v>1689.7672615286958</v>
      </c>
      <c r="V319" s="69">
        <f t="shared" ca="1" si="209"/>
        <v>1913.7859829462232</v>
      </c>
      <c r="W319" s="69">
        <f t="shared" ca="1" si="210"/>
        <v>1175.8392398086019</v>
      </c>
      <c r="X319" s="69">
        <f t="shared" ca="1" si="211"/>
        <v>1493.8536686409807</v>
      </c>
      <c r="Y319" s="69">
        <f t="shared" ca="1" si="212"/>
        <v>1209.4078682035993</v>
      </c>
      <c r="AA319" s="20">
        <f t="shared" ca="1" si="172"/>
        <v>6.5501479375527184E+16</v>
      </c>
      <c r="AB319" s="20">
        <f t="shared" ca="1" si="173"/>
        <v>1680136573046107.8</v>
      </c>
      <c r="AC319" s="20">
        <f t="shared" ca="1" si="174"/>
        <v>398145530004844.56</v>
      </c>
      <c r="AD319" s="20">
        <f t="shared" ca="1" si="175"/>
        <v>307518391560687.5</v>
      </c>
      <c r="AE319" s="20">
        <f t="shared" ca="1" si="176"/>
        <v>6869878526903765</v>
      </c>
      <c r="AG319" s="16">
        <f t="shared" ca="1" si="177"/>
        <v>2.1098640947958701E-4</v>
      </c>
      <c r="AH319" s="16">
        <f t="shared" ca="1" si="178"/>
        <v>-5.4503271700396692E-4</v>
      </c>
      <c r="AI319" s="16">
        <f t="shared" ca="1" si="179"/>
        <v>-3.8333498175671503E-4</v>
      </c>
      <c r="AJ319" s="16">
        <f t="shared" ca="1" si="180"/>
        <v>-3.8595449091711266E-4</v>
      </c>
      <c r="AK319" s="16">
        <f t="shared" ca="1" si="181"/>
        <v>0</v>
      </c>
      <c r="AM319" s="16">
        <f t="shared" ca="1" si="182"/>
        <v>-1.1033357801982077E-3</v>
      </c>
      <c r="AO319" s="16">
        <f t="shared" ca="1" si="183"/>
        <v>0</v>
      </c>
      <c r="AP319" s="16">
        <f t="shared" ca="1" si="184"/>
        <v>-5.4503271700396692E-4</v>
      </c>
      <c r="AQ319" s="16">
        <f t="shared" ca="1" si="185"/>
        <v>-3.8333498175671503E-4</v>
      </c>
      <c r="AR319" s="16">
        <f t="shared" ca="1" si="186"/>
        <v>-3.8595449091711266E-4</v>
      </c>
      <c r="AS319" s="16">
        <f t="shared" ca="1" si="187"/>
        <v>0</v>
      </c>
    </row>
    <row r="320" spans="1:45" x14ac:dyDescent="0.25">
      <c r="A320" s="69">
        <f t="shared" ca="1" si="188"/>
        <v>2451.1921017581426</v>
      </c>
      <c r="B320" s="69">
        <f t="shared" ca="1" si="189"/>
        <v>2134.6748535055731</v>
      </c>
      <c r="C320" s="69">
        <f t="shared" ca="1" si="190"/>
        <v>2228.231469146735</v>
      </c>
      <c r="D320" s="69">
        <f t="shared" ca="1" si="191"/>
        <v>2908.6508260297496</v>
      </c>
      <c r="E320" s="69">
        <f t="shared" ca="1" si="192"/>
        <v>1931.8871961509637</v>
      </c>
      <c r="F320" s="69">
        <f t="shared" ca="1" si="193"/>
        <v>1221.7598073006545</v>
      </c>
      <c r="G320" s="69">
        <f t="shared" ca="1" si="194"/>
        <v>961.73158094681162</v>
      </c>
      <c r="H320" s="69">
        <f t="shared" ca="1" si="195"/>
        <v>1188.4803177188835</v>
      </c>
      <c r="I320" s="69">
        <f t="shared" ca="1" si="196"/>
        <v>1049.2051462978022</v>
      </c>
      <c r="J320" s="69">
        <f t="shared" ca="1" si="197"/>
        <v>1146.082189801785</v>
      </c>
      <c r="K320" s="69">
        <f t="shared" ca="1" si="198"/>
        <v>1179.9740107371606</v>
      </c>
      <c r="L320" s="69">
        <f t="shared" ca="1" si="199"/>
        <v>953.77808390602115</v>
      </c>
      <c r="M320" s="69">
        <f t="shared" ca="1" si="200"/>
        <v>990.76211104920719</v>
      </c>
      <c r="N320" s="69">
        <f t="shared" ca="1" si="201"/>
        <v>569.51469756232234</v>
      </c>
      <c r="O320" s="69">
        <f t="shared" ca="1" si="202"/>
        <v>626.73111553751323</v>
      </c>
      <c r="P320" s="69">
        <f t="shared" ca="1" si="203"/>
        <v>723.31362011449107</v>
      </c>
      <c r="Q320" s="69">
        <f t="shared" ca="1" si="204"/>
        <v>955.23143940847967</v>
      </c>
      <c r="R320" s="69">
        <f t="shared" ca="1" si="205"/>
        <v>785.59072475273217</v>
      </c>
      <c r="S320" s="69">
        <f t="shared" ca="1" si="206"/>
        <v>703.47602048987858</v>
      </c>
      <c r="T320" s="69">
        <f t="shared" ca="1" si="207"/>
        <v>805.04949197914368</v>
      </c>
      <c r="U320" s="69">
        <f t="shared" ca="1" si="208"/>
        <v>1689.7672615286958</v>
      </c>
      <c r="V320" s="69">
        <f t="shared" ca="1" si="209"/>
        <v>1913.7859829462232</v>
      </c>
      <c r="W320" s="69">
        <f t="shared" ca="1" si="210"/>
        <v>1175.8392398086019</v>
      </c>
      <c r="X320" s="69">
        <f t="shared" ca="1" si="211"/>
        <v>1493.8536686409807</v>
      </c>
      <c r="Y320" s="69">
        <f t="shared" ca="1" si="212"/>
        <v>1209.4078682035993</v>
      </c>
      <c r="AA320" s="20">
        <f t="shared" ca="1" si="172"/>
        <v>6.5515300755486624E+16</v>
      </c>
      <c r="AB320" s="20">
        <f t="shared" ca="1" si="173"/>
        <v>1679221093150672.8</v>
      </c>
      <c r="AC320" s="20">
        <f t="shared" ca="1" si="174"/>
        <v>397992936144514.56</v>
      </c>
      <c r="AD320" s="20">
        <f t="shared" ca="1" si="175"/>
        <v>307399726357582.13</v>
      </c>
      <c r="AE320" s="20">
        <f t="shared" ca="1" si="176"/>
        <v>6869878526903765</v>
      </c>
      <c r="AG320" s="16">
        <f t="shared" ca="1" si="177"/>
        <v>-8.8235976228488335E-6</v>
      </c>
      <c r="AH320" s="16">
        <f t="shared" ca="1" si="178"/>
        <v>-1.0865113988215493E-4</v>
      </c>
      <c r="AI320" s="16">
        <f t="shared" ca="1" si="179"/>
        <v>4.2341098815371108E-4</v>
      </c>
      <c r="AJ320" s="16">
        <f t="shared" ca="1" si="180"/>
        <v>-1.1041792301722069E-3</v>
      </c>
      <c r="AK320" s="16">
        <f t="shared" ca="1" si="181"/>
        <v>6.5384443022341841E-4</v>
      </c>
      <c r="AM320" s="16">
        <f t="shared" ca="1" si="182"/>
        <v>-7.9824297952349953E-4</v>
      </c>
      <c r="AO320" s="16">
        <f t="shared" ca="1" si="183"/>
        <v>-8.8235976228488335E-6</v>
      </c>
      <c r="AP320" s="16">
        <f t="shared" ca="1" si="184"/>
        <v>-1.0865113988215493E-4</v>
      </c>
      <c r="AQ320" s="16">
        <f t="shared" ca="1" si="185"/>
        <v>0</v>
      </c>
      <c r="AR320" s="16">
        <f t="shared" ca="1" si="186"/>
        <v>-1.1041792301722069E-3</v>
      </c>
      <c r="AS320" s="16">
        <f t="shared" ca="1" si="187"/>
        <v>0</v>
      </c>
    </row>
    <row r="321" spans="1:45" x14ac:dyDescent="0.25">
      <c r="A321" s="69">
        <f t="shared" ca="1" si="188"/>
        <v>2451.275910933758</v>
      </c>
      <c r="B321" s="69">
        <f t="shared" ca="1" si="189"/>
        <v>2135.1628177123798</v>
      </c>
      <c r="C321" s="69">
        <f t="shared" ca="1" si="190"/>
        <v>2227.9744443630561</v>
      </c>
      <c r="D321" s="69">
        <f t="shared" ca="1" si="191"/>
        <v>2908.6508260297496</v>
      </c>
      <c r="E321" s="69">
        <f t="shared" ca="1" si="192"/>
        <v>1931.5854170717917</v>
      </c>
      <c r="F321" s="69">
        <f t="shared" ca="1" si="193"/>
        <v>1221.7598073006545</v>
      </c>
      <c r="G321" s="69">
        <f t="shared" ca="1" si="194"/>
        <v>961.69181620549011</v>
      </c>
      <c r="H321" s="69">
        <f t="shared" ca="1" si="195"/>
        <v>1188.5151296399843</v>
      </c>
      <c r="I321" s="69">
        <f t="shared" ca="1" si="196"/>
        <v>1048.8232624031768</v>
      </c>
      <c r="J321" s="69">
        <f t="shared" ca="1" si="197"/>
        <v>1146.3887467865918</v>
      </c>
      <c r="K321" s="69">
        <f t="shared" ca="1" si="198"/>
        <v>1180.1549452134984</v>
      </c>
      <c r="L321" s="69">
        <f t="shared" ca="1" si="199"/>
        <v>953.77808390602115</v>
      </c>
      <c r="M321" s="69">
        <f t="shared" ca="1" si="200"/>
        <v>990.52750385429351</v>
      </c>
      <c r="N321" s="69">
        <f t="shared" ca="1" si="201"/>
        <v>569.51469756232234</v>
      </c>
      <c r="O321" s="69">
        <f t="shared" ca="1" si="202"/>
        <v>627.04889095187366</v>
      </c>
      <c r="P321" s="69">
        <f t="shared" ca="1" si="203"/>
        <v>723.26256591484344</v>
      </c>
      <c r="Q321" s="69">
        <f t="shared" ca="1" si="204"/>
        <v>954.75787496490921</v>
      </c>
      <c r="R321" s="69">
        <f t="shared" ca="1" si="205"/>
        <v>785.29596607119765</v>
      </c>
      <c r="S321" s="69">
        <f t="shared" ca="1" si="206"/>
        <v>703.36176108962695</v>
      </c>
      <c r="T321" s="69">
        <f t="shared" ca="1" si="207"/>
        <v>805.04949197914368</v>
      </c>
      <c r="U321" s="69">
        <f t="shared" ca="1" si="208"/>
        <v>1690.2134422317849</v>
      </c>
      <c r="V321" s="69">
        <f t="shared" ca="1" si="209"/>
        <v>1913.7859829462232</v>
      </c>
      <c r="W321" s="69">
        <f t="shared" ca="1" si="210"/>
        <v>1176.1044426829383</v>
      </c>
      <c r="X321" s="69">
        <f t="shared" ca="1" si="211"/>
        <v>1493.8148934186345</v>
      </c>
      <c r="Y321" s="69">
        <f t="shared" ca="1" si="212"/>
        <v>1209.6380034851497</v>
      </c>
      <c r="AA321" s="20">
        <f t="shared" ca="1" si="172"/>
        <v>6.5514722677384984E+16</v>
      </c>
      <c r="AB321" s="20">
        <f t="shared" ca="1" si="173"/>
        <v>1679038653776090.3</v>
      </c>
      <c r="AC321" s="20">
        <f t="shared" ca="1" si="174"/>
        <v>398161486407384.25</v>
      </c>
      <c r="AD321" s="20">
        <f t="shared" ca="1" si="175"/>
        <v>307060489288107.38</v>
      </c>
      <c r="AE321" s="20">
        <f t="shared" ca="1" si="176"/>
        <v>6874371827514603</v>
      </c>
      <c r="AG321" s="16">
        <f t="shared" ca="1" si="177"/>
        <v>-1.1633730474415991E-4</v>
      </c>
      <c r="AH321" s="16">
        <f t="shared" ca="1" si="178"/>
        <v>-1.9980077110546673E-4</v>
      </c>
      <c r="AI321" s="16">
        <f t="shared" ca="1" si="179"/>
        <v>4.0442329168367E-4</v>
      </c>
      <c r="AJ321" s="16">
        <f t="shared" ca="1" si="180"/>
        <v>-6.0022902991974428E-4</v>
      </c>
      <c r="AK321" s="16">
        <f t="shared" ca="1" si="181"/>
        <v>4.1300282441905634E-4</v>
      </c>
      <c r="AM321" s="16">
        <f t="shared" ca="1" si="182"/>
        <v>-5.1194381408570092E-4</v>
      </c>
      <c r="AO321" s="16">
        <f t="shared" ca="1" si="183"/>
        <v>-1.1633730474415991E-4</v>
      </c>
      <c r="AP321" s="16">
        <f t="shared" ca="1" si="184"/>
        <v>-1.9980077110546673E-4</v>
      </c>
      <c r="AQ321" s="16">
        <f t="shared" ca="1" si="185"/>
        <v>0</v>
      </c>
      <c r="AR321" s="16">
        <f t="shared" ca="1" si="186"/>
        <v>-6.0022902991974428E-4</v>
      </c>
      <c r="AS321" s="16">
        <f t="shared" ca="1" si="187"/>
        <v>0</v>
      </c>
    </row>
    <row r="322" spans="1:45" x14ac:dyDescent="0.25">
      <c r="A322" s="69">
        <f t="shared" ca="1" si="188"/>
        <v>2451.237415263106</v>
      </c>
      <c r="B322" s="69">
        <f t="shared" ca="1" si="189"/>
        <v>2134.8787873547626</v>
      </c>
      <c r="C322" s="69">
        <f t="shared" ca="1" si="190"/>
        <v>2227.6582382021847</v>
      </c>
      <c r="D322" s="69">
        <f t="shared" ca="1" si="191"/>
        <v>2908.6508260297496</v>
      </c>
      <c r="E322" s="69">
        <f t="shared" ca="1" si="192"/>
        <v>1931.922192518949</v>
      </c>
      <c r="F322" s="69">
        <f t="shared" ca="1" si="193"/>
        <v>1222.0151827833495</v>
      </c>
      <c r="G322" s="69">
        <f t="shared" ca="1" si="194"/>
        <v>961.28007266601276</v>
      </c>
      <c r="H322" s="69">
        <f t="shared" ca="1" si="195"/>
        <v>1188.5151296399843</v>
      </c>
      <c r="I322" s="69">
        <f t="shared" ca="1" si="196"/>
        <v>1049.1310660133267</v>
      </c>
      <c r="J322" s="69">
        <f t="shared" ca="1" si="197"/>
        <v>1146.0746826817272</v>
      </c>
      <c r="K322" s="69">
        <f t="shared" ca="1" si="198"/>
        <v>1180.5262050258393</v>
      </c>
      <c r="L322" s="69">
        <f t="shared" ca="1" si="199"/>
        <v>953.56372022055689</v>
      </c>
      <c r="M322" s="69">
        <f t="shared" ca="1" si="200"/>
        <v>990.2084663404421</v>
      </c>
      <c r="N322" s="69">
        <f t="shared" ca="1" si="201"/>
        <v>569.51469756232234</v>
      </c>
      <c r="O322" s="69">
        <f t="shared" ca="1" si="202"/>
        <v>627.44832593259935</v>
      </c>
      <c r="P322" s="69">
        <f t="shared" ca="1" si="203"/>
        <v>723.04247936382899</v>
      </c>
      <c r="Q322" s="69">
        <f t="shared" ca="1" si="204"/>
        <v>954.47541742820317</v>
      </c>
      <c r="R322" s="69">
        <f t="shared" ca="1" si="205"/>
        <v>785.29596607119765</v>
      </c>
      <c r="S322" s="69">
        <f t="shared" ca="1" si="206"/>
        <v>703.36176108962695</v>
      </c>
      <c r="T322" s="69">
        <f t="shared" ca="1" si="207"/>
        <v>805.04949197914368</v>
      </c>
      <c r="U322" s="69">
        <f t="shared" ca="1" si="208"/>
        <v>1690.5492045545359</v>
      </c>
      <c r="V322" s="69">
        <f t="shared" ca="1" si="209"/>
        <v>1913.7859829462232</v>
      </c>
      <c r="W322" s="69">
        <f t="shared" ca="1" si="210"/>
        <v>1176.1044426829383</v>
      </c>
      <c r="X322" s="69">
        <f t="shared" ca="1" si="211"/>
        <v>1494.1351594004645</v>
      </c>
      <c r="Y322" s="69">
        <f t="shared" ca="1" si="212"/>
        <v>1209.6380034851497</v>
      </c>
      <c r="AA322" s="20">
        <f t="shared" ca="1" si="172"/>
        <v>6.550710131446064E+16</v>
      </c>
      <c r="AB322" s="20">
        <f t="shared" ca="1" si="173"/>
        <v>1678703214070021.8</v>
      </c>
      <c r="AC322" s="20">
        <f t="shared" ca="1" si="174"/>
        <v>398322544752016.56</v>
      </c>
      <c r="AD322" s="20">
        <f t="shared" ca="1" si="175"/>
        <v>306876237970521.88</v>
      </c>
      <c r="AE322" s="20">
        <f t="shared" ca="1" si="176"/>
        <v>6877211548861577</v>
      </c>
      <c r="AG322" s="16">
        <f t="shared" ca="1" si="177"/>
        <v>-1.2870368487387946E-4</v>
      </c>
      <c r="AH322" s="16">
        <f t="shared" ca="1" si="178"/>
        <v>-3.7797655874432257E-5</v>
      </c>
      <c r="AI322" s="16">
        <f t="shared" ca="1" si="179"/>
        <v>4.6667984202147805E-4</v>
      </c>
      <c r="AJ322" s="16">
        <f t="shared" ca="1" si="180"/>
        <v>1.2681688155477345E-3</v>
      </c>
      <c r="AK322" s="16">
        <f t="shared" ca="1" si="181"/>
        <v>1.5969236210971785E-4</v>
      </c>
      <c r="AM322" s="16">
        <f t="shared" ca="1" si="182"/>
        <v>1.5683473168209008E-3</v>
      </c>
      <c r="AO322" s="16">
        <f t="shared" ca="1" si="183"/>
        <v>-1.2870368487387946E-4</v>
      </c>
      <c r="AP322" s="16">
        <f t="shared" ca="1" si="184"/>
        <v>-3.7797655874432257E-5</v>
      </c>
      <c r="AQ322" s="16">
        <f t="shared" ca="1" si="185"/>
        <v>0</v>
      </c>
      <c r="AR322" s="16">
        <f t="shared" ca="1" si="186"/>
        <v>0</v>
      </c>
      <c r="AS322" s="16">
        <f t="shared" ca="1" si="187"/>
        <v>0</v>
      </c>
    </row>
    <row r="323" spans="1:45" x14ac:dyDescent="0.25">
      <c r="A323" s="69">
        <f t="shared" ca="1" si="188"/>
        <v>2451.0892957566725</v>
      </c>
      <c r="B323" s="69">
        <f t="shared" ca="1" si="189"/>
        <v>2134.403669964755</v>
      </c>
      <c r="C323" s="69">
        <f t="shared" ca="1" si="190"/>
        <v>2227.6582382021847</v>
      </c>
      <c r="D323" s="69">
        <f t="shared" ca="1" si="191"/>
        <v>2908.9347162934541</v>
      </c>
      <c r="E323" s="69">
        <f t="shared" ca="1" si="192"/>
        <v>1932.0317396789394</v>
      </c>
      <c r="F323" s="69">
        <f t="shared" ca="1" si="193"/>
        <v>1221.9524285515861</v>
      </c>
      <c r="G323" s="69">
        <f t="shared" ca="1" si="194"/>
        <v>961.2845867575121</v>
      </c>
      <c r="H323" s="69">
        <f t="shared" ca="1" si="195"/>
        <v>1188.5256609137602</v>
      </c>
      <c r="I323" s="69">
        <f t="shared" ca="1" si="196"/>
        <v>1049.1310660133267</v>
      </c>
      <c r="J323" s="69">
        <f t="shared" ca="1" si="197"/>
        <v>1146.0746826817272</v>
      </c>
      <c r="K323" s="69">
        <f t="shared" ca="1" si="198"/>
        <v>1180.5262050258393</v>
      </c>
      <c r="L323" s="69">
        <f t="shared" ca="1" si="199"/>
        <v>953.56372022055689</v>
      </c>
      <c r="M323" s="69">
        <f t="shared" ca="1" si="200"/>
        <v>990.4454029674614</v>
      </c>
      <c r="N323" s="69">
        <f t="shared" ca="1" si="201"/>
        <v>569.52442482992205</v>
      </c>
      <c r="O323" s="69">
        <f t="shared" ca="1" si="202"/>
        <v>627.5803230345183</v>
      </c>
      <c r="P323" s="69">
        <f t="shared" ca="1" si="203"/>
        <v>723.53536330605743</v>
      </c>
      <c r="Q323" s="69">
        <f t="shared" ca="1" si="204"/>
        <v>954.90453823518158</v>
      </c>
      <c r="R323" s="69">
        <f t="shared" ca="1" si="205"/>
        <v>785.29596607119765</v>
      </c>
      <c r="S323" s="69">
        <f t="shared" ca="1" si="206"/>
        <v>703.36176108962695</v>
      </c>
      <c r="T323" s="69">
        <f t="shared" ca="1" si="207"/>
        <v>805.1599793142359</v>
      </c>
      <c r="U323" s="69">
        <f t="shared" ca="1" si="208"/>
        <v>1690.6320143437806</v>
      </c>
      <c r="V323" s="69">
        <f t="shared" ca="1" si="209"/>
        <v>1913.7241479772258</v>
      </c>
      <c r="W323" s="69">
        <f t="shared" ca="1" si="210"/>
        <v>1176.1044426829383</v>
      </c>
      <c r="X323" s="69">
        <f t="shared" ca="1" si="211"/>
        <v>1494.3679541528566</v>
      </c>
      <c r="Y323" s="69">
        <f t="shared" ca="1" si="212"/>
        <v>1209.6225527110685</v>
      </c>
      <c r="AA323" s="20">
        <f t="shared" ref="AA323:AA386" ca="1" si="213">A323*B323*C323*D323*E323</f>
        <v>6.5498670851663512E+16</v>
      </c>
      <c r="AB323" s="20">
        <f t="shared" ref="AB323:AB386" ca="1" si="214">F323*G323*H323*I323*J323</f>
        <v>1678639764222756.3</v>
      </c>
      <c r="AC323" s="20">
        <f t="shared" ref="AC323:AC386" ca="1" si="215">K323*L323*M323*N323*O323</f>
        <v>398508477236371.75</v>
      </c>
      <c r="AD323" s="20">
        <f t="shared" ref="AD323:AD386" ca="1" si="216">P323*Q323*R323*S323*T323</f>
        <v>307265655717279.88</v>
      </c>
      <c r="AE323" s="20">
        <f t="shared" ref="AE323:AE386" ca="1" si="217">U323*V323*W323*X323*Y323</f>
        <v>6878309874713333</v>
      </c>
      <c r="AG323" s="16">
        <f t="shared" ca="1" si="177"/>
        <v>-1.651013068938918E-4</v>
      </c>
      <c r="AH323" s="16">
        <f t="shared" ca="1" si="178"/>
        <v>-3.3902458909129522E-4</v>
      </c>
      <c r="AI323" s="16">
        <f t="shared" ca="1" si="179"/>
        <v>2.3870820138911536E-4</v>
      </c>
      <c r="AJ323" s="16">
        <f t="shared" ca="1" si="180"/>
        <v>2.2098713499596551E-4</v>
      </c>
      <c r="AK323" s="16">
        <f t="shared" ca="1" si="181"/>
        <v>-3.8484698720797881E-5</v>
      </c>
      <c r="AM323" s="16">
        <f t="shared" ca="1" si="182"/>
        <v>-4.4430559600106115E-5</v>
      </c>
      <c r="AO323" s="16">
        <f t="shared" ca="1" si="183"/>
        <v>-1.651013068938918E-4</v>
      </c>
      <c r="AP323" s="16">
        <f t="shared" ca="1" si="184"/>
        <v>-3.3902458909129522E-4</v>
      </c>
      <c r="AQ323" s="16">
        <f t="shared" ca="1" si="185"/>
        <v>0</v>
      </c>
      <c r="AR323" s="16">
        <f t="shared" ca="1" si="186"/>
        <v>0</v>
      </c>
      <c r="AS323" s="16">
        <f t="shared" ca="1" si="187"/>
        <v>-3.8484698720797881E-5</v>
      </c>
    </row>
    <row r="324" spans="1:45" x14ac:dyDescent="0.25">
      <c r="A324" s="69">
        <f t="shared" ca="1" si="188"/>
        <v>2451.0892957566725</v>
      </c>
      <c r="B324" s="69">
        <f t="shared" ca="1" si="189"/>
        <v>2134.5299329560075</v>
      </c>
      <c r="C324" s="69">
        <f t="shared" ca="1" si="190"/>
        <v>2227.1587292567515</v>
      </c>
      <c r="D324" s="69">
        <f t="shared" ca="1" si="191"/>
        <v>2908.9347162934541</v>
      </c>
      <c r="E324" s="69">
        <f t="shared" ca="1" si="192"/>
        <v>1932.0317396789394</v>
      </c>
      <c r="F324" s="69">
        <f t="shared" ca="1" si="193"/>
        <v>1221.9524285515861</v>
      </c>
      <c r="G324" s="69">
        <f t="shared" ca="1" si="194"/>
        <v>961.2845867575121</v>
      </c>
      <c r="H324" s="69">
        <f t="shared" ca="1" si="195"/>
        <v>1188.2999480959274</v>
      </c>
      <c r="I324" s="69">
        <f t="shared" ca="1" si="196"/>
        <v>1049.0767381542157</v>
      </c>
      <c r="J324" s="69">
        <f t="shared" ca="1" si="197"/>
        <v>1145.9631617272846</v>
      </c>
      <c r="K324" s="69">
        <f t="shared" ca="1" si="198"/>
        <v>1180.6296558879312</v>
      </c>
      <c r="L324" s="69">
        <f t="shared" ca="1" si="199"/>
        <v>953.56372022055689</v>
      </c>
      <c r="M324" s="69">
        <f t="shared" ca="1" si="200"/>
        <v>990.59505165120333</v>
      </c>
      <c r="N324" s="69">
        <f t="shared" ca="1" si="201"/>
        <v>569.52442482992205</v>
      </c>
      <c r="O324" s="69">
        <f t="shared" ca="1" si="202"/>
        <v>627.5803230345183</v>
      </c>
      <c r="P324" s="69">
        <f t="shared" ca="1" si="203"/>
        <v>723.53536330605743</v>
      </c>
      <c r="Q324" s="69">
        <f t="shared" ca="1" si="204"/>
        <v>954.90453823518158</v>
      </c>
      <c r="R324" s="69">
        <f t="shared" ca="1" si="205"/>
        <v>785.56585639052514</v>
      </c>
      <c r="S324" s="69">
        <f t="shared" ca="1" si="206"/>
        <v>703.57026702879762</v>
      </c>
      <c r="T324" s="69">
        <f t="shared" ca="1" si="207"/>
        <v>804.82266251952581</v>
      </c>
      <c r="U324" s="69">
        <f t="shared" ca="1" si="208"/>
        <v>1690.6320143437806</v>
      </c>
      <c r="V324" s="69">
        <f t="shared" ca="1" si="209"/>
        <v>1913.7241479772258</v>
      </c>
      <c r="W324" s="69">
        <f t="shared" ca="1" si="210"/>
        <v>1176.5420973575428</v>
      </c>
      <c r="X324" s="69">
        <f t="shared" ca="1" si="211"/>
        <v>1494.3679541528566</v>
      </c>
      <c r="Y324" s="69">
        <f t="shared" ca="1" si="212"/>
        <v>1209.1260588933796</v>
      </c>
      <c r="AA324" s="20">
        <f t="shared" ca="1" si="213"/>
        <v>6.5487857828152808E+16</v>
      </c>
      <c r="AB324" s="20">
        <f t="shared" ca="1" si="214"/>
        <v>1678070760525030.8</v>
      </c>
      <c r="AC324" s="20">
        <f t="shared" ca="1" si="215"/>
        <v>398603615832941.06</v>
      </c>
      <c r="AD324" s="20">
        <f t="shared" ca="1" si="216"/>
        <v>307333564977479.56</v>
      </c>
      <c r="AE324" s="20">
        <f t="shared" ca="1" si="217"/>
        <v>6878045170123667</v>
      </c>
      <c r="AG324" s="16">
        <f t="shared" ref="AG324:AG387" ca="1" si="218">LN(AA325/AA324)</f>
        <v>-1.6015624405164722E-4</v>
      </c>
      <c r="AH324" s="16">
        <f t="shared" ref="AH324:AH387" ca="1" si="219">LN(AB325/AB324)</f>
        <v>5.9313740603205106E-4</v>
      </c>
      <c r="AI324" s="16">
        <f t="shared" ref="AI324:AI387" ca="1" si="220">LN(AC325/AC324)</f>
        <v>-3.5638861598485656E-4</v>
      </c>
      <c r="AJ324" s="16">
        <f t="shared" ref="AJ324:AJ387" ca="1" si="221">LN(AD325/AD324)</f>
        <v>1.2233918254376396E-3</v>
      </c>
      <c r="AK324" s="16">
        <f t="shared" ref="AK324:AK387" ca="1" si="222">LN(AE325/AE324)</f>
        <v>-1.12447312727526E-3</v>
      </c>
      <c r="AM324" s="16">
        <f t="shared" ref="AM324:AM387" ca="1" si="223">AG324+AH324+AI324+AJ324</f>
        <v>1.2999843714331868E-3</v>
      </c>
      <c r="AO324" s="16">
        <f t="shared" ref="AO324:AO387" ca="1" si="224">MIN(AG324,0)</f>
        <v>-1.6015624405164722E-4</v>
      </c>
      <c r="AP324" s="16">
        <f t="shared" ref="AP324:AP387" ca="1" si="225">MIN(AH324,0)</f>
        <v>0</v>
      </c>
      <c r="AQ324" s="16">
        <f t="shared" ref="AQ324:AQ387" ca="1" si="226">MIN(AI324,0)</f>
        <v>-3.5638861598485656E-4</v>
      </c>
      <c r="AR324" s="16">
        <f t="shared" ref="AR324:AR387" ca="1" si="227">MIN(AJ324,0)</f>
        <v>0</v>
      </c>
      <c r="AS324" s="16">
        <f t="shared" ref="AS324:AS387" ca="1" si="228">MIN(AK324,0)</f>
        <v>-1.12447312727526E-3</v>
      </c>
    </row>
    <row r="325" spans="1:45" x14ac:dyDescent="0.25">
      <c r="A325" s="69">
        <f t="shared" ref="A325:A388" ca="1" si="229">A324+ $A$1 * RAND()  * RANDBETWEEN(-1,1)</f>
        <v>2451.0892957566725</v>
      </c>
      <c r="B325" s="69">
        <f t="shared" ref="B325:B388" ca="1" si="230">B324+ $A$1 * RAND()  * RANDBETWEEN(-1,1)</f>
        <v>2134.814059526349</v>
      </c>
      <c r="C325" s="69">
        <f t="shared" ref="C325:C388" ca="1" si="231">C324+ $A$1 * RAND()  * RANDBETWEEN(-1,1)</f>
        <v>2227.0168227799359</v>
      </c>
      <c r="D325" s="69">
        <f t="shared" ref="D325:D388" ca="1" si="232">D324+ $A$1 * RAND()  * RANDBETWEEN(-1,1)</f>
        <v>2908.745928145996</v>
      </c>
      <c r="E325" s="69">
        <f t="shared" ref="E325:E388" ca="1" si="233">E324+ $A$1 * RAND()  * RANDBETWEEN(-1,1)</f>
        <v>1931.7136816931272</v>
      </c>
      <c r="F325" s="69">
        <f t="shared" ref="F325:F388" ca="1" si="234">F324+ $A$1 * RAND()  * RANDBETWEEN(-1,1)</f>
        <v>1222.3887642616407</v>
      </c>
      <c r="G325" s="69">
        <f t="shared" ref="G325:G388" ca="1" si="235">G324+ $A$1 * RAND()  * RANDBETWEEN(-1,1)</f>
        <v>961.2845867575121</v>
      </c>
      <c r="H325" s="69">
        <f t="shared" ref="H325:H388" ca="1" si="236">H324+ $A$1 * RAND()  * RANDBETWEEN(-1,1)</f>
        <v>1188.5805630564057</v>
      </c>
      <c r="I325" s="69">
        <f t="shared" ref="I325:I388" ca="1" si="237">I324+ $A$1 * RAND()  * RANDBETWEEN(-1,1)</f>
        <v>1049.0767381542157</v>
      </c>
      <c r="J325" s="69">
        <f t="shared" ref="J325:J388" ca="1" si="238">J324+ $A$1 * RAND()  * RANDBETWEEN(-1,1)</f>
        <v>1145.9631617272846</v>
      </c>
      <c r="K325" s="69">
        <f t="shared" ref="K325:K388" ca="1" si="239">K324+ $A$1 * RAND()  * RANDBETWEEN(-1,1)</f>
        <v>1180.6296558879312</v>
      </c>
      <c r="L325" s="69">
        <f t="shared" ref="L325:L388" ca="1" si="240">L324+ $A$1 * RAND()  * RANDBETWEEN(-1,1)</f>
        <v>953.99837322210419</v>
      </c>
      <c r="M325" s="69">
        <f t="shared" ref="M325:M388" ca="1" si="241">M324+ $A$1 * RAND()  * RANDBETWEEN(-1,1)</f>
        <v>990.21362140730218</v>
      </c>
      <c r="N325" s="69">
        <f t="shared" ref="N325:N388" ca="1" si="242">N324+ $A$1 * RAND()  * RANDBETWEEN(-1,1)</f>
        <v>569.52442482992205</v>
      </c>
      <c r="O325" s="69">
        <f t="shared" ref="O325:O388" ca="1" si="243">O324+ $A$1 * RAND()  * RANDBETWEEN(-1,1)</f>
        <v>627.31241690222055</v>
      </c>
      <c r="P325" s="69">
        <f t="shared" ref="P325:P388" ca="1" si="244">P324+ $A$1 * RAND()  * RANDBETWEEN(-1,1)</f>
        <v>723.99355011987393</v>
      </c>
      <c r="Q325" s="69">
        <f t="shared" ref="Q325:Q388" ca="1" si="245">Q324+ $A$1 * RAND()  * RANDBETWEEN(-1,1)</f>
        <v>954.90453823518158</v>
      </c>
      <c r="R325" s="69">
        <f t="shared" ref="R325:R388" ca="1" si="246">R324+ $A$1 * RAND()  * RANDBETWEEN(-1,1)</f>
        <v>785.79910625733828</v>
      </c>
      <c r="S325" s="69">
        <f t="shared" ref="S325:S388" ca="1" si="247">S324+ $A$1 * RAND()  * RANDBETWEEN(-1,1)</f>
        <v>703.57026702879762</v>
      </c>
      <c r="T325" s="69">
        <f t="shared" ref="T325:T388" ca="1" si="248">T324+ $A$1 * RAND()  * RANDBETWEEN(-1,1)</f>
        <v>805.05887693106331</v>
      </c>
      <c r="U325" s="69">
        <f t="shared" ref="U325:U388" ca="1" si="249">U324+ $A$1 * RAND()  * RANDBETWEEN(-1,1)</f>
        <v>1690.4351740944062</v>
      </c>
      <c r="V325" s="69">
        <f t="shared" ref="V325:V388" ca="1" si="250">V324+ $A$1 * RAND()  * RANDBETWEEN(-1,1)</f>
        <v>1913.7241479772258</v>
      </c>
      <c r="W325" s="69">
        <f t="shared" ref="W325:W388" ca="1" si="251">W324+ $A$1 * RAND()  * RANDBETWEEN(-1,1)</f>
        <v>1176.0979110912531</v>
      </c>
      <c r="X325" s="69">
        <f t="shared" ref="X325:X388" ca="1" si="252">X324+ $A$1 * RAND()  * RANDBETWEEN(-1,1)</f>
        <v>1493.9584058760813</v>
      </c>
      <c r="Y325" s="69">
        <f t="shared" ref="Y325:Y388" ca="1" si="253">Y324+ $A$1 * RAND()  * RANDBETWEEN(-1,1)</f>
        <v>1208.6952866167135</v>
      </c>
      <c r="AA325" s="20">
        <f t="shared" ca="1" si="213"/>
        <v>6.5477370378649744E+16</v>
      </c>
      <c r="AB325" s="20">
        <f t="shared" ca="1" si="214"/>
        <v>1679066382304137.3</v>
      </c>
      <c r="AC325" s="20">
        <f t="shared" ca="1" si="215"/>
        <v>398461583352850.63</v>
      </c>
      <c r="AD325" s="20">
        <f t="shared" ca="1" si="216"/>
        <v>307709784433535.63</v>
      </c>
      <c r="AE325" s="20">
        <f t="shared" ca="1" si="217"/>
        <v>6870315339969313</v>
      </c>
      <c r="AG325" s="16">
        <f t="shared" ca="1" si="218"/>
        <v>2.9910398232962189E-4</v>
      </c>
      <c r="AH325" s="16">
        <f t="shared" ca="1" si="219"/>
        <v>1.2841114315363482E-4</v>
      </c>
      <c r="AI325" s="16">
        <f t="shared" ca="1" si="220"/>
        <v>-2.6309848061883999E-4</v>
      </c>
      <c r="AJ325" s="16">
        <f t="shared" ca="1" si="221"/>
        <v>-4.2821458919912992E-4</v>
      </c>
      <c r="AK325" s="16">
        <f t="shared" ca="1" si="222"/>
        <v>8.5869117222224154E-4</v>
      </c>
      <c r="AM325" s="16">
        <f t="shared" ca="1" si="223"/>
        <v>-2.637979443347132E-4</v>
      </c>
      <c r="AO325" s="16">
        <f t="shared" ca="1" si="224"/>
        <v>0</v>
      </c>
      <c r="AP325" s="16">
        <f t="shared" ca="1" si="225"/>
        <v>0</v>
      </c>
      <c r="AQ325" s="16">
        <f t="shared" ca="1" si="226"/>
        <v>-2.6309848061883999E-4</v>
      </c>
      <c r="AR325" s="16">
        <f t="shared" ca="1" si="227"/>
        <v>-4.2821458919912992E-4</v>
      </c>
      <c r="AS325" s="16">
        <f t="shared" ca="1" si="228"/>
        <v>0</v>
      </c>
    </row>
    <row r="326" spans="1:45" x14ac:dyDescent="0.25">
      <c r="A326" s="69">
        <f t="shared" ca="1" si="229"/>
        <v>2451.1391291692216</v>
      </c>
      <c r="B326" s="69">
        <f t="shared" ca="1" si="230"/>
        <v>2135.0563473553389</v>
      </c>
      <c r="C326" s="69">
        <f t="shared" ca="1" si="231"/>
        <v>2227.0168227799359</v>
      </c>
      <c r="D326" s="69">
        <f t="shared" ca="1" si="232"/>
        <v>2908.745928145996</v>
      </c>
      <c r="E326" s="69">
        <f t="shared" ca="1" si="233"/>
        <v>1932.0329930286748</v>
      </c>
      <c r="F326" s="69">
        <f t="shared" ca="1" si="234"/>
        <v>1222.1474914578027</v>
      </c>
      <c r="G326" s="69">
        <f t="shared" ca="1" si="235"/>
        <v>961.2845867575121</v>
      </c>
      <c r="H326" s="69">
        <f t="shared" ca="1" si="236"/>
        <v>1188.5805630564057</v>
      </c>
      <c r="I326" s="69">
        <f t="shared" ca="1" si="237"/>
        <v>1049.0767381542157</v>
      </c>
      <c r="J326" s="69">
        <f t="shared" ca="1" si="238"/>
        <v>1146.3365873831015</v>
      </c>
      <c r="K326" s="69">
        <f t="shared" ca="1" si="239"/>
        <v>1180.6296558879312</v>
      </c>
      <c r="L326" s="69">
        <f t="shared" ca="1" si="240"/>
        <v>953.75740399096196</v>
      </c>
      <c r="M326" s="69">
        <f t="shared" ca="1" si="241"/>
        <v>990.35171039249019</v>
      </c>
      <c r="N326" s="69">
        <f t="shared" ca="1" si="242"/>
        <v>569.43904706851765</v>
      </c>
      <c r="O326" s="69">
        <f t="shared" ca="1" si="243"/>
        <v>627.31241690222055</v>
      </c>
      <c r="P326" s="69">
        <f t="shared" ca="1" si="244"/>
        <v>724.28665203532023</v>
      </c>
      <c r="Q326" s="69">
        <f t="shared" ca="1" si="245"/>
        <v>954.54609901619187</v>
      </c>
      <c r="R326" s="69">
        <f t="shared" ca="1" si="246"/>
        <v>785.61777728665083</v>
      </c>
      <c r="S326" s="69">
        <f t="shared" ca="1" si="247"/>
        <v>703.41074907135931</v>
      </c>
      <c r="T326" s="69">
        <f t="shared" ca="1" si="248"/>
        <v>805.05887693106331</v>
      </c>
      <c r="U326" s="69">
        <f t="shared" ca="1" si="249"/>
        <v>1690.4351740944062</v>
      </c>
      <c r="V326" s="69">
        <f t="shared" ca="1" si="250"/>
        <v>1913.7241479772258</v>
      </c>
      <c r="W326" s="69">
        <f t="shared" ca="1" si="251"/>
        <v>1176.3473669962916</v>
      </c>
      <c r="X326" s="69">
        <f t="shared" ca="1" si="252"/>
        <v>1494.3184096289615</v>
      </c>
      <c r="Y326" s="69">
        <f t="shared" ca="1" si="253"/>
        <v>1209.1857113456231</v>
      </c>
      <c r="AA326" s="20">
        <f t="shared" ca="1" si="213"/>
        <v>6.5496957850081792E+16</v>
      </c>
      <c r="AB326" s="20">
        <f t="shared" ca="1" si="214"/>
        <v>1679282006981729</v>
      </c>
      <c r="AC326" s="20">
        <f t="shared" ca="1" si="215"/>
        <v>398356762505393</v>
      </c>
      <c r="AD326" s="20">
        <f t="shared" ca="1" si="216"/>
        <v>307578046822598.38</v>
      </c>
      <c r="AE326" s="20">
        <f t="shared" ca="1" si="217"/>
        <v>6876217352742606</v>
      </c>
      <c r="AG326" s="16">
        <f t="shared" ca="1" si="218"/>
        <v>1.157917857209722E-4</v>
      </c>
      <c r="AH326" s="16">
        <f t="shared" ca="1" si="219"/>
        <v>6.6741608443073768E-4</v>
      </c>
      <c r="AI326" s="16">
        <f t="shared" ca="1" si="220"/>
        <v>-8.0457355820610498E-4</v>
      </c>
      <c r="AJ326" s="16">
        <f t="shared" ca="1" si="221"/>
        <v>1.7883716579712638E-4</v>
      </c>
      <c r="AK326" s="16">
        <f t="shared" ca="1" si="222"/>
        <v>-1.4700759355665388E-4</v>
      </c>
      <c r="AM326" s="16">
        <f t="shared" ca="1" si="223"/>
        <v>1.5747147774273126E-4</v>
      </c>
      <c r="AO326" s="16">
        <f t="shared" ca="1" si="224"/>
        <v>0</v>
      </c>
      <c r="AP326" s="16">
        <f t="shared" ca="1" si="225"/>
        <v>0</v>
      </c>
      <c r="AQ326" s="16">
        <f t="shared" ca="1" si="226"/>
        <v>-8.0457355820610498E-4</v>
      </c>
      <c r="AR326" s="16">
        <f t="shared" ca="1" si="227"/>
        <v>0</v>
      </c>
      <c r="AS326" s="16">
        <f t="shared" ca="1" si="228"/>
        <v>-1.4700759355665388E-4</v>
      </c>
    </row>
    <row r="327" spans="1:45" x14ac:dyDescent="0.25">
      <c r="A327" s="69">
        <f t="shared" ca="1" si="229"/>
        <v>2451.4152639583644</v>
      </c>
      <c r="B327" s="69">
        <f t="shared" ca="1" si="230"/>
        <v>2135.0563473553389</v>
      </c>
      <c r="C327" s="69">
        <f t="shared" ca="1" si="231"/>
        <v>2227.0168227799359</v>
      </c>
      <c r="D327" s="69">
        <f t="shared" ca="1" si="232"/>
        <v>2908.5832113897759</v>
      </c>
      <c r="E327" s="69">
        <f t="shared" ca="1" si="233"/>
        <v>1932.1471496364359</v>
      </c>
      <c r="F327" s="69">
        <f t="shared" ca="1" si="234"/>
        <v>1222.1474914578027</v>
      </c>
      <c r="G327" s="69">
        <f t="shared" ca="1" si="235"/>
        <v>961.34595829203977</v>
      </c>
      <c r="H327" s="69">
        <f t="shared" ca="1" si="236"/>
        <v>1189.0227092976559</v>
      </c>
      <c r="I327" s="69">
        <f t="shared" ca="1" si="237"/>
        <v>1049.1074738719858</v>
      </c>
      <c r="J327" s="69">
        <f t="shared" ca="1" si="238"/>
        <v>1146.5685736874184</v>
      </c>
      <c r="K327" s="69">
        <f t="shared" ca="1" si="239"/>
        <v>1180.6296558879312</v>
      </c>
      <c r="L327" s="69">
        <f t="shared" ca="1" si="240"/>
        <v>953.80538393782547</v>
      </c>
      <c r="M327" s="69">
        <f t="shared" ca="1" si="241"/>
        <v>989.97552905180589</v>
      </c>
      <c r="N327" s="69">
        <f t="shared" ca="1" si="242"/>
        <v>569.16865042420579</v>
      </c>
      <c r="O327" s="69">
        <f t="shared" ca="1" si="243"/>
        <v>627.31241690222055</v>
      </c>
      <c r="P327" s="69">
        <f t="shared" ca="1" si="244"/>
        <v>724.26310726311556</v>
      </c>
      <c r="Q327" s="69">
        <f t="shared" ca="1" si="245"/>
        <v>954.90453859811532</v>
      </c>
      <c r="R327" s="69">
        <f t="shared" ca="1" si="246"/>
        <v>785.7038292270463</v>
      </c>
      <c r="S327" s="69">
        <f t="shared" ca="1" si="247"/>
        <v>703.21830795835183</v>
      </c>
      <c r="T327" s="69">
        <f t="shared" ca="1" si="248"/>
        <v>805.05887693106331</v>
      </c>
      <c r="U327" s="69">
        <f t="shared" ca="1" si="249"/>
        <v>1690.6213983362618</v>
      </c>
      <c r="V327" s="69">
        <f t="shared" ca="1" si="250"/>
        <v>1913.618895327229</v>
      </c>
      <c r="W327" s="69">
        <f t="shared" ca="1" si="251"/>
        <v>1175.9038197634848</v>
      </c>
      <c r="X327" s="69">
        <f t="shared" ca="1" si="252"/>
        <v>1494.5798800932314</v>
      </c>
      <c r="Y327" s="69">
        <f t="shared" ca="1" si="253"/>
        <v>1209.1857113456231</v>
      </c>
      <c r="AA327" s="20">
        <f t="shared" ca="1" si="213"/>
        <v>6.5504542298890504E+16</v>
      </c>
      <c r="AB327" s="20">
        <f t="shared" ca="1" si="214"/>
        <v>1680403160899945</v>
      </c>
      <c r="AC327" s="20">
        <f t="shared" ca="1" si="215"/>
        <v>398036384088832.63</v>
      </c>
      <c r="AD327" s="20">
        <f t="shared" ca="1" si="216"/>
        <v>307633058127639.88</v>
      </c>
      <c r="AE327" s="20">
        <f t="shared" ca="1" si="217"/>
        <v>6875206570874932</v>
      </c>
      <c r="AG327" s="16">
        <f t="shared" ca="1" si="218"/>
        <v>1.1435623903344354E-4</v>
      </c>
      <c r="AH327" s="16">
        <f t="shared" ca="1" si="219"/>
        <v>-3.0592859368255355E-4</v>
      </c>
      <c r="AI327" s="16">
        <f t="shared" ca="1" si="220"/>
        <v>-1.0233219853815592E-5</v>
      </c>
      <c r="AJ327" s="16">
        <f t="shared" ca="1" si="221"/>
        <v>1.0733061602261325E-3</v>
      </c>
      <c r="AK327" s="16">
        <f t="shared" ca="1" si="222"/>
        <v>-4.3382312296784745E-4</v>
      </c>
      <c r="AM327" s="16">
        <f t="shared" ca="1" si="223"/>
        <v>8.715005857232069E-4</v>
      </c>
      <c r="AO327" s="16">
        <f t="shared" ca="1" si="224"/>
        <v>0</v>
      </c>
      <c r="AP327" s="16">
        <f t="shared" ca="1" si="225"/>
        <v>-3.0592859368255355E-4</v>
      </c>
      <c r="AQ327" s="16">
        <f t="shared" ca="1" si="226"/>
        <v>-1.0233219853815592E-5</v>
      </c>
      <c r="AR327" s="16">
        <f t="shared" ca="1" si="227"/>
        <v>0</v>
      </c>
      <c r="AS327" s="16">
        <f t="shared" ca="1" si="228"/>
        <v>-4.3382312296784745E-4</v>
      </c>
    </row>
    <row r="328" spans="1:45" x14ac:dyDescent="0.25">
      <c r="A328" s="69">
        <f t="shared" ca="1" si="229"/>
        <v>2451.443084360586</v>
      </c>
      <c r="B328" s="69">
        <f t="shared" ca="1" si="230"/>
        <v>2135.0563473553389</v>
      </c>
      <c r="C328" s="69">
        <f t="shared" ca="1" si="231"/>
        <v>2226.9460695000757</v>
      </c>
      <c r="D328" s="69">
        <f t="shared" ca="1" si="232"/>
        <v>2908.7960430844723</v>
      </c>
      <c r="E328" s="69">
        <f t="shared" ca="1" si="233"/>
        <v>1932.2661881326715</v>
      </c>
      <c r="F328" s="69">
        <f t="shared" ca="1" si="234"/>
        <v>1222.1474914578027</v>
      </c>
      <c r="G328" s="69">
        <f t="shared" ca="1" si="235"/>
        <v>960.89146869782905</v>
      </c>
      <c r="H328" s="69">
        <f t="shared" ca="1" si="236"/>
        <v>1189.0227092976559</v>
      </c>
      <c r="I328" s="69">
        <f t="shared" ca="1" si="237"/>
        <v>1049.5266081582226</v>
      </c>
      <c r="J328" s="69">
        <f t="shared" ca="1" si="238"/>
        <v>1146.302040890318</v>
      </c>
      <c r="K328" s="69">
        <f t="shared" ca="1" si="239"/>
        <v>1180.9502413703699</v>
      </c>
      <c r="L328" s="69">
        <f t="shared" ca="1" si="240"/>
        <v>953.53670230750095</v>
      </c>
      <c r="M328" s="69">
        <f t="shared" ca="1" si="241"/>
        <v>989.97552905180589</v>
      </c>
      <c r="N328" s="69">
        <f t="shared" ca="1" si="242"/>
        <v>569.16865042420579</v>
      </c>
      <c r="O328" s="69">
        <f t="shared" ca="1" si="243"/>
        <v>627.31241690222055</v>
      </c>
      <c r="P328" s="69">
        <f t="shared" ca="1" si="244"/>
        <v>724.37531318006711</v>
      </c>
      <c r="Q328" s="69">
        <f t="shared" ca="1" si="245"/>
        <v>954.90453859811532</v>
      </c>
      <c r="R328" s="69">
        <f t="shared" ca="1" si="246"/>
        <v>785.7038292270463</v>
      </c>
      <c r="S328" s="69">
        <f t="shared" ca="1" si="247"/>
        <v>703.55896208843353</v>
      </c>
      <c r="T328" s="69">
        <f t="shared" ca="1" si="248"/>
        <v>805.4084204921578</v>
      </c>
      <c r="U328" s="69">
        <f t="shared" ca="1" si="249"/>
        <v>1690.7922045566447</v>
      </c>
      <c r="V328" s="69">
        <f t="shared" ca="1" si="250"/>
        <v>1913.1762910704472</v>
      </c>
      <c r="W328" s="69">
        <f t="shared" ca="1" si="251"/>
        <v>1175.985495769638</v>
      </c>
      <c r="X328" s="69">
        <f t="shared" ca="1" si="252"/>
        <v>1494.6156810952</v>
      </c>
      <c r="Y328" s="69">
        <f t="shared" ca="1" si="253"/>
        <v>1208.7058319340913</v>
      </c>
      <c r="AA328" s="20">
        <f t="shared" ca="1" si="213"/>
        <v>6.5512033580316632E+16</v>
      </c>
      <c r="AB328" s="20">
        <f t="shared" ca="1" si="214"/>
        <v>1679889156152494.8</v>
      </c>
      <c r="AC328" s="20">
        <f t="shared" ca="1" si="215"/>
        <v>398032310915845.31</v>
      </c>
      <c r="AD328" s="20">
        <f t="shared" ca="1" si="216"/>
        <v>307963419841934.69</v>
      </c>
      <c r="AE328" s="20">
        <f t="shared" ca="1" si="217"/>
        <v>6872224594161299</v>
      </c>
      <c r="AG328" s="16">
        <f t="shared" ca="1" si="218"/>
        <v>2.9951966461698405E-4</v>
      </c>
      <c r="AH328" s="16">
        <f t="shared" ca="1" si="219"/>
        <v>-4.8444890126482927E-4</v>
      </c>
      <c r="AI328" s="16">
        <f t="shared" ca="1" si="220"/>
        <v>-5.2163339242125551E-4</v>
      </c>
      <c r="AJ328" s="16">
        <f t="shared" ca="1" si="221"/>
        <v>-1.2102328861702434E-3</v>
      </c>
      <c r="AK328" s="16">
        <f t="shared" ca="1" si="222"/>
        <v>3.96622751108621E-4</v>
      </c>
      <c r="AM328" s="16">
        <f t="shared" ca="1" si="223"/>
        <v>-1.916795515239344E-3</v>
      </c>
      <c r="AO328" s="16">
        <f t="shared" ca="1" si="224"/>
        <v>0</v>
      </c>
      <c r="AP328" s="16">
        <f t="shared" ca="1" si="225"/>
        <v>-4.8444890126482927E-4</v>
      </c>
      <c r="AQ328" s="16">
        <f t="shared" ca="1" si="226"/>
        <v>-5.2163339242125551E-4</v>
      </c>
      <c r="AR328" s="16">
        <f t="shared" ca="1" si="227"/>
        <v>-1.2102328861702434E-3</v>
      </c>
      <c r="AS328" s="16">
        <f t="shared" ca="1" si="228"/>
        <v>0</v>
      </c>
    </row>
    <row r="329" spans="1:45" x14ac:dyDescent="0.25">
      <c r="A329" s="69">
        <f t="shared" ca="1" si="229"/>
        <v>2451.443084360586</v>
      </c>
      <c r="B329" s="69">
        <f t="shared" ca="1" si="230"/>
        <v>2134.9021695654883</v>
      </c>
      <c r="C329" s="69">
        <f t="shared" ca="1" si="231"/>
        <v>2227.4352195034644</v>
      </c>
      <c r="D329" s="69">
        <f t="shared" ca="1" si="232"/>
        <v>2909.238528827304</v>
      </c>
      <c r="E329" s="69">
        <f t="shared" ca="1" si="233"/>
        <v>1932.2661881326715</v>
      </c>
      <c r="F329" s="69">
        <f t="shared" ca="1" si="234"/>
        <v>1222.0162317484537</v>
      </c>
      <c r="G329" s="69">
        <f t="shared" ca="1" si="235"/>
        <v>960.70592553976564</v>
      </c>
      <c r="H329" s="69">
        <f t="shared" ca="1" si="236"/>
        <v>1189.3251787641502</v>
      </c>
      <c r="I329" s="69">
        <f t="shared" ca="1" si="237"/>
        <v>1049.3045522517577</v>
      </c>
      <c r="J329" s="69">
        <f t="shared" ca="1" si="238"/>
        <v>1146.0422245332202</v>
      </c>
      <c r="K329" s="69">
        <f t="shared" ca="1" si="239"/>
        <v>1180.9056452450184</v>
      </c>
      <c r="L329" s="69">
        <f t="shared" ca="1" si="240"/>
        <v>953.22250705371539</v>
      </c>
      <c r="M329" s="69">
        <f t="shared" ca="1" si="241"/>
        <v>989.97552905180589</v>
      </c>
      <c r="N329" s="69">
        <f t="shared" ca="1" si="242"/>
        <v>569.08082860683965</v>
      </c>
      <c r="O329" s="69">
        <f t="shared" ca="1" si="243"/>
        <v>627.31241690222055</v>
      </c>
      <c r="P329" s="69">
        <f t="shared" ca="1" si="244"/>
        <v>723.92683187379612</v>
      </c>
      <c r="Q329" s="69">
        <f t="shared" ca="1" si="245"/>
        <v>954.90453859811532</v>
      </c>
      <c r="R329" s="69">
        <f t="shared" ca="1" si="246"/>
        <v>785.7038292270463</v>
      </c>
      <c r="S329" s="69">
        <f t="shared" ca="1" si="247"/>
        <v>703.31336893149512</v>
      </c>
      <c r="T329" s="69">
        <f t="shared" ca="1" si="248"/>
        <v>805.21371299799785</v>
      </c>
      <c r="U329" s="69">
        <f t="shared" ca="1" si="249"/>
        <v>1690.6574179584968</v>
      </c>
      <c r="V329" s="69">
        <f t="shared" ca="1" si="250"/>
        <v>1913.4528552482543</v>
      </c>
      <c r="W329" s="69">
        <f t="shared" ca="1" si="251"/>
        <v>1175.985495769638</v>
      </c>
      <c r="X329" s="69">
        <f t="shared" ca="1" si="252"/>
        <v>1494.5129518587362</v>
      </c>
      <c r="Y329" s="69">
        <f t="shared" ca="1" si="253"/>
        <v>1209.1900542993449</v>
      </c>
      <c r="AA329" s="20">
        <f t="shared" ca="1" si="213"/>
        <v>6.5531658661545136E+16</v>
      </c>
      <c r="AB329" s="20">
        <f t="shared" ca="1" si="214"/>
        <v>1679075532791934</v>
      </c>
      <c r="AC329" s="20">
        <f t="shared" ca="1" si="215"/>
        <v>397824738114368.06</v>
      </c>
      <c r="AD329" s="20">
        <f t="shared" ca="1" si="216"/>
        <v>307590937823961.75</v>
      </c>
      <c r="AE329" s="20">
        <f t="shared" ca="1" si="217"/>
        <v>6874950815391016</v>
      </c>
      <c r="AG329" s="16">
        <f t="shared" ca="1" si="218"/>
        <v>-3.0046258751397485E-4</v>
      </c>
      <c r="AH329" s="16">
        <f t="shared" ca="1" si="219"/>
        <v>-1.0340414022824082E-4</v>
      </c>
      <c r="AI329" s="16">
        <f t="shared" ca="1" si="220"/>
        <v>7.0409505943019228E-4</v>
      </c>
      <c r="AJ329" s="16">
        <f t="shared" ca="1" si="221"/>
        <v>7.5441345594976059E-4</v>
      </c>
      <c r="AK329" s="16">
        <f t="shared" ca="1" si="222"/>
        <v>-2.9518165364235562E-4</v>
      </c>
      <c r="AM329" s="16">
        <f t="shared" ca="1" si="223"/>
        <v>1.0546417876377372E-3</v>
      </c>
      <c r="AO329" s="16">
        <f t="shared" ca="1" si="224"/>
        <v>-3.0046258751397485E-4</v>
      </c>
      <c r="AP329" s="16">
        <f t="shared" ca="1" si="225"/>
        <v>-1.0340414022824082E-4</v>
      </c>
      <c r="AQ329" s="16">
        <f t="shared" ca="1" si="226"/>
        <v>0</v>
      </c>
      <c r="AR329" s="16">
        <f t="shared" ca="1" si="227"/>
        <v>0</v>
      </c>
      <c r="AS329" s="16">
        <f t="shared" ca="1" si="228"/>
        <v>-2.9518165364235562E-4</v>
      </c>
    </row>
    <row r="330" spans="1:45" x14ac:dyDescent="0.25">
      <c r="A330" s="69">
        <f t="shared" ca="1" si="229"/>
        <v>2451.4475259733358</v>
      </c>
      <c r="B330" s="69">
        <f t="shared" ca="1" si="230"/>
        <v>2134.7681454228509</v>
      </c>
      <c r="C330" s="69">
        <f t="shared" ca="1" si="231"/>
        <v>2227.4352195034644</v>
      </c>
      <c r="D330" s="69">
        <f t="shared" ca="1" si="232"/>
        <v>2909.238528827304</v>
      </c>
      <c r="E330" s="69">
        <f t="shared" ca="1" si="233"/>
        <v>1931.8034758381223</v>
      </c>
      <c r="F330" s="69">
        <f t="shared" ca="1" si="234"/>
        <v>1222.0162317484537</v>
      </c>
      <c r="G330" s="69">
        <f t="shared" ca="1" si="235"/>
        <v>960.70592553976564</v>
      </c>
      <c r="H330" s="69">
        <f t="shared" ca="1" si="236"/>
        <v>1189.3251787641502</v>
      </c>
      <c r="I330" s="69">
        <f t="shared" ca="1" si="237"/>
        <v>1049.3045522517577</v>
      </c>
      <c r="J330" s="69">
        <f t="shared" ca="1" si="238"/>
        <v>1145.9237251490961</v>
      </c>
      <c r="K330" s="69">
        <f t="shared" ca="1" si="239"/>
        <v>1180.9056452450184</v>
      </c>
      <c r="L330" s="69">
        <f t="shared" ca="1" si="240"/>
        <v>953.22250705371539</v>
      </c>
      <c r="M330" s="69">
        <f t="shared" ca="1" si="241"/>
        <v>990.39863037237183</v>
      </c>
      <c r="N330" s="69">
        <f t="shared" ca="1" si="242"/>
        <v>569.08082860683965</v>
      </c>
      <c r="O330" s="69">
        <f t="shared" ca="1" si="243"/>
        <v>627.48608146953438</v>
      </c>
      <c r="P330" s="69">
        <f t="shared" ca="1" si="244"/>
        <v>723.93707369528477</v>
      </c>
      <c r="Q330" s="69">
        <f t="shared" ca="1" si="245"/>
        <v>954.87955525145458</v>
      </c>
      <c r="R330" s="69">
        <f t="shared" ca="1" si="246"/>
        <v>785.85570453019534</v>
      </c>
      <c r="S330" s="69">
        <f t="shared" ca="1" si="247"/>
        <v>703.71658836219979</v>
      </c>
      <c r="T330" s="69">
        <f t="shared" ca="1" si="248"/>
        <v>805.21371299799785</v>
      </c>
      <c r="U330" s="69">
        <f t="shared" ca="1" si="249"/>
        <v>1690.6574179584968</v>
      </c>
      <c r="V330" s="69">
        <f t="shared" ca="1" si="250"/>
        <v>1913.6816435121327</v>
      </c>
      <c r="W330" s="69">
        <f t="shared" ca="1" si="251"/>
        <v>1175.6339214465206</v>
      </c>
      <c r="X330" s="69">
        <f t="shared" ca="1" si="252"/>
        <v>1494.5129518587362</v>
      </c>
      <c r="Y330" s="69">
        <f t="shared" ca="1" si="253"/>
        <v>1209.0501148017042</v>
      </c>
      <c r="AA330" s="20">
        <f t="shared" ca="1" si="213"/>
        <v>6.5511971807549256E+16</v>
      </c>
      <c r="AB330" s="20">
        <f t="shared" ca="1" si="214"/>
        <v>1678901918406465.3</v>
      </c>
      <c r="AC330" s="20">
        <f t="shared" ca="1" si="215"/>
        <v>398104943180919.06</v>
      </c>
      <c r="AD330" s="20">
        <f t="shared" ca="1" si="216"/>
        <v>307823076119501.31</v>
      </c>
      <c r="AE330" s="20">
        <f t="shared" ca="1" si="217"/>
        <v>6872921755525975</v>
      </c>
      <c r="AG330" s="16">
        <f t="shared" ca="1" si="218"/>
        <v>3.1539335801309798E-5</v>
      </c>
      <c r="AH330" s="16">
        <f t="shared" ca="1" si="219"/>
        <v>2.4250350421952343E-4</v>
      </c>
      <c r="AI330" s="16">
        <f t="shared" ca="1" si="220"/>
        <v>-1.1537583075323449E-4</v>
      </c>
      <c r="AJ330" s="16">
        <f t="shared" ca="1" si="221"/>
        <v>-6.2750601781910503E-4</v>
      </c>
      <c r="AK330" s="16">
        <f t="shared" ca="1" si="222"/>
        <v>-2.3921722279050426E-4</v>
      </c>
      <c r="AM330" s="16">
        <f t="shared" ca="1" si="223"/>
        <v>-4.6883900855150627E-4</v>
      </c>
      <c r="AO330" s="16">
        <f t="shared" ca="1" si="224"/>
        <v>0</v>
      </c>
      <c r="AP330" s="16">
        <f t="shared" ca="1" si="225"/>
        <v>0</v>
      </c>
      <c r="AQ330" s="16">
        <f t="shared" ca="1" si="226"/>
        <v>-1.1537583075323449E-4</v>
      </c>
      <c r="AR330" s="16">
        <f t="shared" ca="1" si="227"/>
        <v>-6.2750601781910503E-4</v>
      </c>
      <c r="AS330" s="16">
        <f t="shared" ca="1" si="228"/>
        <v>-2.3921722279050426E-4</v>
      </c>
    </row>
    <row r="331" spans="1:45" x14ac:dyDescent="0.25">
      <c r="A331" s="69">
        <f t="shared" ca="1" si="229"/>
        <v>2451.6473534427359</v>
      </c>
      <c r="B331" s="69">
        <f t="shared" ca="1" si="230"/>
        <v>2134.7681454228509</v>
      </c>
      <c r="C331" s="69">
        <f t="shared" ca="1" si="231"/>
        <v>2227.8394819968985</v>
      </c>
      <c r="D331" s="69">
        <f t="shared" ca="1" si="232"/>
        <v>2909.238528827304</v>
      </c>
      <c r="E331" s="69">
        <f t="shared" ca="1" si="233"/>
        <v>1931.3564168488824</v>
      </c>
      <c r="F331" s="69">
        <f t="shared" ca="1" si="234"/>
        <v>1222.0162317484537</v>
      </c>
      <c r="G331" s="69">
        <f t="shared" ca="1" si="235"/>
        <v>960.70592553976564</v>
      </c>
      <c r="H331" s="69">
        <f t="shared" ca="1" si="236"/>
        <v>1189.5130230535785</v>
      </c>
      <c r="I331" s="69">
        <f t="shared" ca="1" si="237"/>
        <v>1049.0898482995879</v>
      </c>
      <c r="J331" s="69">
        <f t="shared" ca="1" si="238"/>
        <v>1146.2551862292635</v>
      </c>
      <c r="K331" s="69">
        <f t="shared" ca="1" si="239"/>
        <v>1180.9056452450184</v>
      </c>
      <c r="L331" s="69">
        <f t="shared" ca="1" si="240"/>
        <v>953.39817635949498</v>
      </c>
      <c r="M331" s="69">
        <f t="shared" ca="1" si="241"/>
        <v>990.10190309228346</v>
      </c>
      <c r="N331" s="69">
        <f t="shared" ca="1" si="242"/>
        <v>569.08082860683965</v>
      </c>
      <c r="O331" s="69">
        <f t="shared" ca="1" si="243"/>
        <v>627.48608146953438</v>
      </c>
      <c r="P331" s="69">
        <f t="shared" ca="1" si="244"/>
        <v>723.93707369528477</v>
      </c>
      <c r="Q331" s="69">
        <f t="shared" ca="1" si="245"/>
        <v>954.64097577181246</v>
      </c>
      <c r="R331" s="69">
        <f t="shared" ca="1" si="246"/>
        <v>785.42013977051408</v>
      </c>
      <c r="S331" s="69">
        <f t="shared" ca="1" si="247"/>
        <v>703.84100744685622</v>
      </c>
      <c r="T331" s="69">
        <f t="shared" ca="1" si="248"/>
        <v>805.21371299799785</v>
      </c>
      <c r="U331" s="69">
        <f t="shared" ca="1" si="249"/>
        <v>1690.3771357205403</v>
      </c>
      <c r="V331" s="69">
        <f t="shared" ca="1" si="250"/>
        <v>1913.4354022716318</v>
      </c>
      <c r="W331" s="69">
        <f t="shared" ca="1" si="251"/>
        <v>1175.8015640754763</v>
      </c>
      <c r="X331" s="69">
        <f t="shared" ca="1" si="252"/>
        <v>1494.826754579537</v>
      </c>
      <c r="Y331" s="69">
        <f t="shared" ca="1" si="253"/>
        <v>1208.6907497163713</v>
      </c>
      <c r="AA331" s="20">
        <f t="shared" ca="1" si="213"/>
        <v>6.55140380442108E+16</v>
      </c>
      <c r="AB331" s="20">
        <f t="shared" ca="1" si="214"/>
        <v>1679309107375300.3</v>
      </c>
      <c r="AC331" s="20">
        <f t="shared" ca="1" si="215"/>
        <v>398059014141974.06</v>
      </c>
      <c r="AD331" s="20">
        <f t="shared" ca="1" si="216"/>
        <v>307629975878930.56</v>
      </c>
      <c r="AE331" s="20">
        <f t="shared" ca="1" si="217"/>
        <v>6871277830906542</v>
      </c>
      <c r="AG331" s="16">
        <f t="shared" ca="1" si="218"/>
        <v>2.7982352871025137E-4</v>
      </c>
      <c r="AH331" s="16">
        <f t="shared" ca="1" si="219"/>
        <v>1.7386850238765379E-4</v>
      </c>
      <c r="AI331" s="16">
        <f t="shared" ca="1" si="220"/>
        <v>3.0810329234528839E-4</v>
      </c>
      <c r="AJ331" s="16">
        <f t="shared" ca="1" si="221"/>
        <v>-5.0449724052391244E-4</v>
      </c>
      <c r="AK331" s="16">
        <f t="shared" ca="1" si="222"/>
        <v>-6.3608221881239783E-4</v>
      </c>
      <c r="AM331" s="16">
        <f t="shared" ca="1" si="223"/>
        <v>2.5729808291928113E-4</v>
      </c>
      <c r="AO331" s="16">
        <f t="shared" ca="1" si="224"/>
        <v>0</v>
      </c>
      <c r="AP331" s="16">
        <f t="shared" ca="1" si="225"/>
        <v>0</v>
      </c>
      <c r="AQ331" s="16">
        <f t="shared" ca="1" si="226"/>
        <v>0</v>
      </c>
      <c r="AR331" s="16">
        <f t="shared" ca="1" si="227"/>
        <v>-5.0449724052391244E-4</v>
      </c>
      <c r="AS331" s="16">
        <f t="shared" ca="1" si="228"/>
        <v>-6.3608221881239783E-4</v>
      </c>
    </row>
    <row r="332" spans="1:45" x14ac:dyDescent="0.25">
      <c r="A332" s="69">
        <f t="shared" ca="1" si="229"/>
        <v>2451.4903814426661</v>
      </c>
      <c r="B332" s="69">
        <f t="shared" ca="1" si="230"/>
        <v>2134.7681454228509</v>
      </c>
      <c r="C332" s="69">
        <f t="shared" ca="1" si="231"/>
        <v>2228.2596966257429</v>
      </c>
      <c r="D332" s="69">
        <f t="shared" ca="1" si="232"/>
        <v>2909.238528827304</v>
      </c>
      <c r="E332" s="69">
        <f t="shared" ca="1" si="233"/>
        <v>1931.6562846035008</v>
      </c>
      <c r="F332" s="69">
        <f t="shared" ca="1" si="234"/>
        <v>1222.0162317484537</v>
      </c>
      <c r="G332" s="69">
        <f t="shared" ca="1" si="235"/>
        <v>961.0330585229982</v>
      </c>
      <c r="H332" s="69">
        <f t="shared" ca="1" si="236"/>
        <v>1189.7769702158296</v>
      </c>
      <c r="I332" s="69">
        <f t="shared" ca="1" si="237"/>
        <v>1049.0898482995879</v>
      </c>
      <c r="J332" s="69">
        <f t="shared" ca="1" si="238"/>
        <v>1145.8100016273775</v>
      </c>
      <c r="K332" s="69">
        <f t="shared" ca="1" si="239"/>
        <v>1180.9056452450184</v>
      </c>
      <c r="L332" s="69">
        <f t="shared" ca="1" si="240"/>
        <v>953.30232597829706</v>
      </c>
      <c r="M332" s="69">
        <f t="shared" ca="1" si="241"/>
        <v>989.7529158296735</v>
      </c>
      <c r="N332" s="69">
        <f t="shared" ca="1" si="242"/>
        <v>569.08082860683965</v>
      </c>
      <c r="O332" s="69">
        <f t="shared" ca="1" si="243"/>
        <v>627.96389447460876</v>
      </c>
      <c r="P332" s="69">
        <f t="shared" ca="1" si="244"/>
        <v>723.44057447112459</v>
      </c>
      <c r="Q332" s="69">
        <f t="shared" ca="1" si="245"/>
        <v>954.36405881918461</v>
      </c>
      <c r="R332" s="69">
        <f t="shared" ca="1" si="246"/>
        <v>785.5935891313685</v>
      </c>
      <c r="S332" s="69">
        <f t="shared" ca="1" si="247"/>
        <v>704.01760540716884</v>
      </c>
      <c r="T332" s="69">
        <f t="shared" ca="1" si="248"/>
        <v>805.21371299799785</v>
      </c>
      <c r="U332" s="69">
        <f t="shared" ca="1" si="249"/>
        <v>1689.9759237049609</v>
      </c>
      <c r="V332" s="69">
        <f t="shared" ca="1" si="250"/>
        <v>1913.4354022716318</v>
      </c>
      <c r="W332" s="69">
        <f t="shared" ca="1" si="251"/>
        <v>1175.3328613739279</v>
      </c>
      <c r="X332" s="69">
        <f t="shared" ca="1" si="252"/>
        <v>1494.826754579537</v>
      </c>
      <c r="Y332" s="69">
        <f t="shared" ca="1" si="253"/>
        <v>1208.6907497163713</v>
      </c>
      <c r="AA332" s="20">
        <f t="shared" ca="1" si="213"/>
        <v>6.5532372978669776E+16</v>
      </c>
      <c r="AB332" s="20">
        <f t="shared" ca="1" si="214"/>
        <v>1679601111719288.8</v>
      </c>
      <c r="AC332" s="20">
        <f t="shared" ca="1" si="215"/>
        <v>398181676330120.63</v>
      </c>
      <c r="AD332" s="20">
        <f t="shared" ca="1" si="216"/>
        <v>307474816547015.5</v>
      </c>
      <c r="AE332" s="20">
        <f t="shared" ca="1" si="217"/>
        <v>6866908523024627</v>
      </c>
      <c r="AG332" s="16">
        <f t="shared" ca="1" si="218"/>
        <v>-3.0133635175374883E-4</v>
      </c>
      <c r="AH332" s="16">
        <f t="shared" ca="1" si="219"/>
        <v>1.1266084275823345E-4</v>
      </c>
      <c r="AI332" s="16">
        <f t="shared" ca="1" si="220"/>
        <v>-2.5241738454894532E-4</v>
      </c>
      <c r="AJ332" s="16">
        <f t="shared" ca="1" si="221"/>
        <v>3.9304299435802341E-4</v>
      </c>
      <c r="AK332" s="16">
        <f t="shared" ca="1" si="222"/>
        <v>-4.1112792914613629E-5</v>
      </c>
      <c r="AM332" s="16">
        <f t="shared" ca="1" si="223"/>
        <v>-4.8049899186437264E-5</v>
      </c>
      <c r="AO332" s="16">
        <f t="shared" ca="1" si="224"/>
        <v>-3.0133635175374883E-4</v>
      </c>
      <c r="AP332" s="16">
        <f t="shared" ca="1" si="225"/>
        <v>0</v>
      </c>
      <c r="AQ332" s="16">
        <f t="shared" ca="1" si="226"/>
        <v>-2.5241738454894532E-4</v>
      </c>
      <c r="AR332" s="16">
        <f t="shared" ca="1" si="227"/>
        <v>0</v>
      </c>
      <c r="AS332" s="16">
        <f t="shared" ca="1" si="228"/>
        <v>-4.1112792914613629E-5</v>
      </c>
    </row>
    <row r="333" spans="1:45" x14ac:dyDescent="0.25">
      <c r="A333" s="69">
        <f t="shared" ca="1" si="229"/>
        <v>2451.0569547312457</v>
      </c>
      <c r="B333" s="69">
        <f t="shared" ca="1" si="230"/>
        <v>2134.7681454228509</v>
      </c>
      <c r="C333" s="69">
        <f t="shared" ca="1" si="231"/>
        <v>2227.7697100606438</v>
      </c>
      <c r="D333" s="69">
        <f t="shared" ca="1" si="232"/>
        <v>2909.5160871925309</v>
      </c>
      <c r="E333" s="69">
        <f t="shared" ca="1" si="233"/>
        <v>1931.6562846035008</v>
      </c>
      <c r="F333" s="69">
        <f t="shared" ca="1" si="234"/>
        <v>1222.0162317484537</v>
      </c>
      <c r="G333" s="69">
        <f t="shared" ca="1" si="235"/>
        <v>961.0330585229982</v>
      </c>
      <c r="H333" s="69">
        <f t="shared" ca="1" si="236"/>
        <v>1189.9110190428735</v>
      </c>
      <c r="I333" s="69">
        <f t="shared" ca="1" si="237"/>
        <v>1049.0898482995879</v>
      </c>
      <c r="J333" s="69">
        <f t="shared" ca="1" si="238"/>
        <v>1145.8100016273775</v>
      </c>
      <c r="K333" s="69">
        <f t="shared" ca="1" si="239"/>
        <v>1180.5025916119087</v>
      </c>
      <c r="L333" s="69">
        <f t="shared" ca="1" si="240"/>
        <v>953.37271281644428</v>
      </c>
      <c r="M333" s="69">
        <f t="shared" ca="1" si="241"/>
        <v>989.69337125742243</v>
      </c>
      <c r="N333" s="69">
        <f t="shared" ca="1" si="242"/>
        <v>569.08082860683965</v>
      </c>
      <c r="O333" s="69">
        <f t="shared" ca="1" si="243"/>
        <v>628.01116977205379</v>
      </c>
      <c r="P333" s="69">
        <f t="shared" ca="1" si="244"/>
        <v>723.80264829770726</v>
      </c>
      <c r="Q333" s="69">
        <f t="shared" ca="1" si="245"/>
        <v>954.36405881918461</v>
      </c>
      <c r="R333" s="69">
        <f t="shared" ca="1" si="246"/>
        <v>785.5935891313685</v>
      </c>
      <c r="S333" s="69">
        <f t="shared" ca="1" si="247"/>
        <v>704.01760540716884</v>
      </c>
      <c r="T333" s="69">
        <f t="shared" ca="1" si="248"/>
        <v>805.12730170101804</v>
      </c>
      <c r="U333" s="69">
        <f t="shared" ca="1" si="249"/>
        <v>1689.9759237049609</v>
      </c>
      <c r="V333" s="69">
        <f t="shared" ca="1" si="250"/>
        <v>1913.4354022716318</v>
      </c>
      <c r="W333" s="69">
        <f t="shared" ca="1" si="251"/>
        <v>1175.4035442315226</v>
      </c>
      <c r="X333" s="69">
        <f t="shared" ca="1" si="252"/>
        <v>1494.6754116726854</v>
      </c>
      <c r="Y333" s="69">
        <f t="shared" ca="1" si="253"/>
        <v>1208.6907497163713</v>
      </c>
      <c r="AA333" s="20">
        <f t="shared" ca="1" si="213"/>
        <v>6.5512628667463376E+16</v>
      </c>
      <c r="AB333" s="20">
        <f t="shared" ca="1" si="214"/>
        <v>1679790347655572.5</v>
      </c>
      <c r="AC333" s="20">
        <f t="shared" ca="1" si="215"/>
        <v>398081181036719.19</v>
      </c>
      <c r="AD333" s="20">
        <f t="shared" ca="1" si="216"/>
        <v>307595691122497.31</v>
      </c>
      <c r="AE333" s="20">
        <f t="shared" ca="1" si="217"/>
        <v>6866626211039913</v>
      </c>
      <c r="AG333" s="16">
        <f t="shared" ca="1" si="218"/>
        <v>9.4930841988517443E-5</v>
      </c>
      <c r="AH333" s="16">
        <f t="shared" ca="1" si="219"/>
        <v>-7.1994183521479198E-5</v>
      </c>
      <c r="AI333" s="16">
        <f t="shared" ca="1" si="220"/>
        <v>-3.7168913598675492E-5</v>
      </c>
      <c r="AJ333" s="16">
        <f t="shared" ca="1" si="221"/>
        <v>-2.0156244173492028E-4</v>
      </c>
      <c r="AK333" s="16">
        <f t="shared" ca="1" si="222"/>
        <v>-1.5145399885687925E-4</v>
      </c>
      <c r="AM333" s="16">
        <f t="shared" ca="1" si="223"/>
        <v>-2.1579469686655752E-4</v>
      </c>
      <c r="AO333" s="16">
        <f t="shared" ca="1" si="224"/>
        <v>0</v>
      </c>
      <c r="AP333" s="16">
        <f t="shared" ca="1" si="225"/>
        <v>-7.1994183521479198E-5</v>
      </c>
      <c r="AQ333" s="16">
        <f t="shared" ca="1" si="226"/>
        <v>-3.7168913598675492E-5</v>
      </c>
      <c r="AR333" s="16">
        <f t="shared" ca="1" si="227"/>
        <v>-2.0156244173492028E-4</v>
      </c>
      <c r="AS333" s="16">
        <f t="shared" ca="1" si="228"/>
        <v>-1.5145399885687925E-4</v>
      </c>
    </row>
    <row r="334" spans="1:45" x14ac:dyDescent="0.25">
      <c r="A334" s="69">
        <f t="shared" ca="1" si="229"/>
        <v>2451.0569547312457</v>
      </c>
      <c r="B334" s="69">
        <f t="shared" ca="1" si="230"/>
        <v>2134.6364263647583</v>
      </c>
      <c r="C334" s="69">
        <f t="shared" ca="1" si="231"/>
        <v>2227.5131691700385</v>
      </c>
      <c r="D334" s="69">
        <f t="shared" ca="1" si="232"/>
        <v>2909.934900954061</v>
      </c>
      <c r="E334" s="69">
        <f t="shared" ca="1" si="233"/>
        <v>1931.9032844440937</v>
      </c>
      <c r="F334" s="69">
        <f t="shared" ca="1" si="234"/>
        <v>1222.0162317484537</v>
      </c>
      <c r="G334" s="69">
        <f t="shared" ca="1" si="235"/>
        <v>961.0330585229982</v>
      </c>
      <c r="H334" s="69">
        <f t="shared" ca="1" si="236"/>
        <v>1190.0788550490793</v>
      </c>
      <c r="I334" s="69">
        <f t="shared" ca="1" si="237"/>
        <v>1048.900938998534</v>
      </c>
      <c r="J334" s="69">
        <f t="shared" ca="1" si="238"/>
        <v>1145.7722506473033</v>
      </c>
      <c r="K334" s="69">
        <f t="shared" ca="1" si="239"/>
        <v>1180.0406378364594</v>
      </c>
      <c r="L334" s="69">
        <f t="shared" ca="1" si="240"/>
        <v>953.71048323040702</v>
      </c>
      <c r="M334" s="69">
        <f t="shared" ca="1" si="241"/>
        <v>989.69337125742243</v>
      </c>
      <c r="N334" s="69">
        <f t="shared" ca="1" si="242"/>
        <v>569.08082860683965</v>
      </c>
      <c r="O334" s="69">
        <f t="shared" ca="1" si="243"/>
        <v>628.01116977205379</v>
      </c>
      <c r="P334" s="69">
        <f t="shared" ca="1" si="244"/>
        <v>723.64361836152148</v>
      </c>
      <c r="Q334" s="69">
        <f t="shared" ca="1" si="245"/>
        <v>954.07403395238259</v>
      </c>
      <c r="R334" s="69">
        <f t="shared" ca="1" si="246"/>
        <v>785.5935891313685</v>
      </c>
      <c r="S334" s="69">
        <f t="shared" ca="1" si="247"/>
        <v>704.01760540716884</v>
      </c>
      <c r="T334" s="69">
        <f t="shared" ca="1" si="248"/>
        <v>805.38668762539135</v>
      </c>
      <c r="U334" s="69">
        <f t="shared" ca="1" si="249"/>
        <v>1689.7199894749647</v>
      </c>
      <c r="V334" s="69">
        <f t="shared" ca="1" si="250"/>
        <v>1913.4354022716318</v>
      </c>
      <c r="W334" s="69">
        <f t="shared" ca="1" si="251"/>
        <v>1175.4035442315226</v>
      </c>
      <c r="X334" s="69">
        <f t="shared" ca="1" si="252"/>
        <v>1494.6754116726854</v>
      </c>
      <c r="Y334" s="69">
        <f t="shared" ca="1" si="253"/>
        <v>1208.6907497163713</v>
      </c>
      <c r="AA334" s="20">
        <f t="shared" ca="1" si="213"/>
        <v>6.5518848131668472E+16</v>
      </c>
      <c r="AB334" s="20">
        <f t="shared" ca="1" si="214"/>
        <v>1679669416874214.5</v>
      </c>
      <c r="AC334" s="20">
        <f t="shared" ca="1" si="215"/>
        <v>398066385066672.75</v>
      </c>
      <c r="AD334" s="20">
        <f t="shared" ca="1" si="216"/>
        <v>307533697631917.06</v>
      </c>
      <c r="AE334" s="20">
        <f t="shared" ca="1" si="217"/>
        <v>6865586311792033</v>
      </c>
      <c r="AG334" s="16">
        <f t="shared" ca="1" si="218"/>
        <v>-1.9425279824636268E-4</v>
      </c>
      <c r="AH334" s="16">
        <f t="shared" ca="1" si="219"/>
        <v>1.8033227043237211E-4</v>
      </c>
      <c r="AI334" s="16">
        <f t="shared" ca="1" si="220"/>
        <v>-2.5601083639072798E-4</v>
      </c>
      <c r="AJ334" s="16">
        <f t="shared" ca="1" si="221"/>
        <v>-2.115741854494059E-4</v>
      </c>
      <c r="AK334" s="16">
        <f t="shared" ca="1" si="222"/>
        <v>-3.5426823832099128E-4</v>
      </c>
      <c r="AM334" s="16">
        <f t="shared" ca="1" si="223"/>
        <v>-4.8150554965412443E-4</v>
      </c>
      <c r="AO334" s="16">
        <f t="shared" ca="1" si="224"/>
        <v>-1.9425279824636268E-4</v>
      </c>
      <c r="AP334" s="16">
        <f t="shared" ca="1" si="225"/>
        <v>0</v>
      </c>
      <c r="AQ334" s="16">
        <f t="shared" ca="1" si="226"/>
        <v>-2.5601083639072798E-4</v>
      </c>
      <c r="AR334" s="16">
        <f t="shared" ca="1" si="227"/>
        <v>-2.115741854494059E-4</v>
      </c>
      <c r="AS334" s="16">
        <f t="shared" ca="1" si="228"/>
        <v>-3.5426823832099128E-4</v>
      </c>
    </row>
    <row r="335" spans="1:45" x14ac:dyDescent="0.25">
      <c r="A335" s="69">
        <f t="shared" ca="1" si="229"/>
        <v>2451.0569547312457</v>
      </c>
      <c r="B335" s="69">
        <f t="shared" ca="1" si="230"/>
        <v>2134.6209876433027</v>
      </c>
      <c r="C335" s="69">
        <f t="shared" ca="1" si="231"/>
        <v>2227.3001045429392</v>
      </c>
      <c r="D335" s="69">
        <f t="shared" ca="1" si="232"/>
        <v>2910.2829773839535</v>
      </c>
      <c r="E335" s="69">
        <f t="shared" ca="1" si="233"/>
        <v>1931.4957464839497</v>
      </c>
      <c r="F335" s="69">
        <f t="shared" ca="1" si="234"/>
        <v>1222.1568584680338</v>
      </c>
      <c r="G335" s="69">
        <f t="shared" ca="1" si="235"/>
        <v>961.19528623862493</v>
      </c>
      <c r="H335" s="69">
        <f t="shared" ca="1" si="236"/>
        <v>1190.2957756487674</v>
      </c>
      <c r="I335" s="69">
        <f t="shared" ca="1" si="237"/>
        <v>1048.900938998534</v>
      </c>
      <c r="J335" s="69">
        <f t="shared" ca="1" si="238"/>
        <v>1145.4448499723449</v>
      </c>
      <c r="K335" s="69">
        <f t="shared" ca="1" si="239"/>
        <v>1179.5771194803358</v>
      </c>
      <c r="L335" s="69">
        <f t="shared" ca="1" si="240"/>
        <v>953.71048323040702</v>
      </c>
      <c r="M335" s="69">
        <f t="shared" ca="1" si="241"/>
        <v>989.81092211089526</v>
      </c>
      <c r="N335" s="69">
        <f t="shared" ca="1" si="242"/>
        <v>569.08082860683965</v>
      </c>
      <c r="O335" s="69">
        <f t="shared" ca="1" si="243"/>
        <v>628.02253499147832</v>
      </c>
      <c r="P335" s="69">
        <f t="shared" ca="1" si="244"/>
        <v>723.77365234608033</v>
      </c>
      <c r="Q335" s="69">
        <f t="shared" ca="1" si="245"/>
        <v>953.60774057255719</v>
      </c>
      <c r="R335" s="69">
        <f t="shared" ca="1" si="246"/>
        <v>785.94960074266771</v>
      </c>
      <c r="S335" s="69">
        <f t="shared" ca="1" si="247"/>
        <v>703.84911332138859</v>
      </c>
      <c r="T335" s="69">
        <f t="shared" ca="1" si="248"/>
        <v>805.29318168791281</v>
      </c>
      <c r="U335" s="69">
        <f t="shared" ca="1" si="249"/>
        <v>1689.2242361118999</v>
      </c>
      <c r="V335" s="69">
        <f t="shared" ca="1" si="250"/>
        <v>1913.4217951429018</v>
      </c>
      <c r="W335" s="69">
        <f t="shared" ca="1" si="251"/>
        <v>1175.6565765941796</v>
      </c>
      <c r="X335" s="69">
        <f t="shared" ca="1" si="252"/>
        <v>1494.7879880253049</v>
      </c>
      <c r="Y335" s="69">
        <f t="shared" ca="1" si="253"/>
        <v>1208.274687220834</v>
      </c>
      <c r="AA335" s="20">
        <f t="shared" ca="1" si="213"/>
        <v>6.5506122148149992E+16</v>
      </c>
      <c r="AB335" s="20">
        <f t="shared" ca="1" si="214"/>
        <v>1679972342786573.3</v>
      </c>
      <c r="AC335" s="20">
        <f t="shared" ca="1" si="215"/>
        <v>397964488802323.25</v>
      </c>
      <c r="AD335" s="20">
        <f t="shared" ca="1" si="216"/>
        <v>307468638323020.19</v>
      </c>
      <c r="AE335" s="20">
        <f t="shared" ca="1" si="217"/>
        <v>6863154483409526</v>
      </c>
      <c r="AG335" s="16">
        <f t="shared" ca="1" si="218"/>
        <v>-2.5381456757899785E-4</v>
      </c>
      <c r="AH335" s="16">
        <f t="shared" ca="1" si="219"/>
        <v>7.570025449694729E-5</v>
      </c>
      <c r="AI335" s="16">
        <f t="shared" ca="1" si="220"/>
        <v>5.5561180403041659E-4</v>
      </c>
      <c r="AJ335" s="16">
        <f t="shared" ca="1" si="221"/>
        <v>4.7107440590974337E-5</v>
      </c>
      <c r="AK335" s="16">
        <f t="shared" ca="1" si="222"/>
        <v>-7.4894643691952138E-6</v>
      </c>
      <c r="AM335" s="16">
        <f t="shared" ca="1" si="223"/>
        <v>4.2460493153934038E-4</v>
      </c>
      <c r="AO335" s="16">
        <f t="shared" ca="1" si="224"/>
        <v>-2.5381456757899785E-4</v>
      </c>
      <c r="AP335" s="16">
        <f t="shared" ca="1" si="225"/>
        <v>0</v>
      </c>
      <c r="AQ335" s="16">
        <f t="shared" ca="1" si="226"/>
        <v>0</v>
      </c>
      <c r="AR335" s="16">
        <f t="shared" ca="1" si="227"/>
        <v>0</v>
      </c>
      <c r="AS335" s="16">
        <f t="shared" ca="1" si="228"/>
        <v>-7.4894643691952138E-6</v>
      </c>
    </row>
    <row r="336" spans="1:45" x14ac:dyDescent="0.25">
      <c r="A336" s="69">
        <f t="shared" ca="1" si="229"/>
        <v>2450.9447634233725</v>
      </c>
      <c r="B336" s="69">
        <f t="shared" ca="1" si="230"/>
        <v>2134.6209876433027</v>
      </c>
      <c r="C336" s="69">
        <f t="shared" ca="1" si="231"/>
        <v>2227.3001045429392</v>
      </c>
      <c r="D336" s="69">
        <f t="shared" ca="1" si="232"/>
        <v>2909.8561089338946</v>
      </c>
      <c r="E336" s="69">
        <f t="shared" ca="1" si="233"/>
        <v>1931.3772447189551</v>
      </c>
      <c r="F336" s="69">
        <f t="shared" ca="1" si="234"/>
        <v>1222.1568584680338</v>
      </c>
      <c r="G336" s="69">
        <f t="shared" ca="1" si="235"/>
        <v>961.16502192096982</v>
      </c>
      <c r="H336" s="69">
        <f t="shared" ca="1" si="236"/>
        <v>1189.9872882455593</v>
      </c>
      <c r="I336" s="69">
        <f t="shared" ca="1" si="237"/>
        <v>1048.900938998534</v>
      </c>
      <c r="J336" s="69">
        <f t="shared" ca="1" si="238"/>
        <v>1145.8646054448207</v>
      </c>
      <c r="K336" s="69">
        <f t="shared" ca="1" si="239"/>
        <v>1179.4097203013919</v>
      </c>
      <c r="L336" s="69">
        <f t="shared" ca="1" si="240"/>
        <v>953.66857412961929</v>
      </c>
      <c r="M336" s="69">
        <f t="shared" ca="1" si="241"/>
        <v>989.99479317027294</v>
      </c>
      <c r="N336" s="69">
        <f t="shared" ca="1" si="242"/>
        <v>569.39717409494631</v>
      </c>
      <c r="O336" s="69">
        <f t="shared" ca="1" si="243"/>
        <v>628.02253499147832</v>
      </c>
      <c r="P336" s="69">
        <f t="shared" ca="1" si="244"/>
        <v>724.08957041328586</v>
      </c>
      <c r="Q336" s="69">
        <f t="shared" ca="1" si="245"/>
        <v>953.60774057255719</v>
      </c>
      <c r="R336" s="69">
        <f t="shared" ca="1" si="246"/>
        <v>785.56482334324107</v>
      </c>
      <c r="S336" s="69">
        <f t="shared" ca="1" si="247"/>
        <v>703.83502705518129</v>
      </c>
      <c r="T336" s="69">
        <f t="shared" ca="1" si="248"/>
        <v>805.39015982666353</v>
      </c>
      <c r="U336" s="69">
        <f t="shared" ca="1" si="249"/>
        <v>1689.4103466535892</v>
      </c>
      <c r="V336" s="69">
        <f t="shared" ca="1" si="250"/>
        <v>1913.1966779520696</v>
      </c>
      <c r="W336" s="69">
        <f t="shared" ca="1" si="251"/>
        <v>1175.6565765941796</v>
      </c>
      <c r="X336" s="69">
        <f t="shared" ca="1" si="252"/>
        <v>1494.7879880253049</v>
      </c>
      <c r="Y336" s="69">
        <f t="shared" ca="1" si="253"/>
        <v>1208.274687220834</v>
      </c>
      <c r="AA336" s="20">
        <f t="shared" ca="1" si="213"/>
        <v>6.548949784991696E+16</v>
      </c>
      <c r="AB336" s="20">
        <f t="shared" ca="1" si="214"/>
        <v>1680099521934156.3</v>
      </c>
      <c r="AC336" s="20">
        <f t="shared" ca="1" si="215"/>
        <v>398185664007974.44</v>
      </c>
      <c r="AD336" s="20">
        <f t="shared" ca="1" si="216"/>
        <v>307483122724792.44</v>
      </c>
      <c r="AE336" s="20">
        <f t="shared" ca="1" si="217"/>
        <v>6863103082251046</v>
      </c>
      <c r="AG336" s="16">
        <f t="shared" ca="1" si="218"/>
        <v>-2.4164343500286155E-4</v>
      </c>
      <c r="AH336" s="16">
        <f t="shared" ca="1" si="219"/>
        <v>6.9660163574779852E-4</v>
      </c>
      <c r="AI336" s="16">
        <f t="shared" ca="1" si="220"/>
        <v>4.3590360442555917E-5</v>
      </c>
      <c r="AJ336" s="16">
        <f t="shared" ca="1" si="221"/>
        <v>1.0196550683446309E-4</v>
      </c>
      <c r="AK336" s="16">
        <f t="shared" ca="1" si="222"/>
        <v>1.5274231977280782E-4</v>
      </c>
      <c r="AM336" s="16">
        <f t="shared" ca="1" si="223"/>
        <v>6.0051406802195592E-4</v>
      </c>
      <c r="AO336" s="16">
        <f t="shared" ca="1" si="224"/>
        <v>-2.4164343500286155E-4</v>
      </c>
      <c r="AP336" s="16">
        <f t="shared" ca="1" si="225"/>
        <v>0</v>
      </c>
      <c r="AQ336" s="16">
        <f t="shared" ca="1" si="226"/>
        <v>0</v>
      </c>
      <c r="AR336" s="16">
        <f t="shared" ca="1" si="227"/>
        <v>0</v>
      </c>
      <c r="AS336" s="16">
        <f t="shared" ca="1" si="228"/>
        <v>0</v>
      </c>
    </row>
    <row r="337" spans="1:45" x14ac:dyDescent="0.25">
      <c r="A337" s="69">
        <f t="shared" ca="1" si="229"/>
        <v>2451.1788339656478</v>
      </c>
      <c r="B337" s="69">
        <f t="shared" ca="1" si="230"/>
        <v>2134.3251157622494</v>
      </c>
      <c r="C337" s="69">
        <f t="shared" ca="1" si="231"/>
        <v>2226.8579733339243</v>
      </c>
      <c r="D337" s="69">
        <f t="shared" ca="1" si="232"/>
        <v>2909.8561089338946</v>
      </c>
      <c r="E337" s="69">
        <f t="shared" ca="1" si="233"/>
        <v>1931.3772447189551</v>
      </c>
      <c r="F337" s="69">
        <f t="shared" ca="1" si="234"/>
        <v>1222.5819866755207</v>
      </c>
      <c r="G337" s="69">
        <f t="shared" ca="1" si="235"/>
        <v>960.89659641737092</v>
      </c>
      <c r="H337" s="69">
        <f t="shared" ca="1" si="236"/>
        <v>1190.2736804561755</v>
      </c>
      <c r="I337" s="69">
        <f t="shared" ca="1" si="237"/>
        <v>1049.3879394793178</v>
      </c>
      <c r="J337" s="69">
        <f t="shared" ca="1" si="238"/>
        <v>1145.7767138743498</v>
      </c>
      <c r="K337" s="69">
        <f t="shared" ca="1" si="239"/>
        <v>1179.1071379682237</v>
      </c>
      <c r="L337" s="69">
        <f t="shared" ca="1" si="240"/>
        <v>953.63401081580071</v>
      </c>
      <c r="M337" s="69">
        <f t="shared" ca="1" si="241"/>
        <v>990.32790369980069</v>
      </c>
      <c r="N337" s="69">
        <f t="shared" ca="1" si="242"/>
        <v>569.39717409494631</v>
      </c>
      <c r="O337" s="69">
        <f t="shared" ca="1" si="243"/>
        <v>628.02253499147832</v>
      </c>
      <c r="P337" s="69">
        <f t="shared" ca="1" si="244"/>
        <v>724.51932074852971</v>
      </c>
      <c r="Q337" s="69">
        <f t="shared" ca="1" si="245"/>
        <v>953.60774057255719</v>
      </c>
      <c r="R337" s="69">
        <f t="shared" ca="1" si="246"/>
        <v>785.56482334324107</v>
      </c>
      <c r="S337" s="69">
        <f t="shared" ca="1" si="247"/>
        <v>703.44721592478629</v>
      </c>
      <c r="T337" s="69">
        <f t="shared" ca="1" si="248"/>
        <v>805.4383125092636</v>
      </c>
      <c r="U337" s="69">
        <f t="shared" ca="1" si="249"/>
        <v>1689.4103466535892</v>
      </c>
      <c r="V337" s="69">
        <f t="shared" ca="1" si="250"/>
        <v>1913.2159831803287</v>
      </c>
      <c r="W337" s="69">
        <f t="shared" ca="1" si="251"/>
        <v>1175.608965536393</v>
      </c>
      <c r="X337" s="69">
        <f t="shared" ca="1" si="252"/>
        <v>1494.7879880253049</v>
      </c>
      <c r="Y337" s="69">
        <f t="shared" ca="1" si="253"/>
        <v>1208.4960030555824</v>
      </c>
      <c r="AA337" s="20">
        <f t="shared" ca="1" si="213"/>
        <v>6.5473674654562528E+16</v>
      </c>
      <c r="AB337" s="20">
        <f t="shared" ca="1" si="214"/>
        <v>1681270289741396.3</v>
      </c>
      <c r="AC337" s="20">
        <f t="shared" ca="1" si="215"/>
        <v>398203021442897.31</v>
      </c>
      <c r="AD337" s="20">
        <f t="shared" ca="1" si="216"/>
        <v>307514476995744</v>
      </c>
      <c r="AE337" s="20">
        <f t="shared" ca="1" si="217"/>
        <v>6864151448599585</v>
      </c>
      <c r="AG337" s="16">
        <f t="shared" ca="1" si="218"/>
        <v>3.6992610127376197E-4</v>
      </c>
      <c r="AH337" s="16">
        <f t="shared" ca="1" si="219"/>
        <v>6.1305354259343076E-5</v>
      </c>
      <c r="AI337" s="16">
        <f t="shared" ca="1" si="220"/>
        <v>-4.0143744308794752E-5</v>
      </c>
      <c r="AJ337" s="16">
        <f t="shared" ca="1" si="221"/>
        <v>1.5859470068900943E-3</v>
      </c>
      <c r="AK337" s="16">
        <f t="shared" ca="1" si="222"/>
        <v>4.536874414013974E-4</v>
      </c>
      <c r="AM337" s="16">
        <f t="shared" ca="1" si="223"/>
        <v>1.9770347181144047E-3</v>
      </c>
      <c r="AO337" s="16">
        <f t="shared" ca="1" si="224"/>
        <v>0</v>
      </c>
      <c r="AP337" s="16">
        <f t="shared" ca="1" si="225"/>
        <v>0</v>
      </c>
      <c r="AQ337" s="16">
        <f t="shared" ca="1" si="226"/>
        <v>-4.0143744308794752E-5</v>
      </c>
      <c r="AR337" s="16">
        <f t="shared" ca="1" si="227"/>
        <v>0</v>
      </c>
      <c r="AS337" s="16">
        <f t="shared" ca="1" si="228"/>
        <v>0</v>
      </c>
    </row>
    <row r="338" spans="1:45" x14ac:dyDescent="0.25">
      <c r="A338" s="69">
        <f t="shared" ca="1" si="229"/>
        <v>2451.1664568602009</v>
      </c>
      <c r="B338" s="69">
        <f t="shared" ca="1" si="230"/>
        <v>2134.4987449788591</v>
      </c>
      <c r="C338" s="69">
        <f t="shared" ca="1" si="231"/>
        <v>2227.1685718518843</v>
      </c>
      <c r="D338" s="69">
        <f t="shared" ca="1" si="232"/>
        <v>2910.3047250527102</v>
      </c>
      <c r="E338" s="69">
        <f t="shared" ca="1" si="233"/>
        <v>1931.3772447189551</v>
      </c>
      <c r="F338" s="69">
        <f t="shared" ca="1" si="234"/>
        <v>1222.671441939078</v>
      </c>
      <c r="G338" s="69">
        <f t="shared" ca="1" si="235"/>
        <v>960.84232232718921</v>
      </c>
      <c r="H338" s="69">
        <f t="shared" ca="1" si="236"/>
        <v>1190.2736804561755</v>
      </c>
      <c r="I338" s="69">
        <f t="shared" ca="1" si="237"/>
        <v>1049.3913406790919</v>
      </c>
      <c r="J338" s="69">
        <f t="shared" ca="1" si="238"/>
        <v>1145.8241295362304</v>
      </c>
      <c r="K338" s="69">
        <f t="shared" ca="1" si="239"/>
        <v>1178.9861652566115</v>
      </c>
      <c r="L338" s="69">
        <f t="shared" ca="1" si="240"/>
        <v>953.34668697457744</v>
      </c>
      <c r="M338" s="69">
        <f t="shared" ca="1" si="241"/>
        <v>989.93800803241913</v>
      </c>
      <c r="N338" s="69">
        <f t="shared" ca="1" si="242"/>
        <v>569.39717409494631</v>
      </c>
      <c r="O338" s="69">
        <f t="shared" ca="1" si="243"/>
        <v>628.49849165211447</v>
      </c>
      <c r="P338" s="69">
        <f t="shared" ca="1" si="244"/>
        <v>724.88819871440785</v>
      </c>
      <c r="Q338" s="69">
        <f t="shared" ca="1" si="245"/>
        <v>953.60774057255719</v>
      </c>
      <c r="R338" s="69">
        <f t="shared" ca="1" si="246"/>
        <v>785.96430251886557</v>
      </c>
      <c r="S338" s="69">
        <f t="shared" ca="1" si="247"/>
        <v>703.57349701690327</v>
      </c>
      <c r="T338" s="69">
        <f t="shared" ca="1" si="248"/>
        <v>805.75172513851555</v>
      </c>
      <c r="U338" s="69">
        <f t="shared" ca="1" si="249"/>
        <v>1689.6742416556181</v>
      </c>
      <c r="V338" s="69">
        <f t="shared" ca="1" si="250"/>
        <v>1913.6892684655788</v>
      </c>
      <c r="W338" s="69">
        <f t="shared" ca="1" si="251"/>
        <v>1175.608965536393</v>
      </c>
      <c r="X338" s="69">
        <f t="shared" ca="1" si="252"/>
        <v>1494.454779494414</v>
      </c>
      <c r="Y338" s="69">
        <f t="shared" ca="1" si="253"/>
        <v>1208.8260719992502</v>
      </c>
      <c r="AA338" s="20">
        <f t="shared" ca="1" si="213"/>
        <v>6.5497899556199008E+16</v>
      </c>
      <c r="AB338" s="20">
        <f t="shared" ca="1" si="214"/>
        <v>1681373363771577.3</v>
      </c>
      <c r="AC338" s="20">
        <f t="shared" ca="1" si="215"/>
        <v>398187036403473.31</v>
      </c>
      <c r="AD338" s="20">
        <f t="shared" ca="1" si="216"/>
        <v>308002565599136.13</v>
      </c>
      <c r="AE338" s="20">
        <f t="shared" ca="1" si="217"/>
        <v>6867266334446558</v>
      </c>
      <c r="AG338" s="16">
        <f t="shared" ca="1" si="218"/>
        <v>2.3365245161410068E-4</v>
      </c>
      <c r="AH338" s="16">
        <f t="shared" ca="1" si="219"/>
        <v>3.9596478186870732E-4</v>
      </c>
      <c r="AI338" s="16">
        <f t="shared" ca="1" si="220"/>
        <v>1.8377814804889574E-4</v>
      </c>
      <c r="AJ338" s="16">
        <f t="shared" ca="1" si="221"/>
        <v>-3.7124638754300131E-4</v>
      </c>
      <c r="AK338" s="16">
        <f t="shared" ca="1" si="222"/>
        <v>-6.7705978753290156E-5</v>
      </c>
      <c r="AM338" s="16">
        <f t="shared" ca="1" si="223"/>
        <v>4.4214899398870245E-4</v>
      </c>
      <c r="AO338" s="16">
        <f t="shared" ca="1" si="224"/>
        <v>0</v>
      </c>
      <c r="AP338" s="16">
        <f t="shared" ca="1" si="225"/>
        <v>0</v>
      </c>
      <c r="AQ338" s="16">
        <f t="shared" ca="1" si="226"/>
        <v>0</v>
      </c>
      <c r="AR338" s="16">
        <f t="shared" ca="1" si="227"/>
        <v>-3.7124638754300131E-4</v>
      </c>
      <c r="AS338" s="16">
        <f t="shared" ca="1" si="228"/>
        <v>-6.7705978753290156E-5</v>
      </c>
    </row>
    <row r="339" spans="1:45" x14ac:dyDescent="0.25">
      <c r="A339" s="69">
        <f t="shared" ca="1" si="229"/>
        <v>2450.7186803236882</v>
      </c>
      <c r="B339" s="69">
        <f t="shared" ca="1" si="230"/>
        <v>2134.4987449788591</v>
      </c>
      <c r="C339" s="69">
        <f t="shared" ca="1" si="231"/>
        <v>2227.5859398093812</v>
      </c>
      <c r="D339" s="69">
        <f t="shared" ca="1" si="232"/>
        <v>2910.5854477431294</v>
      </c>
      <c r="E339" s="69">
        <f t="shared" ca="1" si="233"/>
        <v>1931.6331955652765</v>
      </c>
      <c r="F339" s="69">
        <f t="shared" ca="1" si="234"/>
        <v>1223.1304422200706</v>
      </c>
      <c r="G339" s="69">
        <f t="shared" ca="1" si="235"/>
        <v>961.04341139697635</v>
      </c>
      <c r="H339" s="69">
        <f t="shared" ca="1" si="236"/>
        <v>1189.7824306986263</v>
      </c>
      <c r="I339" s="69">
        <f t="shared" ca="1" si="237"/>
        <v>1049.6266095935807</v>
      </c>
      <c r="J339" s="69">
        <f t="shared" ca="1" si="238"/>
        <v>1145.8241295362304</v>
      </c>
      <c r="K339" s="69">
        <f t="shared" ca="1" si="239"/>
        <v>1178.9769185635125</v>
      </c>
      <c r="L339" s="69">
        <f t="shared" ca="1" si="240"/>
        <v>953.38550091387697</v>
      </c>
      <c r="M339" s="69">
        <f t="shared" ca="1" si="241"/>
        <v>989.93800803241913</v>
      </c>
      <c r="N339" s="69">
        <f t="shared" ca="1" si="242"/>
        <v>569.38230411374502</v>
      </c>
      <c r="O339" s="69">
        <f t="shared" ca="1" si="243"/>
        <v>628.60976095651313</v>
      </c>
      <c r="P339" s="69">
        <f t="shared" ca="1" si="244"/>
        <v>724.77151913743944</v>
      </c>
      <c r="Q339" s="69">
        <f t="shared" ca="1" si="245"/>
        <v>953.47295853195544</v>
      </c>
      <c r="R339" s="69">
        <f t="shared" ca="1" si="246"/>
        <v>785.91637305595702</v>
      </c>
      <c r="S339" s="69">
        <f t="shared" ca="1" si="247"/>
        <v>703.77728361734125</v>
      </c>
      <c r="T339" s="69">
        <f t="shared" ca="1" si="248"/>
        <v>805.51201602948595</v>
      </c>
      <c r="U339" s="69">
        <f t="shared" ca="1" si="249"/>
        <v>1689.88333731488</v>
      </c>
      <c r="V339" s="69">
        <f t="shared" ca="1" si="250"/>
        <v>1913.6705901770035</v>
      </c>
      <c r="W339" s="69">
        <f t="shared" ca="1" si="251"/>
        <v>1175.608965536393</v>
      </c>
      <c r="X339" s="69">
        <f t="shared" ca="1" si="252"/>
        <v>1494.1832811319666</v>
      </c>
      <c r="Y339" s="69">
        <f t="shared" ca="1" si="253"/>
        <v>1208.8260719992502</v>
      </c>
      <c r="AA339" s="20">
        <f t="shared" ca="1" si="213"/>
        <v>6.5513205089023896E+16</v>
      </c>
      <c r="AB339" s="20">
        <f t="shared" ca="1" si="214"/>
        <v>1682039260235876.8</v>
      </c>
      <c r="AC339" s="20">
        <f t="shared" ca="1" si="215"/>
        <v>398260221204278.25</v>
      </c>
      <c r="AD339" s="20">
        <f t="shared" ca="1" si="216"/>
        <v>307888241981731.5</v>
      </c>
      <c r="AE339" s="20">
        <f t="shared" ca="1" si="217"/>
        <v>6866801395197786</v>
      </c>
      <c r="AG339" s="16">
        <f t="shared" ca="1" si="218"/>
        <v>-5.4697213074051581E-4</v>
      </c>
      <c r="AH339" s="16">
        <f t="shared" ca="1" si="219"/>
        <v>1.1744461983930708E-3</v>
      </c>
      <c r="AI339" s="16">
        <f t="shared" ca="1" si="220"/>
        <v>-5.5337432562910021E-4</v>
      </c>
      <c r="AJ339" s="16">
        <f t="shared" ca="1" si="221"/>
        <v>-3.046803975599199E-5</v>
      </c>
      <c r="AK339" s="16">
        <f t="shared" ca="1" si="222"/>
        <v>4.249234623475808E-4</v>
      </c>
      <c r="AM339" s="16">
        <f t="shared" ca="1" si="223"/>
        <v>4.363170226746284E-5</v>
      </c>
      <c r="AO339" s="16">
        <f t="shared" ca="1" si="224"/>
        <v>-5.4697213074051581E-4</v>
      </c>
      <c r="AP339" s="16">
        <f t="shared" ca="1" si="225"/>
        <v>0</v>
      </c>
      <c r="AQ339" s="16">
        <f t="shared" ca="1" si="226"/>
        <v>-5.5337432562910021E-4</v>
      </c>
      <c r="AR339" s="16">
        <f t="shared" ca="1" si="227"/>
        <v>-3.046803975599199E-5</v>
      </c>
      <c r="AS339" s="16">
        <f t="shared" ca="1" si="228"/>
        <v>0</v>
      </c>
    </row>
    <row r="340" spans="1:45" x14ac:dyDescent="0.25">
      <c r="A340" s="69">
        <f t="shared" ca="1" si="229"/>
        <v>2451.0075776825229</v>
      </c>
      <c r="B340" s="69">
        <f t="shared" ca="1" si="230"/>
        <v>2133.9994826389116</v>
      </c>
      <c r="C340" s="69">
        <f t="shared" ca="1" si="231"/>
        <v>2227.1797664527508</v>
      </c>
      <c r="D340" s="69">
        <f t="shared" ca="1" si="232"/>
        <v>2910.1321796750517</v>
      </c>
      <c r="E340" s="69">
        <f t="shared" ca="1" si="233"/>
        <v>1931.453906722822</v>
      </c>
      <c r="F340" s="69">
        <f t="shared" ca="1" si="234"/>
        <v>1223.3849243977052</v>
      </c>
      <c r="G340" s="69">
        <f t="shared" ca="1" si="235"/>
        <v>961.53369575858335</v>
      </c>
      <c r="H340" s="69">
        <f t="shared" ca="1" si="236"/>
        <v>1189.7824306986263</v>
      </c>
      <c r="I340" s="69">
        <f t="shared" ca="1" si="237"/>
        <v>1049.9827952771052</v>
      </c>
      <c r="J340" s="69">
        <f t="shared" ca="1" si="238"/>
        <v>1145.9583063828491</v>
      </c>
      <c r="K340" s="69">
        <f t="shared" ca="1" si="239"/>
        <v>1178.9769185635125</v>
      </c>
      <c r="L340" s="69">
        <f t="shared" ca="1" si="240"/>
        <v>953.2154458320357</v>
      </c>
      <c r="M340" s="69">
        <f t="shared" ca="1" si="241"/>
        <v>989.90187984075806</v>
      </c>
      <c r="N340" s="69">
        <f t="shared" ca="1" si="242"/>
        <v>569.1896050065759</v>
      </c>
      <c r="O340" s="69">
        <f t="shared" ca="1" si="243"/>
        <v>628.60976095651313</v>
      </c>
      <c r="P340" s="69">
        <f t="shared" ca="1" si="244"/>
        <v>724.72634497414936</v>
      </c>
      <c r="Q340" s="69">
        <f t="shared" ca="1" si="245"/>
        <v>953.47295853195544</v>
      </c>
      <c r="R340" s="69">
        <f t="shared" ca="1" si="246"/>
        <v>785.94141490097161</v>
      </c>
      <c r="S340" s="69">
        <f t="shared" ca="1" si="247"/>
        <v>703.77728361734125</v>
      </c>
      <c r="T340" s="69">
        <f t="shared" ca="1" si="248"/>
        <v>805.51201602948595</v>
      </c>
      <c r="U340" s="69">
        <f t="shared" ca="1" si="249"/>
        <v>1689.88333731488</v>
      </c>
      <c r="V340" s="69">
        <f t="shared" ca="1" si="250"/>
        <v>1913.7658037445365</v>
      </c>
      <c r="W340" s="69">
        <f t="shared" ca="1" si="251"/>
        <v>1176.0501018283614</v>
      </c>
      <c r="X340" s="69">
        <f t="shared" ca="1" si="252"/>
        <v>1494.1832811319666</v>
      </c>
      <c r="Y340" s="69">
        <f t="shared" ca="1" si="253"/>
        <v>1208.8260719992502</v>
      </c>
      <c r="AA340" s="20">
        <f t="shared" ca="1" si="213"/>
        <v>6.5477380989929768E+16</v>
      </c>
      <c r="AB340" s="20">
        <f t="shared" ca="1" si="214"/>
        <v>1684015885343329.8</v>
      </c>
      <c r="AC340" s="20">
        <f t="shared" ca="1" si="215"/>
        <v>398039895189946.63</v>
      </c>
      <c r="AD340" s="20">
        <f t="shared" ca="1" si="216"/>
        <v>307878861373439.5</v>
      </c>
      <c r="AE340" s="20">
        <f t="shared" ca="1" si="217"/>
        <v>6869719880244358</v>
      </c>
      <c r="AG340" s="16">
        <f t="shared" ca="1" si="218"/>
        <v>-6.2139409505061326E-5</v>
      </c>
      <c r="AH340" s="16">
        <f t="shared" ca="1" si="219"/>
        <v>-1.9470752534609466E-4</v>
      </c>
      <c r="AI340" s="16">
        <f t="shared" ca="1" si="220"/>
        <v>-4.6085093072790372E-4</v>
      </c>
      <c r="AJ340" s="16">
        <f t="shared" ca="1" si="221"/>
        <v>-1.8373518942979274E-4</v>
      </c>
      <c r="AK340" s="16">
        <f t="shared" ca="1" si="222"/>
        <v>-3.1841499307321843E-4</v>
      </c>
      <c r="AM340" s="16">
        <f t="shared" ca="1" si="223"/>
        <v>-9.0143305500885239E-4</v>
      </c>
      <c r="AO340" s="16">
        <f t="shared" ca="1" si="224"/>
        <v>-6.2139409505061326E-5</v>
      </c>
      <c r="AP340" s="16">
        <f t="shared" ca="1" si="225"/>
        <v>-1.9470752534609466E-4</v>
      </c>
      <c r="AQ340" s="16">
        <f t="shared" ca="1" si="226"/>
        <v>-4.6085093072790372E-4</v>
      </c>
      <c r="AR340" s="16">
        <f t="shared" ca="1" si="227"/>
        <v>-1.8373518942979274E-4</v>
      </c>
      <c r="AS340" s="16">
        <f t="shared" ca="1" si="228"/>
        <v>-3.1841499307321843E-4</v>
      </c>
    </row>
    <row r="341" spans="1:45" x14ac:dyDescent="0.25">
      <c r="A341" s="69">
        <f t="shared" ca="1" si="229"/>
        <v>2451.0075776825229</v>
      </c>
      <c r="B341" s="69">
        <f t="shared" ca="1" si="230"/>
        <v>2133.9994826389116</v>
      </c>
      <c r="C341" s="69">
        <f t="shared" ca="1" si="231"/>
        <v>2227.1797664527508</v>
      </c>
      <c r="D341" s="69">
        <f t="shared" ca="1" si="232"/>
        <v>2909.9158597544224</v>
      </c>
      <c r="E341" s="69">
        <f t="shared" ca="1" si="233"/>
        <v>1931.4774642678733</v>
      </c>
      <c r="F341" s="69">
        <f t="shared" ca="1" si="234"/>
        <v>1223.3849243977052</v>
      </c>
      <c r="G341" s="69">
        <f t="shared" ca="1" si="235"/>
        <v>961.66147168972202</v>
      </c>
      <c r="H341" s="69">
        <f t="shared" ca="1" si="236"/>
        <v>1189.9569930195732</v>
      </c>
      <c r="I341" s="69">
        <f t="shared" ca="1" si="237"/>
        <v>1049.7779063676019</v>
      </c>
      <c r="J341" s="69">
        <f t="shared" ca="1" si="238"/>
        <v>1145.6384695077456</v>
      </c>
      <c r="K341" s="69">
        <f t="shared" ca="1" si="239"/>
        <v>1178.6005804722736</v>
      </c>
      <c r="L341" s="69">
        <f t="shared" ca="1" si="240"/>
        <v>953.00747637781421</v>
      </c>
      <c r="M341" s="69">
        <f t="shared" ca="1" si="241"/>
        <v>989.72928773909302</v>
      </c>
      <c r="N341" s="69">
        <f t="shared" ca="1" si="242"/>
        <v>569.31021156119493</v>
      </c>
      <c r="O341" s="69">
        <f t="shared" ca="1" si="243"/>
        <v>628.63434423552462</v>
      </c>
      <c r="P341" s="69">
        <f t="shared" ca="1" si="244"/>
        <v>724.62521110298803</v>
      </c>
      <c r="Q341" s="69">
        <f t="shared" ca="1" si="245"/>
        <v>953.70833778952976</v>
      </c>
      <c r="R341" s="69">
        <f t="shared" ca="1" si="246"/>
        <v>785.94141490097161</v>
      </c>
      <c r="S341" s="69">
        <f t="shared" ca="1" si="247"/>
        <v>703.98536689784976</v>
      </c>
      <c r="T341" s="69">
        <f t="shared" ca="1" si="248"/>
        <v>805.03961293786028</v>
      </c>
      <c r="U341" s="69">
        <f t="shared" ca="1" si="249"/>
        <v>1689.88333731488</v>
      </c>
      <c r="V341" s="69">
        <f t="shared" ca="1" si="250"/>
        <v>1913.7658037445365</v>
      </c>
      <c r="W341" s="69">
        <f t="shared" ca="1" si="251"/>
        <v>1176.0501018283614</v>
      </c>
      <c r="X341" s="69">
        <f t="shared" ca="1" si="252"/>
        <v>1493.7075865110237</v>
      </c>
      <c r="Y341" s="69">
        <f t="shared" ca="1" si="253"/>
        <v>1208.8260719992502</v>
      </c>
      <c r="AA341" s="20">
        <f t="shared" ca="1" si="213"/>
        <v>6.5473312390550608E+16</v>
      </c>
      <c r="AB341" s="20">
        <f t="shared" ca="1" si="214"/>
        <v>1683688026696959.8</v>
      </c>
      <c r="AC341" s="20">
        <f t="shared" ca="1" si="215"/>
        <v>397856500395858.13</v>
      </c>
      <c r="AD341" s="20">
        <f t="shared" ca="1" si="216"/>
        <v>307822298388988.06</v>
      </c>
      <c r="AE341" s="20">
        <f t="shared" ca="1" si="217"/>
        <v>6867532806653265</v>
      </c>
      <c r="AG341" s="16">
        <f t="shared" ca="1" si="218"/>
        <v>7.5593151749034189E-5</v>
      </c>
      <c r="AH341" s="16">
        <f t="shared" ca="1" si="219"/>
        <v>2.2832834234328716E-5</v>
      </c>
      <c r="AI341" s="16">
        <f t="shared" ca="1" si="220"/>
        <v>2.9198350048596623E-5</v>
      </c>
      <c r="AJ341" s="16">
        <f t="shared" ca="1" si="221"/>
        <v>1.7046568158206345E-4</v>
      </c>
      <c r="AK341" s="16">
        <f t="shared" ca="1" si="222"/>
        <v>-8.3650831410982823E-4</v>
      </c>
      <c r="AM341" s="16">
        <f t="shared" ca="1" si="223"/>
        <v>2.9809001761402297E-4</v>
      </c>
      <c r="AO341" s="16">
        <f t="shared" ca="1" si="224"/>
        <v>0</v>
      </c>
      <c r="AP341" s="16">
        <f t="shared" ca="1" si="225"/>
        <v>0</v>
      </c>
      <c r="AQ341" s="16">
        <f t="shared" ca="1" si="226"/>
        <v>0</v>
      </c>
      <c r="AR341" s="16">
        <f t="shared" ca="1" si="227"/>
        <v>0</v>
      </c>
      <c r="AS341" s="16">
        <f t="shared" ca="1" si="228"/>
        <v>-8.3650831410982823E-4</v>
      </c>
    </row>
    <row r="342" spans="1:45" x14ac:dyDescent="0.25">
      <c r="A342" s="69">
        <f t="shared" ca="1" si="229"/>
        <v>2451.3234962978822</v>
      </c>
      <c r="B342" s="69">
        <f t="shared" ca="1" si="230"/>
        <v>2133.9994826389116</v>
      </c>
      <c r="C342" s="69">
        <f t="shared" ca="1" si="231"/>
        <v>2227.352893933627</v>
      </c>
      <c r="D342" s="69">
        <f t="shared" ca="1" si="232"/>
        <v>2909.9335689598852</v>
      </c>
      <c r="E342" s="69">
        <f t="shared" ca="1" si="233"/>
        <v>1931.2126601894777</v>
      </c>
      <c r="F342" s="69">
        <f t="shared" ca="1" si="234"/>
        <v>1223.2164819362929</v>
      </c>
      <c r="G342" s="69">
        <f t="shared" ca="1" si="235"/>
        <v>961.21990814984758</v>
      </c>
      <c r="H342" s="69">
        <f t="shared" ca="1" si="236"/>
        <v>1189.9569930195732</v>
      </c>
      <c r="I342" s="69">
        <f t="shared" ca="1" si="237"/>
        <v>1050.0423938641347</v>
      </c>
      <c r="J342" s="69">
        <f t="shared" ca="1" si="238"/>
        <v>1146.060011706425</v>
      </c>
      <c r="K342" s="69">
        <f t="shared" ca="1" si="239"/>
        <v>1178.3945447102442</v>
      </c>
      <c r="L342" s="69">
        <f t="shared" ca="1" si="240"/>
        <v>953.00747637781421</v>
      </c>
      <c r="M342" s="69">
        <f t="shared" ca="1" si="241"/>
        <v>989.93124036237987</v>
      </c>
      <c r="N342" s="69">
        <f t="shared" ca="1" si="242"/>
        <v>569.31021156119493</v>
      </c>
      <c r="O342" s="69">
        <f t="shared" ca="1" si="243"/>
        <v>628.63434423552462</v>
      </c>
      <c r="P342" s="69">
        <f t="shared" ca="1" si="244"/>
        <v>725.02618117723489</v>
      </c>
      <c r="Q342" s="69">
        <f t="shared" ca="1" si="245"/>
        <v>953.70833778952976</v>
      </c>
      <c r="R342" s="69">
        <f t="shared" ca="1" si="246"/>
        <v>786.03301545221962</v>
      </c>
      <c r="S342" s="69">
        <f t="shared" ca="1" si="247"/>
        <v>703.99037707270088</v>
      </c>
      <c r="T342" s="69">
        <f t="shared" ca="1" si="248"/>
        <v>804.63205342628407</v>
      </c>
      <c r="U342" s="69">
        <f t="shared" ca="1" si="249"/>
        <v>1689.88333731488</v>
      </c>
      <c r="V342" s="69">
        <f t="shared" ca="1" si="250"/>
        <v>1913.3576149887831</v>
      </c>
      <c r="W342" s="69">
        <f t="shared" ca="1" si="251"/>
        <v>1175.6738636761065</v>
      </c>
      <c r="X342" s="69">
        <f t="shared" ca="1" si="252"/>
        <v>1493.2547230818222</v>
      </c>
      <c r="Y342" s="69">
        <f t="shared" ca="1" si="253"/>
        <v>1208.8260719992502</v>
      </c>
      <c r="AA342" s="20">
        <f t="shared" ca="1" si="213"/>
        <v>6.5478261911662248E+16</v>
      </c>
      <c r="AB342" s="20">
        <f t="shared" ca="1" si="214"/>
        <v>1683726470505464.5</v>
      </c>
      <c r="AC342" s="20">
        <f t="shared" ca="1" si="215"/>
        <v>397868117318822.5</v>
      </c>
      <c r="AD342" s="20">
        <f t="shared" ca="1" si="216"/>
        <v>307874775999577.88</v>
      </c>
      <c r="AE342" s="20">
        <f t="shared" ca="1" si="217"/>
        <v>6861790460458094</v>
      </c>
      <c r="AG342" s="16">
        <f t="shared" ca="1" si="218"/>
        <v>-3.7161882297164723E-5</v>
      </c>
      <c r="AH342" s="16">
        <f t="shared" ca="1" si="219"/>
        <v>-3.0982916823161648E-4</v>
      </c>
      <c r="AI342" s="16">
        <f t="shared" ca="1" si="220"/>
        <v>-1.060186913373894E-6</v>
      </c>
      <c r="AJ342" s="16">
        <f t="shared" ca="1" si="221"/>
        <v>2.7288533234041284E-4</v>
      </c>
      <c r="AK342" s="16">
        <f t="shared" ca="1" si="222"/>
        <v>6.4352184434135148E-4</v>
      </c>
      <c r="AM342" s="16">
        <f t="shared" ca="1" si="223"/>
        <v>-7.5165905101742228E-5</v>
      </c>
      <c r="AO342" s="16">
        <f t="shared" ca="1" si="224"/>
        <v>-3.7161882297164723E-5</v>
      </c>
      <c r="AP342" s="16">
        <f t="shared" ca="1" si="225"/>
        <v>-3.0982916823161648E-4</v>
      </c>
      <c r="AQ342" s="16">
        <f t="shared" ca="1" si="226"/>
        <v>-1.060186913373894E-6</v>
      </c>
      <c r="AR342" s="16">
        <f t="shared" ca="1" si="227"/>
        <v>0</v>
      </c>
      <c r="AS342" s="16">
        <f t="shared" ca="1" si="228"/>
        <v>0</v>
      </c>
    </row>
    <row r="343" spans="1:45" x14ac:dyDescent="0.25">
      <c r="A343" s="69">
        <f t="shared" ca="1" si="229"/>
        <v>2451.5597306973414</v>
      </c>
      <c r="B343" s="69">
        <f t="shared" ca="1" si="230"/>
        <v>2134.0545707458359</v>
      </c>
      <c r="C343" s="69">
        <f t="shared" ca="1" si="231"/>
        <v>2227.352893933627</v>
      </c>
      <c r="D343" s="69">
        <f t="shared" ca="1" si="232"/>
        <v>2909.4699326040636</v>
      </c>
      <c r="E343" s="69">
        <f t="shared" ca="1" si="233"/>
        <v>1931.2126601894777</v>
      </c>
      <c r="F343" s="69">
        <f t="shared" ca="1" si="234"/>
        <v>1223.2164819362929</v>
      </c>
      <c r="G343" s="69">
        <f t="shared" ca="1" si="235"/>
        <v>961.19987243100229</v>
      </c>
      <c r="H343" s="69">
        <f t="shared" ca="1" si="236"/>
        <v>1189.9885230526243</v>
      </c>
      <c r="I343" s="69">
        <f t="shared" ca="1" si="237"/>
        <v>1050.0423938641347</v>
      </c>
      <c r="J343" s="69">
        <f t="shared" ca="1" si="238"/>
        <v>1145.6985081958871</v>
      </c>
      <c r="K343" s="69">
        <f t="shared" ca="1" si="239"/>
        <v>1177.9640148860685</v>
      </c>
      <c r="L343" s="69">
        <f t="shared" ca="1" si="240"/>
        <v>953.37296606317079</v>
      </c>
      <c r="M343" s="69">
        <f t="shared" ca="1" si="241"/>
        <v>989.9123537259012</v>
      </c>
      <c r="N343" s="69">
        <f t="shared" ca="1" si="242"/>
        <v>569.31021156119493</v>
      </c>
      <c r="O343" s="69">
        <f t="shared" ca="1" si="243"/>
        <v>628.63434423552462</v>
      </c>
      <c r="P343" s="69">
        <f t="shared" ca="1" si="244"/>
        <v>725.00967403560026</v>
      </c>
      <c r="Q343" s="69">
        <f t="shared" ca="1" si="245"/>
        <v>954.12361984262179</v>
      </c>
      <c r="R343" s="69">
        <f t="shared" ca="1" si="246"/>
        <v>785.67549438126923</v>
      </c>
      <c r="S343" s="69">
        <f t="shared" ca="1" si="247"/>
        <v>704.21234821971439</v>
      </c>
      <c r="T343" s="69">
        <f t="shared" ca="1" si="248"/>
        <v>804.63205342628407</v>
      </c>
      <c r="U343" s="69">
        <f t="shared" ca="1" si="249"/>
        <v>1690.3356388096784</v>
      </c>
      <c r="V343" s="69">
        <f t="shared" ca="1" si="250"/>
        <v>1913.3576149887831</v>
      </c>
      <c r="W343" s="69">
        <f t="shared" ca="1" si="251"/>
        <v>1175.904185049141</v>
      </c>
      <c r="X343" s="69">
        <f t="shared" ca="1" si="252"/>
        <v>1493.7462524693929</v>
      </c>
      <c r="Y343" s="69">
        <f t="shared" ca="1" si="253"/>
        <v>1208.6458569634915</v>
      </c>
      <c r="AA343" s="20">
        <f t="shared" ca="1" si="213"/>
        <v>6.5475828661412424E+16</v>
      </c>
      <c r="AB343" s="20">
        <f t="shared" ca="1" si="214"/>
        <v>1683204883739147.8</v>
      </c>
      <c r="AC343" s="20">
        <f t="shared" ca="1" si="215"/>
        <v>397867695504474.88</v>
      </c>
      <c r="AD343" s="20">
        <f t="shared" ca="1" si="216"/>
        <v>307958801974352.38</v>
      </c>
      <c r="AE343" s="20">
        <f t="shared" ca="1" si="217"/>
        <v>6866207593619096</v>
      </c>
      <c r="AG343" s="16">
        <f t="shared" ca="1" si="218"/>
        <v>2.2307101123934689E-4</v>
      </c>
      <c r="AH343" s="16">
        <f t="shared" ca="1" si="219"/>
        <v>3.6225026731228064E-5</v>
      </c>
      <c r="AI343" s="16">
        <f t="shared" ca="1" si="220"/>
        <v>-8.0112673561205232E-5</v>
      </c>
      <c r="AJ343" s="16">
        <f t="shared" ca="1" si="221"/>
        <v>2.4697243433183758E-5</v>
      </c>
      <c r="AK343" s="16">
        <f t="shared" ca="1" si="222"/>
        <v>5.3609439313103801E-4</v>
      </c>
      <c r="AM343" s="16">
        <f t="shared" ca="1" si="223"/>
        <v>2.0388060784255345E-4</v>
      </c>
      <c r="AO343" s="16">
        <f t="shared" ca="1" si="224"/>
        <v>0</v>
      </c>
      <c r="AP343" s="16">
        <f t="shared" ca="1" si="225"/>
        <v>0</v>
      </c>
      <c r="AQ343" s="16">
        <f t="shared" ca="1" si="226"/>
        <v>-8.0112673561205232E-5</v>
      </c>
      <c r="AR343" s="16">
        <f t="shared" ca="1" si="227"/>
        <v>0</v>
      </c>
      <c r="AS343" s="16">
        <f t="shared" ca="1" si="228"/>
        <v>0</v>
      </c>
    </row>
    <row r="344" spans="1:45" x14ac:dyDescent="0.25">
      <c r="A344" s="69">
        <f t="shared" ca="1" si="229"/>
        <v>2451.8751685084972</v>
      </c>
      <c r="B344" s="69">
        <f t="shared" ca="1" si="230"/>
        <v>2134.0545707458359</v>
      </c>
      <c r="C344" s="69">
        <f t="shared" ca="1" si="231"/>
        <v>2227.5631906409899</v>
      </c>
      <c r="D344" s="69">
        <f t="shared" ca="1" si="232"/>
        <v>2909.4699326040636</v>
      </c>
      <c r="E344" s="69">
        <f t="shared" ca="1" si="233"/>
        <v>1931.2126601894777</v>
      </c>
      <c r="F344" s="69">
        <f t="shared" ca="1" si="234"/>
        <v>1223.4174262921831</v>
      </c>
      <c r="G344" s="69">
        <f t="shared" ca="1" si="235"/>
        <v>961.19987243100229</v>
      </c>
      <c r="H344" s="69">
        <f t="shared" ca="1" si="236"/>
        <v>1189.8361704070398</v>
      </c>
      <c r="I344" s="69">
        <f t="shared" ca="1" si="237"/>
        <v>1050.0423938641347</v>
      </c>
      <c r="J344" s="69">
        <f t="shared" ca="1" si="238"/>
        <v>1145.6985081958871</v>
      </c>
      <c r="K344" s="69">
        <f t="shared" ca="1" si="239"/>
        <v>1177.9640148860685</v>
      </c>
      <c r="L344" s="69">
        <f t="shared" ca="1" si="240"/>
        <v>953.37296606317079</v>
      </c>
      <c r="M344" s="69">
        <f t="shared" ca="1" si="241"/>
        <v>989.82974465854841</v>
      </c>
      <c r="N344" s="69">
        <f t="shared" ca="1" si="242"/>
        <v>569.45435505585374</v>
      </c>
      <c r="O344" s="69">
        <f t="shared" ca="1" si="243"/>
        <v>628.47732094715707</v>
      </c>
      <c r="P344" s="69">
        <f t="shared" ca="1" si="244"/>
        <v>725.00967403560026</v>
      </c>
      <c r="Q344" s="69">
        <f t="shared" ca="1" si="245"/>
        <v>954.12361984262179</v>
      </c>
      <c r="R344" s="69">
        <f t="shared" ca="1" si="246"/>
        <v>785.90418037229836</v>
      </c>
      <c r="S344" s="69">
        <f t="shared" ca="1" si="247"/>
        <v>704.22580727825493</v>
      </c>
      <c r="T344" s="69">
        <f t="shared" ca="1" si="248"/>
        <v>804.40241065700388</v>
      </c>
      <c r="U344" s="69">
        <f t="shared" ca="1" si="249"/>
        <v>1690.5776022835344</v>
      </c>
      <c r="V344" s="69">
        <f t="shared" ca="1" si="250"/>
        <v>1913.7975098466288</v>
      </c>
      <c r="W344" s="69">
        <f t="shared" ca="1" si="251"/>
        <v>1176.1862792097022</v>
      </c>
      <c r="X344" s="69">
        <f t="shared" ca="1" si="252"/>
        <v>1494.1319850322325</v>
      </c>
      <c r="Y344" s="69">
        <f t="shared" ca="1" si="253"/>
        <v>1208.2410446924632</v>
      </c>
      <c r="AA344" s="20">
        <f t="shared" ca="1" si="213"/>
        <v>6.5490436049905552E+16</v>
      </c>
      <c r="AB344" s="20">
        <f t="shared" ca="1" si="214"/>
        <v>1683265858985463.5</v>
      </c>
      <c r="AC344" s="20">
        <f t="shared" ca="1" si="215"/>
        <v>397835822536395.75</v>
      </c>
      <c r="AD344" s="20">
        <f t="shared" ca="1" si="216"/>
        <v>307966407801773.25</v>
      </c>
      <c r="AE344" s="20">
        <f t="shared" ca="1" si="217"/>
        <v>6869889515852861</v>
      </c>
      <c r="AG344" s="16">
        <f t="shared" ca="1" si="218"/>
        <v>3.3966973809588196E-4</v>
      </c>
      <c r="AH344" s="16">
        <f t="shared" ca="1" si="219"/>
        <v>7.3205113809056974E-4</v>
      </c>
      <c r="AI344" s="16">
        <f t="shared" ca="1" si="220"/>
        <v>1.1809056294174673E-3</v>
      </c>
      <c r="AJ344" s="16">
        <f t="shared" ca="1" si="221"/>
        <v>-4.098246095201533E-4</v>
      </c>
      <c r="AK344" s="16">
        <f t="shared" ca="1" si="222"/>
        <v>4.5114511794198411E-4</v>
      </c>
      <c r="AM344" s="16">
        <f t="shared" ca="1" si="223"/>
        <v>1.8428018960837654E-3</v>
      </c>
      <c r="AO344" s="16">
        <f t="shared" ca="1" si="224"/>
        <v>0</v>
      </c>
      <c r="AP344" s="16">
        <f t="shared" ca="1" si="225"/>
        <v>0</v>
      </c>
      <c r="AQ344" s="16">
        <f t="shared" ca="1" si="226"/>
        <v>0</v>
      </c>
      <c r="AR344" s="16">
        <f t="shared" ca="1" si="227"/>
        <v>-4.098246095201533E-4</v>
      </c>
      <c r="AS344" s="16">
        <f t="shared" ca="1" si="228"/>
        <v>0</v>
      </c>
    </row>
    <row r="345" spans="1:45" x14ac:dyDescent="0.25">
      <c r="A345" s="69">
        <f t="shared" ca="1" si="229"/>
        <v>2452.0369138519022</v>
      </c>
      <c r="B345" s="69">
        <f t="shared" ca="1" si="230"/>
        <v>2134.0545707458359</v>
      </c>
      <c r="C345" s="69">
        <f t="shared" ca="1" si="231"/>
        <v>2228.0358715100961</v>
      </c>
      <c r="D345" s="69">
        <f t="shared" ca="1" si="232"/>
        <v>2909.4699326040636</v>
      </c>
      <c r="E345" s="69">
        <f t="shared" ca="1" si="233"/>
        <v>1931.331491391963</v>
      </c>
      <c r="F345" s="69">
        <f t="shared" ca="1" si="234"/>
        <v>1223.3020593076401</v>
      </c>
      <c r="G345" s="69">
        <f t="shared" ca="1" si="235"/>
        <v>961.29833381204116</v>
      </c>
      <c r="H345" s="69">
        <f t="shared" ca="1" si="236"/>
        <v>1189.8361704070398</v>
      </c>
      <c r="I345" s="69">
        <f t="shared" ca="1" si="237"/>
        <v>1050.3663212985746</v>
      </c>
      <c r="J345" s="69">
        <f t="shared" ca="1" si="238"/>
        <v>1146.1746237334237</v>
      </c>
      <c r="K345" s="69">
        <f t="shared" ca="1" si="239"/>
        <v>1178.0247023408199</v>
      </c>
      <c r="L345" s="69">
        <f t="shared" ca="1" si="240"/>
        <v>953.40644872340908</v>
      </c>
      <c r="M345" s="69">
        <f t="shared" ca="1" si="241"/>
        <v>990.31572057154722</v>
      </c>
      <c r="N345" s="69">
        <f t="shared" ca="1" si="242"/>
        <v>569.45435505585374</v>
      </c>
      <c r="O345" s="69">
        <f t="shared" ca="1" si="243"/>
        <v>628.8566709950311</v>
      </c>
      <c r="P345" s="69">
        <f t="shared" ca="1" si="244"/>
        <v>725.18858429981663</v>
      </c>
      <c r="Q345" s="69">
        <f t="shared" ca="1" si="245"/>
        <v>954.12361984262179</v>
      </c>
      <c r="R345" s="69">
        <f t="shared" ca="1" si="246"/>
        <v>785.41043051300289</v>
      </c>
      <c r="S345" s="69">
        <f t="shared" ca="1" si="247"/>
        <v>704.64257748514149</v>
      </c>
      <c r="T345" s="69">
        <f t="shared" ca="1" si="248"/>
        <v>803.90403880032977</v>
      </c>
      <c r="U345" s="69">
        <f t="shared" ca="1" si="249"/>
        <v>1690.5319753047058</v>
      </c>
      <c r="V345" s="69">
        <f t="shared" ca="1" si="250"/>
        <v>1913.7975098466288</v>
      </c>
      <c r="W345" s="69">
        <f t="shared" ca="1" si="251"/>
        <v>1176.378286766608</v>
      </c>
      <c r="X345" s="69">
        <f t="shared" ca="1" si="252"/>
        <v>1494.6025641517417</v>
      </c>
      <c r="Y345" s="69">
        <f t="shared" ca="1" si="253"/>
        <v>1208.2410446924632</v>
      </c>
      <c r="AA345" s="20">
        <f t="shared" ca="1" si="213"/>
        <v>6.5512684947591112E+16</v>
      </c>
      <c r="AB345" s="20">
        <f t="shared" ca="1" si="214"/>
        <v>1684498546813457</v>
      </c>
      <c r="AC345" s="20">
        <f t="shared" ca="1" si="215"/>
        <v>398305906606646.13</v>
      </c>
      <c r="AD345" s="20">
        <f t="shared" ca="1" si="216"/>
        <v>307840221447853.31</v>
      </c>
      <c r="AE345" s="20">
        <f t="shared" ca="1" si="217"/>
        <v>6872989532194779</v>
      </c>
      <c r="AG345" s="16">
        <f t="shared" ca="1" si="218"/>
        <v>5.0655312364832809E-4</v>
      </c>
      <c r="AH345" s="16">
        <f t="shared" ca="1" si="219"/>
        <v>2.1634005072430535E-4</v>
      </c>
      <c r="AI345" s="16">
        <f t="shared" ca="1" si="220"/>
        <v>1.2829224772641486E-4</v>
      </c>
      <c r="AJ345" s="16">
        <f t="shared" ca="1" si="221"/>
        <v>-5.5739887897731876E-5</v>
      </c>
      <c r="AK345" s="16">
        <f t="shared" ca="1" si="222"/>
        <v>1.9986123643258463E-4</v>
      </c>
      <c r="AM345" s="16">
        <f t="shared" ca="1" si="223"/>
        <v>7.9544553420131652E-4</v>
      </c>
      <c r="AO345" s="16">
        <f t="shared" ca="1" si="224"/>
        <v>0</v>
      </c>
      <c r="AP345" s="16">
        <f t="shared" ca="1" si="225"/>
        <v>0</v>
      </c>
      <c r="AQ345" s="16">
        <f t="shared" ca="1" si="226"/>
        <v>0</v>
      </c>
      <c r="AR345" s="16">
        <f t="shared" ca="1" si="227"/>
        <v>-5.5739887897731876E-5</v>
      </c>
      <c r="AS345" s="16">
        <f t="shared" ca="1" si="228"/>
        <v>0</v>
      </c>
    </row>
    <row r="346" spans="1:45" x14ac:dyDescent="0.25">
      <c r="A346" s="69">
        <f t="shared" ca="1" si="229"/>
        <v>2452.170011751839</v>
      </c>
      <c r="B346" s="69">
        <f t="shared" ca="1" si="230"/>
        <v>2134.2722621292737</v>
      </c>
      <c r="C346" s="69">
        <f t="shared" ca="1" si="231"/>
        <v>2228.0358715100961</v>
      </c>
      <c r="D346" s="69">
        <f t="shared" ca="1" si="232"/>
        <v>2909.8120322342934</v>
      </c>
      <c r="E346" s="69">
        <f t="shared" ca="1" si="233"/>
        <v>1931.7809575488945</v>
      </c>
      <c r="F346" s="69">
        <f t="shared" ca="1" si="234"/>
        <v>1223.3020593076401</v>
      </c>
      <c r="G346" s="69">
        <f t="shared" ca="1" si="235"/>
        <v>961.5063236397931</v>
      </c>
      <c r="H346" s="69">
        <f t="shared" ca="1" si="236"/>
        <v>1189.8361704070398</v>
      </c>
      <c r="I346" s="69">
        <f t="shared" ca="1" si="237"/>
        <v>1050.3663212985746</v>
      </c>
      <c r="J346" s="69">
        <f t="shared" ca="1" si="238"/>
        <v>1146.1746237334237</v>
      </c>
      <c r="K346" s="69">
        <f t="shared" ca="1" si="239"/>
        <v>1178.0247023408199</v>
      </c>
      <c r="L346" s="69">
        <f t="shared" ca="1" si="240"/>
        <v>953.84364494878935</v>
      </c>
      <c r="M346" s="69">
        <f t="shared" ca="1" si="241"/>
        <v>990.31572057154722</v>
      </c>
      <c r="N346" s="69">
        <f t="shared" ca="1" si="242"/>
        <v>569.45435505585374</v>
      </c>
      <c r="O346" s="69">
        <f t="shared" ca="1" si="243"/>
        <v>628.64907885756838</v>
      </c>
      <c r="P346" s="69">
        <f t="shared" ca="1" si="244"/>
        <v>724.94626238584522</v>
      </c>
      <c r="Q346" s="69">
        <f t="shared" ca="1" si="245"/>
        <v>954.12361984262179</v>
      </c>
      <c r="R346" s="69">
        <f t="shared" ca="1" si="246"/>
        <v>785.62917119220003</v>
      </c>
      <c r="S346" s="69">
        <f t="shared" ca="1" si="247"/>
        <v>704.64257748514149</v>
      </c>
      <c r="T346" s="69">
        <f t="shared" ca="1" si="248"/>
        <v>803.90403880032977</v>
      </c>
      <c r="U346" s="69">
        <f t="shared" ca="1" si="249"/>
        <v>1690.5319753047058</v>
      </c>
      <c r="V346" s="69">
        <f t="shared" ca="1" si="250"/>
        <v>1913.5809864369269</v>
      </c>
      <c r="W346" s="69">
        <f t="shared" ca="1" si="251"/>
        <v>1176.378286766608</v>
      </c>
      <c r="X346" s="69">
        <f t="shared" ca="1" si="252"/>
        <v>1494.9806181390243</v>
      </c>
      <c r="Y346" s="69">
        <f t="shared" ca="1" si="253"/>
        <v>1208.3136519570819</v>
      </c>
      <c r="AA346" s="20">
        <f t="shared" ca="1" si="213"/>
        <v>6.5545879009357952E+16</v>
      </c>
      <c r="AB346" s="20">
        <f t="shared" ca="1" si="214"/>
        <v>1684863010737170</v>
      </c>
      <c r="AC346" s="20">
        <f t="shared" ca="1" si="215"/>
        <v>398357009444666.25</v>
      </c>
      <c r="AD346" s="20">
        <f t="shared" ca="1" si="216"/>
        <v>307823062946630.31</v>
      </c>
      <c r="AE346" s="20">
        <f t="shared" ca="1" si="217"/>
        <v>6874363313658929</v>
      </c>
      <c r="AG346" s="16">
        <f t="shared" ca="1" si="218"/>
        <v>-8.0301134311659833E-5</v>
      </c>
      <c r="AH346" s="16">
        <f t="shared" ca="1" si="219"/>
        <v>-2.404041823560627E-4</v>
      </c>
      <c r="AI346" s="16">
        <f t="shared" ca="1" si="220"/>
        <v>-1.116177869130883E-3</v>
      </c>
      <c r="AJ346" s="16">
        <f t="shared" ca="1" si="221"/>
        <v>3.8028776627104554E-5</v>
      </c>
      <c r="AK346" s="16">
        <f t="shared" ca="1" si="222"/>
        <v>1.5746620836331503E-4</v>
      </c>
      <c r="AM346" s="16">
        <f t="shared" ca="1" si="223"/>
        <v>-1.3988544091715011E-3</v>
      </c>
      <c r="AO346" s="16">
        <f t="shared" ca="1" si="224"/>
        <v>-8.0301134311659833E-5</v>
      </c>
      <c r="AP346" s="16">
        <f t="shared" ca="1" si="225"/>
        <v>-2.404041823560627E-4</v>
      </c>
      <c r="AQ346" s="16">
        <f t="shared" ca="1" si="226"/>
        <v>-1.116177869130883E-3</v>
      </c>
      <c r="AR346" s="16">
        <f t="shared" ca="1" si="227"/>
        <v>0</v>
      </c>
      <c r="AS346" s="16">
        <f t="shared" ca="1" si="228"/>
        <v>0</v>
      </c>
    </row>
    <row r="347" spans="1:45" x14ac:dyDescent="0.25">
      <c r="A347" s="69">
        <f t="shared" ca="1" si="229"/>
        <v>2452.170011751839</v>
      </c>
      <c r="B347" s="69">
        <f t="shared" ca="1" si="230"/>
        <v>2134.6069991180666</v>
      </c>
      <c r="C347" s="69">
        <f t="shared" ca="1" si="231"/>
        <v>2227.6461406372409</v>
      </c>
      <c r="D347" s="69">
        <f t="shared" ca="1" si="232"/>
        <v>2909.6310731677809</v>
      </c>
      <c r="E347" s="69">
        <f t="shared" ca="1" si="233"/>
        <v>1931.7809575488945</v>
      </c>
      <c r="F347" s="69">
        <f t="shared" ca="1" si="234"/>
        <v>1223.4465313776507</v>
      </c>
      <c r="G347" s="69">
        <f t="shared" ca="1" si="235"/>
        <v>961.38540984769372</v>
      </c>
      <c r="H347" s="69">
        <f t="shared" ca="1" si="236"/>
        <v>1189.8361704070398</v>
      </c>
      <c r="I347" s="69">
        <f t="shared" ca="1" si="237"/>
        <v>1050.1218929122444</v>
      </c>
      <c r="J347" s="69">
        <f t="shared" ca="1" si="238"/>
        <v>1146.1746237334237</v>
      </c>
      <c r="K347" s="69">
        <f t="shared" ca="1" si="239"/>
        <v>1178.0247023408199</v>
      </c>
      <c r="L347" s="69">
        <f t="shared" ca="1" si="240"/>
        <v>953.84364494878935</v>
      </c>
      <c r="M347" s="69">
        <f t="shared" ca="1" si="241"/>
        <v>990.09377764605983</v>
      </c>
      <c r="N347" s="69">
        <f t="shared" ca="1" si="242"/>
        <v>569.3456325959271</v>
      </c>
      <c r="O347" s="69">
        <f t="shared" ca="1" si="243"/>
        <v>628.20848915283864</v>
      </c>
      <c r="P347" s="69">
        <f t="shared" ca="1" si="244"/>
        <v>724.94626238584522</v>
      </c>
      <c r="Q347" s="69">
        <f t="shared" ca="1" si="245"/>
        <v>954.12361984262179</v>
      </c>
      <c r="R347" s="69">
        <f t="shared" ca="1" si="246"/>
        <v>785.40796860129478</v>
      </c>
      <c r="S347" s="69">
        <f t="shared" ca="1" si="247"/>
        <v>704.74115670978517</v>
      </c>
      <c r="T347" s="69">
        <f t="shared" ca="1" si="248"/>
        <v>804.04854522887854</v>
      </c>
      <c r="U347" s="69">
        <f t="shared" ca="1" si="249"/>
        <v>1690.7001720746973</v>
      </c>
      <c r="V347" s="69">
        <f t="shared" ca="1" si="250"/>
        <v>1913.7239252661207</v>
      </c>
      <c r="W347" s="69">
        <f t="shared" ca="1" si="251"/>
        <v>1176.0684694623851</v>
      </c>
      <c r="X347" s="69">
        <f t="shared" ca="1" si="252"/>
        <v>1494.9784268546891</v>
      </c>
      <c r="Y347" s="69">
        <f t="shared" ca="1" si="253"/>
        <v>1208.6135313897375</v>
      </c>
      <c r="AA347" s="20">
        <f t="shared" ca="1" si="213"/>
        <v>6.5540615812247224E+16</v>
      </c>
      <c r="AB347" s="20">
        <f t="shared" ca="1" si="214"/>
        <v>1684458011306420.8</v>
      </c>
      <c r="AC347" s="20">
        <f t="shared" ca="1" si="215"/>
        <v>397912620221556</v>
      </c>
      <c r="AD347" s="20">
        <f t="shared" ca="1" si="216"/>
        <v>307834769303719.56</v>
      </c>
      <c r="AE347" s="20">
        <f t="shared" ca="1" si="217"/>
        <v>6875445878816321</v>
      </c>
      <c r="AG347" s="16">
        <f t="shared" ca="1" si="218"/>
        <v>-1.31812097336239E-5</v>
      </c>
      <c r="AH347" s="16">
        <f t="shared" ca="1" si="219"/>
        <v>-1.2544257439512768E-4</v>
      </c>
      <c r="AI347" s="16">
        <f t="shared" ca="1" si="220"/>
        <v>1.8179090290434572E-4</v>
      </c>
      <c r="AJ347" s="16">
        <f t="shared" ca="1" si="221"/>
        <v>-4.4449871984405544E-4</v>
      </c>
      <c r="AK347" s="16">
        <f t="shared" ca="1" si="222"/>
        <v>4.1290824528926229E-4</v>
      </c>
      <c r="AM347" s="16">
        <f t="shared" ca="1" si="223"/>
        <v>-4.0133160106846128E-4</v>
      </c>
      <c r="AO347" s="16">
        <f t="shared" ca="1" si="224"/>
        <v>-1.31812097336239E-5</v>
      </c>
      <c r="AP347" s="16">
        <f t="shared" ca="1" si="225"/>
        <v>-1.2544257439512768E-4</v>
      </c>
      <c r="AQ347" s="16">
        <f t="shared" ca="1" si="226"/>
        <v>0</v>
      </c>
      <c r="AR347" s="16">
        <f t="shared" ca="1" si="227"/>
        <v>-4.4449871984405544E-4</v>
      </c>
      <c r="AS347" s="16">
        <f t="shared" ca="1" si="228"/>
        <v>0</v>
      </c>
    </row>
    <row r="348" spans="1:45" x14ac:dyDescent="0.25">
      <c r="A348" s="69">
        <f t="shared" ca="1" si="229"/>
        <v>2452.170011751839</v>
      </c>
      <c r="B348" s="69">
        <f t="shared" ca="1" si="230"/>
        <v>2134.6069991180666</v>
      </c>
      <c r="C348" s="69">
        <f t="shared" ca="1" si="231"/>
        <v>2228.105213491976</v>
      </c>
      <c r="D348" s="69">
        <f t="shared" ca="1" si="232"/>
        <v>2909.6310731677809</v>
      </c>
      <c r="E348" s="69">
        <f t="shared" ca="1" si="233"/>
        <v>1931.3574807576053</v>
      </c>
      <c r="F348" s="69">
        <f t="shared" ca="1" si="234"/>
        <v>1223.4465313776507</v>
      </c>
      <c r="G348" s="69">
        <f t="shared" ca="1" si="235"/>
        <v>961.38540984769372</v>
      </c>
      <c r="H348" s="69">
        <f t="shared" ca="1" si="236"/>
        <v>1189.8009135012037</v>
      </c>
      <c r="I348" s="69">
        <f t="shared" ca="1" si="237"/>
        <v>1050.0212851292051</v>
      </c>
      <c r="J348" s="69">
        <f t="shared" ca="1" si="238"/>
        <v>1146.1746237334237</v>
      </c>
      <c r="K348" s="69">
        <f t="shared" ca="1" si="239"/>
        <v>1178.0247023408199</v>
      </c>
      <c r="L348" s="69">
        <f t="shared" ca="1" si="240"/>
        <v>954.11785465097739</v>
      </c>
      <c r="M348" s="69">
        <f t="shared" ca="1" si="241"/>
        <v>990.42298066563183</v>
      </c>
      <c r="N348" s="69">
        <f t="shared" ca="1" si="242"/>
        <v>569.06982234317763</v>
      </c>
      <c r="O348" s="69">
        <f t="shared" ca="1" si="243"/>
        <v>628.23767837859316</v>
      </c>
      <c r="P348" s="69">
        <f t="shared" ca="1" si="244"/>
        <v>724.94626238584522</v>
      </c>
      <c r="Q348" s="69">
        <f t="shared" ca="1" si="245"/>
        <v>954.12361984262179</v>
      </c>
      <c r="R348" s="69">
        <f t="shared" ca="1" si="246"/>
        <v>785.40796860129478</v>
      </c>
      <c r="S348" s="69">
        <f t="shared" ca="1" si="247"/>
        <v>704.47710259042435</v>
      </c>
      <c r="T348" s="69">
        <f t="shared" ca="1" si="248"/>
        <v>803.99246794012208</v>
      </c>
      <c r="U348" s="69">
        <f t="shared" ca="1" si="249"/>
        <v>1690.7001720746973</v>
      </c>
      <c r="V348" s="69">
        <f t="shared" ca="1" si="250"/>
        <v>1913.7239252661207</v>
      </c>
      <c r="W348" s="69">
        <f t="shared" ca="1" si="251"/>
        <v>1176.0684694623851</v>
      </c>
      <c r="X348" s="69">
        <f t="shared" ca="1" si="252"/>
        <v>1495.3864564724579</v>
      </c>
      <c r="Y348" s="69">
        <f t="shared" ca="1" si="253"/>
        <v>1208.7827636781883</v>
      </c>
      <c r="AA348" s="20">
        <f t="shared" ca="1" si="213"/>
        <v>6.553975191333776E+16</v>
      </c>
      <c r="AB348" s="20">
        <f t="shared" ca="1" si="214"/>
        <v>1684246721809648.3</v>
      </c>
      <c r="AC348" s="20">
        <f t="shared" ca="1" si="215"/>
        <v>397984963691556.25</v>
      </c>
      <c r="AD348" s="20">
        <f t="shared" ca="1" si="216"/>
        <v>307697967549195.38</v>
      </c>
      <c r="AE348" s="20">
        <f t="shared" ca="1" si="217"/>
        <v>6878285393298852</v>
      </c>
      <c r="AG348" s="16">
        <f t="shared" ca="1" si="218"/>
        <v>-2.3848644040642316E-4</v>
      </c>
      <c r="AH348" s="16">
        <f t="shared" ca="1" si="219"/>
        <v>-2.2557634541428979E-4</v>
      </c>
      <c r="AI348" s="16">
        <f t="shared" ca="1" si="220"/>
        <v>5.7232456287255914E-4</v>
      </c>
      <c r="AJ348" s="16">
        <f t="shared" ca="1" si="221"/>
        <v>-6.5616989398315363E-4</v>
      </c>
      <c r="AK348" s="16">
        <f t="shared" ca="1" si="222"/>
        <v>-5.627726930427697E-6</v>
      </c>
      <c r="AM348" s="16">
        <f t="shared" ca="1" si="223"/>
        <v>-5.4790811693130746E-4</v>
      </c>
      <c r="AO348" s="16">
        <f t="shared" ca="1" si="224"/>
        <v>-2.3848644040642316E-4</v>
      </c>
      <c r="AP348" s="16">
        <f t="shared" ca="1" si="225"/>
        <v>-2.2557634541428979E-4</v>
      </c>
      <c r="AQ348" s="16">
        <f t="shared" ca="1" si="226"/>
        <v>0</v>
      </c>
      <c r="AR348" s="16">
        <f t="shared" ca="1" si="227"/>
        <v>-6.5616989398315363E-4</v>
      </c>
      <c r="AS348" s="16">
        <f t="shared" ca="1" si="228"/>
        <v>-5.627726930427697E-6</v>
      </c>
    </row>
    <row r="349" spans="1:45" x14ac:dyDescent="0.25">
      <c r="A349" s="69">
        <f t="shared" ca="1" si="229"/>
        <v>2452.1714996204259</v>
      </c>
      <c r="B349" s="69">
        <f t="shared" ca="1" si="230"/>
        <v>2134.6069991180666</v>
      </c>
      <c r="C349" s="69">
        <f t="shared" ca="1" si="231"/>
        <v>2227.6639426944294</v>
      </c>
      <c r="D349" s="69">
        <f t="shared" ca="1" si="232"/>
        <v>2909.6715581114954</v>
      </c>
      <c r="E349" s="69">
        <f t="shared" ca="1" si="233"/>
        <v>1931.25137481002</v>
      </c>
      <c r="F349" s="69">
        <f t="shared" ca="1" si="234"/>
        <v>1223.1252718088649</v>
      </c>
      <c r="G349" s="69">
        <f t="shared" ca="1" si="235"/>
        <v>961.38540984769372</v>
      </c>
      <c r="H349" s="69">
        <f t="shared" ca="1" si="236"/>
        <v>1189.8009135012037</v>
      </c>
      <c r="I349" s="69">
        <f t="shared" ca="1" si="237"/>
        <v>1050.0212851292051</v>
      </c>
      <c r="J349" s="69">
        <f t="shared" ca="1" si="238"/>
        <v>1146.2170832295435</v>
      </c>
      <c r="K349" s="69">
        <f t="shared" ca="1" si="239"/>
        <v>1178.0247023408199</v>
      </c>
      <c r="L349" s="69">
        <f t="shared" ca="1" si="240"/>
        <v>954.11785465097739</v>
      </c>
      <c r="M349" s="69">
        <f t="shared" ca="1" si="241"/>
        <v>990.53743405010164</v>
      </c>
      <c r="N349" s="69">
        <f t="shared" ca="1" si="242"/>
        <v>569.16218078131146</v>
      </c>
      <c r="O349" s="69">
        <f t="shared" ca="1" si="243"/>
        <v>628.42271351668603</v>
      </c>
      <c r="P349" s="69">
        <f t="shared" ca="1" si="244"/>
        <v>724.78950915121345</v>
      </c>
      <c r="Q349" s="69">
        <f t="shared" ca="1" si="245"/>
        <v>954.48774734407971</v>
      </c>
      <c r="R349" s="69">
        <f t="shared" ca="1" si="246"/>
        <v>785.11518718457103</v>
      </c>
      <c r="S349" s="69">
        <f t="shared" ca="1" si="247"/>
        <v>704.16111957336113</v>
      </c>
      <c r="T349" s="69">
        <f t="shared" ca="1" si="248"/>
        <v>803.99246794012208</v>
      </c>
      <c r="U349" s="69">
        <f t="shared" ca="1" si="249"/>
        <v>1690.9257996733691</v>
      </c>
      <c r="V349" s="69">
        <f t="shared" ca="1" si="250"/>
        <v>1913.7239252661207</v>
      </c>
      <c r="W349" s="69">
        <f t="shared" ca="1" si="251"/>
        <v>1175.9049238306541</v>
      </c>
      <c r="X349" s="69">
        <f t="shared" ca="1" si="252"/>
        <v>1495.3864564724579</v>
      </c>
      <c r="Y349" s="69">
        <f t="shared" ca="1" si="253"/>
        <v>1208.7827636781883</v>
      </c>
      <c r="AA349" s="20">
        <f t="shared" ca="1" si="213"/>
        <v>6.5524123434863E+16</v>
      </c>
      <c r="AB349" s="20">
        <f t="shared" ca="1" si="214"/>
        <v>1683866838437328.8</v>
      </c>
      <c r="AC349" s="20">
        <f t="shared" ca="1" si="215"/>
        <v>398212805455430.63</v>
      </c>
      <c r="AD349" s="20">
        <f t="shared" ca="1" si="216"/>
        <v>307496131633017.5</v>
      </c>
      <c r="AE349" s="20">
        <f t="shared" ca="1" si="217"/>
        <v>6878246684295831</v>
      </c>
      <c r="AG349" s="16">
        <f t="shared" ca="1" si="218"/>
        <v>9.3218800221269633E-5</v>
      </c>
      <c r="AH349" s="16">
        <f t="shared" ca="1" si="219"/>
        <v>-3.8000187718460908E-5</v>
      </c>
      <c r="AI349" s="16">
        <f t="shared" ca="1" si="220"/>
        <v>2.592612736348948E-4</v>
      </c>
      <c r="AJ349" s="16">
        <f t="shared" ca="1" si="221"/>
        <v>-1.1420602755078189E-3</v>
      </c>
      <c r="AK349" s="16">
        <f t="shared" ca="1" si="222"/>
        <v>1.3598609936074554E-4</v>
      </c>
      <c r="AM349" s="16">
        <f t="shared" ca="1" si="223"/>
        <v>-8.2758038937011543E-4</v>
      </c>
      <c r="AO349" s="16">
        <f t="shared" ca="1" si="224"/>
        <v>0</v>
      </c>
      <c r="AP349" s="16">
        <f t="shared" ca="1" si="225"/>
        <v>-3.8000187718460908E-5</v>
      </c>
      <c r="AQ349" s="16">
        <f t="shared" ca="1" si="226"/>
        <v>0</v>
      </c>
      <c r="AR349" s="16">
        <f t="shared" ca="1" si="227"/>
        <v>-1.1420602755078189E-3</v>
      </c>
      <c r="AS349" s="16">
        <f t="shared" ca="1" si="228"/>
        <v>0</v>
      </c>
    </row>
    <row r="350" spans="1:45" x14ac:dyDescent="0.25">
      <c r="A350" s="69">
        <f t="shared" ca="1" si="229"/>
        <v>2452.1714996204259</v>
      </c>
      <c r="B350" s="69">
        <f t="shared" ca="1" si="230"/>
        <v>2134.7412632079008</v>
      </c>
      <c r="C350" s="69">
        <f t="shared" ca="1" si="231"/>
        <v>2227.6639426944294</v>
      </c>
      <c r="D350" s="69">
        <f t="shared" ca="1" si="232"/>
        <v>2909.7597866225415</v>
      </c>
      <c r="E350" s="69">
        <f t="shared" ca="1" si="233"/>
        <v>1931.25137481002</v>
      </c>
      <c r="F350" s="69">
        <f t="shared" ca="1" si="234"/>
        <v>1223.1252718088649</v>
      </c>
      <c r="G350" s="69">
        <f t="shared" ca="1" si="235"/>
        <v>961.52853085050594</v>
      </c>
      <c r="H350" s="69">
        <f t="shared" ca="1" si="236"/>
        <v>1189.5410413119412</v>
      </c>
      <c r="I350" s="69">
        <f t="shared" ca="1" si="237"/>
        <v>1050.0212851292051</v>
      </c>
      <c r="J350" s="69">
        <f t="shared" ca="1" si="238"/>
        <v>1146.2532833328407</v>
      </c>
      <c r="K350" s="69">
        <f t="shared" ca="1" si="239"/>
        <v>1178.0247023408199</v>
      </c>
      <c r="L350" s="69">
        <f t="shared" ca="1" si="240"/>
        <v>953.7789700630608</v>
      </c>
      <c r="M350" s="69">
        <f t="shared" ca="1" si="241"/>
        <v>990.53743405010164</v>
      </c>
      <c r="N350" s="69">
        <f t="shared" ca="1" si="242"/>
        <v>569.60816149765458</v>
      </c>
      <c r="O350" s="69">
        <f t="shared" ca="1" si="243"/>
        <v>628.31666871921698</v>
      </c>
      <c r="P350" s="69">
        <f t="shared" ca="1" si="244"/>
        <v>724.78950915121345</v>
      </c>
      <c r="Q350" s="69">
        <f t="shared" ca="1" si="245"/>
        <v>954.21022397475531</v>
      </c>
      <c r="R350" s="69">
        <f t="shared" ca="1" si="246"/>
        <v>785.08035852105775</v>
      </c>
      <c r="S350" s="69">
        <f t="shared" ca="1" si="247"/>
        <v>703.80377838081347</v>
      </c>
      <c r="T350" s="69">
        <f t="shared" ca="1" si="248"/>
        <v>803.75186910924458</v>
      </c>
      <c r="U350" s="69">
        <f t="shared" ca="1" si="249"/>
        <v>1690.9257996733691</v>
      </c>
      <c r="V350" s="69">
        <f t="shared" ca="1" si="250"/>
        <v>1913.709633438807</v>
      </c>
      <c r="W350" s="69">
        <f t="shared" ca="1" si="251"/>
        <v>1176.3860653723907</v>
      </c>
      <c r="X350" s="69">
        <f t="shared" ca="1" si="252"/>
        <v>1494.9892909771097</v>
      </c>
      <c r="Y350" s="69">
        <f t="shared" ca="1" si="253"/>
        <v>1208.7827636781883</v>
      </c>
      <c r="AA350" s="20">
        <f t="shared" ca="1" si="213"/>
        <v>6.5530231799737952E+16</v>
      </c>
      <c r="AB350" s="20">
        <f t="shared" ca="1" si="214"/>
        <v>1683802852397123.8</v>
      </c>
      <c r="AC350" s="20">
        <f t="shared" ca="1" si="215"/>
        <v>398316059998924.56</v>
      </c>
      <c r="AD350" s="20">
        <f t="shared" ca="1" si="216"/>
        <v>307145152973747.75</v>
      </c>
      <c r="AE350" s="20">
        <f t="shared" ca="1" si="217"/>
        <v>6879182093832775</v>
      </c>
      <c r="AG350" s="16">
        <f t="shared" ca="1" si="218"/>
        <v>-1.9509898691664584E-4</v>
      </c>
      <c r="AH350" s="16">
        <f t="shared" ca="1" si="219"/>
        <v>-6.7120406506502797E-5</v>
      </c>
      <c r="AI350" s="16">
        <f t="shared" ca="1" si="220"/>
        <v>5.896223178921624E-4</v>
      </c>
      <c r="AJ350" s="16">
        <f t="shared" ca="1" si="221"/>
        <v>-6.8735295924275057E-4</v>
      </c>
      <c r="AK350" s="16">
        <f t="shared" ca="1" si="222"/>
        <v>1.5902973733480417E-4</v>
      </c>
      <c r="AM350" s="16">
        <f t="shared" ca="1" si="223"/>
        <v>-3.5995003477373678E-4</v>
      </c>
      <c r="AO350" s="16">
        <f t="shared" ca="1" si="224"/>
        <v>-1.9509898691664584E-4</v>
      </c>
      <c r="AP350" s="16">
        <f t="shared" ca="1" si="225"/>
        <v>-6.7120406506502797E-5</v>
      </c>
      <c r="AQ350" s="16">
        <f t="shared" ca="1" si="226"/>
        <v>0</v>
      </c>
      <c r="AR350" s="16">
        <f t="shared" ca="1" si="227"/>
        <v>-6.8735295924275057E-4</v>
      </c>
      <c r="AS350" s="16">
        <f t="shared" ca="1" si="228"/>
        <v>0</v>
      </c>
    </row>
    <row r="351" spans="1:45" x14ac:dyDescent="0.25">
      <c r="A351" s="69">
        <f t="shared" ca="1" si="229"/>
        <v>2451.9047324689077</v>
      </c>
      <c r="B351" s="69">
        <f t="shared" ca="1" si="230"/>
        <v>2134.7412632079008</v>
      </c>
      <c r="C351" s="69">
        <f t="shared" ca="1" si="231"/>
        <v>2227.6639426944294</v>
      </c>
      <c r="D351" s="69">
        <f t="shared" ca="1" si="232"/>
        <v>2909.7597866225415</v>
      </c>
      <c r="E351" s="69">
        <f t="shared" ca="1" si="233"/>
        <v>1931.0847054698197</v>
      </c>
      <c r="F351" s="69">
        <f t="shared" ca="1" si="234"/>
        <v>1223.2589043567646</v>
      </c>
      <c r="G351" s="69">
        <f t="shared" ca="1" si="235"/>
        <v>961.05322478463859</v>
      </c>
      <c r="H351" s="69">
        <f t="shared" ca="1" si="236"/>
        <v>1189.5410413119412</v>
      </c>
      <c r="I351" s="69">
        <f t="shared" ca="1" si="237"/>
        <v>1050.3553250278856</v>
      </c>
      <c r="J351" s="69">
        <f t="shared" ca="1" si="238"/>
        <v>1146.2532833328407</v>
      </c>
      <c r="K351" s="69">
        <f t="shared" ca="1" si="239"/>
        <v>1177.9159578800902</v>
      </c>
      <c r="L351" s="69">
        <f t="shared" ca="1" si="240"/>
        <v>953.7789700630608</v>
      </c>
      <c r="M351" s="69">
        <f t="shared" ca="1" si="241"/>
        <v>990.53743405010164</v>
      </c>
      <c r="N351" s="69">
        <f t="shared" ca="1" si="242"/>
        <v>569.99673109733078</v>
      </c>
      <c r="O351" s="69">
        <f t="shared" ca="1" si="243"/>
        <v>628.31666871921698</v>
      </c>
      <c r="P351" s="69">
        <f t="shared" ca="1" si="244"/>
        <v>724.82565486452972</v>
      </c>
      <c r="Q351" s="69">
        <f t="shared" ca="1" si="245"/>
        <v>954.05829065783189</v>
      </c>
      <c r="R351" s="69">
        <f t="shared" ca="1" si="246"/>
        <v>785.08035852105775</v>
      </c>
      <c r="S351" s="69">
        <f t="shared" ca="1" si="247"/>
        <v>703.46612631487847</v>
      </c>
      <c r="T351" s="69">
        <f t="shared" ca="1" si="248"/>
        <v>803.67301103930788</v>
      </c>
      <c r="U351" s="69">
        <f t="shared" ca="1" si="249"/>
        <v>1691.3600031857213</v>
      </c>
      <c r="V351" s="69">
        <f t="shared" ca="1" si="250"/>
        <v>1913.9712326158992</v>
      </c>
      <c r="W351" s="69">
        <f t="shared" ca="1" si="251"/>
        <v>1176.1388096213002</v>
      </c>
      <c r="X351" s="69">
        <f t="shared" ca="1" si="252"/>
        <v>1494.9892909771097</v>
      </c>
      <c r="Y351" s="69">
        <f t="shared" ca="1" si="253"/>
        <v>1208.75350509907</v>
      </c>
      <c r="AA351" s="20">
        <f t="shared" ca="1" si="213"/>
        <v>6.5517448164979056E+16</v>
      </c>
      <c r="AB351" s="20">
        <f t="shared" ca="1" si="214"/>
        <v>1683689838658000.5</v>
      </c>
      <c r="AC351" s="20">
        <f t="shared" ca="1" si="215"/>
        <v>398550985289265.88</v>
      </c>
      <c r="AD351" s="20">
        <f t="shared" ca="1" si="216"/>
        <v>306934108383305.13</v>
      </c>
      <c r="AE351" s="20">
        <f t="shared" ca="1" si="217"/>
        <v>6880276175347677</v>
      </c>
      <c r="AG351" s="16">
        <f t="shared" ca="1" si="218"/>
        <v>-1.3304029256766905E-4</v>
      </c>
      <c r="AH351" s="16">
        <f t="shared" ca="1" si="219"/>
        <v>3.3832237692422551E-4</v>
      </c>
      <c r="AI351" s="16">
        <f t="shared" ca="1" si="220"/>
        <v>-1.0607654309558263E-3</v>
      </c>
      <c r="AJ351" s="16">
        <f t="shared" ca="1" si="221"/>
        <v>-1.2965321734170639E-3</v>
      </c>
      <c r="AK351" s="16">
        <f t="shared" ca="1" si="222"/>
        <v>5.3931607756111397E-4</v>
      </c>
      <c r="AM351" s="16">
        <f t="shared" ca="1" si="223"/>
        <v>-2.152015520016334E-3</v>
      </c>
      <c r="AO351" s="16">
        <f t="shared" ca="1" si="224"/>
        <v>-1.3304029256766905E-4</v>
      </c>
      <c r="AP351" s="16">
        <f t="shared" ca="1" si="225"/>
        <v>0</v>
      </c>
      <c r="AQ351" s="16">
        <f t="shared" ca="1" si="226"/>
        <v>-1.0607654309558263E-3</v>
      </c>
      <c r="AR351" s="16">
        <f t="shared" ca="1" si="227"/>
        <v>-1.2965321734170639E-3</v>
      </c>
      <c r="AS351" s="16">
        <f t="shared" ca="1" si="228"/>
        <v>0</v>
      </c>
    </row>
    <row r="352" spans="1:45" x14ac:dyDescent="0.25">
      <c r="A352" s="69">
        <f t="shared" ca="1" si="229"/>
        <v>2451.9300510132648</v>
      </c>
      <c r="B352" s="69">
        <f t="shared" ca="1" si="230"/>
        <v>2134.6453940885849</v>
      </c>
      <c r="C352" s="69">
        <f t="shared" ca="1" si="231"/>
        <v>2227.6885172606799</v>
      </c>
      <c r="D352" s="69">
        <f t="shared" ca="1" si="232"/>
        <v>2909.4412209473489</v>
      </c>
      <c r="E352" s="69">
        <f t="shared" ca="1" si="233"/>
        <v>1931.0847054698197</v>
      </c>
      <c r="F352" s="69">
        <f t="shared" ca="1" si="234"/>
        <v>1223.2589043567646</v>
      </c>
      <c r="G352" s="69">
        <f t="shared" ca="1" si="235"/>
        <v>961.05322478463859</v>
      </c>
      <c r="H352" s="69">
        <f t="shared" ca="1" si="236"/>
        <v>1189.4911928583465</v>
      </c>
      <c r="I352" s="69">
        <f t="shared" ca="1" si="237"/>
        <v>1050.4745433037288</v>
      </c>
      <c r="J352" s="69">
        <f t="shared" ca="1" si="238"/>
        <v>1146.5590671272741</v>
      </c>
      <c r="K352" s="69">
        <f t="shared" ca="1" si="239"/>
        <v>1177.7186915734414</v>
      </c>
      <c r="L352" s="69">
        <f t="shared" ca="1" si="240"/>
        <v>953.98020735763839</v>
      </c>
      <c r="M352" s="69">
        <f t="shared" ca="1" si="241"/>
        <v>990.53743405010164</v>
      </c>
      <c r="N352" s="69">
        <f t="shared" ca="1" si="242"/>
        <v>569.74621127726152</v>
      </c>
      <c r="O352" s="69">
        <f t="shared" ca="1" si="243"/>
        <v>627.89920282949606</v>
      </c>
      <c r="P352" s="69">
        <f t="shared" ca="1" si="244"/>
        <v>724.82565486452972</v>
      </c>
      <c r="Q352" s="69">
        <f t="shared" ca="1" si="245"/>
        <v>954.0309262010685</v>
      </c>
      <c r="R352" s="69">
        <f t="shared" ca="1" si="246"/>
        <v>784.65449632776813</v>
      </c>
      <c r="S352" s="69">
        <f t="shared" ca="1" si="247"/>
        <v>703.34967599499953</v>
      </c>
      <c r="T352" s="69">
        <f t="shared" ca="1" si="248"/>
        <v>803.22331571697225</v>
      </c>
      <c r="U352" s="69">
        <f t="shared" ca="1" si="249"/>
        <v>1691.7008350868105</v>
      </c>
      <c r="V352" s="69">
        <f t="shared" ca="1" si="250"/>
        <v>1914.2375787583308</v>
      </c>
      <c r="W352" s="69">
        <f t="shared" ca="1" si="251"/>
        <v>1176.3725006114414</v>
      </c>
      <c r="X352" s="69">
        <f t="shared" ca="1" si="252"/>
        <v>1494.9892909771097</v>
      </c>
      <c r="Y352" s="69">
        <f t="shared" ca="1" si="253"/>
        <v>1208.75350509907</v>
      </c>
      <c r="AA352" s="20">
        <f t="shared" ca="1" si="213"/>
        <v>6.5508732284301416E+16</v>
      </c>
      <c r="AB352" s="20">
        <f t="shared" ca="1" si="214"/>
        <v>1684259564976365.3</v>
      </c>
      <c r="AC352" s="20">
        <f t="shared" ca="1" si="215"/>
        <v>398128440331761.06</v>
      </c>
      <c r="AD352" s="20">
        <f t="shared" ca="1" si="216"/>
        <v>306536416302665.81</v>
      </c>
      <c r="AE352" s="20">
        <f t="shared" ca="1" si="217"/>
        <v>6883987819691872</v>
      </c>
      <c r="AG352" s="16">
        <f t="shared" ca="1" si="218"/>
        <v>1.3303289179676133E-4</v>
      </c>
      <c r="AH352" s="16">
        <f t="shared" ca="1" si="219"/>
        <v>-8.8863352242075791E-4</v>
      </c>
      <c r="AI352" s="16">
        <f t="shared" ca="1" si="220"/>
        <v>-4.6811526694243719E-4</v>
      </c>
      <c r="AJ352" s="16">
        <f t="shared" ca="1" si="221"/>
        <v>6.8282680009018991E-5</v>
      </c>
      <c r="AK352" s="16">
        <f t="shared" ca="1" si="222"/>
        <v>-2.0529034554613262E-4</v>
      </c>
      <c r="AM352" s="16">
        <f t="shared" ca="1" si="223"/>
        <v>-1.1554332175574148E-3</v>
      </c>
      <c r="AO352" s="16">
        <f t="shared" ca="1" si="224"/>
        <v>0</v>
      </c>
      <c r="AP352" s="16">
        <f t="shared" ca="1" si="225"/>
        <v>-8.8863352242075791E-4</v>
      </c>
      <c r="AQ352" s="16">
        <f t="shared" ca="1" si="226"/>
        <v>-4.6811526694243719E-4</v>
      </c>
      <c r="AR352" s="16">
        <f t="shared" ca="1" si="227"/>
        <v>0</v>
      </c>
      <c r="AS352" s="16">
        <f t="shared" ca="1" si="228"/>
        <v>-2.0529034554613262E-4</v>
      </c>
    </row>
    <row r="353" spans="1:45" x14ac:dyDescent="0.25">
      <c r="A353" s="69">
        <f t="shared" ca="1" si="229"/>
        <v>2451.9300510132648</v>
      </c>
      <c r="B353" s="69">
        <f t="shared" ca="1" si="230"/>
        <v>2134.9156284562846</v>
      </c>
      <c r="C353" s="69">
        <f t="shared" ca="1" si="231"/>
        <v>2227.7095889919001</v>
      </c>
      <c r="D353" s="69">
        <f t="shared" ca="1" si="232"/>
        <v>2909.4324560851182</v>
      </c>
      <c r="E353" s="69">
        <f t="shared" ca="1" si="233"/>
        <v>1931.0847054698197</v>
      </c>
      <c r="F353" s="69">
        <f t="shared" ca="1" si="234"/>
        <v>1222.804586691371</v>
      </c>
      <c r="G353" s="69">
        <f t="shared" ca="1" si="235"/>
        <v>960.75467477187601</v>
      </c>
      <c r="H353" s="69">
        <f t="shared" ca="1" si="236"/>
        <v>1189.2342167109052</v>
      </c>
      <c r="I353" s="69">
        <f t="shared" ca="1" si="237"/>
        <v>1050.552992898545</v>
      </c>
      <c r="J353" s="69">
        <f t="shared" ca="1" si="238"/>
        <v>1146.4844476320111</v>
      </c>
      <c r="K353" s="69">
        <f t="shared" ca="1" si="239"/>
        <v>1177.7186915734414</v>
      </c>
      <c r="L353" s="69">
        <f t="shared" ca="1" si="240"/>
        <v>954.41896181913762</v>
      </c>
      <c r="M353" s="69">
        <f t="shared" ca="1" si="241"/>
        <v>990.21254758139162</v>
      </c>
      <c r="N353" s="69">
        <f t="shared" ca="1" si="242"/>
        <v>569.74621127726152</v>
      </c>
      <c r="O353" s="69">
        <f t="shared" ca="1" si="243"/>
        <v>627.52264814708064</v>
      </c>
      <c r="P353" s="69">
        <f t="shared" ca="1" si="244"/>
        <v>725.29529994690006</v>
      </c>
      <c r="Q353" s="69">
        <f t="shared" ca="1" si="245"/>
        <v>954.39860886389351</v>
      </c>
      <c r="R353" s="69">
        <f t="shared" ca="1" si="246"/>
        <v>784.65449632776813</v>
      </c>
      <c r="S353" s="69">
        <f t="shared" ca="1" si="247"/>
        <v>702.8872537111256</v>
      </c>
      <c r="T353" s="69">
        <f t="shared" ca="1" si="248"/>
        <v>802.97668282406437</v>
      </c>
      <c r="U353" s="69">
        <f t="shared" ca="1" si="249"/>
        <v>1692.1075844019986</v>
      </c>
      <c r="V353" s="69">
        <f t="shared" ca="1" si="250"/>
        <v>1914.1300134436913</v>
      </c>
      <c r="W353" s="69">
        <f t="shared" ca="1" si="251"/>
        <v>1176.3725006114414</v>
      </c>
      <c r="X353" s="69">
        <f t="shared" ca="1" si="252"/>
        <v>1494.9071389167441</v>
      </c>
      <c r="Y353" s="69">
        <f t="shared" ca="1" si="253"/>
        <v>1208.3491811194149</v>
      </c>
      <c r="AA353" s="20">
        <f t="shared" ca="1" si="213"/>
        <v>6.5517447680099432E+16</v>
      </c>
      <c r="AB353" s="20">
        <f t="shared" ca="1" si="214"/>
        <v>1682763540273767</v>
      </c>
      <c r="AC353" s="20">
        <f t="shared" ca="1" si="215"/>
        <v>397942113945153.38</v>
      </c>
      <c r="AD353" s="20">
        <f t="shared" ca="1" si="216"/>
        <v>306557348145324.31</v>
      </c>
      <c r="AE353" s="20">
        <f t="shared" ca="1" si="217"/>
        <v>6882574748503531</v>
      </c>
      <c r="AG353" s="16">
        <f t="shared" ca="1" si="218"/>
        <v>6.5848364050729636E-5</v>
      </c>
      <c r="AH353" s="16">
        <f t="shared" ca="1" si="219"/>
        <v>-2.0223447050084215E-4</v>
      </c>
      <c r="AI353" s="16">
        <f t="shared" ca="1" si="220"/>
        <v>5.2031537957977249E-4</v>
      </c>
      <c r="AJ353" s="16">
        <f t="shared" ca="1" si="221"/>
        <v>-9.9861068778725188E-4</v>
      </c>
      <c r="AK353" s="16">
        <f t="shared" ca="1" si="222"/>
        <v>-3.7236833078156739E-5</v>
      </c>
      <c r="AM353" s="16">
        <f t="shared" ca="1" si="223"/>
        <v>-6.1468141465759185E-4</v>
      </c>
      <c r="AO353" s="16">
        <f t="shared" ca="1" si="224"/>
        <v>0</v>
      </c>
      <c r="AP353" s="16">
        <f t="shared" ca="1" si="225"/>
        <v>-2.0223447050084215E-4</v>
      </c>
      <c r="AQ353" s="16">
        <f t="shared" ca="1" si="226"/>
        <v>0</v>
      </c>
      <c r="AR353" s="16">
        <f t="shared" ca="1" si="227"/>
        <v>-9.9861068778725188E-4</v>
      </c>
      <c r="AS353" s="16">
        <f t="shared" ca="1" si="228"/>
        <v>-3.7236833078156739E-5</v>
      </c>
    </row>
    <row r="354" spans="1:45" x14ac:dyDescent="0.25">
      <c r="A354" s="69">
        <f t="shared" ca="1" si="229"/>
        <v>2451.7253785080611</v>
      </c>
      <c r="B354" s="69">
        <f t="shared" ca="1" si="230"/>
        <v>2134.9156284562846</v>
      </c>
      <c r="C354" s="69">
        <f t="shared" ca="1" si="231"/>
        <v>2227.7823170544416</v>
      </c>
      <c r="D354" s="69">
        <f t="shared" ca="1" si="232"/>
        <v>2909.4324560851182</v>
      </c>
      <c r="E354" s="69">
        <f t="shared" ca="1" si="233"/>
        <v>1931.3100364353902</v>
      </c>
      <c r="F354" s="69">
        <f t="shared" ca="1" si="234"/>
        <v>1222.8584313693564</v>
      </c>
      <c r="G354" s="69">
        <f t="shared" ca="1" si="235"/>
        <v>960.87339116490432</v>
      </c>
      <c r="H354" s="69">
        <f t="shared" ca="1" si="236"/>
        <v>1189.2342167109052</v>
      </c>
      <c r="I354" s="69">
        <f t="shared" ca="1" si="237"/>
        <v>1050.2545420399804</v>
      </c>
      <c r="J354" s="69">
        <f t="shared" ca="1" si="238"/>
        <v>1146.3862030094231</v>
      </c>
      <c r="K354" s="69">
        <f t="shared" ca="1" si="239"/>
        <v>1177.8804464920961</v>
      </c>
      <c r="L354" s="69">
        <f t="shared" ca="1" si="240"/>
        <v>954.41896181913762</v>
      </c>
      <c r="M354" s="69">
        <f t="shared" ca="1" si="241"/>
        <v>990.21254758139162</v>
      </c>
      <c r="N354" s="69">
        <f t="shared" ca="1" si="242"/>
        <v>569.74621127726152</v>
      </c>
      <c r="O354" s="69">
        <f t="shared" ca="1" si="243"/>
        <v>627.76302206811829</v>
      </c>
      <c r="P354" s="69">
        <f t="shared" ca="1" si="244"/>
        <v>725.34714827481093</v>
      </c>
      <c r="Q354" s="69">
        <f t="shared" ca="1" si="245"/>
        <v>954.33090655126409</v>
      </c>
      <c r="R354" s="69">
        <f t="shared" ca="1" si="246"/>
        <v>784.26207953335165</v>
      </c>
      <c r="S354" s="69">
        <f t="shared" ca="1" si="247"/>
        <v>702.53666013393376</v>
      </c>
      <c r="T354" s="69">
        <f t="shared" ca="1" si="248"/>
        <v>802.97668282406437</v>
      </c>
      <c r="U354" s="69">
        <f t="shared" ca="1" si="249"/>
        <v>1692.1075844019986</v>
      </c>
      <c r="V354" s="69">
        <f t="shared" ca="1" si="250"/>
        <v>1914.1300134436913</v>
      </c>
      <c r="W354" s="69">
        <f t="shared" ca="1" si="251"/>
        <v>1176.3286970405566</v>
      </c>
      <c r="X354" s="69">
        <f t="shared" ca="1" si="252"/>
        <v>1494.9071389167441</v>
      </c>
      <c r="Y354" s="69">
        <f t="shared" ca="1" si="253"/>
        <v>1208.3491811194149</v>
      </c>
      <c r="AA354" s="20">
        <f t="shared" ca="1" si="213"/>
        <v>6.5521762038891128E+16</v>
      </c>
      <c r="AB354" s="20">
        <f t="shared" ca="1" si="214"/>
        <v>1682423261889390.8</v>
      </c>
      <c r="AC354" s="20">
        <f t="shared" ca="1" si="215"/>
        <v>398149223223620.44</v>
      </c>
      <c r="AD354" s="20">
        <f t="shared" ca="1" si="216"/>
        <v>306251369503245.19</v>
      </c>
      <c r="AE354" s="20">
        <f t="shared" ca="1" si="217"/>
        <v>6882318467988040</v>
      </c>
      <c r="AG354" s="16">
        <f t="shared" ca="1" si="218"/>
        <v>-1.1441250687954065E-4</v>
      </c>
      <c r="AH354" s="16">
        <f t="shared" ca="1" si="219"/>
        <v>1.2164378543832715E-3</v>
      </c>
      <c r="AI354" s="16">
        <f t="shared" ca="1" si="220"/>
        <v>1.0665509761515382E-3</v>
      </c>
      <c r="AJ354" s="16">
        <f t="shared" ca="1" si="221"/>
        <v>5.2718453219381927E-4</v>
      </c>
      <c r="AK354" s="16">
        <f t="shared" ca="1" si="222"/>
        <v>7.3653948318604356E-5</v>
      </c>
      <c r="AM354" s="16">
        <f t="shared" ca="1" si="223"/>
        <v>2.6957608558490884E-3</v>
      </c>
      <c r="AO354" s="16">
        <f t="shared" ca="1" si="224"/>
        <v>-1.1441250687954065E-4</v>
      </c>
      <c r="AP354" s="16">
        <f t="shared" ca="1" si="225"/>
        <v>0</v>
      </c>
      <c r="AQ354" s="16">
        <f t="shared" ca="1" si="226"/>
        <v>0</v>
      </c>
      <c r="AR354" s="16">
        <f t="shared" ca="1" si="227"/>
        <v>0</v>
      </c>
      <c r="AS354" s="16">
        <f t="shared" ca="1" si="228"/>
        <v>0</v>
      </c>
    </row>
    <row r="355" spans="1:45" x14ac:dyDescent="0.25">
      <c r="A355" s="69">
        <f t="shared" ca="1" si="229"/>
        <v>2451.9769314044065</v>
      </c>
      <c r="B355" s="69">
        <f t="shared" ca="1" si="230"/>
        <v>2134.7139647394933</v>
      </c>
      <c r="C355" s="69">
        <f t="shared" ca="1" si="231"/>
        <v>2227.7823170544416</v>
      </c>
      <c r="D355" s="69">
        <f t="shared" ca="1" si="232"/>
        <v>2909.4324560851182</v>
      </c>
      <c r="E355" s="69">
        <f t="shared" ca="1" si="233"/>
        <v>1931.0733778315928</v>
      </c>
      <c r="F355" s="69">
        <f t="shared" ca="1" si="234"/>
        <v>1222.8584313693564</v>
      </c>
      <c r="G355" s="69">
        <f t="shared" ca="1" si="235"/>
        <v>961.24385265315516</v>
      </c>
      <c r="H355" s="69">
        <f t="shared" ca="1" si="236"/>
        <v>1189.6718219608367</v>
      </c>
      <c r="I355" s="69">
        <f t="shared" ca="1" si="237"/>
        <v>1050.7409864962199</v>
      </c>
      <c r="J355" s="69">
        <f t="shared" ca="1" si="238"/>
        <v>1146.3862030094231</v>
      </c>
      <c r="K355" s="69">
        <f t="shared" ca="1" si="239"/>
        <v>1178.0760045340573</v>
      </c>
      <c r="L355" s="69">
        <f t="shared" ca="1" si="240"/>
        <v>954.41896181913762</v>
      </c>
      <c r="M355" s="69">
        <f t="shared" ca="1" si="241"/>
        <v>990.13264583381124</v>
      </c>
      <c r="N355" s="69">
        <f t="shared" ca="1" si="242"/>
        <v>570.05864219077591</v>
      </c>
      <c r="O355" s="69">
        <f t="shared" ca="1" si="243"/>
        <v>628.03491228906432</v>
      </c>
      <c r="P355" s="69">
        <f t="shared" ca="1" si="244"/>
        <v>725.42247506461354</v>
      </c>
      <c r="Q355" s="69">
        <f t="shared" ca="1" si="245"/>
        <v>954.73499912626801</v>
      </c>
      <c r="R355" s="69">
        <f t="shared" ca="1" si="246"/>
        <v>784.26207953335165</v>
      </c>
      <c r="S355" s="69">
        <f t="shared" ca="1" si="247"/>
        <v>702.53666013393376</v>
      </c>
      <c r="T355" s="69">
        <f t="shared" ca="1" si="248"/>
        <v>802.97668282406437</v>
      </c>
      <c r="U355" s="69">
        <f t="shared" ca="1" si="249"/>
        <v>1691.9115990026908</v>
      </c>
      <c r="V355" s="69">
        <f t="shared" ca="1" si="250"/>
        <v>1914.5469828380542</v>
      </c>
      <c r="W355" s="69">
        <f t="shared" ca="1" si="251"/>
        <v>1176.0650729303916</v>
      </c>
      <c r="X355" s="69">
        <f t="shared" ca="1" si="252"/>
        <v>1495.1998744541704</v>
      </c>
      <c r="Y355" s="69">
        <f t="shared" ca="1" si="253"/>
        <v>1208.3491811194149</v>
      </c>
      <c r="AA355" s="20">
        <f t="shared" ca="1" si="213"/>
        <v>6.5514265958671936E+16</v>
      </c>
      <c r="AB355" s="20">
        <f t="shared" ca="1" si="214"/>
        <v>1684471070495686.3</v>
      </c>
      <c r="AC355" s="20">
        <f t="shared" ca="1" si="215"/>
        <v>398574096200372.06</v>
      </c>
      <c r="AD355" s="20">
        <f t="shared" ca="1" si="216"/>
        <v>306412863052920.94</v>
      </c>
      <c r="AE355" s="20">
        <f t="shared" ca="1" si="217"/>
        <v>6882825396585210</v>
      </c>
      <c r="AG355" s="16">
        <f t="shared" ca="1" si="218"/>
        <v>-3.2139489058231126E-4</v>
      </c>
      <c r="AH355" s="16">
        <f t="shared" ca="1" si="219"/>
        <v>-5.1436645190920606E-4</v>
      </c>
      <c r="AI355" s="16">
        <f t="shared" ca="1" si="220"/>
        <v>1.1402578980308812E-3</v>
      </c>
      <c r="AJ355" s="16">
        <f t="shared" ca="1" si="221"/>
        <v>5.1921473068257341E-4</v>
      </c>
      <c r="AK355" s="16">
        <f t="shared" ca="1" si="222"/>
        <v>2.3642024348432617E-4</v>
      </c>
      <c r="AM355" s="16">
        <f t="shared" ca="1" si="223"/>
        <v>8.2371128622193729E-4</v>
      </c>
      <c r="AO355" s="16">
        <f t="shared" ca="1" si="224"/>
        <v>-3.2139489058231126E-4</v>
      </c>
      <c r="AP355" s="16">
        <f t="shared" ca="1" si="225"/>
        <v>-5.1436645190920606E-4</v>
      </c>
      <c r="AQ355" s="16">
        <f t="shared" ca="1" si="226"/>
        <v>0</v>
      </c>
      <c r="AR355" s="16">
        <f t="shared" ca="1" si="227"/>
        <v>0</v>
      </c>
      <c r="AS355" s="16">
        <f t="shared" ca="1" si="228"/>
        <v>0</v>
      </c>
    </row>
    <row r="356" spans="1:45" x14ac:dyDescent="0.25">
      <c r="A356" s="69">
        <f t="shared" ca="1" si="229"/>
        <v>2451.9769314044065</v>
      </c>
      <c r="B356" s="69">
        <f t="shared" ca="1" si="230"/>
        <v>2134.7139647394933</v>
      </c>
      <c r="C356" s="69">
        <f t="shared" ca="1" si="231"/>
        <v>2227.7702750931958</v>
      </c>
      <c r="D356" s="69">
        <f t="shared" ca="1" si="232"/>
        <v>2908.9598362268439</v>
      </c>
      <c r="E356" s="69">
        <f t="shared" ca="1" si="233"/>
        <v>1930.7769184180313</v>
      </c>
      <c r="F356" s="69">
        <f t="shared" ca="1" si="234"/>
        <v>1222.5533581966495</v>
      </c>
      <c r="G356" s="69">
        <f t="shared" ca="1" si="235"/>
        <v>961.24385265315516</v>
      </c>
      <c r="H356" s="69">
        <f t="shared" ca="1" si="236"/>
        <v>1189.3806425795231</v>
      </c>
      <c r="I356" s="69">
        <f t="shared" ca="1" si="237"/>
        <v>1050.6274198868152</v>
      </c>
      <c r="J356" s="69">
        <f t="shared" ca="1" si="238"/>
        <v>1146.4871059321245</v>
      </c>
      <c r="K356" s="69">
        <f t="shared" ca="1" si="239"/>
        <v>1178.0330491330822</v>
      </c>
      <c r="L356" s="69">
        <f t="shared" ca="1" si="240"/>
        <v>954.18182751062091</v>
      </c>
      <c r="M356" s="69">
        <f t="shared" ca="1" si="241"/>
        <v>990.13264583381124</v>
      </c>
      <c r="N356" s="69">
        <f t="shared" ca="1" si="242"/>
        <v>570.54367131442405</v>
      </c>
      <c r="O356" s="69">
        <f t="shared" ca="1" si="243"/>
        <v>628.39596787052824</v>
      </c>
      <c r="P356" s="69">
        <f t="shared" ca="1" si="244"/>
        <v>725.82329736380575</v>
      </c>
      <c r="Q356" s="69">
        <f t="shared" ca="1" si="245"/>
        <v>955.15888740895218</v>
      </c>
      <c r="R356" s="69">
        <f t="shared" ca="1" si="246"/>
        <v>784.24340525969444</v>
      </c>
      <c r="S356" s="69">
        <f t="shared" ca="1" si="247"/>
        <v>702.21831159054841</v>
      </c>
      <c r="T356" s="69">
        <f t="shared" ca="1" si="248"/>
        <v>802.97668282406437</v>
      </c>
      <c r="U356" s="69">
        <f t="shared" ca="1" si="249"/>
        <v>1691.9115990026908</v>
      </c>
      <c r="V356" s="69">
        <f t="shared" ca="1" si="250"/>
        <v>1914.5469828380542</v>
      </c>
      <c r="W356" s="69">
        <f t="shared" ca="1" si="251"/>
        <v>1176.2095749139373</v>
      </c>
      <c r="X356" s="69">
        <f t="shared" ca="1" si="252"/>
        <v>1494.7950874950836</v>
      </c>
      <c r="Y356" s="69">
        <f t="shared" ca="1" si="253"/>
        <v>1208.8136627866502</v>
      </c>
      <c r="AA356" s="20">
        <f t="shared" ca="1" si="213"/>
        <v>6.5493213391607528E+16</v>
      </c>
      <c r="AB356" s="20">
        <f t="shared" ca="1" si="214"/>
        <v>1683604857882264</v>
      </c>
      <c r="AC356" s="20">
        <f t="shared" ca="1" si="215"/>
        <v>399028832670670.69</v>
      </c>
      <c r="AD356" s="20">
        <f t="shared" ca="1" si="216"/>
        <v>306571998434230.69</v>
      </c>
      <c r="AE356" s="20">
        <f t="shared" ca="1" si="217"/>
        <v>6884452828212641</v>
      </c>
      <c r="AG356" s="16">
        <f t="shared" ca="1" si="218"/>
        <v>-1.9144502050440394E-4</v>
      </c>
      <c r="AH356" s="16">
        <f t="shared" ca="1" si="219"/>
        <v>-4.1209596416670672E-4</v>
      </c>
      <c r="AI356" s="16">
        <f t="shared" ca="1" si="220"/>
        <v>-1.3973039235369747E-3</v>
      </c>
      <c r="AJ356" s="16">
        <f t="shared" ca="1" si="221"/>
        <v>-1.495063942585477E-4</v>
      </c>
      <c r="AK356" s="16">
        <f t="shared" ca="1" si="222"/>
        <v>-2.939699925389346E-4</v>
      </c>
      <c r="AM356" s="16">
        <f t="shared" ca="1" si="223"/>
        <v>-2.1503513024666333E-3</v>
      </c>
      <c r="AO356" s="16">
        <f t="shared" ca="1" si="224"/>
        <v>-1.9144502050440394E-4</v>
      </c>
      <c r="AP356" s="16">
        <f t="shared" ca="1" si="225"/>
        <v>-4.1209596416670672E-4</v>
      </c>
      <c r="AQ356" s="16">
        <f t="shared" ca="1" si="226"/>
        <v>-1.3973039235369747E-3</v>
      </c>
      <c r="AR356" s="16">
        <f t="shared" ca="1" si="227"/>
        <v>-1.495063942585477E-4</v>
      </c>
      <c r="AS356" s="16">
        <f t="shared" ca="1" si="228"/>
        <v>-2.939699925389346E-4</v>
      </c>
    </row>
    <row r="357" spans="1:45" x14ac:dyDescent="0.25">
      <c r="A357" s="69">
        <f t="shared" ca="1" si="229"/>
        <v>2451.9769314044065</v>
      </c>
      <c r="B357" s="69">
        <f t="shared" ca="1" si="230"/>
        <v>2134.3102658617386</v>
      </c>
      <c r="C357" s="69">
        <f t="shared" ca="1" si="231"/>
        <v>2227.7651163068404</v>
      </c>
      <c r="D357" s="69">
        <f t="shared" ca="1" si="232"/>
        <v>2908.9598362268439</v>
      </c>
      <c r="E357" s="69">
        <f t="shared" ca="1" si="233"/>
        <v>1930.7769184180313</v>
      </c>
      <c r="F357" s="69">
        <f t="shared" ca="1" si="234"/>
        <v>1222.5533581966495</v>
      </c>
      <c r="G357" s="69">
        <f t="shared" ca="1" si="235"/>
        <v>961.24385265315516</v>
      </c>
      <c r="H357" s="69">
        <f t="shared" ca="1" si="236"/>
        <v>1188.9624782891931</v>
      </c>
      <c r="I357" s="69">
        <f t="shared" ca="1" si="237"/>
        <v>1050.6274198868152</v>
      </c>
      <c r="J357" s="69">
        <f t="shared" ca="1" si="238"/>
        <v>1146.4177999069111</v>
      </c>
      <c r="K357" s="69">
        <f t="shared" ca="1" si="239"/>
        <v>1178.2281109654034</v>
      </c>
      <c r="L357" s="69">
        <f t="shared" ca="1" si="240"/>
        <v>953.73152603489075</v>
      </c>
      <c r="M357" s="69">
        <f t="shared" ca="1" si="241"/>
        <v>990.13264583381124</v>
      </c>
      <c r="N357" s="69">
        <f t="shared" ca="1" si="242"/>
        <v>570.10525722290777</v>
      </c>
      <c r="O357" s="69">
        <f t="shared" ca="1" si="243"/>
        <v>628.1935769707826</v>
      </c>
      <c r="P357" s="69">
        <f t="shared" ca="1" si="244"/>
        <v>725.82329736380575</v>
      </c>
      <c r="Q357" s="69">
        <f t="shared" ca="1" si="245"/>
        <v>954.96039448189333</v>
      </c>
      <c r="R357" s="69">
        <f t="shared" ca="1" si="246"/>
        <v>784.53746084327634</v>
      </c>
      <c r="S357" s="69">
        <f t="shared" ca="1" si="247"/>
        <v>701.99605423816865</v>
      </c>
      <c r="T357" s="69">
        <f t="shared" ca="1" si="248"/>
        <v>802.97668282406437</v>
      </c>
      <c r="U357" s="69">
        <f t="shared" ca="1" si="249"/>
        <v>1691.5966256498043</v>
      </c>
      <c r="V357" s="69">
        <f t="shared" ca="1" si="250"/>
        <v>1914.2109987078229</v>
      </c>
      <c r="W357" s="69">
        <f t="shared" ca="1" si="251"/>
        <v>1176.2095749139373</v>
      </c>
      <c r="X357" s="69">
        <f t="shared" ca="1" si="252"/>
        <v>1494.9760442241518</v>
      </c>
      <c r="Y357" s="69">
        <f t="shared" ca="1" si="253"/>
        <v>1208.7491942650288</v>
      </c>
      <c r="AA357" s="20">
        <f t="shared" ca="1" si="213"/>
        <v>6.5480676242152584E+16</v>
      </c>
      <c r="AB357" s="20">
        <f t="shared" ca="1" si="214"/>
        <v>1682911194052928.3</v>
      </c>
      <c r="AC357" s="20">
        <f t="shared" ca="1" si="215"/>
        <v>398471657479371.13</v>
      </c>
      <c r="AD357" s="20">
        <f t="shared" ca="1" si="216"/>
        <v>306526167386266.88</v>
      </c>
      <c r="AE357" s="20">
        <f t="shared" ca="1" si="217"/>
        <v>6882429303108499</v>
      </c>
      <c r="AG357" s="16">
        <f t="shared" ca="1" si="218"/>
        <v>-2.0321782441704248E-4</v>
      </c>
      <c r="AH357" s="16">
        <f t="shared" ca="1" si="219"/>
        <v>3.7955062579514675E-5</v>
      </c>
      <c r="AI357" s="16">
        <f t="shared" ca="1" si="220"/>
        <v>9.9456505414159376E-4</v>
      </c>
      <c r="AJ357" s="16">
        <f t="shared" ca="1" si="221"/>
        <v>-2.3614985933697948E-4</v>
      </c>
      <c r="AK357" s="16">
        <f t="shared" ca="1" si="222"/>
        <v>-2.7530995680096566E-4</v>
      </c>
      <c r="AM357" s="16">
        <f t="shared" ca="1" si="223"/>
        <v>5.9315243296708656E-4</v>
      </c>
      <c r="AO357" s="16">
        <f t="shared" ca="1" si="224"/>
        <v>-2.0321782441704248E-4</v>
      </c>
      <c r="AP357" s="16">
        <f t="shared" ca="1" si="225"/>
        <v>0</v>
      </c>
      <c r="AQ357" s="16">
        <f t="shared" ca="1" si="226"/>
        <v>0</v>
      </c>
      <c r="AR357" s="16">
        <f t="shared" ca="1" si="227"/>
        <v>-2.3614985933697948E-4</v>
      </c>
      <c r="AS357" s="16">
        <f t="shared" ca="1" si="228"/>
        <v>-2.7530995680096566E-4</v>
      </c>
    </row>
    <row r="358" spans="1:45" x14ac:dyDescent="0.25">
      <c r="A358" s="69">
        <f t="shared" ca="1" si="229"/>
        <v>2452.3094760926297</v>
      </c>
      <c r="B358" s="69">
        <f t="shared" ca="1" si="230"/>
        <v>2134.3102658617386</v>
      </c>
      <c r="C358" s="69">
        <f t="shared" ca="1" si="231"/>
        <v>2227.886587117006</v>
      </c>
      <c r="D358" s="69">
        <f t="shared" ca="1" si="232"/>
        <v>2908.5433432202944</v>
      </c>
      <c r="E358" s="69">
        <f t="shared" ca="1" si="233"/>
        <v>1930.2939565246145</v>
      </c>
      <c r="F358" s="69">
        <f t="shared" ca="1" si="234"/>
        <v>1222.6501628252481</v>
      </c>
      <c r="G358" s="69">
        <f t="shared" ca="1" si="235"/>
        <v>961.24385265315516</v>
      </c>
      <c r="H358" s="69">
        <f t="shared" ca="1" si="236"/>
        <v>1189.2258226040124</v>
      </c>
      <c r="I358" s="69">
        <f t="shared" ca="1" si="237"/>
        <v>1050.3514663275832</v>
      </c>
      <c r="J358" s="69">
        <f t="shared" ca="1" si="238"/>
        <v>1146.4177999069111</v>
      </c>
      <c r="K358" s="69">
        <f t="shared" ca="1" si="239"/>
        <v>1178.2281109654034</v>
      </c>
      <c r="L358" s="69">
        <f t="shared" ca="1" si="240"/>
        <v>953.69867030538262</v>
      </c>
      <c r="M358" s="69">
        <f t="shared" ca="1" si="241"/>
        <v>990.1071332460956</v>
      </c>
      <c r="N358" s="69">
        <f t="shared" ca="1" si="242"/>
        <v>570.39308426274772</v>
      </c>
      <c r="O358" s="69">
        <f t="shared" ca="1" si="243"/>
        <v>628.53920574422375</v>
      </c>
      <c r="P358" s="69">
        <f t="shared" ca="1" si="244"/>
        <v>725.35866234501907</v>
      </c>
      <c r="Q358" s="69">
        <f t="shared" ca="1" si="245"/>
        <v>954.96039448189333</v>
      </c>
      <c r="R358" s="69">
        <f t="shared" ca="1" si="246"/>
        <v>784.32651980063531</v>
      </c>
      <c r="S358" s="69">
        <f t="shared" ca="1" si="247"/>
        <v>702.46873622194482</v>
      </c>
      <c r="T358" s="69">
        <f t="shared" ca="1" si="248"/>
        <v>802.97668282406437</v>
      </c>
      <c r="U358" s="69">
        <f t="shared" ca="1" si="249"/>
        <v>1691.1309763577563</v>
      </c>
      <c r="V358" s="69">
        <f t="shared" ca="1" si="250"/>
        <v>1914.2109987078229</v>
      </c>
      <c r="W358" s="69">
        <f t="shared" ca="1" si="251"/>
        <v>1176.2095749139373</v>
      </c>
      <c r="X358" s="69">
        <f t="shared" ca="1" si="252"/>
        <v>1494.9760442241518</v>
      </c>
      <c r="Y358" s="69">
        <f t="shared" ca="1" si="253"/>
        <v>1208.7491942650288</v>
      </c>
      <c r="AA358" s="20">
        <f t="shared" ca="1" si="213"/>
        <v>6.5467370753587304E+16</v>
      </c>
      <c r="AB358" s="20">
        <f t="shared" ca="1" si="214"/>
        <v>1682975070264819.5</v>
      </c>
      <c r="AC358" s="20">
        <f t="shared" ca="1" si="215"/>
        <v>398868160606359.25</v>
      </c>
      <c r="AD358" s="20">
        <f t="shared" ca="1" si="216"/>
        <v>306453789821267.75</v>
      </c>
      <c r="AE358" s="20">
        <f t="shared" ca="1" si="217"/>
        <v>6880534762599274</v>
      </c>
      <c r="AG358" s="16">
        <f t="shared" ca="1" si="218"/>
        <v>2.312771158476516E-4</v>
      </c>
      <c r="AH358" s="16">
        <f t="shared" ca="1" si="219"/>
        <v>-3.1222432812613558E-4</v>
      </c>
      <c r="AI358" s="16">
        <f t="shared" ca="1" si="220"/>
        <v>-1.5898817256814934E-3</v>
      </c>
      <c r="AJ358" s="16">
        <f t="shared" ca="1" si="221"/>
        <v>-3.394581292683849E-4</v>
      </c>
      <c r="AK358" s="16">
        <f t="shared" ca="1" si="222"/>
        <v>-1.4395684917763881E-4</v>
      </c>
      <c r="AM358" s="16">
        <f t="shared" ca="1" si="223"/>
        <v>-2.0102870672283621E-3</v>
      </c>
      <c r="AO358" s="16">
        <f t="shared" ca="1" si="224"/>
        <v>0</v>
      </c>
      <c r="AP358" s="16">
        <f t="shared" ca="1" si="225"/>
        <v>-3.1222432812613558E-4</v>
      </c>
      <c r="AQ358" s="16">
        <f t="shared" ca="1" si="226"/>
        <v>-1.5898817256814934E-3</v>
      </c>
      <c r="AR358" s="16">
        <f t="shared" ca="1" si="227"/>
        <v>-3.394581292683849E-4</v>
      </c>
      <c r="AS358" s="16">
        <f t="shared" ca="1" si="228"/>
        <v>-1.4395684917763881E-4</v>
      </c>
    </row>
    <row r="359" spans="1:45" x14ac:dyDescent="0.25">
      <c r="A359" s="69">
        <f t="shared" ca="1" si="229"/>
        <v>2452.5625789548785</v>
      </c>
      <c r="B359" s="69">
        <f t="shared" ca="1" si="230"/>
        <v>2134.3466978145966</v>
      </c>
      <c r="C359" s="69">
        <f t="shared" ca="1" si="231"/>
        <v>2228.2038213146161</v>
      </c>
      <c r="D359" s="69">
        <f t="shared" ca="1" si="232"/>
        <v>2908.676265399783</v>
      </c>
      <c r="E359" s="69">
        <f t="shared" ca="1" si="233"/>
        <v>1930.1451772656094</v>
      </c>
      <c r="F359" s="69">
        <f t="shared" ca="1" si="234"/>
        <v>1223.062811315604</v>
      </c>
      <c r="G359" s="69">
        <f t="shared" ca="1" si="235"/>
        <v>961.01965088391171</v>
      </c>
      <c r="H359" s="69">
        <f t="shared" ca="1" si="236"/>
        <v>1188.7903633335575</v>
      </c>
      <c r="I359" s="69">
        <f t="shared" ca="1" si="237"/>
        <v>1050.3944378340805</v>
      </c>
      <c r="J359" s="69">
        <f t="shared" ca="1" si="238"/>
        <v>1146.3133941142692</v>
      </c>
      <c r="K359" s="69">
        <f t="shared" ca="1" si="239"/>
        <v>1177.9495559127477</v>
      </c>
      <c r="L359" s="69">
        <f t="shared" ca="1" si="240"/>
        <v>953.37990504657739</v>
      </c>
      <c r="M359" s="69">
        <f t="shared" ca="1" si="241"/>
        <v>990.34801631399796</v>
      </c>
      <c r="N359" s="69">
        <f t="shared" ca="1" si="242"/>
        <v>569.91689234925207</v>
      </c>
      <c r="O359" s="69">
        <f t="shared" ca="1" si="243"/>
        <v>628.27075039980082</v>
      </c>
      <c r="P359" s="69">
        <f t="shared" ca="1" si="244"/>
        <v>725.68500931759672</v>
      </c>
      <c r="Q359" s="69">
        <f t="shared" ca="1" si="245"/>
        <v>954.50821006111505</v>
      </c>
      <c r="R359" s="69">
        <f t="shared" ca="1" si="246"/>
        <v>783.97332404975486</v>
      </c>
      <c r="S359" s="69">
        <f t="shared" ca="1" si="247"/>
        <v>702.46873622194482</v>
      </c>
      <c r="T359" s="69">
        <f t="shared" ca="1" si="248"/>
        <v>803.08491037455246</v>
      </c>
      <c r="U359" s="69">
        <f t="shared" ca="1" si="249"/>
        <v>1691.3387186385096</v>
      </c>
      <c r="V359" s="69">
        <f t="shared" ca="1" si="250"/>
        <v>1914.2109987078229</v>
      </c>
      <c r="W359" s="69">
        <f t="shared" ca="1" si="251"/>
        <v>1175.8958140261975</v>
      </c>
      <c r="X359" s="69">
        <f t="shared" ca="1" si="252"/>
        <v>1494.9760442241518</v>
      </c>
      <c r="Y359" s="69">
        <f t="shared" ca="1" si="253"/>
        <v>1208.7491942650288</v>
      </c>
      <c r="AA359" s="20">
        <f t="shared" ca="1" si="213"/>
        <v>6.5482513609307824E+16</v>
      </c>
      <c r="AB359" s="20">
        <f t="shared" ca="1" si="214"/>
        <v>1682449686527313.3</v>
      </c>
      <c r="AC359" s="20">
        <f t="shared" ca="1" si="215"/>
        <v>398234511254092.06</v>
      </c>
      <c r="AD359" s="20">
        <f t="shared" ca="1" si="216"/>
        <v>306349779245684.31</v>
      </c>
      <c r="AE359" s="20">
        <f t="shared" ca="1" si="217"/>
        <v>6879544333785409</v>
      </c>
      <c r="AG359" s="16">
        <f t="shared" ca="1" si="218"/>
        <v>2.7166753894573183E-5</v>
      </c>
      <c r="AH359" s="16">
        <f t="shared" ca="1" si="219"/>
        <v>-4.5789507252849861E-4</v>
      </c>
      <c r="AI359" s="16">
        <f t="shared" ca="1" si="220"/>
        <v>5.4241588751998597E-4</v>
      </c>
      <c r="AJ359" s="16">
        <f t="shared" ca="1" si="221"/>
        <v>6.7607379253471777E-4</v>
      </c>
      <c r="AK359" s="16">
        <f t="shared" ca="1" si="222"/>
        <v>1.4628979664163501E-4</v>
      </c>
      <c r="AM359" s="16">
        <f t="shared" ca="1" si="223"/>
        <v>7.8776136142077839E-4</v>
      </c>
      <c r="AO359" s="16">
        <f t="shared" ca="1" si="224"/>
        <v>0</v>
      </c>
      <c r="AP359" s="16">
        <f t="shared" ca="1" si="225"/>
        <v>-4.5789507252849861E-4</v>
      </c>
      <c r="AQ359" s="16">
        <f t="shared" ca="1" si="226"/>
        <v>0</v>
      </c>
      <c r="AR359" s="16">
        <f t="shared" ca="1" si="227"/>
        <v>0</v>
      </c>
      <c r="AS359" s="16">
        <f t="shared" ca="1" si="228"/>
        <v>0</v>
      </c>
    </row>
    <row r="360" spans="1:45" x14ac:dyDescent="0.25">
      <c r="A360" s="69">
        <f t="shared" ca="1" si="229"/>
        <v>2452.8683140688599</v>
      </c>
      <c r="B360" s="69">
        <f t="shared" ca="1" si="230"/>
        <v>2133.8633456217435</v>
      </c>
      <c r="C360" s="69">
        <f t="shared" ca="1" si="231"/>
        <v>2228.2038213146161</v>
      </c>
      <c r="D360" s="69">
        <f t="shared" ca="1" si="232"/>
        <v>2909.0515218791375</v>
      </c>
      <c r="E360" s="69">
        <f t="shared" ca="1" si="233"/>
        <v>1930.1451772656094</v>
      </c>
      <c r="F360" s="69">
        <f t="shared" ca="1" si="234"/>
        <v>1223.3265636351382</v>
      </c>
      <c r="G360" s="69">
        <f t="shared" ca="1" si="235"/>
        <v>960.52927042356623</v>
      </c>
      <c r="H360" s="69">
        <f t="shared" ca="1" si="236"/>
        <v>1188.7903633335575</v>
      </c>
      <c r="I360" s="69">
        <f t="shared" ca="1" si="237"/>
        <v>1050.164279463344</v>
      </c>
      <c r="J360" s="69">
        <f t="shared" ca="1" si="238"/>
        <v>1146.3776129832413</v>
      </c>
      <c r="K360" s="69">
        <f t="shared" ca="1" si="239"/>
        <v>1177.5069812902982</v>
      </c>
      <c r="L360" s="69">
        <f t="shared" ca="1" si="240"/>
        <v>953.62513424463521</v>
      </c>
      <c r="M360" s="69">
        <f t="shared" ca="1" si="241"/>
        <v>990.43190587974118</v>
      </c>
      <c r="N360" s="69">
        <f t="shared" ca="1" si="242"/>
        <v>570.24543652332829</v>
      </c>
      <c r="O360" s="69">
        <f t="shared" ca="1" si="243"/>
        <v>628.27075039980082</v>
      </c>
      <c r="P360" s="69">
        <f t="shared" ca="1" si="244"/>
        <v>725.68500931759672</v>
      </c>
      <c r="Q360" s="69">
        <f t="shared" ca="1" si="245"/>
        <v>954.9404266231528</v>
      </c>
      <c r="R360" s="69">
        <f t="shared" ca="1" si="246"/>
        <v>784.09520356440044</v>
      </c>
      <c r="S360" s="69">
        <f t="shared" ca="1" si="247"/>
        <v>702.13499518832111</v>
      </c>
      <c r="T360" s="69">
        <f t="shared" ca="1" si="248"/>
        <v>803.52119934143627</v>
      </c>
      <c r="U360" s="69">
        <f t="shared" ca="1" si="249"/>
        <v>1691.5861623345143</v>
      </c>
      <c r="V360" s="69">
        <f t="shared" ca="1" si="250"/>
        <v>1914.2109987078229</v>
      </c>
      <c r="W360" s="69">
        <f t="shared" ca="1" si="251"/>
        <v>1175.8958140261975</v>
      </c>
      <c r="X360" s="69">
        <f t="shared" ca="1" si="252"/>
        <v>1494.9760442241518</v>
      </c>
      <c r="Y360" s="69">
        <f t="shared" ca="1" si="253"/>
        <v>1208.7491942650288</v>
      </c>
      <c r="AA360" s="20">
        <f t="shared" ca="1" si="213"/>
        <v>6.5484292580803776E+16</v>
      </c>
      <c r="AB360" s="20">
        <f t="shared" ca="1" si="214"/>
        <v>1681679477457001.8</v>
      </c>
      <c r="AC360" s="20">
        <f t="shared" ca="1" si="215"/>
        <v>398450578573831.06</v>
      </c>
      <c r="AD360" s="20">
        <f t="shared" ca="1" si="216"/>
        <v>306556964331092.75</v>
      </c>
      <c r="AE360" s="20">
        <f t="shared" ca="1" si="217"/>
        <v>6880550814544124</v>
      </c>
      <c r="AG360" s="16">
        <f t="shared" ca="1" si="218"/>
        <v>2.6159110087158087E-4</v>
      </c>
      <c r="AH360" s="16">
        <f t="shared" ca="1" si="219"/>
        <v>1.7544999661265009E-4</v>
      </c>
      <c r="AI360" s="16">
        <f t="shared" ca="1" si="220"/>
        <v>6.5276072656705148E-4</v>
      </c>
      <c r="AJ360" s="16">
        <f t="shared" ca="1" si="221"/>
        <v>-2.8230918017726841E-4</v>
      </c>
      <c r="AK360" s="16">
        <f t="shared" ca="1" si="222"/>
        <v>5.293441328718594E-5</v>
      </c>
      <c r="AM360" s="16">
        <f t="shared" ca="1" si="223"/>
        <v>8.0749264387401415E-4</v>
      </c>
      <c r="AO360" s="16">
        <f t="shared" ca="1" si="224"/>
        <v>0</v>
      </c>
      <c r="AP360" s="16">
        <f t="shared" ca="1" si="225"/>
        <v>0</v>
      </c>
      <c r="AQ360" s="16">
        <f t="shared" ca="1" si="226"/>
        <v>0</v>
      </c>
      <c r="AR360" s="16">
        <f t="shared" ca="1" si="227"/>
        <v>-2.8230918017726841E-4</v>
      </c>
      <c r="AS360" s="16">
        <f t="shared" ca="1" si="228"/>
        <v>0</v>
      </c>
    </row>
    <row r="361" spans="1:45" x14ac:dyDescent="0.25">
      <c r="A361" s="69">
        <f t="shared" ca="1" si="229"/>
        <v>2453.0162228108916</v>
      </c>
      <c r="B361" s="69">
        <f t="shared" ca="1" si="230"/>
        <v>2134.358394665463</v>
      </c>
      <c r="C361" s="69">
        <f t="shared" ca="1" si="231"/>
        <v>2228.2038213146161</v>
      </c>
      <c r="D361" s="69">
        <f t="shared" ca="1" si="232"/>
        <v>2908.9622819997107</v>
      </c>
      <c r="E361" s="69">
        <f t="shared" ca="1" si="233"/>
        <v>1930.1451772656094</v>
      </c>
      <c r="F361" s="69">
        <f t="shared" ca="1" si="234"/>
        <v>1223.4345170511742</v>
      </c>
      <c r="G361" s="69">
        <f t="shared" ca="1" si="235"/>
        <v>960.81904098394671</v>
      </c>
      <c r="H361" s="69">
        <f t="shared" ca="1" si="236"/>
        <v>1188.7903633335575</v>
      </c>
      <c r="I361" s="69">
        <f t="shared" ca="1" si="237"/>
        <v>1050.164279463344</v>
      </c>
      <c r="J361" s="69">
        <f t="shared" ca="1" si="238"/>
        <v>1146.131827988092</v>
      </c>
      <c r="K361" s="69">
        <f t="shared" ca="1" si="239"/>
        <v>1177.5069812902982</v>
      </c>
      <c r="L361" s="69">
        <f t="shared" ca="1" si="240"/>
        <v>953.30655018746813</v>
      </c>
      <c r="M361" s="69">
        <f t="shared" ca="1" si="241"/>
        <v>990.6513992335415</v>
      </c>
      <c r="N361" s="69">
        <f t="shared" ca="1" si="242"/>
        <v>570.25414780510584</v>
      </c>
      <c r="O361" s="69">
        <f t="shared" ca="1" si="243"/>
        <v>628.74214774307529</v>
      </c>
      <c r="P361" s="69">
        <f t="shared" ca="1" si="244"/>
        <v>725.68500931759672</v>
      </c>
      <c r="Q361" s="69">
        <f t="shared" ca="1" si="245"/>
        <v>954.9404266231528</v>
      </c>
      <c r="R361" s="69">
        <f t="shared" ca="1" si="246"/>
        <v>784.09520356440044</v>
      </c>
      <c r="S361" s="69">
        <f t="shared" ca="1" si="247"/>
        <v>702.13499518832111</v>
      </c>
      <c r="T361" s="69">
        <f t="shared" ca="1" si="248"/>
        <v>803.29438994708846</v>
      </c>
      <c r="U361" s="69">
        <f t="shared" ca="1" si="249"/>
        <v>1691.2677360706109</v>
      </c>
      <c r="V361" s="69">
        <f t="shared" ca="1" si="250"/>
        <v>1914.3444528838813</v>
      </c>
      <c r="W361" s="69">
        <f t="shared" ca="1" si="251"/>
        <v>1176.1618156704467</v>
      </c>
      <c r="X361" s="69">
        <f t="shared" ca="1" si="252"/>
        <v>1495.4217480423899</v>
      </c>
      <c r="Y361" s="69">
        <f t="shared" ca="1" si="253"/>
        <v>1208.3228250429408</v>
      </c>
      <c r="AA361" s="20">
        <f t="shared" ca="1" si="213"/>
        <v>6.5501424929727096E+16</v>
      </c>
      <c r="AB361" s="20">
        <f t="shared" ca="1" si="214"/>
        <v>1681974554000457.5</v>
      </c>
      <c r="AC361" s="20">
        <f t="shared" ca="1" si="215"/>
        <v>398710756370687.44</v>
      </c>
      <c r="AD361" s="20">
        <f t="shared" ca="1" si="216"/>
        <v>306470432700726.31</v>
      </c>
      <c r="AE361" s="20">
        <f t="shared" ca="1" si="217"/>
        <v>6880915042104586</v>
      </c>
      <c r="AG361" s="16">
        <f t="shared" ca="1" si="218"/>
        <v>3.5304254819625578E-4</v>
      </c>
      <c r="AH361" s="16">
        <f t="shared" ca="1" si="219"/>
        <v>6.7691017415587499E-5</v>
      </c>
      <c r="AI361" s="16">
        <f t="shared" ca="1" si="220"/>
        <v>-4.7799897448692078E-4</v>
      </c>
      <c r="AJ361" s="16">
        <f t="shared" ca="1" si="221"/>
        <v>-1.56615027528069E-3</v>
      </c>
      <c r="AK361" s="16">
        <f t="shared" ca="1" si="222"/>
        <v>2.1073516857543967E-4</v>
      </c>
      <c r="AM361" s="16">
        <f t="shared" ca="1" si="223"/>
        <v>-1.6234156841557676E-3</v>
      </c>
      <c r="AO361" s="16">
        <f t="shared" ca="1" si="224"/>
        <v>0</v>
      </c>
      <c r="AP361" s="16">
        <f t="shared" ca="1" si="225"/>
        <v>0</v>
      </c>
      <c r="AQ361" s="16">
        <f t="shared" ca="1" si="226"/>
        <v>-4.7799897448692078E-4</v>
      </c>
      <c r="AR361" s="16">
        <f t="shared" ca="1" si="227"/>
        <v>-1.56615027528069E-3</v>
      </c>
      <c r="AS361" s="16">
        <f t="shared" ca="1" si="228"/>
        <v>0</v>
      </c>
    </row>
    <row r="362" spans="1:45" x14ac:dyDescent="0.25">
      <c r="A362" s="69">
        <f t="shared" ca="1" si="229"/>
        <v>2453.4400298421074</v>
      </c>
      <c r="B362" s="69">
        <f t="shared" ca="1" si="230"/>
        <v>2134.358394665463</v>
      </c>
      <c r="C362" s="69">
        <f t="shared" ca="1" si="231"/>
        <v>2228.2038213146161</v>
      </c>
      <c r="D362" s="69">
        <f t="shared" ca="1" si="232"/>
        <v>2908.9622819997107</v>
      </c>
      <c r="E362" s="69">
        <f t="shared" ca="1" si="233"/>
        <v>1930.4931900865183</v>
      </c>
      <c r="F362" s="69">
        <f t="shared" ca="1" si="234"/>
        <v>1223.4345170511742</v>
      </c>
      <c r="G362" s="69">
        <f t="shared" ca="1" si="235"/>
        <v>961.29125351181847</v>
      </c>
      <c r="H362" s="69">
        <f t="shared" ca="1" si="236"/>
        <v>1188.7903633335575</v>
      </c>
      <c r="I362" s="69">
        <f t="shared" ca="1" si="237"/>
        <v>1050.164279463344</v>
      </c>
      <c r="J362" s="69">
        <f t="shared" ca="1" si="238"/>
        <v>1145.6463640631948</v>
      </c>
      <c r="K362" s="69">
        <f t="shared" ca="1" si="239"/>
        <v>1177.6143544024014</v>
      </c>
      <c r="L362" s="69">
        <f t="shared" ca="1" si="240"/>
        <v>952.88632482583648</v>
      </c>
      <c r="M362" s="69">
        <f t="shared" ca="1" si="241"/>
        <v>990.52433035654622</v>
      </c>
      <c r="N362" s="69">
        <f t="shared" ca="1" si="242"/>
        <v>570.25414780510584</v>
      </c>
      <c r="O362" s="69">
        <f t="shared" ca="1" si="243"/>
        <v>628.74214774307529</v>
      </c>
      <c r="P362" s="69">
        <f t="shared" ca="1" si="244"/>
        <v>725.29901390856105</v>
      </c>
      <c r="Q362" s="69">
        <f t="shared" ca="1" si="245"/>
        <v>954.53064639714535</v>
      </c>
      <c r="R362" s="69">
        <f t="shared" ca="1" si="246"/>
        <v>784.09520356440044</v>
      </c>
      <c r="S362" s="69">
        <f t="shared" ca="1" si="247"/>
        <v>702.13499518832111</v>
      </c>
      <c r="T362" s="69">
        <f t="shared" ca="1" si="248"/>
        <v>802.8086275082311</v>
      </c>
      <c r="U362" s="69">
        <f t="shared" ca="1" si="249"/>
        <v>1691.2677360706109</v>
      </c>
      <c r="V362" s="69">
        <f t="shared" ca="1" si="250"/>
        <v>1914.3444528838813</v>
      </c>
      <c r="W362" s="69">
        <f t="shared" ca="1" si="251"/>
        <v>1176.1618156704467</v>
      </c>
      <c r="X362" s="69">
        <f t="shared" ca="1" si="252"/>
        <v>1495.858927619837</v>
      </c>
      <c r="Y362" s="69">
        <f t="shared" ca="1" si="253"/>
        <v>1208.2242692562127</v>
      </c>
      <c r="AA362" s="20">
        <f t="shared" ca="1" si="213"/>
        <v>6.5524553802192576E+16</v>
      </c>
      <c r="AB362" s="20">
        <f t="shared" ca="1" si="214"/>
        <v>1682088412422837.8</v>
      </c>
      <c r="AC362" s="20">
        <f t="shared" ca="1" si="215"/>
        <v>398520218580087.5</v>
      </c>
      <c r="AD362" s="20">
        <f t="shared" ca="1" si="216"/>
        <v>305990829611473.75</v>
      </c>
      <c r="AE362" s="20">
        <f t="shared" ca="1" si="217"/>
        <v>6882365245695020</v>
      </c>
      <c r="AG362" s="16">
        <f t="shared" ca="1" si="218"/>
        <v>5.2782638325307111E-4</v>
      </c>
      <c r="AH362" s="16">
        <f t="shared" ca="1" si="219"/>
        <v>-1.1000821051200093E-5</v>
      </c>
      <c r="AI362" s="16">
        <f t="shared" ca="1" si="220"/>
        <v>-9.0339570537167034E-4</v>
      </c>
      <c r="AJ362" s="16">
        <f t="shared" ca="1" si="221"/>
        <v>8.8160314457966366E-6</v>
      </c>
      <c r="AK362" s="16">
        <f t="shared" ca="1" si="222"/>
        <v>-1.4963101159636347E-5</v>
      </c>
      <c r="AM362" s="16">
        <f t="shared" ca="1" si="223"/>
        <v>-3.7775411172400266E-4</v>
      </c>
      <c r="AO362" s="16">
        <f t="shared" ca="1" si="224"/>
        <v>0</v>
      </c>
      <c r="AP362" s="16">
        <f t="shared" ca="1" si="225"/>
        <v>-1.1000821051200093E-5</v>
      </c>
      <c r="AQ362" s="16">
        <f t="shared" ca="1" si="226"/>
        <v>-9.0339570537167034E-4</v>
      </c>
      <c r="AR362" s="16">
        <f t="shared" ca="1" si="227"/>
        <v>0</v>
      </c>
      <c r="AS362" s="16">
        <f t="shared" ca="1" si="228"/>
        <v>-1.4963101159636347E-5</v>
      </c>
    </row>
    <row r="363" spans="1:45" x14ac:dyDescent="0.25">
      <c r="A363" s="69">
        <f t="shared" ca="1" si="229"/>
        <v>2453.8878945883266</v>
      </c>
      <c r="B363" s="69">
        <f t="shared" ca="1" si="230"/>
        <v>2134.358394665463</v>
      </c>
      <c r="C363" s="69">
        <f t="shared" ca="1" si="231"/>
        <v>2228.6462654683214</v>
      </c>
      <c r="D363" s="69">
        <f t="shared" ca="1" si="232"/>
        <v>2908.9622819997107</v>
      </c>
      <c r="E363" s="69">
        <f t="shared" ca="1" si="233"/>
        <v>1930.7765141123741</v>
      </c>
      <c r="F363" s="69">
        <f t="shared" ca="1" si="234"/>
        <v>1223.4345170511742</v>
      </c>
      <c r="G363" s="69">
        <f t="shared" ca="1" si="235"/>
        <v>961.10043111320431</v>
      </c>
      <c r="H363" s="69">
        <f t="shared" ca="1" si="236"/>
        <v>1188.7903633335575</v>
      </c>
      <c r="I363" s="69">
        <f t="shared" ca="1" si="237"/>
        <v>1050.3612302103606</v>
      </c>
      <c r="J363" s="69">
        <f t="shared" ca="1" si="238"/>
        <v>1145.6463640631948</v>
      </c>
      <c r="K363" s="69">
        <f t="shared" ca="1" si="239"/>
        <v>1177.8860163370084</v>
      </c>
      <c r="L363" s="69">
        <f t="shared" ca="1" si="240"/>
        <v>952.66893903832442</v>
      </c>
      <c r="M363" s="69">
        <f t="shared" ca="1" si="241"/>
        <v>990.46108991467827</v>
      </c>
      <c r="N363" s="69">
        <f t="shared" ca="1" si="242"/>
        <v>569.9494639502567</v>
      </c>
      <c r="O363" s="69">
        <f t="shared" ca="1" si="243"/>
        <v>628.54876865154324</v>
      </c>
      <c r="P363" s="69">
        <f t="shared" ca="1" si="244"/>
        <v>725.27652684953455</v>
      </c>
      <c r="Q363" s="69">
        <f t="shared" ca="1" si="245"/>
        <v>954.53064639714535</v>
      </c>
      <c r="R363" s="69">
        <f t="shared" ca="1" si="246"/>
        <v>784.09520356440044</v>
      </c>
      <c r="S363" s="69">
        <f t="shared" ca="1" si="247"/>
        <v>702.20920743233694</v>
      </c>
      <c r="T363" s="69">
        <f t="shared" ca="1" si="248"/>
        <v>802.75574890498797</v>
      </c>
      <c r="U363" s="69">
        <f t="shared" ca="1" si="249"/>
        <v>1691.1790711611436</v>
      </c>
      <c r="V363" s="69">
        <f t="shared" ca="1" si="250"/>
        <v>1914.7303706095179</v>
      </c>
      <c r="W363" s="69">
        <f t="shared" ca="1" si="251"/>
        <v>1175.9568139361597</v>
      </c>
      <c r="X363" s="69">
        <f t="shared" ca="1" si="252"/>
        <v>1495.858927619837</v>
      </c>
      <c r="Y363" s="69">
        <f t="shared" ca="1" si="253"/>
        <v>1208.2365974262991</v>
      </c>
      <c r="AA363" s="20">
        <f t="shared" ca="1" si="213"/>
        <v>6.5559148519639384E+16</v>
      </c>
      <c r="AB363" s="20">
        <f t="shared" ca="1" si="214"/>
        <v>1682069908171001.5</v>
      </c>
      <c r="AC363" s="20">
        <f t="shared" ca="1" si="215"/>
        <v>398160359698076.88</v>
      </c>
      <c r="AD363" s="20">
        <f t="shared" ca="1" si="216"/>
        <v>305993527248140.94</v>
      </c>
      <c r="AE363" s="20">
        <f t="shared" ca="1" si="217"/>
        <v>6882262264938089</v>
      </c>
      <c r="AG363" s="16">
        <f t="shared" ca="1" si="218"/>
        <v>1.485482528165284E-4</v>
      </c>
      <c r="AH363" s="16">
        <f t="shared" ca="1" si="219"/>
        <v>-2.0688971786730312E-4</v>
      </c>
      <c r="AI363" s="16">
        <f t="shared" ca="1" si="220"/>
        <v>7.3905856605678338E-4</v>
      </c>
      <c r="AJ363" s="16">
        <f t="shared" ca="1" si="221"/>
        <v>9.2950484154036284E-4</v>
      </c>
      <c r="AK363" s="16">
        <f t="shared" ca="1" si="222"/>
        <v>-2.1414312851939589E-4</v>
      </c>
      <c r="AM363" s="16">
        <f t="shared" ca="1" si="223"/>
        <v>1.6102219425463715E-3</v>
      </c>
      <c r="AO363" s="16">
        <f t="shared" ca="1" si="224"/>
        <v>0</v>
      </c>
      <c r="AP363" s="16">
        <f t="shared" ca="1" si="225"/>
        <v>-2.0688971786730312E-4</v>
      </c>
      <c r="AQ363" s="16">
        <f t="shared" ca="1" si="226"/>
        <v>0</v>
      </c>
      <c r="AR363" s="16">
        <f t="shared" ca="1" si="227"/>
        <v>0</v>
      </c>
      <c r="AS363" s="16">
        <f t="shared" ca="1" si="228"/>
        <v>-2.1414312851939589E-4</v>
      </c>
    </row>
    <row r="364" spans="1:45" x14ac:dyDescent="0.25">
      <c r="A364" s="69">
        <f t="shared" ca="1" si="229"/>
        <v>2454.0768176883571</v>
      </c>
      <c r="B364" s="69">
        <f t="shared" ca="1" si="230"/>
        <v>2134.358394665463</v>
      </c>
      <c r="C364" s="69">
        <f t="shared" ca="1" si="231"/>
        <v>2228.8057573828478</v>
      </c>
      <c r="D364" s="69">
        <f t="shared" ca="1" si="232"/>
        <v>2908.9622819997107</v>
      </c>
      <c r="E364" s="69">
        <f t="shared" ca="1" si="233"/>
        <v>1930.7765141123741</v>
      </c>
      <c r="F364" s="69">
        <f t="shared" ca="1" si="234"/>
        <v>1223.4345170511742</v>
      </c>
      <c r="G364" s="69">
        <f t="shared" ca="1" si="235"/>
        <v>960.63702571191664</v>
      </c>
      <c r="H364" s="69">
        <f t="shared" ca="1" si="236"/>
        <v>1188.7903633335575</v>
      </c>
      <c r="I364" s="69">
        <f t="shared" ca="1" si="237"/>
        <v>1050.3612302103606</v>
      </c>
      <c r="J364" s="69">
        <f t="shared" ca="1" si="238"/>
        <v>1145.9619045707148</v>
      </c>
      <c r="K364" s="69">
        <f t="shared" ca="1" si="239"/>
        <v>1178.3295166566768</v>
      </c>
      <c r="L364" s="69">
        <f t="shared" ca="1" si="240"/>
        <v>953.05012536856077</v>
      </c>
      <c r="M364" s="69">
        <f t="shared" ca="1" si="241"/>
        <v>990.04585137395657</v>
      </c>
      <c r="N364" s="69">
        <f t="shared" ca="1" si="242"/>
        <v>569.80487070089964</v>
      </c>
      <c r="O364" s="69">
        <f t="shared" ca="1" si="243"/>
        <v>628.94841073274972</v>
      </c>
      <c r="P364" s="69">
        <f t="shared" ca="1" si="244"/>
        <v>725.57228564582886</v>
      </c>
      <c r="Q364" s="69">
        <f t="shared" ca="1" si="245"/>
        <v>954.39778756376302</v>
      </c>
      <c r="R364" s="69">
        <f t="shared" ca="1" si="246"/>
        <v>784.4881976656153</v>
      </c>
      <c r="S364" s="69">
        <f t="shared" ca="1" si="247"/>
        <v>702.20920743233694</v>
      </c>
      <c r="T364" s="69">
        <f t="shared" ca="1" si="248"/>
        <v>802.88413271004538</v>
      </c>
      <c r="U364" s="69">
        <f t="shared" ca="1" si="249"/>
        <v>1691.1790711611436</v>
      </c>
      <c r="V364" s="69">
        <f t="shared" ca="1" si="250"/>
        <v>1914.3996148087813</v>
      </c>
      <c r="W364" s="69">
        <f t="shared" ca="1" si="251"/>
        <v>1175.9568139361597</v>
      </c>
      <c r="X364" s="69">
        <f t="shared" ca="1" si="252"/>
        <v>1495.858927619837</v>
      </c>
      <c r="Y364" s="69">
        <f t="shared" ca="1" si="253"/>
        <v>1208.1865950444669</v>
      </c>
      <c r="AA364" s="20">
        <f t="shared" ca="1" si="213"/>
        <v>6.5568887939977144E+16</v>
      </c>
      <c r="AB364" s="20">
        <f t="shared" ca="1" si="214"/>
        <v>1681721941198902.5</v>
      </c>
      <c r="AC364" s="20">
        <f t="shared" ca="1" si="215"/>
        <v>398454732288469.25</v>
      </c>
      <c r="AD364" s="20">
        <f t="shared" ca="1" si="216"/>
        <v>306278081940192.63</v>
      </c>
      <c r="AE364" s="20">
        <f t="shared" ca="1" si="217"/>
        <v>6880788633555033</v>
      </c>
      <c r="AG364" s="16">
        <f t="shared" ca="1" si="218"/>
        <v>3.5531508485070614E-4</v>
      </c>
      <c r="AH364" s="16">
        <f t="shared" ca="1" si="219"/>
        <v>5.9512884849387008E-5</v>
      </c>
      <c r="AI364" s="16">
        <f t="shared" ca="1" si="220"/>
        <v>-7.2193970286055513E-5</v>
      </c>
      <c r="AJ364" s="16">
        <f t="shared" ca="1" si="221"/>
        <v>9.3605553326719904E-4</v>
      </c>
      <c r="AK364" s="16">
        <f t="shared" ca="1" si="222"/>
        <v>3.6657755508555151E-4</v>
      </c>
      <c r="AM364" s="16">
        <f t="shared" ca="1" si="223"/>
        <v>1.2786895326812367E-3</v>
      </c>
      <c r="AO364" s="16">
        <f t="shared" ca="1" si="224"/>
        <v>0</v>
      </c>
      <c r="AP364" s="16">
        <f t="shared" ca="1" si="225"/>
        <v>0</v>
      </c>
      <c r="AQ364" s="16">
        <f t="shared" ca="1" si="226"/>
        <v>-7.2193970286055513E-5</v>
      </c>
      <c r="AR364" s="16">
        <f t="shared" ca="1" si="227"/>
        <v>0</v>
      </c>
      <c r="AS364" s="16">
        <f t="shared" ca="1" si="228"/>
        <v>0</v>
      </c>
    </row>
    <row r="365" spans="1:45" x14ac:dyDescent="0.25">
      <c r="A365" s="69">
        <f t="shared" ca="1" si="229"/>
        <v>2454.387281730239</v>
      </c>
      <c r="B365" s="69">
        <f t="shared" ca="1" si="230"/>
        <v>2134.5125313869116</v>
      </c>
      <c r="C365" s="69">
        <f t="shared" ca="1" si="231"/>
        <v>2228.8057573828478</v>
      </c>
      <c r="D365" s="69">
        <f t="shared" ca="1" si="232"/>
        <v>2909.4178591317796</v>
      </c>
      <c r="E365" s="69">
        <f t="shared" ca="1" si="233"/>
        <v>1930.7765141123741</v>
      </c>
      <c r="F365" s="69">
        <f t="shared" ca="1" si="234"/>
        <v>1223.4345170511742</v>
      </c>
      <c r="G365" s="69">
        <f t="shared" ca="1" si="235"/>
        <v>960.63702571191664</v>
      </c>
      <c r="H365" s="69">
        <f t="shared" ca="1" si="236"/>
        <v>1188.9020298876721</v>
      </c>
      <c r="I365" s="69">
        <f t="shared" ca="1" si="237"/>
        <v>1050.0567764023476</v>
      </c>
      <c r="J365" s="69">
        <f t="shared" ca="1" si="238"/>
        <v>1146.2547153895159</v>
      </c>
      <c r="K365" s="69">
        <f t="shared" ca="1" si="239"/>
        <v>1178.3295166566768</v>
      </c>
      <c r="L365" s="69">
        <f t="shared" ca="1" si="240"/>
        <v>952.55588094283792</v>
      </c>
      <c r="M365" s="69">
        <f t="shared" ca="1" si="241"/>
        <v>990.04585137395657</v>
      </c>
      <c r="N365" s="69">
        <f t="shared" ca="1" si="242"/>
        <v>569.73852701145483</v>
      </c>
      <c r="O365" s="69">
        <f t="shared" ca="1" si="243"/>
        <v>629.30259069417491</v>
      </c>
      <c r="P365" s="69">
        <f t="shared" ca="1" si="244"/>
        <v>725.95180626076535</v>
      </c>
      <c r="Q365" s="69">
        <f t="shared" ca="1" si="245"/>
        <v>954.08230225902867</v>
      </c>
      <c r="R365" s="69">
        <f t="shared" ca="1" si="246"/>
        <v>784.77588623379427</v>
      </c>
      <c r="S365" s="69">
        <f t="shared" ca="1" si="247"/>
        <v>702.20920743233694</v>
      </c>
      <c r="T365" s="69">
        <f t="shared" ca="1" si="248"/>
        <v>803.18694820309418</v>
      </c>
      <c r="U365" s="69">
        <f t="shared" ca="1" si="249"/>
        <v>1691.6237429248752</v>
      </c>
      <c r="V365" s="69">
        <f t="shared" ca="1" si="250"/>
        <v>1914.3996148087813</v>
      </c>
      <c r="W365" s="69">
        <f t="shared" ca="1" si="251"/>
        <v>1176.0169080600308</v>
      </c>
      <c r="X365" s="69">
        <f t="shared" ca="1" si="252"/>
        <v>1495.6042594232579</v>
      </c>
      <c r="Y365" s="69">
        <f t="shared" ca="1" si="253"/>
        <v>1208.4558554813023</v>
      </c>
      <c r="AA365" s="20">
        <f t="shared" ca="1" si="213"/>
        <v>6.5592189694446384E+16</v>
      </c>
      <c r="AB365" s="20">
        <f t="shared" ca="1" si="214"/>
        <v>1681822028301344.5</v>
      </c>
      <c r="AC365" s="20">
        <f t="shared" ca="1" si="215"/>
        <v>398425967297708</v>
      </c>
      <c r="AD365" s="20">
        <f t="shared" ca="1" si="216"/>
        <v>306564909455809.56</v>
      </c>
      <c r="AE365" s="20">
        <f t="shared" ca="1" si="217"/>
        <v>6883311438602984</v>
      </c>
      <c r="AG365" s="16">
        <f t="shared" ca="1" si="218"/>
        <v>-5.3113283962946322E-5</v>
      </c>
      <c r="AH365" s="16">
        <f t="shared" ca="1" si="219"/>
        <v>-5.0043437367916922E-4</v>
      </c>
      <c r="AI365" s="16">
        <f t="shared" ca="1" si="220"/>
        <v>-4.9800788665872893E-4</v>
      </c>
      <c r="AJ365" s="16">
        <f t="shared" ca="1" si="221"/>
        <v>-3.648988856706391E-4</v>
      </c>
      <c r="AK365" s="16">
        <f t="shared" ca="1" si="222"/>
        <v>-5.3871408559576391E-4</v>
      </c>
      <c r="AM365" s="16">
        <f t="shared" ca="1" si="223"/>
        <v>-1.4164544299714835E-3</v>
      </c>
      <c r="AO365" s="16">
        <f t="shared" ca="1" si="224"/>
        <v>-5.3113283962946322E-5</v>
      </c>
      <c r="AP365" s="16">
        <f t="shared" ca="1" si="225"/>
        <v>-5.0043437367916922E-4</v>
      </c>
      <c r="AQ365" s="16">
        <f t="shared" ca="1" si="226"/>
        <v>-4.9800788665872893E-4</v>
      </c>
      <c r="AR365" s="16">
        <f t="shared" ca="1" si="227"/>
        <v>-3.648988856706391E-4</v>
      </c>
      <c r="AS365" s="16">
        <f t="shared" ca="1" si="228"/>
        <v>-5.3871408559576391E-4</v>
      </c>
    </row>
    <row r="366" spans="1:45" x14ac:dyDescent="0.25">
      <c r="A366" s="69">
        <f t="shared" ca="1" si="229"/>
        <v>2454.387281730239</v>
      </c>
      <c r="B366" s="69">
        <f t="shared" ca="1" si="230"/>
        <v>2134.5125313869116</v>
      </c>
      <c r="C366" s="69">
        <f t="shared" ca="1" si="231"/>
        <v>2228.8057573828478</v>
      </c>
      <c r="D366" s="69">
        <f t="shared" ca="1" si="232"/>
        <v>2909.4178591317796</v>
      </c>
      <c r="E366" s="69">
        <f t="shared" ca="1" si="233"/>
        <v>1930.6739669544434</v>
      </c>
      <c r="F366" s="69">
        <f t="shared" ca="1" si="234"/>
        <v>1223.0732059638847</v>
      </c>
      <c r="G366" s="69">
        <f t="shared" ca="1" si="235"/>
        <v>960.63702571191664</v>
      </c>
      <c r="H366" s="69">
        <f t="shared" ca="1" si="236"/>
        <v>1188.953961966301</v>
      </c>
      <c r="I366" s="69">
        <f t="shared" ca="1" si="237"/>
        <v>1049.9471011213175</v>
      </c>
      <c r="J366" s="69">
        <f t="shared" ca="1" si="238"/>
        <v>1146.0893310012241</v>
      </c>
      <c r="K366" s="69">
        <f t="shared" ca="1" si="239"/>
        <v>1178.3295166566768</v>
      </c>
      <c r="L366" s="69">
        <f t="shared" ca="1" si="240"/>
        <v>952.36242733343533</v>
      </c>
      <c r="M366" s="69">
        <f t="shared" ca="1" si="241"/>
        <v>990.04585137395657</v>
      </c>
      <c r="N366" s="69">
        <f t="shared" ca="1" si="242"/>
        <v>569.73852701145483</v>
      </c>
      <c r="O366" s="69">
        <f t="shared" ca="1" si="243"/>
        <v>629.11703780744358</v>
      </c>
      <c r="P366" s="69">
        <f t="shared" ca="1" si="244"/>
        <v>725.95180626076535</v>
      </c>
      <c r="Q366" s="69">
        <f t="shared" ca="1" si="245"/>
        <v>954.08230225902867</v>
      </c>
      <c r="R366" s="69">
        <f t="shared" ca="1" si="246"/>
        <v>784.48957462797625</v>
      </c>
      <c r="S366" s="69">
        <f t="shared" ca="1" si="247"/>
        <v>702.20920743233694</v>
      </c>
      <c r="T366" s="69">
        <f t="shared" ca="1" si="248"/>
        <v>803.18694820309418</v>
      </c>
      <c r="U366" s="69">
        <f t="shared" ca="1" si="249"/>
        <v>1691.3923574320283</v>
      </c>
      <c r="V366" s="69">
        <f t="shared" ca="1" si="250"/>
        <v>1914.7024008426713</v>
      </c>
      <c r="W366" s="69">
        <f t="shared" ca="1" si="251"/>
        <v>1176.17396646151</v>
      </c>
      <c r="X366" s="69">
        <f t="shared" ca="1" si="252"/>
        <v>1495.1448164695732</v>
      </c>
      <c r="Y366" s="69">
        <f t="shared" ca="1" si="253"/>
        <v>1207.9890333208789</v>
      </c>
      <c r="AA366" s="20">
        <f t="shared" ca="1" si="213"/>
        <v>6.5588705970366224E+16</v>
      </c>
      <c r="AB366" s="20">
        <f t="shared" ca="1" si="214"/>
        <v>1680980597306028.5</v>
      </c>
      <c r="AC366" s="20">
        <f t="shared" ca="1" si="215"/>
        <v>398227597422725.06</v>
      </c>
      <c r="AD366" s="20">
        <f t="shared" ca="1" si="216"/>
        <v>306453064669223.44</v>
      </c>
      <c r="AE366" s="20">
        <f t="shared" ca="1" si="217"/>
        <v>6879604300408902</v>
      </c>
      <c r="AG366" s="16">
        <f t="shared" ca="1" si="218"/>
        <v>-6.8844926414298363E-5</v>
      </c>
      <c r="AH366" s="16">
        <f t="shared" ca="1" si="219"/>
        <v>-1.1047138139252963E-3</v>
      </c>
      <c r="AI366" s="16">
        <f t="shared" ca="1" si="220"/>
        <v>-6.3685202072279645E-4</v>
      </c>
      <c r="AJ366" s="16">
        <f t="shared" ca="1" si="221"/>
        <v>1.8268443148402604E-4</v>
      </c>
      <c r="AK366" s="16">
        <f t="shared" ca="1" si="222"/>
        <v>3.1828700974977504E-4</v>
      </c>
      <c r="AM366" s="16">
        <f t="shared" ca="1" si="223"/>
        <v>-1.6277263295783652E-3</v>
      </c>
      <c r="AO366" s="16">
        <f t="shared" ca="1" si="224"/>
        <v>-6.8844926414298363E-5</v>
      </c>
      <c r="AP366" s="16">
        <f t="shared" ca="1" si="225"/>
        <v>-1.1047138139252963E-3</v>
      </c>
      <c r="AQ366" s="16">
        <f t="shared" ca="1" si="226"/>
        <v>-6.3685202072279645E-4</v>
      </c>
      <c r="AR366" s="16">
        <f t="shared" ca="1" si="227"/>
        <v>0</v>
      </c>
      <c r="AS366" s="16">
        <f t="shared" ca="1" si="228"/>
        <v>0</v>
      </c>
    </row>
    <row r="367" spans="1:45" x14ac:dyDescent="0.25">
      <c r="A367" s="69">
        <f t="shared" ca="1" si="229"/>
        <v>2454.387281730239</v>
      </c>
      <c r="B367" s="69">
        <f t="shared" ca="1" si="230"/>
        <v>2134.0672572384769</v>
      </c>
      <c r="C367" s="69">
        <f t="shared" ca="1" si="231"/>
        <v>2228.8057573828478</v>
      </c>
      <c r="D367" s="69">
        <f t="shared" ca="1" si="232"/>
        <v>2909.8245769973691</v>
      </c>
      <c r="E367" s="69">
        <f t="shared" ca="1" si="233"/>
        <v>1930.6739669544434</v>
      </c>
      <c r="F367" s="69">
        <f t="shared" ca="1" si="234"/>
        <v>1222.795068763789</v>
      </c>
      <c r="G367" s="69">
        <f t="shared" ca="1" si="235"/>
        <v>960.20932695733711</v>
      </c>
      <c r="H367" s="69">
        <f t="shared" ca="1" si="236"/>
        <v>1188.953961966301</v>
      </c>
      <c r="I367" s="69">
        <f t="shared" ca="1" si="237"/>
        <v>1049.4936678508159</v>
      </c>
      <c r="J367" s="69">
        <f t="shared" ca="1" si="238"/>
        <v>1146.0893310012241</v>
      </c>
      <c r="K367" s="69">
        <f t="shared" ca="1" si="239"/>
        <v>1177.871502899462</v>
      </c>
      <c r="L367" s="69">
        <f t="shared" ca="1" si="240"/>
        <v>952.36242733343533</v>
      </c>
      <c r="M367" s="69">
        <f t="shared" ca="1" si="241"/>
        <v>989.58546952390884</v>
      </c>
      <c r="N367" s="69">
        <f t="shared" ca="1" si="242"/>
        <v>569.73852701145483</v>
      </c>
      <c r="O367" s="69">
        <f t="shared" ca="1" si="243"/>
        <v>629.25359609034422</v>
      </c>
      <c r="P367" s="69">
        <f t="shared" ca="1" si="244"/>
        <v>726.0036806696861</v>
      </c>
      <c r="Q367" s="69">
        <f t="shared" ca="1" si="245"/>
        <v>953.75510107893342</v>
      </c>
      <c r="R367" s="69">
        <f t="shared" ca="1" si="246"/>
        <v>784.37909886731029</v>
      </c>
      <c r="S367" s="69">
        <f t="shared" ca="1" si="247"/>
        <v>702.62719698928902</v>
      </c>
      <c r="T367" s="69">
        <f t="shared" ca="1" si="248"/>
        <v>803.18694820309418</v>
      </c>
      <c r="U367" s="69">
        <f t="shared" ca="1" si="249"/>
        <v>1691.5091038413088</v>
      </c>
      <c r="V367" s="69">
        <f t="shared" ca="1" si="250"/>
        <v>1914.8570641523077</v>
      </c>
      <c r="W367" s="69">
        <f t="shared" ca="1" si="251"/>
        <v>1176.17396646151</v>
      </c>
      <c r="X367" s="69">
        <f t="shared" ca="1" si="252"/>
        <v>1495.3967578175771</v>
      </c>
      <c r="Y367" s="69">
        <f t="shared" ca="1" si="253"/>
        <v>1207.9890333208789</v>
      </c>
      <c r="AA367" s="20">
        <f t="shared" ca="1" si="213"/>
        <v>6.5584190676159416E+16</v>
      </c>
      <c r="AB367" s="20">
        <f t="shared" ca="1" si="214"/>
        <v>1679124620169786.3</v>
      </c>
      <c r="AC367" s="20">
        <f t="shared" ca="1" si="215"/>
        <v>397974066112131.5</v>
      </c>
      <c r="AD367" s="20">
        <f t="shared" ca="1" si="216"/>
        <v>306509053987151.69</v>
      </c>
      <c r="AE367" s="20">
        <f t="shared" ca="1" si="217"/>
        <v>6881794337601647</v>
      </c>
      <c r="AG367" s="16">
        <f t="shared" ca="1" si="218"/>
        <v>-3.0598194766572073E-4</v>
      </c>
      <c r="AH367" s="16">
        <f t="shared" ca="1" si="219"/>
        <v>2.7136201445081959E-4</v>
      </c>
      <c r="AI367" s="16">
        <f t="shared" ca="1" si="220"/>
        <v>-1.0672658214163321E-3</v>
      </c>
      <c r="AJ367" s="16">
        <f t="shared" ca="1" si="221"/>
        <v>7.1385809312703803E-4</v>
      </c>
      <c r="AK367" s="16">
        <f t="shared" ca="1" si="222"/>
        <v>-6.6800772175304435E-5</v>
      </c>
      <c r="AM367" s="16">
        <f t="shared" ca="1" si="223"/>
        <v>-3.8802766150419527E-4</v>
      </c>
      <c r="AO367" s="16">
        <f t="shared" ca="1" si="224"/>
        <v>-3.0598194766572073E-4</v>
      </c>
      <c r="AP367" s="16">
        <f t="shared" ca="1" si="225"/>
        <v>0</v>
      </c>
      <c r="AQ367" s="16">
        <f t="shared" ca="1" si="226"/>
        <v>-1.0672658214163321E-3</v>
      </c>
      <c r="AR367" s="16">
        <f t="shared" ca="1" si="227"/>
        <v>0</v>
      </c>
      <c r="AS367" s="16">
        <f t="shared" ca="1" si="228"/>
        <v>-6.6800772175304435E-5</v>
      </c>
    </row>
    <row r="368" spans="1:45" x14ac:dyDescent="0.25">
      <c r="A368" s="69">
        <f t="shared" ca="1" si="229"/>
        <v>2453.9566813869769</v>
      </c>
      <c r="B368" s="69">
        <f t="shared" ca="1" si="230"/>
        <v>2134.0672572384769</v>
      </c>
      <c r="C368" s="69">
        <f t="shared" ca="1" si="231"/>
        <v>2228.5148604243582</v>
      </c>
      <c r="D368" s="69">
        <f t="shared" ca="1" si="232"/>
        <v>2909.8245769973691</v>
      </c>
      <c r="E368" s="69">
        <f t="shared" ca="1" si="233"/>
        <v>1930.6739669544434</v>
      </c>
      <c r="F368" s="69">
        <f t="shared" ca="1" si="234"/>
        <v>1223.0294906465622</v>
      </c>
      <c r="G368" s="69">
        <f t="shared" ca="1" si="235"/>
        <v>960.20932695733711</v>
      </c>
      <c r="H368" s="69">
        <f t="shared" ca="1" si="236"/>
        <v>1188.953961966301</v>
      </c>
      <c r="I368" s="69">
        <f t="shared" ca="1" si="237"/>
        <v>1049.4936678508159</v>
      </c>
      <c r="J368" s="69">
        <f t="shared" ca="1" si="238"/>
        <v>1146.1806441706781</v>
      </c>
      <c r="K368" s="69">
        <f t="shared" ca="1" si="239"/>
        <v>1177.871502899462</v>
      </c>
      <c r="L368" s="69">
        <f t="shared" ca="1" si="240"/>
        <v>952.36242733343533</v>
      </c>
      <c r="M368" s="69">
        <f t="shared" ca="1" si="241"/>
        <v>989.58546952390884</v>
      </c>
      <c r="N368" s="69">
        <f t="shared" ca="1" si="242"/>
        <v>569.52355492765457</v>
      </c>
      <c r="O368" s="69">
        <f t="shared" ca="1" si="243"/>
        <v>628.81963788112307</v>
      </c>
      <c r="P368" s="69">
        <f t="shared" ca="1" si="244"/>
        <v>726.31548843185737</v>
      </c>
      <c r="Q368" s="69">
        <f t="shared" ca="1" si="245"/>
        <v>953.75510107893342</v>
      </c>
      <c r="R368" s="69">
        <f t="shared" ca="1" si="246"/>
        <v>784.84032131470508</v>
      </c>
      <c r="S368" s="69">
        <f t="shared" ca="1" si="247"/>
        <v>702.62719698928902</v>
      </c>
      <c r="T368" s="69">
        <f t="shared" ca="1" si="248"/>
        <v>802.94332104843249</v>
      </c>
      <c r="U368" s="69">
        <f t="shared" ca="1" si="249"/>
        <v>1691.953070866962</v>
      </c>
      <c r="V368" s="69">
        <f t="shared" ca="1" si="250"/>
        <v>1914.8582809751581</v>
      </c>
      <c r="W368" s="69">
        <f t="shared" ca="1" si="251"/>
        <v>1175.9548763154769</v>
      </c>
      <c r="X368" s="69">
        <f t="shared" ca="1" si="252"/>
        <v>1495.7610907652061</v>
      </c>
      <c r="Y368" s="69">
        <f t="shared" ca="1" si="253"/>
        <v>1207.5214080167179</v>
      </c>
      <c r="AA368" s="20">
        <f t="shared" ca="1" si="213"/>
        <v>6.5564126167605496E+16</v>
      </c>
      <c r="AB368" s="20">
        <f t="shared" ca="1" si="214"/>
        <v>1679580332637959.8</v>
      </c>
      <c r="AC368" s="20">
        <f t="shared" ca="1" si="215"/>
        <v>397549548570387.19</v>
      </c>
      <c r="AD368" s="20">
        <f t="shared" ca="1" si="216"/>
        <v>306727936072035.94</v>
      </c>
      <c r="AE368" s="20">
        <f t="shared" ca="1" si="217"/>
        <v>6881334643780066</v>
      </c>
      <c r="AG368" s="16">
        <f t="shared" ca="1" si="218"/>
        <v>3.007460405421532E-4</v>
      </c>
      <c r="AH368" s="16">
        <f t="shared" ca="1" si="219"/>
        <v>-4.4957425775014794E-4</v>
      </c>
      <c r="AI368" s="16">
        <f t="shared" ca="1" si="220"/>
        <v>-5.7430987611926671E-4</v>
      </c>
      <c r="AJ368" s="16">
        <f t="shared" ca="1" si="221"/>
        <v>3.6693761295702174E-4</v>
      </c>
      <c r="AK368" s="16">
        <f t="shared" ca="1" si="222"/>
        <v>-1.6815435047882289E-4</v>
      </c>
      <c r="AM368" s="16">
        <f t="shared" ca="1" si="223"/>
        <v>-3.5620048037023966E-4</v>
      </c>
      <c r="AO368" s="16">
        <f t="shared" ca="1" si="224"/>
        <v>0</v>
      </c>
      <c r="AP368" s="16">
        <f t="shared" ca="1" si="225"/>
        <v>-4.4957425775014794E-4</v>
      </c>
      <c r="AQ368" s="16">
        <f t="shared" ca="1" si="226"/>
        <v>-5.7430987611926671E-4</v>
      </c>
      <c r="AR368" s="16">
        <f t="shared" ca="1" si="227"/>
        <v>0</v>
      </c>
      <c r="AS368" s="16">
        <f t="shared" ca="1" si="228"/>
        <v>-1.6815435047882289E-4</v>
      </c>
    </row>
    <row r="369" spans="1:45" x14ac:dyDescent="0.25">
      <c r="A369" s="69">
        <f t="shared" ca="1" si="229"/>
        <v>2453.875361701047</v>
      </c>
      <c r="B369" s="69">
        <f t="shared" ca="1" si="230"/>
        <v>2134.4125447249194</v>
      </c>
      <c r="C369" s="69">
        <f t="shared" ca="1" si="231"/>
        <v>2228.2546915511857</v>
      </c>
      <c r="D369" s="69">
        <f t="shared" ca="1" si="232"/>
        <v>2909.9649509822725</v>
      </c>
      <c r="E369" s="69">
        <f t="shared" ca="1" si="233"/>
        <v>1931.13856620307</v>
      </c>
      <c r="F369" s="69">
        <f t="shared" ca="1" si="234"/>
        <v>1223.0294906465622</v>
      </c>
      <c r="G369" s="69">
        <f t="shared" ca="1" si="235"/>
        <v>960.068922600831</v>
      </c>
      <c r="H369" s="69">
        <f t="shared" ca="1" si="236"/>
        <v>1188.953961966301</v>
      </c>
      <c r="I369" s="69">
        <f t="shared" ca="1" si="237"/>
        <v>1049.4393814298392</v>
      </c>
      <c r="J369" s="69">
        <f t="shared" ca="1" si="238"/>
        <v>1145.8922861814453</v>
      </c>
      <c r="K369" s="69">
        <f t="shared" ca="1" si="239"/>
        <v>1177.7681458365473</v>
      </c>
      <c r="L369" s="69">
        <f t="shared" ca="1" si="240"/>
        <v>952.53506117306506</v>
      </c>
      <c r="M369" s="69">
        <f t="shared" ca="1" si="241"/>
        <v>989.39193109575683</v>
      </c>
      <c r="N369" s="69">
        <f t="shared" ca="1" si="242"/>
        <v>569.61671214070577</v>
      </c>
      <c r="O369" s="69">
        <f t="shared" ca="1" si="243"/>
        <v>628.41997882271392</v>
      </c>
      <c r="P369" s="69">
        <f t="shared" ca="1" si="244"/>
        <v>726.35581033399842</v>
      </c>
      <c r="Q369" s="69">
        <f t="shared" ca="1" si="245"/>
        <v>954.08205858309304</v>
      </c>
      <c r="R369" s="69">
        <f t="shared" ca="1" si="246"/>
        <v>784.84032131470508</v>
      </c>
      <c r="S369" s="69">
        <f t="shared" ca="1" si="247"/>
        <v>702.60518505120001</v>
      </c>
      <c r="T369" s="69">
        <f t="shared" ca="1" si="248"/>
        <v>802.94332104843249</v>
      </c>
      <c r="U369" s="69">
        <f t="shared" ca="1" si="249"/>
        <v>1691.953070866962</v>
      </c>
      <c r="V369" s="69">
        <f t="shared" ca="1" si="250"/>
        <v>1914.8582809751581</v>
      </c>
      <c r="W369" s="69">
        <f t="shared" ca="1" si="251"/>
        <v>1175.8825355891058</v>
      </c>
      <c r="X369" s="69">
        <f t="shared" ca="1" si="252"/>
        <v>1495.6015974769082</v>
      </c>
      <c r="Y369" s="69">
        <f t="shared" ca="1" si="253"/>
        <v>1207.5214080167179</v>
      </c>
      <c r="AA369" s="20">
        <f t="shared" ca="1" si="213"/>
        <v>6.5583847284327248E+16</v>
      </c>
      <c r="AB369" s="20">
        <f t="shared" ca="1" si="214"/>
        <v>1678825406267029</v>
      </c>
      <c r="AC369" s="20">
        <f t="shared" ca="1" si="215"/>
        <v>397321297488095.56</v>
      </c>
      <c r="AD369" s="20">
        <f t="shared" ca="1" si="216"/>
        <v>306840506740668.56</v>
      </c>
      <c r="AE369" s="20">
        <f t="shared" ca="1" si="217"/>
        <v>6880177614705076</v>
      </c>
      <c r="AG369" s="16">
        <f t="shared" ca="1" si="218"/>
        <v>-9.4741675739713554E-5</v>
      </c>
      <c r="AH369" s="16">
        <f t="shared" ca="1" si="219"/>
        <v>2.354253932319255E-4</v>
      </c>
      <c r="AI369" s="16">
        <f t="shared" ca="1" si="220"/>
        <v>6.4088828789224199E-4</v>
      </c>
      <c r="AJ369" s="16">
        <f t="shared" ca="1" si="221"/>
        <v>7.4658564590014643E-4</v>
      </c>
      <c r="AK369" s="16">
        <f t="shared" ca="1" si="222"/>
        <v>8.6424656059371418E-5</v>
      </c>
      <c r="AM369" s="16">
        <f t="shared" ca="1" si="223"/>
        <v>1.5281576512846005E-3</v>
      </c>
      <c r="AO369" s="16">
        <f t="shared" ca="1" si="224"/>
        <v>-9.4741675739713554E-5</v>
      </c>
      <c r="AP369" s="16">
        <f t="shared" ca="1" si="225"/>
        <v>0</v>
      </c>
      <c r="AQ369" s="16">
        <f t="shared" ca="1" si="226"/>
        <v>0</v>
      </c>
      <c r="AR369" s="16">
        <f t="shared" ca="1" si="227"/>
        <v>0</v>
      </c>
      <c r="AS369" s="16">
        <f t="shared" ca="1" si="228"/>
        <v>0</v>
      </c>
    </row>
    <row r="370" spans="1:45" x14ac:dyDescent="0.25">
      <c r="A370" s="69">
        <f t="shared" ca="1" si="229"/>
        <v>2453.875361701047</v>
      </c>
      <c r="B370" s="69">
        <f t="shared" ca="1" si="230"/>
        <v>2134.4125447249194</v>
      </c>
      <c r="C370" s="69">
        <f t="shared" ca="1" si="231"/>
        <v>2227.9065818123681</v>
      </c>
      <c r="D370" s="69">
        <f t="shared" ca="1" si="232"/>
        <v>2909.9649509822725</v>
      </c>
      <c r="E370" s="69">
        <f t="shared" ca="1" si="233"/>
        <v>1931.2573268048072</v>
      </c>
      <c r="F370" s="69">
        <f t="shared" ca="1" si="234"/>
        <v>1223.0294906465622</v>
      </c>
      <c r="G370" s="69">
        <f t="shared" ca="1" si="235"/>
        <v>960.068922600831</v>
      </c>
      <c r="H370" s="69">
        <f t="shared" ca="1" si="236"/>
        <v>1188.953961966301</v>
      </c>
      <c r="I370" s="69">
        <f t="shared" ca="1" si="237"/>
        <v>1049.6864751938172</v>
      </c>
      <c r="J370" s="69">
        <f t="shared" ca="1" si="238"/>
        <v>1145.8922861814453</v>
      </c>
      <c r="K370" s="69">
        <f t="shared" ca="1" si="239"/>
        <v>1178.0936900974159</v>
      </c>
      <c r="L370" s="69">
        <f t="shared" ca="1" si="240"/>
        <v>952.53506117306506</v>
      </c>
      <c r="M370" s="69">
        <f t="shared" ca="1" si="241"/>
        <v>989.39193109575683</v>
      </c>
      <c r="N370" s="69">
        <f t="shared" ca="1" si="242"/>
        <v>569.61880112947824</v>
      </c>
      <c r="O370" s="69">
        <f t="shared" ca="1" si="243"/>
        <v>628.64678594896532</v>
      </c>
      <c r="P370" s="69">
        <f t="shared" ca="1" si="244"/>
        <v>726.706129378524</v>
      </c>
      <c r="Q370" s="69">
        <f t="shared" ca="1" si="245"/>
        <v>954.08205858309304</v>
      </c>
      <c r="R370" s="69">
        <f t="shared" ca="1" si="246"/>
        <v>784.86071508198131</v>
      </c>
      <c r="S370" s="69">
        <f t="shared" ca="1" si="247"/>
        <v>702.89825553870207</v>
      </c>
      <c r="T370" s="69">
        <f t="shared" ca="1" si="248"/>
        <v>802.79991865062493</v>
      </c>
      <c r="U370" s="69">
        <f t="shared" ca="1" si="249"/>
        <v>1691.8725857370005</v>
      </c>
      <c r="V370" s="69">
        <f t="shared" ca="1" si="250"/>
        <v>1914.4308424669839</v>
      </c>
      <c r="W370" s="69">
        <f t="shared" ca="1" si="251"/>
        <v>1175.522046641476</v>
      </c>
      <c r="X370" s="69">
        <f t="shared" ca="1" si="252"/>
        <v>1496.0999486273668</v>
      </c>
      <c r="Y370" s="69">
        <f t="shared" ca="1" si="253"/>
        <v>1207.9208041085894</v>
      </c>
      <c r="AA370" s="20">
        <f t="shared" ca="1" si="213"/>
        <v>6.55776340550646E+16</v>
      </c>
      <c r="AB370" s="20">
        <f t="shared" ca="1" si="214"/>
        <v>1679220690926664.5</v>
      </c>
      <c r="AC370" s="20">
        <f t="shared" ca="1" si="215"/>
        <v>397576017669057.56</v>
      </c>
      <c r="AD370" s="20">
        <f t="shared" ca="1" si="216"/>
        <v>307069674994801.69</v>
      </c>
      <c r="AE370" s="20">
        <f t="shared" ca="1" si="217"/>
        <v>6880772257384579</v>
      </c>
      <c r="AG370" s="16">
        <f t="shared" ca="1" si="218"/>
        <v>-9.6298393439249542E-5</v>
      </c>
      <c r="AH370" s="16">
        <f t="shared" ca="1" si="219"/>
        <v>-1.1102118954621365E-4</v>
      </c>
      <c r="AI370" s="16">
        <f t="shared" ca="1" si="220"/>
        <v>-1.1336586182124689E-3</v>
      </c>
      <c r="AJ370" s="16">
        <f t="shared" ca="1" si="221"/>
        <v>1.9256595905061359E-4</v>
      </c>
      <c r="AK370" s="16">
        <f t="shared" ca="1" si="222"/>
        <v>6.4994164247364483E-4</v>
      </c>
      <c r="AM370" s="16">
        <f t="shared" ca="1" si="223"/>
        <v>-1.1484122421473184E-3</v>
      </c>
      <c r="AO370" s="16">
        <f t="shared" ca="1" si="224"/>
        <v>-9.6298393439249542E-5</v>
      </c>
      <c r="AP370" s="16">
        <f t="shared" ca="1" si="225"/>
        <v>-1.1102118954621365E-4</v>
      </c>
      <c r="AQ370" s="16">
        <f t="shared" ca="1" si="226"/>
        <v>-1.1336586182124689E-3</v>
      </c>
      <c r="AR370" s="16">
        <f t="shared" ca="1" si="227"/>
        <v>0</v>
      </c>
      <c r="AS370" s="16">
        <f t="shared" ca="1" si="228"/>
        <v>0</v>
      </c>
    </row>
    <row r="371" spans="1:45" x14ac:dyDescent="0.25">
      <c r="A371" s="69">
        <f t="shared" ca="1" si="229"/>
        <v>2453.875361701047</v>
      </c>
      <c r="B371" s="69">
        <f t="shared" ca="1" si="230"/>
        <v>2134.4727594021369</v>
      </c>
      <c r="C371" s="69">
        <f t="shared" ca="1" si="231"/>
        <v>2227.4663514982117</v>
      </c>
      <c r="D371" s="69">
        <f t="shared" ca="1" si="232"/>
        <v>2910.0091304347461</v>
      </c>
      <c r="E371" s="69">
        <f t="shared" ca="1" si="233"/>
        <v>1931.3692007404059</v>
      </c>
      <c r="F371" s="69">
        <f t="shared" ca="1" si="234"/>
        <v>1222.9235879453329</v>
      </c>
      <c r="G371" s="69">
        <f t="shared" ca="1" si="235"/>
        <v>960.068922600831</v>
      </c>
      <c r="H371" s="69">
        <f t="shared" ca="1" si="236"/>
        <v>1188.6652024396888</v>
      </c>
      <c r="I371" s="69">
        <f t="shared" ca="1" si="237"/>
        <v>1049.7868299359577</v>
      </c>
      <c r="J371" s="69">
        <f t="shared" ca="1" si="238"/>
        <v>1146.033091944721</v>
      </c>
      <c r="K371" s="69">
        <f t="shared" ca="1" si="239"/>
        <v>1177.7171723475683</v>
      </c>
      <c r="L371" s="69">
        <f t="shared" ca="1" si="240"/>
        <v>952.67761506258319</v>
      </c>
      <c r="M371" s="69">
        <f t="shared" ca="1" si="241"/>
        <v>989.02861025376251</v>
      </c>
      <c r="N371" s="69">
        <f t="shared" ca="1" si="242"/>
        <v>569.61880112947824</v>
      </c>
      <c r="O371" s="69">
        <f t="shared" ca="1" si="243"/>
        <v>628.27199112523328</v>
      </c>
      <c r="P371" s="69">
        <f t="shared" ca="1" si="244"/>
        <v>726.9849967971503</v>
      </c>
      <c r="Q371" s="69">
        <f t="shared" ca="1" si="245"/>
        <v>954.08205858309304</v>
      </c>
      <c r="R371" s="69">
        <f t="shared" ca="1" si="246"/>
        <v>784.57536461813959</v>
      </c>
      <c r="S371" s="69">
        <f t="shared" ca="1" si="247"/>
        <v>703.29851426316577</v>
      </c>
      <c r="T371" s="69">
        <f t="shared" ca="1" si="248"/>
        <v>802.48147407356555</v>
      </c>
      <c r="U371" s="69">
        <f t="shared" ca="1" si="249"/>
        <v>1692.1601668600244</v>
      </c>
      <c r="V371" s="69">
        <f t="shared" ca="1" si="250"/>
        <v>1914.4308424669839</v>
      </c>
      <c r="W371" s="69">
        <f t="shared" ca="1" si="251"/>
        <v>1175.7947874637857</v>
      </c>
      <c r="X371" s="69">
        <f t="shared" ca="1" si="252"/>
        <v>1496.4710098148219</v>
      </c>
      <c r="Y371" s="69">
        <f t="shared" ca="1" si="253"/>
        <v>1207.9208041085894</v>
      </c>
      <c r="AA371" s="20">
        <f t="shared" ca="1" si="213"/>
        <v>6.5571319338312968E+16</v>
      </c>
      <c r="AB371" s="20">
        <f t="shared" ca="1" si="214"/>
        <v>1679034272196453.3</v>
      </c>
      <c r="AC371" s="20">
        <f t="shared" ca="1" si="215"/>
        <v>397125557572461.38</v>
      </c>
      <c r="AD371" s="20">
        <f t="shared" ca="1" si="216"/>
        <v>307128811854952.75</v>
      </c>
      <c r="AE371" s="20">
        <f t="shared" ca="1" si="217"/>
        <v>6885245811424082</v>
      </c>
      <c r="AG371" s="16">
        <f t="shared" ca="1" si="218"/>
        <v>3.6812167230579325E-5</v>
      </c>
      <c r="AH371" s="16">
        <f t="shared" ca="1" si="219"/>
        <v>3.204560496232808E-4</v>
      </c>
      <c r="AI371" s="16">
        <f t="shared" ca="1" si="220"/>
        <v>-7.9026039210047642E-4</v>
      </c>
      <c r="AJ371" s="16">
        <f t="shared" ca="1" si="221"/>
        <v>-1.0234420772548597E-3</v>
      </c>
      <c r="AK371" s="16">
        <f t="shared" ca="1" si="222"/>
        <v>-1.2709974167179157E-4</v>
      </c>
      <c r="AM371" s="16">
        <f t="shared" ca="1" si="223"/>
        <v>-1.456434252501476E-3</v>
      </c>
      <c r="AO371" s="16">
        <f t="shared" ca="1" si="224"/>
        <v>0</v>
      </c>
      <c r="AP371" s="16">
        <f t="shared" ca="1" si="225"/>
        <v>0</v>
      </c>
      <c r="AQ371" s="16">
        <f t="shared" ca="1" si="226"/>
        <v>-7.9026039210047642E-4</v>
      </c>
      <c r="AR371" s="16">
        <f t="shared" ca="1" si="227"/>
        <v>-1.0234420772548597E-3</v>
      </c>
      <c r="AS371" s="16">
        <f t="shared" ca="1" si="228"/>
        <v>-1.2709974167179157E-4</v>
      </c>
    </row>
    <row r="372" spans="1:45" x14ac:dyDescent="0.25">
      <c r="A372" s="69">
        <f t="shared" ca="1" si="229"/>
        <v>2453.5498125503495</v>
      </c>
      <c r="B372" s="69">
        <f t="shared" ca="1" si="230"/>
        <v>2134.9270313629045</v>
      </c>
      <c r="C372" s="69">
        <f t="shared" ca="1" si="231"/>
        <v>2227.4663514982117</v>
      </c>
      <c r="D372" s="69">
        <f t="shared" ca="1" si="232"/>
        <v>2910.0091304347461</v>
      </c>
      <c r="E372" s="69">
        <f t="shared" ca="1" si="233"/>
        <v>1931.2855446320204</v>
      </c>
      <c r="F372" s="69">
        <f t="shared" ca="1" si="234"/>
        <v>1223.1388340756898</v>
      </c>
      <c r="G372" s="69">
        <f t="shared" ca="1" si="235"/>
        <v>959.75105550036312</v>
      </c>
      <c r="H372" s="69">
        <f t="shared" ca="1" si="236"/>
        <v>1188.6652024396888</v>
      </c>
      <c r="I372" s="69">
        <f t="shared" ca="1" si="237"/>
        <v>1050.1265950118118</v>
      </c>
      <c r="J372" s="69">
        <f t="shared" ca="1" si="238"/>
        <v>1146.2073085798834</v>
      </c>
      <c r="K372" s="69">
        <f t="shared" ca="1" si="239"/>
        <v>1177.7171723475683</v>
      </c>
      <c r="L372" s="69">
        <f t="shared" ca="1" si="240"/>
        <v>952.54375827743877</v>
      </c>
      <c r="M372" s="69">
        <f t="shared" ca="1" si="241"/>
        <v>988.96138238504545</v>
      </c>
      <c r="N372" s="69">
        <f t="shared" ca="1" si="242"/>
        <v>569.73889409145431</v>
      </c>
      <c r="O372" s="69">
        <f t="shared" ca="1" si="243"/>
        <v>627.77423453878987</v>
      </c>
      <c r="P372" s="69">
        <f t="shared" ca="1" si="244"/>
        <v>726.48667773533077</v>
      </c>
      <c r="Q372" s="69">
        <f t="shared" ca="1" si="245"/>
        <v>954.51972669174609</v>
      </c>
      <c r="R372" s="69">
        <f t="shared" ca="1" si="246"/>
        <v>784.57536461813959</v>
      </c>
      <c r="S372" s="69">
        <f t="shared" ca="1" si="247"/>
        <v>702.81600669455099</v>
      </c>
      <c r="T372" s="69">
        <f t="shared" ca="1" si="248"/>
        <v>802.39314580990401</v>
      </c>
      <c r="U372" s="69">
        <f t="shared" ca="1" si="249"/>
        <v>1692.0662545502341</v>
      </c>
      <c r="V372" s="69">
        <f t="shared" ca="1" si="250"/>
        <v>1914.4308424669839</v>
      </c>
      <c r="W372" s="69">
        <f t="shared" ca="1" si="251"/>
        <v>1175.7947874637857</v>
      </c>
      <c r="X372" s="69">
        <f t="shared" ca="1" si="252"/>
        <v>1496.4710098148219</v>
      </c>
      <c r="Y372" s="69">
        <f t="shared" ca="1" si="253"/>
        <v>1207.8343204062</v>
      </c>
      <c r="AA372" s="20">
        <f t="shared" ca="1" si="213"/>
        <v>6.5573733205115544E+16</v>
      </c>
      <c r="AB372" s="20">
        <f t="shared" ca="1" si="214"/>
        <v>1679572415107474</v>
      </c>
      <c r="AC372" s="20">
        <f t="shared" ca="1" si="215"/>
        <v>396811848945698.44</v>
      </c>
      <c r="AD372" s="20">
        <f t="shared" ca="1" si="216"/>
        <v>306814644099435.75</v>
      </c>
      <c r="AE372" s="20">
        <f t="shared" ca="1" si="217"/>
        <v>6884370754071063</v>
      </c>
      <c r="AG372" s="16">
        <f t="shared" ca="1" si="218"/>
        <v>2.1870028113292659E-4</v>
      </c>
      <c r="AH372" s="16">
        <f t="shared" ca="1" si="219"/>
        <v>-1.4039918315135761E-3</v>
      </c>
      <c r="AI372" s="16">
        <f t="shared" ca="1" si="220"/>
        <v>2.0003743187850509E-4</v>
      </c>
      <c r="AJ372" s="16">
        <f t="shared" ca="1" si="221"/>
        <v>-1.7155722757585795E-4</v>
      </c>
      <c r="AK372" s="16">
        <f t="shared" ca="1" si="222"/>
        <v>-1.743688497131492E-4</v>
      </c>
      <c r="AM372" s="16">
        <f t="shared" ca="1" si="223"/>
        <v>-1.1568113460780024E-3</v>
      </c>
      <c r="AO372" s="16">
        <f t="shared" ca="1" si="224"/>
        <v>0</v>
      </c>
      <c r="AP372" s="16">
        <f t="shared" ca="1" si="225"/>
        <v>-1.4039918315135761E-3</v>
      </c>
      <c r="AQ372" s="16">
        <f t="shared" ca="1" si="226"/>
        <v>0</v>
      </c>
      <c r="AR372" s="16">
        <f t="shared" ca="1" si="227"/>
        <v>-1.7155722757585795E-4</v>
      </c>
      <c r="AS372" s="16">
        <f t="shared" ca="1" si="228"/>
        <v>-1.743688497131492E-4</v>
      </c>
    </row>
    <row r="373" spans="1:45" x14ac:dyDescent="0.25">
      <c r="A373" s="69">
        <f t="shared" ca="1" si="229"/>
        <v>2453.5688090232638</v>
      </c>
      <c r="B373" s="69">
        <f t="shared" ca="1" si="230"/>
        <v>2135.4049864019412</v>
      </c>
      <c r="C373" s="69">
        <f t="shared" ca="1" si="231"/>
        <v>2227.4376368411622</v>
      </c>
      <c r="D373" s="69">
        <f t="shared" ca="1" si="232"/>
        <v>2910.0091304347461</v>
      </c>
      <c r="E373" s="69">
        <f t="shared" ca="1" si="233"/>
        <v>1931.2855446320204</v>
      </c>
      <c r="F373" s="69">
        <f t="shared" ca="1" si="234"/>
        <v>1222.7716889422036</v>
      </c>
      <c r="G373" s="69">
        <f t="shared" ca="1" si="235"/>
        <v>959.32782671395216</v>
      </c>
      <c r="H373" s="69">
        <f t="shared" ca="1" si="236"/>
        <v>1188.840036794287</v>
      </c>
      <c r="I373" s="69">
        <f t="shared" ca="1" si="237"/>
        <v>1049.6866952644089</v>
      </c>
      <c r="J373" s="69">
        <f t="shared" ca="1" si="238"/>
        <v>1145.759469883129</v>
      </c>
      <c r="K373" s="69">
        <f t="shared" ca="1" si="239"/>
        <v>1177.2813320594871</v>
      </c>
      <c r="L373" s="69">
        <f t="shared" ca="1" si="240"/>
        <v>953.00265528423245</v>
      </c>
      <c r="M373" s="69">
        <f t="shared" ca="1" si="241"/>
        <v>988.96138238504545</v>
      </c>
      <c r="N373" s="69">
        <f t="shared" ca="1" si="242"/>
        <v>569.74012265193153</v>
      </c>
      <c r="O373" s="69">
        <f t="shared" ca="1" si="243"/>
        <v>627.82846288618032</v>
      </c>
      <c r="P373" s="69">
        <f t="shared" ca="1" si="244"/>
        <v>726.48667773533077</v>
      </c>
      <c r="Q373" s="69">
        <f t="shared" ca="1" si="245"/>
        <v>954.26139440905058</v>
      </c>
      <c r="R373" s="69">
        <f t="shared" ca="1" si="246"/>
        <v>784.67568408048089</v>
      </c>
      <c r="S373" s="69">
        <f t="shared" ca="1" si="247"/>
        <v>702.81600669455099</v>
      </c>
      <c r="T373" s="69">
        <f t="shared" ca="1" si="248"/>
        <v>802.37008859643083</v>
      </c>
      <c r="U373" s="69">
        <f t="shared" ca="1" si="249"/>
        <v>1692.2916452895608</v>
      </c>
      <c r="V373" s="69">
        <f t="shared" ca="1" si="250"/>
        <v>1913.9939311946948</v>
      </c>
      <c r="W373" s="69">
        <f t="shared" ca="1" si="251"/>
        <v>1176.2506902301852</v>
      </c>
      <c r="X373" s="69">
        <f t="shared" ca="1" si="252"/>
        <v>1496.2533567215896</v>
      </c>
      <c r="Y373" s="69">
        <f t="shared" ca="1" si="253"/>
        <v>1207.4460296124787</v>
      </c>
      <c r="AA373" s="20">
        <f t="shared" ca="1" si="213"/>
        <v>6.5588075767306456E+16</v>
      </c>
      <c r="AB373" s="20">
        <f t="shared" ca="1" si="214"/>
        <v>1677215963762532.5</v>
      </c>
      <c r="AC373" s="20">
        <f t="shared" ca="1" si="215"/>
        <v>396891234108637.88</v>
      </c>
      <c r="AD373" s="20">
        <f t="shared" ca="1" si="216"/>
        <v>306762012344522.44</v>
      </c>
      <c r="AE373" s="20">
        <f t="shared" ca="1" si="217"/>
        <v>6883170438913505</v>
      </c>
      <c r="AG373" s="16">
        <f t="shared" ca="1" si="218"/>
        <v>1.998122692889303E-4</v>
      </c>
      <c r="AH373" s="16">
        <f t="shared" ca="1" si="219"/>
        <v>-5.4988214591990931E-4</v>
      </c>
      <c r="AI373" s="16">
        <f t="shared" ca="1" si="220"/>
        <v>-9.8532540256900006E-4</v>
      </c>
      <c r="AJ373" s="16">
        <f t="shared" ca="1" si="221"/>
        <v>7.4999438032190659E-4</v>
      </c>
      <c r="AK373" s="16">
        <f t="shared" ca="1" si="222"/>
        <v>-3.1149452462174887E-4</v>
      </c>
      <c r="AM373" s="16">
        <f t="shared" ca="1" si="223"/>
        <v>-5.8540089887807259E-4</v>
      </c>
      <c r="AO373" s="16">
        <f t="shared" ca="1" si="224"/>
        <v>0</v>
      </c>
      <c r="AP373" s="16">
        <f t="shared" ca="1" si="225"/>
        <v>-5.4988214591990931E-4</v>
      </c>
      <c r="AQ373" s="16">
        <f t="shared" ca="1" si="226"/>
        <v>-9.8532540256900006E-4</v>
      </c>
      <c r="AR373" s="16">
        <f t="shared" ca="1" si="227"/>
        <v>0</v>
      </c>
      <c r="AS373" s="16">
        <f t="shared" ca="1" si="228"/>
        <v>-3.1149452462174887E-4</v>
      </c>
    </row>
    <row r="374" spans="1:45" x14ac:dyDescent="0.25">
      <c r="A374" s="69">
        <f t="shared" ca="1" si="229"/>
        <v>2453.5688090232638</v>
      </c>
      <c r="B374" s="69">
        <f t="shared" ca="1" si="230"/>
        <v>2135.2301855423702</v>
      </c>
      <c r="C374" s="69">
        <f t="shared" ca="1" si="231"/>
        <v>2227.5031058616992</v>
      </c>
      <c r="D374" s="69">
        <f t="shared" ca="1" si="232"/>
        <v>2910.0371985319771</v>
      </c>
      <c r="E374" s="69">
        <f t="shared" ca="1" si="233"/>
        <v>1931.7542029481165</v>
      </c>
      <c r="F374" s="69">
        <f t="shared" ca="1" si="234"/>
        <v>1223.151774630938</v>
      </c>
      <c r="G374" s="69">
        <f t="shared" ca="1" si="235"/>
        <v>958.97909020210932</v>
      </c>
      <c r="H374" s="69">
        <f t="shared" ca="1" si="236"/>
        <v>1188.840036794287</v>
      </c>
      <c r="I374" s="69">
        <f t="shared" ca="1" si="237"/>
        <v>1049.5767408074807</v>
      </c>
      <c r="J374" s="69">
        <f t="shared" ca="1" si="238"/>
        <v>1145.3100419980863</v>
      </c>
      <c r="K374" s="69">
        <f t="shared" ca="1" si="239"/>
        <v>1177.255349867208</v>
      </c>
      <c r="L374" s="69">
        <f t="shared" ca="1" si="240"/>
        <v>953.13213183812456</v>
      </c>
      <c r="M374" s="69">
        <f t="shared" ca="1" si="241"/>
        <v>988.70274345340579</v>
      </c>
      <c r="N374" s="69">
        <f t="shared" ca="1" si="242"/>
        <v>569.71171691356449</v>
      </c>
      <c r="O374" s="69">
        <f t="shared" ca="1" si="243"/>
        <v>627.33412381257324</v>
      </c>
      <c r="P374" s="69">
        <f t="shared" ca="1" si="244"/>
        <v>726.48667773533077</v>
      </c>
      <c r="Q374" s="69">
        <f t="shared" ca="1" si="245"/>
        <v>954.23093355133165</v>
      </c>
      <c r="R374" s="69">
        <f t="shared" ca="1" si="246"/>
        <v>784.73472335578572</v>
      </c>
      <c r="S374" s="69">
        <f t="shared" ca="1" si="247"/>
        <v>703.31284700663218</v>
      </c>
      <c r="T374" s="69">
        <f t="shared" ca="1" si="248"/>
        <v>802.37008859643083</v>
      </c>
      <c r="U374" s="69">
        <f t="shared" ca="1" si="249"/>
        <v>1691.8549790315335</v>
      </c>
      <c r="V374" s="69">
        <f t="shared" ca="1" si="250"/>
        <v>1913.9939311946948</v>
      </c>
      <c r="W374" s="69">
        <f t="shared" ca="1" si="251"/>
        <v>1176.4748124036787</v>
      </c>
      <c r="X374" s="69">
        <f t="shared" ca="1" si="252"/>
        <v>1496.2533567215896</v>
      </c>
      <c r="Y374" s="69">
        <f t="shared" ca="1" si="253"/>
        <v>1207.1515090409057</v>
      </c>
      <c r="AA374" s="20">
        <f t="shared" ca="1" si="213"/>
        <v>6.5601182378951112E+16</v>
      </c>
      <c r="AB374" s="20">
        <f t="shared" ca="1" si="214"/>
        <v>1676293946172945.5</v>
      </c>
      <c r="AC374" s="20">
        <f t="shared" ca="1" si="215"/>
        <v>396500359694482.31</v>
      </c>
      <c r="AD374" s="20">
        <f t="shared" ca="1" si="216"/>
        <v>306992168426972.88</v>
      </c>
      <c r="AE374" s="20">
        <f t="shared" ca="1" si="217"/>
        <v>6881026702908093</v>
      </c>
      <c r="AG374" s="16">
        <f t="shared" ca="1" si="218"/>
        <v>2.0713852675665164E-4</v>
      </c>
      <c r="AH374" s="16">
        <f t="shared" ca="1" si="219"/>
        <v>-1.5579153455974661E-4</v>
      </c>
      <c r="AI374" s="16">
        <f t="shared" ca="1" si="220"/>
        <v>-9.6050240564416789E-6</v>
      </c>
      <c r="AJ374" s="16">
        <f t="shared" ca="1" si="221"/>
        <v>3.2757433829845914E-4</v>
      </c>
      <c r="AK374" s="16">
        <f t="shared" ca="1" si="222"/>
        <v>2.9705084548310072E-6</v>
      </c>
      <c r="AM374" s="16">
        <f t="shared" ca="1" si="223"/>
        <v>3.6931630643892248E-4</v>
      </c>
      <c r="AO374" s="16">
        <f t="shared" ca="1" si="224"/>
        <v>0</v>
      </c>
      <c r="AP374" s="16">
        <f t="shared" ca="1" si="225"/>
        <v>-1.5579153455974661E-4</v>
      </c>
      <c r="AQ374" s="16">
        <f t="shared" ca="1" si="226"/>
        <v>-9.6050240564416789E-6</v>
      </c>
      <c r="AR374" s="16">
        <f t="shared" ca="1" si="227"/>
        <v>0</v>
      </c>
      <c r="AS374" s="16">
        <f t="shared" ca="1" si="228"/>
        <v>0</v>
      </c>
    </row>
    <row r="375" spans="1:45" x14ac:dyDescent="0.25">
      <c r="A375" s="69">
        <f t="shared" ca="1" si="229"/>
        <v>2453.8232859329005</v>
      </c>
      <c r="B375" s="69">
        <f t="shared" ca="1" si="230"/>
        <v>2135.5540686013037</v>
      </c>
      <c r="C375" s="69">
        <f t="shared" ca="1" si="231"/>
        <v>2227.5031058616992</v>
      </c>
      <c r="D375" s="69">
        <f t="shared" ca="1" si="232"/>
        <v>2910.0371985319771</v>
      </c>
      <c r="E375" s="69">
        <f t="shared" ca="1" si="233"/>
        <v>1931.6610039457453</v>
      </c>
      <c r="F375" s="69">
        <f t="shared" ca="1" si="234"/>
        <v>1223.2214245403836</v>
      </c>
      <c r="G375" s="69">
        <f t="shared" ca="1" si="235"/>
        <v>958.97909020210932</v>
      </c>
      <c r="H375" s="69">
        <f t="shared" ca="1" si="236"/>
        <v>1188.5871583099072</v>
      </c>
      <c r="I375" s="69">
        <f t="shared" ca="1" si="237"/>
        <v>1049.5767408074807</v>
      </c>
      <c r="J375" s="69">
        <f t="shared" ca="1" si="238"/>
        <v>1145.3100419980863</v>
      </c>
      <c r="K375" s="69">
        <f t="shared" ca="1" si="239"/>
        <v>1176.8214563921945</v>
      </c>
      <c r="L375" s="69">
        <f t="shared" ca="1" si="240"/>
        <v>953.13213183812456</v>
      </c>
      <c r="M375" s="69">
        <f t="shared" ca="1" si="241"/>
        <v>988.70274345340579</v>
      </c>
      <c r="N375" s="69">
        <f t="shared" ca="1" si="242"/>
        <v>570.14461665905094</v>
      </c>
      <c r="O375" s="69">
        <f t="shared" ca="1" si="243"/>
        <v>627.0829001624752</v>
      </c>
      <c r="P375" s="69">
        <f t="shared" ca="1" si="244"/>
        <v>726.29077424363072</v>
      </c>
      <c r="Q375" s="69">
        <f t="shared" ca="1" si="245"/>
        <v>954.23093355133165</v>
      </c>
      <c r="R375" s="69">
        <f t="shared" ca="1" si="246"/>
        <v>784.95926150818229</v>
      </c>
      <c r="S375" s="69">
        <f t="shared" ca="1" si="247"/>
        <v>703.10391812853379</v>
      </c>
      <c r="T375" s="69">
        <f t="shared" ca="1" si="248"/>
        <v>802.85830747284308</v>
      </c>
      <c r="U375" s="69">
        <f t="shared" ca="1" si="249"/>
        <v>1691.5352961255956</v>
      </c>
      <c r="V375" s="69">
        <f t="shared" ca="1" si="250"/>
        <v>1914.3613431301967</v>
      </c>
      <c r="W375" s="69">
        <f t="shared" ca="1" si="251"/>
        <v>1176.4748124036787</v>
      </c>
      <c r="X375" s="69">
        <f t="shared" ca="1" si="252"/>
        <v>1496.2533567215896</v>
      </c>
      <c r="Y375" s="69">
        <f t="shared" ca="1" si="253"/>
        <v>1207.1515090409057</v>
      </c>
      <c r="AA375" s="20">
        <f t="shared" ca="1" si="213"/>
        <v>6.5614772318674032E+16</v>
      </c>
      <c r="AB375" s="20">
        <f t="shared" ca="1" si="214"/>
        <v>1676032814108308.8</v>
      </c>
      <c r="AC375" s="20">
        <f t="shared" ca="1" si="215"/>
        <v>396496551317278.88</v>
      </c>
      <c r="AD375" s="20">
        <f t="shared" ca="1" si="216"/>
        <v>307092747656096</v>
      </c>
      <c r="AE375" s="20">
        <f t="shared" ca="1" si="217"/>
        <v>6881047143086450</v>
      </c>
      <c r="AG375" s="16">
        <f t="shared" ca="1" si="218"/>
        <v>1.9819942271613087E-4</v>
      </c>
      <c r="AH375" s="16">
        <f t="shared" ca="1" si="219"/>
        <v>1.2148283004291347E-3</v>
      </c>
      <c r="AI375" s="16">
        <f t="shared" ca="1" si="220"/>
        <v>-7.7401653542785687E-4</v>
      </c>
      <c r="AJ375" s="16">
        <f t="shared" ca="1" si="221"/>
        <v>-8.0423629269413214E-5</v>
      </c>
      <c r="AK375" s="16">
        <f t="shared" ca="1" si="222"/>
        <v>1.371773475792543E-4</v>
      </c>
      <c r="AM375" s="16">
        <f t="shared" ca="1" si="223"/>
        <v>5.5858755844799546E-4</v>
      </c>
      <c r="AO375" s="16">
        <f t="shared" ca="1" si="224"/>
        <v>0</v>
      </c>
      <c r="AP375" s="16">
        <f t="shared" ca="1" si="225"/>
        <v>0</v>
      </c>
      <c r="AQ375" s="16">
        <f t="shared" ca="1" si="226"/>
        <v>-7.7401653542785687E-4</v>
      </c>
      <c r="AR375" s="16">
        <f t="shared" ca="1" si="227"/>
        <v>-8.0423629269413214E-5</v>
      </c>
      <c r="AS375" s="16">
        <f t="shared" ca="1" si="228"/>
        <v>0</v>
      </c>
    </row>
    <row r="376" spans="1:45" x14ac:dyDescent="0.25">
      <c r="A376" s="69">
        <f t="shared" ca="1" si="229"/>
        <v>2453.8281565806001</v>
      </c>
      <c r="B376" s="69">
        <f t="shared" ca="1" si="230"/>
        <v>2135.5540686013037</v>
      </c>
      <c r="C376" s="69">
        <f t="shared" ca="1" si="231"/>
        <v>2227.6809162361192</v>
      </c>
      <c r="D376" s="69">
        <f t="shared" ca="1" si="232"/>
        <v>2910.3759253773678</v>
      </c>
      <c r="E376" s="69">
        <f t="shared" ca="1" si="233"/>
        <v>1931.6610039457453</v>
      </c>
      <c r="F376" s="69">
        <f t="shared" ca="1" si="234"/>
        <v>1223.3585884261408</v>
      </c>
      <c r="G376" s="69">
        <f t="shared" ca="1" si="235"/>
        <v>959.46726690636183</v>
      </c>
      <c r="H376" s="69">
        <f t="shared" ca="1" si="236"/>
        <v>1188.3798566016176</v>
      </c>
      <c r="I376" s="69">
        <f t="shared" ca="1" si="237"/>
        <v>1049.9379747505318</v>
      </c>
      <c r="J376" s="69">
        <f t="shared" ca="1" si="238"/>
        <v>1145.7958544754324</v>
      </c>
      <c r="K376" s="69">
        <f t="shared" ca="1" si="239"/>
        <v>1176.8561363856365</v>
      </c>
      <c r="L376" s="69">
        <f t="shared" ca="1" si="240"/>
        <v>953.14213571457253</v>
      </c>
      <c r="M376" s="69">
        <f t="shared" ca="1" si="241"/>
        <v>988.65548255373005</v>
      </c>
      <c r="N376" s="69">
        <f t="shared" ca="1" si="242"/>
        <v>569.76185274751776</v>
      </c>
      <c r="O376" s="69">
        <f t="shared" ca="1" si="243"/>
        <v>627.02357576930194</v>
      </c>
      <c r="P376" s="69">
        <f t="shared" ca="1" si="244"/>
        <v>726.39926415876948</v>
      </c>
      <c r="Q376" s="69">
        <f t="shared" ca="1" si="245"/>
        <v>954.61690265276127</v>
      </c>
      <c r="R376" s="69">
        <f t="shared" ca="1" si="246"/>
        <v>784.81321133910421</v>
      </c>
      <c r="S376" s="69">
        <f t="shared" ca="1" si="247"/>
        <v>702.94943099385523</v>
      </c>
      <c r="T376" s="69">
        <f t="shared" ca="1" si="248"/>
        <v>802.67498449941843</v>
      </c>
      <c r="U376" s="69">
        <f t="shared" ca="1" si="249"/>
        <v>1691.5352961255956</v>
      </c>
      <c r="V376" s="69">
        <f t="shared" ca="1" si="250"/>
        <v>1914.3613431301967</v>
      </c>
      <c r="W376" s="69">
        <f t="shared" ca="1" si="251"/>
        <v>1176.7319989757109</v>
      </c>
      <c r="X376" s="69">
        <f t="shared" ca="1" si="252"/>
        <v>1496.2709999566734</v>
      </c>
      <c r="Y376" s="69">
        <f t="shared" ca="1" si="253"/>
        <v>1207.0390100534273</v>
      </c>
      <c r="AA376" s="20">
        <f t="shared" ca="1" si="213"/>
        <v>6.5627778417527304E+16</v>
      </c>
      <c r="AB376" s="20">
        <f t="shared" ca="1" si="214"/>
        <v>1678070143455450.8</v>
      </c>
      <c r="AC376" s="20">
        <f t="shared" ca="1" si="215"/>
        <v>396189775170540.13</v>
      </c>
      <c r="AD376" s="20">
        <f t="shared" ca="1" si="216"/>
        <v>307068051135912.38</v>
      </c>
      <c r="AE376" s="20">
        <f t="shared" ca="1" si="217"/>
        <v>6881991131627548</v>
      </c>
      <c r="AG376" s="16">
        <f t="shared" ca="1" si="218"/>
        <v>1.009286669850398E-5</v>
      </c>
      <c r="AH376" s="16">
        <f t="shared" ca="1" si="219"/>
        <v>4.5689926740235235E-4</v>
      </c>
      <c r="AI376" s="16">
        <f t="shared" ca="1" si="220"/>
        <v>6.6916034495455377E-4</v>
      </c>
      <c r="AJ376" s="16">
        <f t="shared" ca="1" si="221"/>
        <v>7.224332516938387E-4</v>
      </c>
      <c r="AK376" s="16">
        <f t="shared" ca="1" si="222"/>
        <v>1.6401221013980882E-4</v>
      </c>
      <c r="AM376" s="16">
        <f t="shared" ca="1" si="223"/>
        <v>1.8585857307492487E-3</v>
      </c>
      <c r="AO376" s="16">
        <f t="shared" ca="1" si="224"/>
        <v>0</v>
      </c>
      <c r="AP376" s="16">
        <f t="shared" ca="1" si="225"/>
        <v>0</v>
      </c>
      <c r="AQ376" s="16">
        <f t="shared" ca="1" si="226"/>
        <v>0</v>
      </c>
      <c r="AR376" s="16">
        <f t="shared" ca="1" si="227"/>
        <v>0</v>
      </c>
      <c r="AS376" s="16">
        <f t="shared" ca="1" si="228"/>
        <v>0</v>
      </c>
    </row>
    <row r="377" spans="1:45" x14ac:dyDescent="0.25">
      <c r="A377" s="69">
        <f t="shared" ca="1" si="229"/>
        <v>2453.8281565806001</v>
      </c>
      <c r="B377" s="69">
        <f t="shared" ca="1" si="230"/>
        <v>2135.380528095312</v>
      </c>
      <c r="C377" s="69">
        <f t="shared" ca="1" si="231"/>
        <v>2227.8495855856386</v>
      </c>
      <c r="D377" s="69">
        <f t="shared" ca="1" si="232"/>
        <v>2910.4214624526653</v>
      </c>
      <c r="E377" s="69">
        <f t="shared" ca="1" si="233"/>
        <v>1931.6610039457453</v>
      </c>
      <c r="F377" s="69">
        <f t="shared" ca="1" si="234"/>
        <v>1223.7500197509789</v>
      </c>
      <c r="G377" s="69">
        <f t="shared" ca="1" si="235"/>
        <v>959.46726690636183</v>
      </c>
      <c r="H377" s="69">
        <f t="shared" ca="1" si="236"/>
        <v>1188.5426590844093</v>
      </c>
      <c r="I377" s="69">
        <f t="shared" ca="1" si="237"/>
        <v>1049.9379747505318</v>
      </c>
      <c r="J377" s="69">
        <f t="shared" ca="1" si="238"/>
        <v>1145.7958544754324</v>
      </c>
      <c r="K377" s="69">
        <f t="shared" ca="1" si="239"/>
        <v>1176.8561363856365</v>
      </c>
      <c r="L377" s="69">
        <f t="shared" ca="1" si="240"/>
        <v>953.14213571457253</v>
      </c>
      <c r="M377" s="69">
        <f t="shared" ca="1" si="241"/>
        <v>988.65548255373005</v>
      </c>
      <c r="N377" s="69">
        <f t="shared" ca="1" si="242"/>
        <v>569.76185274751776</v>
      </c>
      <c r="O377" s="69">
        <f t="shared" ca="1" si="243"/>
        <v>627.44329549579516</v>
      </c>
      <c r="P377" s="69">
        <f t="shared" ca="1" si="244"/>
        <v>726.44620454403025</v>
      </c>
      <c r="Q377" s="69">
        <f t="shared" ca="1" si="245"/>
        <v>954.98485138592298</v>
      </c>
      <c r="R377" s="69">
        <f t="shared" ca="1" si="246"/>
        <v>784.81321133910421</v>
      </c>
      <c r="S377" s="69">
        <f t="shared" ca="1" si="247"/>
        <v>703.19010832395736</v>
      </c>
      <c r="T377" s="69">
        <f t="shared" ca="1" si="248"/>
        <v>802.61889887980169</v>
      </c>
      <c r="U377" s="69">
        <f t="shared" ca="1" si="249"/>
        <v>1691.5352961255956</v>
      </c>
      <c r="V377" s="69">
        <f t="shared" ca="1" si="250"/>
        <v>1914.8529887356106</v>
      </c>
      <c r="W377" s="69">
        <f t="shared" ca="1" si="251"/>
        <v>1176.758409619282</v>
      </c>
      <c r="X377" s="69">
        <f t="shared" ca="1" si="252"/>
        <v>1496.3741862501934</v>
      </c>
      <c r="Y377" s="69">
        <f t="shared" ca="1" si="253"/>
        <v>1206.8167202549205</v>
      </c>
      <c r="AA377" s="20">
        <f t="shared" ca="1" si="213"/>
        <v>6.5628440793289216E+16</v>
      </c>
      <c r="AB377" s="20">
        <f t="shared" ca="1" si="214"/>
        <v>1678837027655718.8</v>
      </c>
      <c r="AC377" s="20">
        <f t="shared" ca="1" si="215"/>
        <v>396454978378999.94</v>
      </c>
      <c r="AD377" s="20">
        <f t="shared" ca="1" si="216"/>
        <v>307289967456798.75</v>
      </c>
      <c r="AE377" s="20">
        <f t="shared" ca="1" si="217"/>
        <v>6883119954771067</v>
      </c>
      <c r="AG377" s="16">
        <f t="shared" ca="1" si="218"/>
        <v>1.7938758855793528E-4</v>
      </c>
      <c r="AH377" s="16">
        <f t="shared" ca="1" si="219"/>
        <v>4.9920352729498567E-5</v>
      </c>
      <c r="AI377" s="16">
        <f t="shared" ca="1" si="220"/>
        <v>1.2129945737878824E-4</v>
      </c>
      <c r="AJ377" s="16">
        <f t="shared" ca="1" si="221"/>
        <v>-1.3412763207466991E-3</v>
      </c>
      <c r="AK377" s="16">
        <f t="shared" ca="1" si="222"/>
        <v>5.4611090460702084E-4</v>
      </c>
      <c r="AM377" s="16">
        <f t="shared" ca="1" si="223"/>
        <v>-9.9066892208047718E-4</v>
      </c>
      <c r="AO377" s="16">
        <f t="shared" ca="1" si="224"/>
        <v>0</v>
      </c>
      <c r="AP377" s="16">
        <f t="shared" ca="1" si="225"/>
        <v>0</v>
      </c>
      <c r="AQ377" s="16">
        <f t="shared" ca="1" si="226"/>
        <v>0</v>
      </c>
      <c r="AR377" s="16">
        <f t="shared" ca="1" si="227"/>
        <v>-1.3412763207466991E-3</v>
      </c>
      <c r="AS377" s="16">
        <f t="shared" ca="1" si="228"/>
        <v>0</v>
      </c>
    </row>
    <row r="378" spans="1:45" x14ac:dyDescent="0.25">
      <c r="A378" s="69">
        <f t="shared" ca="1" si="229"/>
        <v>2454.2637013276303</v>
      </c>
      <c r="B378" s="69">
        <f t="shared" ca="1" si="230"/>
        <v>2135.3710621680862</v>
      </c>
      <c r="C378" s="69">
        <f t="shared" ca="1" si="231"/>
        <v>2227.8637106916176</v>
      </c>
      <c r="D378" s="69">
        <f t="shared" ca="1" si="232"/>
        <v>2910.4214624526653</v>
      </c>
      <c r="E378" s="69">
        <f t="shared" ca="1" si="233"/>
        <v>1931.6610039457453</v>
      </c>
      <c r="F378" s="69">
        <f t="shared" ca="1" si="234"/>
        <v>1223.9987728482906</v>
      </c>
      <c r="G378" s="69">
        <f t="shared" ca="1" si="235"/>
        <v>959.28205518565142</v>
      </c>
      <c r="H378" s="69">
        <f t="shared" ca="1" si="236"/>
        <v>1188.5426590844093</v>
      </c>
      <c r="I378" s="69">
        <f t="shared" ca="1" si="237"/>
        <v>1049.9379747505318</v>
      </c>
      <c r="J378" s="69">
        <f t="shared" ca="1" si="238"/>
        <v>1145.8413715141883</v>
      </c>
      <c r="K378" s="69">
        <f t="shared" ca="1" si="239"/>
        <v>1176.8561363856365</v>
      </c>
      <c r="L378" s="69">
        <f t="shared" ca="1" si="240"/>
        <v>953.40303231903511</v>
      </c>
      <c r="M378" s="69">
        <f t="shared" ca="1" si="241"/>
        <v>988.65548255373005</v>
      </c>
      <c r="N378" s="69">
        <f t="shared" ca="1" si="242"/>
        <v>569.861450240262</v>
      </c>
      <c r="O378" s="69">
        <f t="shared" ca="1" si="243"/>
        <v>627.23804471657195</v>
      </c>
      <c r="P378" s="69">
        <f t="shared" ca="1" si="244"/>
        <v>726.23159452244136</v>
      </c>
      <c r="Q378" s="69">
        <f t="shared" ca="1" si="245"/>
        <v>954.65072392764012</v>
      </c>
      <c r="R378" s="69">
        <f t="shared" ca="1" si="246"/>
        <v>784.81321133910421</v>
      </c>
      <c r="S378" s="69">
        <f t="shared" ca="1" si="247"/>
        <v>702.87431983289389</v>
      </c>
      <c r="T378" s="69">
        <f t="shared" ca="1" si="248"/>
        <v>802.42092604075708</v>
      </c>
      <c r="U378" s="69">
        <f t="shared" ca="1" si="249"/>
        <v>1691.7933140427481</v>
      </c>
      <c r="V378" s="69">
        <f t="shared" ca="1" si="250"/>
        <v>1915.0521895045404</v>
      </c>
      <c r="W378" s="69">
        <f t="shared" ca="1" si="251"/>
        <v>1176.758409619282</v>
      </c>
      <c r="X378" s="69">
        <f t="shared" ca="1" si="252"/>
        <v>1496.3741862501934</v>
      </c>
      <c r="Y378" s="69">
        <f t="shared" ca="1" si="253"/>
        <v>1207.1662214341331</v>
      </c>
      <c r="AA378" s="20">
        <f t="shared" ca="1" si="213"/>
        <v>6.5640214777045648E+16</v>
      </c>
      <c r="AB378" s="20">
        <f t="shared" ca="1" si="214"/>
        <v>1678920837884215.3</v>
      </c>
      <c r="AC378" s="20">
        <f t="shared" ca="1" si="215"/>
        <v>396503071069502.06</v>
      </c>
      <c r="AD378" s="20">
        <f t="shared" ca="1" si="216"/>
        <v>306878082987038.13</v>
      </c>
      <c r="AE378" s="20">
        <f t="shared" ca="1" si="217"/>
        <v>6886879928223890</v>
      </c>
      <c r="AG378" s="16">
        <f t="shared" ca="1" si="218"/>
        <v>2.3315757003811025E-4</v>
      </c>
      <c r="AH378" s="16">
        <f t="shared" ca="1" si="219"/>
        <v>-7.2092948505709292E-5</v>
      </c>
      <c r="AI378" s="16">
        <f t="shared" ca="1" si="220"/>
        <v>-3.8659114516729646E-4</v>
      </c>
      <c r="AJ378" s="16">
        <f t="shared" ca="1" si="221"/>
        <v>-9.2074378201648956E-4</v>
      </c>
      <c r="AK378" s="16">
        <f t="shared" ca="1" si="222"/>
        <v>4.4279104200333581E-4</v>
      </c>
      <c r="AM378" s="16">
        <f t="shared" ca="1" si="223"/>
        <v>-1.1462703056513851E-3</v>
      </c>
      <c r="AO378" s="16">
        <f t="shared" ca="1" si="224"/>
        <v>0</v>
      </c>
      <c r="AP378" s="16">
        <f t="shared" ca="1" si="225"/>
        <v>-7.2092948505709292E-5</v>
      </c>
      <c r="AQ378" s="16">
        <f t="shared" ca="1" si="226"/>
        <v>-3.8659114516729646E-4</v>
      </c>
      <c r="AR378" s="16">
        <f t="shared" ca="1" si="227"/>
        <v>-9.2074378201648956E-4</v>
      </c>
      <c r="AS378" s="16">
        <f t="shared" ca="1" si="228"/>
        <v>0</v>
      </c>
    </row>
    <row r="379" spans="1:45" x14ac:dyDescent="0.25">
      <c r="A379" s="69">
        <f t="shared" ca="1" si="229"/>
        <v>2454.4787671934564</v>
      </c>
      <c r="B379" s="69">
        <f t="shared" ca="1" si="230"/>
        <v>2135.5589751582429</v>
      </c>
      <c r="C379" s="69">
        <f t="shared" ca="1" si="231"/>
        <v>2227.6680845306746</v>
      </c>
      <c r="D379" s="69">
        <f t="shared" ca="1" si="232"/>
        <v>2910.8445181483753</v>
      </c>
      <c r="E379" s="69">
        <f t="shared" ca="1" si="233"/>
        <v>1931.6610039457453</v>
      </c>
      <c r="F379" s="69">
        <f t="shared" ca="1" si="234"/>
        <v>1223.6787895178661</v>
      </c>
      <c r="G379" s="69">
        <f t="shared" ca="1" si="235"/>
        <v>959.39325024830032</v>
      </c>
      <c r="H379" s="69">
        <f t="shared" ca="1" si="236"/>
        <v>1188.5426590844093</v>
      </c>
      <c r="I379" s="69">
        <f t="shared" ca="1" si="237"/>
        <v>1050.2152113390862</v>
      </c>
      <c r="J379" s="69">
        <f t="shared" ca="1" si="238"/>
        <v>1145.6230431122854</v>
      </c>
      <c r="K379" s="69">
        <f t="shared" ca="1" si="239"/>
        <v>1176.5640004313275</v>
      </c>
      <c r="L379" s="69">
        <f t="shared" ca="1" si="240"/>
        <v>953.40303231903511</v>
      </c>
      <c r="M379" s="69">
        <f t="shared" ca="1" si="241"/>
        <v>988.51873513579142</v>
      </c>
      <c r="N379" s="69">
        <f t="shared" ca="1" si="242"/>
        <v>569.861450240262</v>
      </c>
      <c r="O379" s="69">
        <f t="shared" ca="1" si="243"/>
        <v>627.23804471657195</v>
      </c>
      <c r="P379" s="69">
        <f t="shared" ca="1" si="244"/>
        <v>726.23159452244136</v>
      </c>
      <c r="Q379" s="69">
        <f t="shared" ca="1" si="245"/>
        <v>954.15254330904668</v>
      </c>
      <c r="R379" s="69">
        <f t="shared" ca="1" si="246"/>
        <v>784.76685329577379</v>
      </c>
      <c r="S379" s="69">
        <f t="shared" ca="1" si="247"/>
        <v>702.63560030990652</v>
      </c>
      <c r="T379" s="69">
        <f t="shared" ca="1" si="248"/>
        <v>802.42092604075708</v>
      </c>
      <c r="U379" s="69">
        <f t="shared" ca="1" si="249"/>
        <v>1691.9900320656154</v>
      </c>
      <c r="V379" s="69">
        <f t="shared" ca="1" si="250"/>
        <v>1914.9384122944373</v>
      </c>
      <c r="W379" s="69">
        <f t="shared" ca="1" si="251"/>
        <v>1176.8297567003267</v>
      </c>
      <c r="X379" s="69">
        <f t="shared" ca="1" si="252"/>
        <v>1496.4413005837466</v>
      </c>
      <c r="Y379" s="69">
        <f t="shared" ca="1" si="253"/>
        <v>1207.504824930229</v>
      </c>
      <c r="AA379" s="20">
        <f t="shared" ca="1" si="213"/>
        <v>6.5655521074340048E+16</v>
      </c>
      <c r="AB379" s="20">
        <f t="shared" ca="1" si="214"/>
        <v>1678799803893605.5</v>
      </c>
      <c r="AC379" s="20">
        <f t="shared" ca="1" si="215"/>
        <v>396349816118607.13</v>
      </c>
      <c r="AD379" s="20">
        <f t="shared" ca="1" si="216"/>
        <v>306595656941256.13</v>
      </c>
      <c r="AE379" s="20">
        <f t="shared" ca="1" si="217"/>
        <v>6889930052197412</v>
      </c>
      <c r="AG379" s="16">
        <f t="shared" ca="1" si="218"/>
        <v>1.0877675280616398E-4</v>
      </c>
      <c r="AH379" s="16">
        <f t="shared" ca="1" si="219"/>
        <v>1.1806918593749248E-4</v>
      </c>
      <c r="AI379" s="16">
        <f t="shared" ca="1" si="220"/>
        <v>-1.2073042219460947E-3</v>
      </c>
      <c r="AJ379" s="16">
        <f t="shared" ca="1" si="221"/>
        <v>-9.6536975009078871E-5</v>
      </c>
      <c r="AK379" s="16">
        <f t="shared" ca="1" si="222"/>
        <v>6.6711897854275124E-4</v>
      </c>
      <c r="AM379" s="16">
        <f t="shared" ca="1" si="223"/>
        <v>-1.0769952582115171E-3</v>
      </c>
      <c r="AO379" s="16">
        <f t="shared" ca="1" si="224"/>
        <v>0</v>
      </c>
      <c r="AP379" s="16">
        <f t="shared" ca="1" si="225"/>
        <v>0</v>
      </c>
      <c r="AQ379" s="16">
        <f t="shared" ca="1" si="226"/>
        <v>-1.2073042219460947E-3</v>
      </c>
      <c r="AR379" s="16">
        <f t="shared" ca="1" si="227"/>
        <v>-9.6536975009078871E-5</v>
      </c>
      <c r="AS379" s="16">
        <f t="shared" ca="1" si="228"/>
        <v>0</v>
      </c>
    </row>
    <row r="380" spans="1:45" x14ac:dyDescent="0.25">
      <c r="A380" s="69">
        <f t="shared" ca="1" si="229"/>
        <v>2454.4787671934564</v>
      </c>
      <c r="B380" s="69">
        <f t="shared" ca="1" si="230"/>
        <v>2136.0015840093342</v>
      </c>
      <c r="C380" s="69">
        <f t="shared" ca="1" si="231"/>
        <v>2227.6680845306746</v>
      </c>
      <c r="D380" s="69">
        <f t="shared" ca="1" si="232"/>
        <v>2910.6932804182638</v>
      </c>
      <c r="E380" s="69">
        <f t="shared" ca="1" si="233"/>
        <v>1931.571182934046</v>
      </c>
      <c r="F380" s="69">
        <f t="shared" ca="1" si="234"/>
        <v>1223.6787895178661</v>
      </c>
      <c r="G380" s="69">
        <f t="shared" ca="1" si="235"/>
        <v>959.50653171574481</v>
      </c>
      <c r="H380" s="69">
        <f t="shared" ca="1" si="236"/>
        <v>1188.5426590844093</v>
      </c>
      <c r="I380" s="69">
        <f t="shared" ca="1" si="237"/>
        <v>1050.2152113390862</v>
      </c>
      <c r="J380" s="69">
        <f t="shared" ca="1" si="238"/>
        <v>1145.6230431122854</v>
      </c>
      <c r="K380" s="69">
        <f t="shared" ca="1" si="239"/>
        <v>1176.1868168822243</v>
      </c>
      <c r="L380" s="69">
        <f t="shared" ca="1" si="240"/>
        <v>953.40303231903511</v>
      </c>
      <c r="M380" s="69">
        <f t="shared" ca="1" si="241"/>
        <v>988.41856523937554</v>
      </c>
      <c r="N380" s="69">
        <f t="shared" ca="1" si="242"/>
        <v>569.47861075890341</v>
      </c>
      <c r="O380" s="69">
        <f t="shared" ca="1" si="243"/>
        <v>627.16698485423228</v>
      </c>
      <c r="P380" s="69">
        <f t="shared" ca="1" si="244"/>
        <v>726.54754714651983</v>
      </c>
      <c r="Q380" s="69">
        <f t="shared" ca="1" si="245"/>
        <v>953.87495350258018</v>
      </c>
      <c r="R380" s="69">
        <f t="shared" ca="1" si="246"/>
        <v>784.57811635004589</v>
      </c>
      <c r="S380" s="69">
        <f t="shared" ca="1" si="247"/>
        <v>702.63560030990652</v>
      </c>
      <c r="T380" s="69">
        <f t="shared" ca="1" si="248"/>
        <v>802.42092604075708</v>
      </c>
      <c r="U380" s="69">
        <f t="shared" ca="1" si="249"/>
        <v>1692.4406800729048</v>
      </c>
      <c r="V380" s="69">
        <f t="shared" ca="1" si="250"/>
        <v>1914.9384122944373</v>
      </c>
      <c r="W380" s="69">
        <f t="shared" ca="1" si="251"/>
        <v>1177.324699499527</v>
      </c>
      <c r="X380" s="69">
        <f t="shared" ca="1" si="252"/>
        <v>1496.4118626961742</v>
      </c>
      <c r="Y380" s="69">
        <f t="shared" ca="1" si="253"/>
        <v>1207.504824930229</v>
      </c>
      <c r="AA380" s="20">
        <f t="shared" ca="1" si="213"/>
        <v>6.5662663257170992E+16</v>
      </c>
      <c r="AB380" s="20">
        <f t="shared" ca="1" si="214"/>
        <v>1678998030121777.5</v>
      </c>
      <c r="AC380" s="20">
        <f t="shared" ca="1" si="215"/>
        <v>395871590052501.75</v>
      </c>
      <c r="AD380" s="20">
        <f t="shared" ca="1" si="216"/>
        <v>306566060552580</v>
      </c>
      <c r="AE380" s="20">
        <f t="shared" ca="1" si="217"/>
        <v>6894527988810929</v>
      </c>
      <c r="AG380" s="16">
        <f t="shared" ca="1" si="218"/>
        <v>-1.7468296951076464E-4</v>
      </c>
      <c r="AH380" s="16">
        <f t="shared" ca="1" si="219"/>
        <v>6.2127648274505783E-5</v>
      </c>
      <c r="AI380" s="16">
        <f t="shared" ca="1" si="220"/>
        <v>1.0445071107210222E-4</v>
      </c>
      <c r="AJ380" s="16">
        <f t="shared" ca="1" si="221"/>
        <v>6.7380231826206735E-4</v>
      </c>
      <c r="AK380" s="16">
        <f t="shared" ca="1" si="222"/>
        <v>2.1819883339001177E-4</v>
      </c>
      <c r="AM380" s="16">
        <f t="shared" ca="1" si="223"/>
        <v>6.6569770809791074E-4</v>
      </c>
      <c r="AO380" s="16">
        <f t="shared" ca="1" si="224"/>
        <v>-1.7468296951076464E-4</v>
      </c>
      <c r="AP380" s="16">
        <f t="shared" ca="1" si="225"/>
        <v>0</v>
      </c>
      <c r="AQ380" s="16">
        <f t="shared" ca="1" si="226"/>
        <v>0</v>
      </c>
      <c r="AR380" s="16">
        <f t="shared" ca="1" si="227"/>
        <v>0</v>
      </c>
      <c r="AS380" s="16">
        <f t="shared" ca="1" si="228"/>
        <v>0</v>
      </c>
    </row>
    <row r="381" spans="1:45" x14ac:dyDescent="0.25">
      <c r="A381" s="69">
        <f t="shared" ca="1" si="229"/>
        <v>2454.5018542936164</v>
      </c>
      <c r="B381" s="69">
        <f t="shared" ca="1" si="230"/>
        <v>2135.7957858330597</v>
      </c>
      <c r="C381" s="69">
        <f t="shared" ca="1" si="231"/>
        <v>2227.4726441777439</v>
      </c>
      <c r="D381" s="69">
        <f t="shared" ca="1" si="232"/>
        <v>2910.6932804182638</v>
      </c>
      <c r="E381" s="69">
        <f t="shared" ca="1" si="233"/>
        <v>1931.571182934046</v>
      </c>
      <c r="F381" s="69">
        <f t="shared" ca="1" si="234"/>
        <v>1223.6787895178661</v>
      </c>
      <c r="G381" s="69">
        <f t="shared" ca="1" si="235"/>
        <v>959.50653171574481</v>
      </c>
      <c r="H381" s="69">
        <f t="shared" ca="1" si="236"/>
        <v>1188.5426590844093</v>
      </c>
      <c r="I381" s="69">
        <f t="shared" ca="1" si="237"/>
        <v>1050.2804607672244</v>
      </c>
      <c r="J381" s="69">
        <f t="shared" ca="1" si="238"/>
        <v>1145.6230431122854</v>
      </c>
      <c r="K381" s="69">
        <f t="shared" ca="1" si="239"/>
        <v>1176.2573577044627</v>
      </c>
      <c r="L381" s="69">
        <f t="shared" ca="1" si="240"/>
        <v>953.23306244992602</v>
      </c>
      <c r="M381" s="69">
        <f t="shared" ca="1" si="241"/>
        <v>988.63878103253091</v>
      </c>
      <c r="N381" s="69">
        <f t="shared" ca="1" si="242"/>
        <v>569.47861075890341</v>
      </c>
      <c r="O381" s="69">
        <f t="shared" ca="1" si="243"/>
        <v>627.16698485423228</v>
      </c>
      <c r="P381" s="69">
        <f t="shared" ca="1" si="244"/>
        <v>726.54754714651983</v>
      </c>
      <c r="Q381" s="69">
        <f t="shared" ca="1" si="245"/>
        <v>954.12333873309126</v>
      </c>
      <c r="R381" s="69">
        <f t="shared" ca="1" si="246"/>
        <v>784.71005008696545</v>
      </c>
      <c r="S381" s="69">
        <f t="shared" ca="1" si="247"/>
        <v>702.63560030990652</v>
      </c>
      <c r="T381" s="69">
        <f t="shared" ca="1" si="248"/>
        <v>802.61778043822835</v>
      </c>
      <c r="U381" s="69">
        <f t="shared" ca="1" si="249"/>
        <v>1692.4973022227828</v>
      </c>
      <c r="V381" s="69">
        <f t="shared" ca="1" si="250"/>
        <v>1915.0699592786607</v>
      </c>
      <c r="W381" s="69">
        <f t="shared" ca="1" si="251"/>
        <v>1177.324699499527</v>
      </c>
      <c r="X381" s="69">
        <f t="shared" ca="1" si="252"/>
        <v>1496.5855323978844</v>
      </c>
      <c r="Y381" s="69">
        <f t="shared" ca="1" si="253"/>
        <v>1207.504824930229</v>
      </c>
      <c r="AA381" s="20">
        <f t="shared" ca="1" si="213"/>
        <v>6.565119410992876E+16</v>
      </c>
      <c r="AB381" s="20">
        <f t="shared" ca="1" si="214"/>
        <v>1679102345561249.3</v>
      </c>
      <c r="AC381" s="20">
        <f t="shared" ca="1" si="215"/>
        <v>395912941281121</v>
      </c>
      <c r="AD381" s="20">
        <f t="shared" ca="1" si="216"/>
        <v>306772695082475.63</v>
      </c>
      <c r="AE381" s="20">
        <f t="shared" ca="1" si="217"/>
        <v>6896032530913558</v>
      </c>
      <c r="AG381" s="16">
        <f t="shared" ca="1" si="218"/>
        <v>-6.4839584881036825E-5</v>
      </c>
      <c r="AH381" s="16">
        <f t="shared" ca="1" si="219"/>
        <v>2.1449322595820731E-4</v>
      </c>
      <c r="AI381" s="16">
        <f t="shared" ca="1" si="220"/>
        <v>4.5546558522802278E-4</v>
      </c>
      <c r="AJ381" s="16">
        <f t="shared" ca="1" si="221"/>
        <v>1.3539993123287778E-4</v>
      </c>
      <c r="AK381" s="16">
        <f t="shared" ca="1" si="222"/>
        <v>-4.3782140282021149E-5</v>
      </c>
      <c r="AM381" s="16">
        <f t="shared" ca="1" si="223"/>
        <v>7.4051915753807094E-4</v>
      </c>
      <c r="AO381" s="16">
        <f t="shared" ca="1" si="224"/>
        <v>-6.4839584881036825E-5</v>
      </c>
      <c r="AP381" s="16">
        <f t="shared" ca="1" si="225"/>
        <v>0</v>
      </c>
      <c r="AQ381" s="16">
        <f t="shared" ca="1" si="226"/>
        <v>0</v>
      </c>
      <c r="AR381" s="16">
        <f t="shared" ca="1" si="227"/>
        <v>0</v>
      </c>
      <c r="AS381" s="16">
        <f t="shared" ca="1" si="228"/>
        <v>-4.3782140282021149E-5</v>
      </c>
    </row>
    <row r="382" spans="1:45" x14ac:dyDescent="0.25">
      <c r="A382" s="69">
        <f t="shared" ca="1" si="229"/>
        <v>2454.6629678619925</v>
      </c>
      <c r="B382" s="69">
        <f t="shared" ca="1" si="230"/>
        <v>2135.9641074915785</v>
      </c>
      <c r="C382" s="69">
        <f t="shared" ca="1" si="231"/>
        <v>2227.1650848079794</v>
      </c>
      <c r="D382" s="69">
        <f t="shared" ca="1" si="232"/>
        <v>2911.1734671403378</v>
      </c>
      <c r="E382" s="69">
        <f t="shared" ca="1" si="233"/>
        <v>1931.1150791615644</v>
      </c>
      <c r="F382" s="69">
        <f t="shared" ca="1" si="234"/>
        <v>1223.6787895178661</v>
      </c>
      <c r="G382" s="69">
        <f t="shared" ca="1" si="235"/>
        <v>959.71236144081206</v>
      </c>
      <c r="H382" s="69">
        <f t="shared" ca="1" si="236"/>
        <v>1188.5426590844093</v>
      </c>
      <c r="I382" s="69">
        <f t="shared" ca="1" si="237"/>
        <v>1050.2804607672244</v>
      </c>
      <c r="J382" s="69">
        <f t="shared" ca="1" si="238"/>
        <v>1145.6230431122854</v>
      </c>
      <c r="K382" s="69">
        <f t="shared" ca="1" si="239"/>
        <v>1175.834029492989</v>
      </c>
      <c r="L382" s="69">
        <f t="shared" ca="1" si="240"/>
        <v>953.23306244992602</v>
      </c>
      <c r="M382" s="69">
        <f t="shared" ca="1" si="241"/>
        <v>988.73040600093736</v>
      </c>
      <c r="N382" s="69">
        <f t="shared" ca="1" si="242"/>
        <v>569.94285432791969</v>
      </c>
      <c r="O382" s="69">
        <f t="shared" ca="1" si="243"/>
        <v>627.10920974336614</v>
      </c>
      <c r="P382" s="69">
        <f t="shared" ca="1" si="244"/>
        <v>726.22616425734657</v>
      </c>
      <c r="Q382" s="69">
        <f t="shared" ca="1" si="245"/>
        <v>954.12333873309126</v>
      </c>
      <c r="R382" s="69">
        <f t="shared" ca="1" si="246"/>
        <v>785.1636182382947</v>
      </c>
      <c r="S382" s="69">
        <f t="shared" ca="1" si="247"/>
        <v>702.63560030990652</v>
      </c>
      <c r="T382" s="69">
        <f t="shared" ca="1" si="248"/>
        <v>802.61778043822835</v>
      </c>
      <c r="U382" s="69">
        <f t="shared" ca="1" si="249"/>
        <v>1692.4973022227828</v>
      </c>
      <c r="V382" s="69">
        <f t="shared" ca="1" si="250"/>
        <v>1914.9861152525027</v>
      </c>
      <c r="W382" s="69">
        <f t="shared" ca="1" si="251"/>
        <v>1177.324699499527</v>
      </c>
      <c r="X382" s="69">
        <f t="shared" ca="1" si="252"/>
        <v>1496.5855323978844</v>
      </c>
      <c r="Y382" s="69">
        <f t="shared" ca="1" si="253"/>
        <v>1207.504824930229</v>
      </c>
      <c r="AA382" s="20">
        <f t="shared" ca="1" si="213"/>
        <v>6.5646937451757192E+16</v>
      </c>
      <c r="AB382" s="20">
        <f t="shared" ca="1" si="214"/>
        <v>1679462540268344</v>
      </c>
      <c r="AC382" s="20">
        <f t="shared" ca="1" si="215"/>
        <v>396093307072708.31</v>
      </c>
      <c r="AD382" s="20">
        <f t="shared" ca="1" si="216"/>
        <v>306814234896474.44</v>
      </c>
      <c r="AE382" s="20">
        <f t="shared" ca="1" si="217"/>
        <v>6895730614459223</v>
      </c>
      <c r="AG382" s="16">
        <f t="shared" ca="1" si="218"/>
        <v>-1.1126816263503512E-4</v>
      </c>
      <c r="AH382" s="16">
        <f t="shared" ca="1" si="219"/>
        <v>4.3975028829845839E-4</v>
      </c>
      <c r="AI382" s="16">
        <f t="shared" ca="1" si="220"/>
        <v>6.2625328590808107E-4</v>
      </c>
      <c r="AJ382" s="16">
        <f t="shared" ca="1" si="221"/>
        <v>3.4006299286402865E-4</v>
      </c>
      <c r="AK382" s="16">
        <f t="shared" ca="1" si="222"/>
        <v>1.2762780744531555E-4</v>
      </c>
      <c r="AM382" s="16">
        <f t="shared" ca="1" si="223"/>
        <v>1.294798404435533E-3</v>
      </c>
      <c r="AO382" s="16">
        <f t="shared" ca="1" si="224"/>
        <v>-1.1126816263503512E-4</v>
      </c>
      <c r="AP382" s="16">
        <f t="shared" ca="1" si="225"/>
        <v>0</v>
      </c>
      <c r="AQ382" s="16">
        <f t="shared" ca="1" si="226"/>
        <v>0</v>
      </c>
      <c r="AR382" s="16">
        <f t="shared" ca="1" si="227"/>
        <v>0</v>
      </c>
      <c r="AS382" s="16">
        <f t="shared" ca="1" si="228"/>
        <v>0</v>
      </c>
    </row>
    <row r="383" spans="1:45" x14ac:dyDescent="0.25">
      <c r="A383" s="69">
        <f t="shared" ca="1" si="229"/>
        <v>2454.6629678619925</v>
      </c>
      <c r="B383" s="69">
        <f t="shared" ca="1" si="230"/>
        <v>2135.9641074915785</v>
      </c>
      <c r="C383" s="69">
        <f t="shared" ca="1" si="231"/>
        <v>2226.9172860274211</v>
      </c>
      <c r="D383" s="69">
        <f t="shared" ca="1" si="232"/>
        <v>2911.1734671403378</v>
      </c>
      <c r="E383" s="69">
        <f t="shared" ca="1" si="233"/>
        <v>1931.1150791615644</v>
      </c>
      <c r="F383" s="69">
        <f t="shared" ca="1" si="234"/>
        <v>1223.908164614309</v>
      </c>
      <c r="G383" s="69">
        <f t="shared" ca="1" si="235"/>
        <v>959.87474981825449</v>
      </c>
      <c r="H383" s="69">
        <f t="shared" ca="1" si="236"/>
        <v>1188.5426590844093</v>
      </c>
      <c r="I383" s="69">
        <f t="shared" ca="1" si="237"/>
        <v>1050.5518837547336</v>
      </c>
      <c r="J383" s="69">
        <f t="shared" ca="1" si="238"/>
        <v>1145.4222720486027</v>
      </c>
      <c r="K383" s="69">
        <f t="shared" ca="1" si="239"/>
        <v>1175.834029492989</v>
      </c>
      <c r="L383" s="69">
        <f t="shared" ca="1" si="240"/>
        <v>953.23306244992602</v>
      </c>
      <c r="M383" s="69">
        <f t="shared" ca="1" si="241"/>
        <v>988.58772578555045</v>
      </c>
      <c r="N383" s="69">
        <f t="shared" ca="1" si="242"/>
        <v>570.27258319546695</v>
      </c>
      <c r="O383" s="69">
        <f t="shared" ca="1" si="243"/>
        <v>627.2297565942539</v>
      </c>
      <c r="P383" s="69">
        <f t="shared" ca="1" si="244"/>
        <v>726.15020571516402</v>
      </c>
      <c r="Q383" s="69">
        <f t="shared" ca="1" si="245"/>
        <v>954.28360743437361</v>
      </c>
      <c r="R383" s="69">
        <f t="shared" ca="1" si="246"/>
        <v>785.1636182382947</v>
      </c>
      <c r="S383" s="69">
        <f t="shared" ca="1" si="247"/>
        <v>702.4978907389517</v>
      </c>
      <c r="T383" s="69">
        <f t="shared" ca="1" si="248"/>
        <v>802.99727596998525</v>
      </c>
      <c r="U383" s="69">
        <f t="shared" ca="1" si="249"/>
        <v>1692.0652604672782</v>
      </c>
      <c r="V383" s="69">
        <f t="shared" ca="1" si="250"/>
        <v>1915.3966643704982</v>
      </c>
      <c r="W383" s="69">
        <f t="shared" ca="1" si="251"/>
        <v>1177.324699499527</v>
      </c>
      <c r="X383" s="69">
        <f t="shared" ca="1" si="252"/>
        <v>1496.5855323978844</v>
      </c>
      <c r="Y383" s="69">
        <f t="shared" ca="1" si="253"/>
        <v>1207.7083847205449</v>
      </c>
      <c r="AA383" s="20">
        <f t="shared" ca="1" si="213"/>
        <v>6.5639633444003616E+16</v>
      </c>
      <c r="AB383" s="20">
        <f t="shared" ca="1" si="214"/>
        <v>1680201246815917.8</v>
      </c>
      <c r="AC383" s="20">
        <f t="shared" ca="1" si="215"/>
        <v>396341439496552.06</v>
      </c>
      <c r="AD383" s="20">
        <f t="shared" ca="1" si="216"/>
        <v>306918588805892.38</v>
      </c>
      <c r="AE383" s="20">
        <f t="shared" ca="1" si="217"/>
        <v>6896610757602455</v>
      </c>
      <c r="AG383" s="16">
        <f t="shared" ca="1" si="218"/>
        <v>-3.5149998246266734E-5</v>
      </c>
      <c r="AH383" s="16">
        <f t="shared" ca="1" si="219"/>
        <v>2.1928692321012131E-5</v>
      </c>
      <c r="AI383" s="16">
        <f t="shared" ca="1" si="220"/>
        <v>-5.9542542944274483E-4</v>
      </c>
      <c r="AJ383" s="16">
        <f t="shared" ca="1" si="221"/>
        <v>2.3725679603594241E-4</v>
      </c>
      <c r="AK383" s="16">
        <f t="shared" ca="1" si="222"/>
        <v>-4.6223542198384811E-4</v>
      </c>
      <c r="AM383" s="16">
        <f t="shared" ca="1" si="223"/>
        <v>-3.7138993933205709E-4</v>
      </c>
      <c r="AO383" s="16">
        <f t="shared" ca="1" si="224"/>
        <v>-3.5149998246266734E-5</v>
      </c>
      <c r="AP383" s="16">
        <f t="shared" ca="1" si="225"/>
        <v>0</v>
      </c>
      <c r="AQ383" s="16">
        <f t="shared" ca="1" si="226"/>
        <v>-5.9542542944274483E-4</v>
      </c>
      <c r="AR383" s="16">
        <f t="shared" ca="1" si="227"/>
        <v>0</v>
      </c>
      <c r="AS383" s="16">
        <f t="shared" ca="1" si="228"/>
        <v>-4.6223542198384811E-4</v>
      </c>
    </row>
    <row r="384" spans="1:45" x14ac:dyDescent="0.25">
      <c r="A384" s="69">
        <f t="shared" ca="1" si="229"/>
        <v>2455.1351286282297</v>
      </c>
      <c r="B384" s="69">
        <f t="shared" ca="1" si="230"/>
        <v>2135.6483090885986</v>
      </c>
      <c r="C384" s="69">
        <f t="shared" ca="1" si="231"/>
        <v>2226.9172860274211</v>
      </c>
      <c r="D384" s="69">
        <f t="shared" ca="1" si="232"/>
        <v>2911.0705145257116</v>
      </c>
      <c r="E384" s="69">
        <f t="shared" ca="1" si="233"/>
        <v>1931.0296104665713</v>
      </c>
      <c r="F384" s="69">
        <f t="shared" ca="1" si="234"/>
        <v>1223.4877760898698</v>
      </c>
      <c r="G384" s="69">
        <f t="shared" ca="1" si="235"/>
        <v>959.87474981825449</v>
      </c>
      <c r="H384" s="69">
        <f t="shared" ca="1" si="236"/>
        <v>1188.9771129476301</v>
      </c>
      <c r="I384" s="69">
        <f t="shared" ca="1" si="237"/>
        <v>1050.5518837547336</v>
      </c>
      <c r="J384" s="69">
        <f t="shared" ca="1" si="238"/>
        <v>1145.4222720486027</v>
      </c>
      <c r="K384" s="69">
        <f t="shared" ca="1" si="239"/>
        <v>1175.6827322069648</v>
      </c>
      <c r="L384" s="69">
        <f t="shared" ca="1" si="240"/>
        <v>953.23306244992602</v>
      </c>
      <c r="M384" s="69">
        <f t="shared" ca="1" si="241"/>
        <v>988.9089801616916</v>
      </c>
      <c r="N384" s="69">
        <f t="shared" ca="1" si="242"/>
        <v>569.9006416112868</v>
      </c>
      <c r="O384" s="69">
        <f t="shared" ca="1" si="243"/>
        <v>627.14243660453656</v>
      </c>
      <c r="P384" s="69">
        <f t="shared" ca="1" si="244"/>
        <v>726.41837074702414</v>
      </c>
      <c r="Q384" s="69">
        <f t="shared" ca="1" si="245"/>
        <v>953.92840160944479</v>
      </c>
      <c r="R384" s="69">
        <f t="shared" ca="1" si="246"/>
        <v>785.35233130784763</v>
      </c>
      <c r="S384" s="69">
        <f t="shared" ca="1" si="247"/>
        <v>702.4978907389517</v>
      </c>
      <c r="T384" s="69">
        <f t="shared" ca="1" si="248"/>
        <v>802.99727596998525</v>
      </c>
      <c r="U384" s="69">
        <f t="shared" ca="1" si="249"/>
        <v>1691.8103655825576</v>
      </c>
      <c r="V384" s="69">
        <f t="shared" ca="1" si="250"/>
        <v>1915.2075261854432</v>
      </c>
      <c r="W384" s="69">
        <f t="shared" ca="1" si="251"/>
        <v>1177.324699499527</v>
      </c>
      <c r="X384" s="69">
        <f t="shared" ca="1" si="252"/>
        <v>1496.5855323978844</v>
      </c>
      <c r="Y384" s="69">
        <f t="shared" ca="1" si="253"/>
        <v>1207.4513734531813</v>
      </c>
      <c r="AA384" s="20">
        <f t="shared" ca="1" si="213"/>
        <v>6.563732625155232E+16</v>
      </c>
      <c r="AB384" s="20">
        <f t="shared" ca="1" si="214"/>
        <v>1680238091836076.8</v>
      </c>
      <c r="AC384" s="20">
        <f t="shared" ca="1" si="215"/>
        <v>396105517968542.56</v>
      </c>
      <c r="AD384" s="20">
        <f t="shared" ca="1" si="216"/>
        <v>306991415965944.06</v>
      </c>
      <c r="AE384" s="20">
        <f t="shared" ca="1" si="217"/>
        <v>6893423636475543</v>
      </c>
      <c r="AG384" s="16">
        <f t="shared" ca="1" si="218"/>
        <v>2.1394073346797147E-4</v>
      </c>
      <c r="AH384" s="16">
        <f t="shared" ca="1" si="219"/>
        <v>8.3426160643324898E-4</v>
      </c>
      <c r="AI384" s="16">
        <f t="shared" ca="1" si="220"/>
        <v>2.9297724850920137E-4</v>
      </c>
      <c r="AJ384" s="16">
        <f t="shared" ca="1" si="221"/>
        <v>-9.5402719868143359E-4</v>
      </c>
      <c r="AK384" s="16">
        <f t="shared" ca="1" si="222"/>
        <v>-2.404848220456676E-5</v>
      </c>
      <c r="AM384" s="16">
        <f t="shared" ca="1" si="223"/>
        <v>3.8715238972898821E-4</v>
      </c>
      <c r="AO384" s="16">
        <f t="shared" ca="1" si="224"/>
        <v>0</v>
      </c>
      <c r="AP384" s="16">
        <f t="shared" ca="1" si="225"/>
        <v>0</v>
      </c>
      <c r="AQ384" s="16">
        <f t="shared" ca="1" si="226"/>
        <v>0</v>
      </c>
      <c r="AR384" s="16">
        <f t="shared" ca="1" si="227"/>
        <v>-9.5402719868143359E-4</v>
      </c>
      <c r="AS384" s="16">
        <f t="shared" ca="1" si="228"/>
        <v>-2.404848220456676E-5</v>
      </c>
    </row>
    <row r="385" spans="1:45" x14ac:dyDescent="0.25">
      <c r="A385" s="69">
        <f t="shared" ca="1" si="229"/>
        <v>2455.1351286282297</v>
      </c>
      <c r="B385" s="69">
        <f t="shared" ca="1" si="230"/>
        <v>2136.0403821277137</v>
      </c>
      <c r="C385" s="69">
        <f t="shared" ca="1" si="231"/>
        <v>2226.648086077997</v>
      </c>
      <c r="D385" s="69">
        <f t="shared" ca="1" si="232"/>
        <v>2911.5108892954131</v>
      </c>
      <c r="E385" s="69">
        <f t="shared" ca="1" si="233"/>
        <v>1931.0296104665713</v>
      </c>
      <c r="F385" s="69">
        <f t="shared" ca="1" si="234"/>
        <v>1223.4877760898698</v>
      </c>
      <c r="G385" s="69">
        <f t="shared" ca="1" si="235"/>
        <v>960.03395010900033</v>
      </c>
      <c r="H385" s="69">
        <f t="shared" ca="1" si="236"/>
        <v>1189.3771624414496</v>
      </c>
      <c r="I385" s="69">
        <f t="shared" ca="1" si="237"/>
        <v>1050.9007368807715</v>
      </c>
      <c r="J385" s="69">
        <f t="shared" ca="1" si="238"/>
        <v>1145.4222720486027</v>
      </c>
      <c r="K385" s="69">
        <f t="shared" ca="1" si="239"/>
        <v>1175.4357933573283</v>
      </c>
      <c r="L385" s="69">
        <f t="shared" ca="1" si="240"/>
        <v>953.59379835116374</v>
      </c>
      <c r="M385" s="69">
        <f t="shared" ca="1" si="241"/>
        <v>988.9089801616916</v>
      </c>
      <c r="N385" s="69">
        <f t="shared" ca="1" si="242"/>
        <v>569.97169867269042</v>
      </c>
      <c r="O385" s="69">
        <f t="shared" ca="1" si="243"/>
        <v>627.14243660453656</v>
      </c>
      <c r="P385" s="69">
        <f t="shared" ca="1" si="244"/>
        <v>726.41837074702414</v>
      </c>
      <c r="Q385" s="69">
        <f t="shared" ca="1" si="245"/>
        <v>953.67658687156506</v>
      </c>
      <c r="R385" s="69">
        <f t="shared" ca="1" si="246"/>
        <v>785.52878368857739</v>
      </c>
      <c r="S385" s="69">
        <f t="shared" ca="1" si="247"/>
        <v>702.16117046244403</v>
      </c>
      <c r="T385" s="69">
        <f t="shared" ca="1" si="248"/>
        <v>802.64785841510002</v>
      </c>
      <c r="U385" s="69">
        <f t="shared" ca="1" si="249"/>
        <v>1691.8103655825576</v>
      </c>
      <c r="V385" s="69">
        <f t="shared" ca="1" si="250"/>
        <v>1914.7299124003073</v>
      </c>
      <c r="W385" s="69">
        <f t="shared" ca="1" si="251"/>
        <v>1177.3140654305284</v>
      </c>
      <c r="X385" s="69">
        <f t="shared" ca="1" si="252"/>
        <v>1496.9363652468892</v>
      </c>
      <c r="Y385" s="69">
        <f t="shared" ca="1" si="253"/>
        <v>1207.4513734531813</v>
      </c>
      <c r="AA385" s="20">
        <f t="shared" ca="1" si="213"/>
        <v>6.565137025151172E+16</v>
      </c>
      <c r="AB385" s="20">
        <f t="shared" ca="1" si="214"/>
        <v>1681640434844893</v>
      </c>
      <c r="AC385" s="20">
        <f t="shared" ca="1" si="215"/>
        <v>396221584874967.5</v>
      </c>
      <c r="AD385" s="20">
        <f t="shared" ca="1" si="216"/>
        <v>306698677467798.94</v>
      </c>
      <c r="AE385" s="20">
        <f t="shared" ca="1" si="217"/>
        <v>6893257862093212</v>
      </c>
      <c r="AG385" s="16">
        <f t="shared" ca="1" si="218"/>
        <v>-1.9409686560986568E-4</v>
      </c>
      <c r="AH385" s="16">
        <f t="shared" ca="1" si="219"/>
        <v>-9.0782142606236351E-4</v>
      </c>
      <c r="AI385" s="16">
        <f t="shared" ca="1" si="220"/>
        <v>7.4411450976064086E-4</v>
      </c>
      <c r="AJ385" s="16">
        <f t="shared" ca="1" si="221"/>
        <v>5.5296721774368161E-4</v>
      </c>
      <c r="AK385" s="16">
        <f t="shared" ca="1" si="222"/>
        <v>-2.4642008284043873E-4</v>
      </c>
      <c r="AM385" s="16">
        <f t="shared" ca="1" si="223"/>
        <v>1.9516343583209322E-4</v>
      </c>
      <c r="AO385" s="16">
        <f t="shared" ca="1" si="224"/>
        <v>-1.9409686560986568E-4</v>
      </c>
      <c r="AP385" s="16">
        <f t="shared" ca="1" si="225"/>
        <v>-9.0782142606236351E-4</v>
      </c>
      <c r="AQ385" s="16">
        <f t="shared" ca="1" si="226"/>
        <v>0</v>
      </c>
      <c r="AR385" s="16">
        <f t="shared" ca="1" si="227"/>
        <v>0</v>
      </c>
      <c r="AS385" s="16">
        <f t="shared" ca="1" si="228"/>
        <v>-2.4642008284043873E-4</v>
      </c>
    </row>
    <row r="386" spans="1:45" x14ac:dyDescent="0.25">
      <c r="A386" s="69">
        <f t="shared" ca="1" si="229"/>
        <v>2455.0669863693224</v>
      </c>
      <c r="B386" s="69">
        <f t="shared" ca="1" si="230"/>
        <v>2135.5931278937123</v>
      </c>
      <c r="C386" s="69">
        <f t="shared" ca="1" si="231"/>
        <v>2226.7439791092793</v>
      </c>
      <c r="D386" s="69">
        <f t="shared" ca="1" si="232"/>
        <v>2911.5108892954131</v>
      </c>
      <c r="E386" s="69">
        <f t="shared" ca="1" si="233"/>
        <v>1931.0296104665713</v>
      </c>
      <c r="F386" s="69">
        <f t="shared" ca="1" si="234"/>
        <v>1223.0159529364835</v>
      </c>
      <c r="G386" s="69">
        <f t="shared" ca="1" si="235"/>
        <v>960.18859158468968</v>
      </c>
      <c r="H386" s="69">
        <f t="shared" ca="1" si="236"/>
        <v>1189.1637626354511</v>
      </c>
      <c r="I386" s="69">
        <f t="shared" ca="1" si="237"/>
        <v>1050.8161768754894</v>
      </c>
      <c r="J386" s="69">
        <f t="shared" ca="1" si="238"/>
        <v>1144.9375513980531</v>
      </c>
      <c r="K386" s="69">
        <f t="shared" ca="1" si="239"/>
        <v>1175.5619119488106</v>
      </c>
      <c r="L386" s="69">
        <f t="shared" ca="1" si="240"/>
        <v>953.59379835116374</v>
      </c>
      <c r="M386" s="69">
        <f t="shared" ca="1" si="241"/>
        <v>989.11996047470473</v>
      </c>
      <c r="N386" s="69">
        <f t="shared" ca="1" si="242"/>
        <v>569.97169867269042</v>
      </c>
      <c r="O386" s="69">
        <f t="shared" ca="1" si="243"/>
        <v>627.40808848962911</v>
      </c>
      <c r="P386" s="69">
        <f t="shared" ca="1" si="244"/>
        <v>726.41837074702414</v>
      </c>
      <c r="Q386" s="69">
        <f t="shared" ca="1" si="245"/>
        <v>953.95421285774626</v>
      </c>
      <c r="R386" s="69">
        <f t="shared" ca="1" si="246"/>
        <v>785.52878368857739</v>
      </c>
      <c r="S386" s="69">
        <f t="shared" ca="1" si="247"/>
        <v>702.16117046244403</v>
      </c>
      <c r="T386" s="69">
        <f t="shared" ca="1" si="248"/>
        <v>802.85809807780709</v>
      </c>
      <c r="U386" s="69">
        <f t="shared" ca="1" si="249"/>
        <v>1691.4602037400612</v>
      </c>
      <c r="V386" s="69">
        <f t="shared" ca="1" si="250"/>
        <v>1914.7299124003073</v>
      </c>
      <c r="W386" s="69">
        <f t="shared" ca="1" si="251"/>
        <v>1177.3017367856573</v>
      </c>
      <c r="X386" s="69">
        <f t="shared" ca="1" si="252"/>
        <v>1496.8930263857458</v>
      </c>
      <c r="Y386" s="69">
        <f t="shared" ca="1" si="253"/>
        <v>1207.4513734531813</v>
      </c>
      <c r="AA386" s="20">
        <f t="shared" ca="1" si="213"/>
        <v>6.5638628762904408E+16</v>
      </c>
      <c r="AB386" s="20">
        <f t="shared" ca="1" si="214"/>
        <v>1680114498370919.8</v>
      </c>
      <c r="AC386" s="20">
        <f t="shared" ca="1" si="215"/>
        <v>396516528827781.38</v>
      </c>
      <c r="AD386" s="20">
        <f t="shared" ca="1" si="216"/>
        <v>306868318680856.13</v>
      </c>
      <c r="AE386" s="20">
        <f t="shared" ca="1" si="217"/>
        <v>6891559434191761</v>
      </c>
      <c r="AG386" s="16">
        <f t="shared" ca="1" si="218"/>
        <v>4.3544884009684822E-4</v>
      </c>
      <c r="AH386" s="16">
        <f t="shared" ca="1" si="219"/>
        <v>6.5496100066653477E-4</v>
      </c>
      <c r="AI386" s="16">
        <f t="shared" ca="1" si="220"/>
        <v>3.3189623239508318E-5</v>
      </c>
      <c r="AJ386" s="16">
        <f t="shared" ca="1" si="221"/>
        <v>1.5249194833720455E-3</v>
      </c>
      <c r="AK386" s="16">
        <f t="shared" ca="1" si="222"/>
        <v>-8.9955369883024279E-4</v>
      </c>
      <c r="AM386" s="16">
        <f t="shared" ca="1" si="223"/>
        <v>2.6485189473749371E-3</v>
      </c>
      <c r="AO386" s="16">
        <f t="shared" ca="1" si="224"/>
        <v>0</v>
      </c>
      <c r="AP386" s="16">
        <f t="shared" ca="1" si="225"/>
        <v>0</v>
      </c>
      <c r="AQ386" s="16">
        <f t="shared" ca="1" si="226"/>
        <v>0</v>
      </c>
      <c r="AR386" s="16">
        <f t="shared" ca="1" si="227"/>
        <v>0</v>
      </c>
      <c r="AS386" s="16">
        <f t="shared" ca="1" si="228"/>
        <v>-8.9955369883024279E-4</v>
      </c>
    </row>
    <row r="387" spans="1:45" x14ac:dyDescent="0.25">
      <c r="A387" s="69">
        <f t="shared" ca="1" si="229"/>
        <v>2455.0734836921847</v>
      </c>
      <c r="B387" s="69">
        <f t="shared" ca="1" si="230"/>
        <v>2135.956905857242</v>
      </c>
      <c r="C387" s="69">
        <f t="shared" ca="1" si="231"/>
        <v>2227.0187329589639</v>
      </c>
      <c r="D387" s="69">
        <f t="shared" ca="1" si="232"/>
        <v>2911.5767749351253</v>
      </c>
      <c r="E387" s="69">
        <f t="shared" ca="1" si="233"/>
        <v>1931.2545242349147</v>
      </c>
      <c r="F387" s="69">
        <f t="shared" ca="1" si="234"/>
        <v>1222.9606982198602</v>
      </c>
      <c r="G387" s="69">
        <f t="shared" ca="1" si="235"/>
        <v>960.68257449126918</v>
      </c>
      <c r="H387" s="69">
        <f t="shared" ca="1" si="236"/>
        <v>1189.6123305297838</v>
      </c>
      <c r="I387" s="69">
        <f t="shared" ca="1" si="237"/>
        <v>1050.8161768754894</v>
      </c>
      <c r="J387" s="69">
        <f t="shared" ca="1" si="238"/>
        <v>1144.7185081972505</v>
      </c>
      <c r="K387" s="69">
        <f t="shared" ca="1" si="239"/>
        <v>1175.5619119488106</v>
      </c>
      <c r="L387" s="69">
        <f t="shared" ca="1" si="240"/>
        <v>953.20396639263367</v>
      </c>
      <c r="M387" s="69">
        <f t="shared" ca="1" si="241"/>
        <v>989.26375154991251</v>
      </c>
      <c r="N387" s="69">
        <f t="shared" ca="1" si="242"/>
        <v>570.35669787232234</v>
      </c>
      <c r="O387" s="69">
        <f t="shared" ca="1" si="243"/>
        <v>627.17064145404458</v>
      </c>
      <c r="P387" s="69">
        <f t="shared" ca="1" si="244"/>
        <v>726.41837074702414</v>
      </c>
      <c r="Q387" s="69">
        <f t="shared" ca="1" si="245"/>
        <v>954.40806177309355</v>
      </c>
      <c r="R387" s="69">
        <f t="shared" ca="1" si="246"/>
        <v>785.85064982454401</v>
      </c>
      <c r="S387" s="69">
        <f t="shared" ca="1" si="247"/>
        <v>702.58980534536477</v>
      </c>
      <c r="T387" s="69">
        <f t="shared" ca="1" si="248"/>
        <v>802.88166386997693</v>
      </c>
      <c r="U387" s="69">
        <f t="shared" ca="1" si="249"/>
        <v>1691.0768587232637</v>
      </c>
      <c r="V387" s="69">
        <f t="shared" ca="1" si="250"/>
        <v>1914.7299124003073</v>
      </c>
      <c r="W387" s="69">
        <f t="shared" ca="1" si="251"/>
        <v>1176.9251249768013</v>
      </c>
      <c r="X387" s="69">
        <f t="shared" ca="1" si="252"/>
        <v>1496.8930263857458</v>
      </c>
      <c r="Y387" s="69">
        <f t="shared" ca="1" si="253"/>
        <v>1207.0252820167186</v>
      </c>
      <c r="AA387" s="20">
        <f t="shared" ref="AA387:AA450" ca="1" si="254">A387*B387*C387*D387*E387</f>
        <v>6.566721725162516E+16</v>
      </c>
      <c r="AB387" s="20">
        <f t="shared" ref="AB387:AB450" ca="1" si="255">F387*G387*H387*I387*J387</f>
        <v>1681215268285339.3</v>
      </c>
      <c r="AC387" s="20">
        <f t="shared" ref="AC387:AC450" ca="1" si="256">K387*L387*M387*N387*O387</f>
        <v>396529689280375.44</v>
      </c>
      <c r="AD387" s="20">
        <f t="shared" ref="AD387:AD450" ca="1" si="257">P387*Q387*R387*S387*T387</f>
        <v>307336625132909.44</v>
      </c>
      <c r="AE387" s="20">
        <f t="shared" ref="AE387:AE450" ca="1" si="258">U387*V387*W387*X387*Y387</f>
        <v>6885362893890251</v>
      </c>
      <c r="AG387" s="16">
        <f t="shared" ca="1" si="218"/>
        <v>8.6375057969950209E-5</v>
      </c>
      <c r="AH387" s="16">
        <f t="shared" ca="1" si="219"/>
        <v>4.420171798795119E-4</v>
      </c>
      <c r="AI387" s="16">
        <f t="shared" ca="1" si="220"/>
        <v>-1.0349108128239211E-4</v>
      </c>
      <c r="AJ387" s="16">
        <f t="shared" ca="1" si="221"/>
        <v>6.5351648608164557E-4</v>
      </c>
      <c r="AK387" s="16">
        <f t="shared" ca="1" si="222"/>
        <v>2.4724704247164401E-4</v>
      </c>
      <c r="AM387" s="16">
        <f t="shared" ca="1" si="223"/>
        <v>1.0784176426487154E-3</v>
      </c>
      <c r="AO387" s="16">
        <f t="shared" ca="1" si="224"/>
        <v>0</v>
      </c>
      <c r="AP387" s="16">
        <f t="shared" ca="1" si="225"/>
        <v>0</v>
      </c>
      <c r="AQ387" s="16">
        <f t="shared" ca="1" si="226"/>
        <v>-1.0349108128239211E-4</v>
      </c>
      <c r="AR387" s="16">
        <f t="shared" ca="1" si="227"/>
        <v>0</v>
      </c>
      <c r="AS387" s="16">
        <f t="shared" ca="1" si="228"/>
        <v>0</v>
      </c>
    </row>
    <row r="388" spans="1:45" x14ac:dyDescent="0.25">
      <c r="A388" s="69">
        <f t="shared" ca="1" si="229"/>
        <v>2455.3882496532069</v>
      </c>
      <c r="B388" s="69">
        <f t="shared" ca="1" si="230"/>
        <v>2135.956905857242</v>
      </c>
      <c r="C388" s="69">
        <f t="shared" ca="1" si="231"/>
        <v>2226.7241149572874</v>
      </c>
      <c r="D388" s="69">
        <f t="shared" ca="1" si="232"/>
        <v>2911.8106325604704</v>
      </c>
      <c r="E388" s="69">
        <f t="shared" ca="1" si="233"/>
        <v>1931.2741410186591</v>
      </c>
      <c r="F388" s="69">
        <f t="shared" ca="1" si="234"/>
        <v>1222.9606982198602</v>
      </c>
      <c r="G388" s="69">
        <f t="shared" ca="1" si="235"/>
        <v>961.08261891862082</v>
      </c>
      <c r="H388" s="69">
        <f t="shared" ca="1" si="236"/>
        <v>1189.4249193801154</v>
      </c>
      <c r="I388" s="69">
        <f t="shared" ca="1" si="237"/>
        <v>1050.8161768754894</v>
      </c>
      <c r="J388" s="69">
        <f t="shared" ca="1" si="238"/>
        <v>1144.9282845879713</v>
      </c>
      <c r="K388" s="69">
        <f t="shared" ca="1" si="239"/>
        <v>1175.5619119488106</v>
      </c>
      <c r="L388" s="69">
        <f t="shared" ca="1" si="240"/>
        <v>953.18212037397529</v>
      </c>
      <c r="M388" s="69">
        <f t="shared" ca="1" si="241"/>
        <v>989.45040608288184</v>
      </c>
      <c r="N388" s="69">
        <f t="shared" ca="1" si="242"/>
        <v>570.09291366013269</v>
      </c>
      <c r="O388" s="69">
        <f t="shared" ca="1" si="243"/>
        <v>627.2919242267028</v>
      </c>
      <c r="P388" s="69">
        <f t="shared" ca="1" si="244"/>
        <v>726.35936734882353</v>
      </c>
      <c r="Q388" s="69">
        <f t="shared" ca="1" si="245"/>
        <v>954.86146549502087</v>
      </c>
      <c r="R388" s="69">
        <f t="shared" ca="1" si="246"/>
        <v>785.85064982454401</v>
      </c>
      <c r="S388" s="69">
        <f t="shared" ca="1" si="247"/>
        <v>702.38150110769902</v>
      </c>
      <c r="T388" s="69">
        <f t="shared" ca="1" si="248"/>
        <v>803.32844684087877</v>
      </c>
      <c r="U388" s="69">
        <f t="shared" ca="1" si="249"/>
        <v>1691.0768587232637</v>
      </c>
      <c r="V388" s="69">
        <f t="shared" ca="1" si="250"/>
        <v>1914.8546122651203</v>
      </c>
      <c r="W388" s="69">
        <f t="shared" ca="1" si="251"/>
        <v>1177.0885758686798</v>
      </c>
      <c r="X388" s="69">
        <f t="shared" ca="1" si="252"/>
        <v>1497.0039359589978</v>
      </c>
      <c r="Y388" s="69">
        <f t="shared" ca="1" si="253"/>
        <v>1206.9880605327787</v>
      </c>
      <c r="AA388" s="20">
        <f t="shared" ca="1" si="254"/>
        <v>6.5672889506289128E+16</v>
      </c>
      <c r="AB388" s="20">
        <f t="shared" ca="1" si="255"/>
        <v>1681958558578434.8</v>
      </c>
      <c r="AC388" s="20">
        <f t="shared" ca="1" si="256"/>
        <v>396488654117494.56</v>
      </c>
      <c r="AD388" s="20">
        <f t="shared" ca="1" si="257"/>
        <v>307537540327755.94</v>
      </c>
      <c r="AE388" s="20">
        <f t="shared" ca="1" si="258"/>
        <v>6887065489974359</v>
      </c>
      <c r="AG388" s="16">
        <f t="shared" ref="AG388:AG451" ca="1" si="259">LN(AA389/AA388)</f>
        <v>8.4705792109567021E-5</v>
      </c>
      <c r="AH388" s="16">
        <f t="shared" ref="AH388:AH451" ca="1" si="260">LN(AB389/AB388)</f>
        <v>-4.0879088689683562E-4</v>
      </c>
      <c r="AI388" s="16">
        <f t="shared" ref="AI388:AI451" ca="1" si="261">LN(AC389/AC388)</f>
        <v>-4.5884972867712E-4</v>
      </c>
      <c r="AJ388" s="16">
        <f t="shared" ref="AJ388:AJ451" ca="1" si="262">LN(AD389/AD388)</f>
        <v>1.4135357090853449E-4</v>
      </c>
      <c r="AK388" s="16">
        <f t="shared" ref="AK388:AK451" ca="1" si="263">LN(AE389/AE388)</f>
        <v>1.4210260459982367E-4</v>
      </c>
      <c r="AM388" s="16">
        <f t="shared" ref="AM388:AM451" ca="1" si="264">AG388+AH388+AI388+AJ388</f>
        <v>-6.4158125255585406E-4</v>
      </c>
      <c r="AO388" s="16">
        <f t="shared" ref="AO388:AO451" ca="1" si="265">MIN(AG388,0)</f>
        <v>0</v>
      </c>
      <c r="AP388" s="16">
        <f t="shared" ref="AP388:AP451" ca="1" si="266">MIN(AH388,0)</f>
        <v>-4.0879088689683562E-4</v>
      </c>
      <c r="AQ388" s="16">
        <f t="shared" ref="AQ388:AQ451" ca="1" si="267">MIN(AI388,0)</f>
        <v>-4.5884972867712E-4</v>
      </c>
      <c r="AR388" s="16">
        <f t="shared" ref="AR388:AR451" ca="1" si="268">MIN(AJ388,0)</f>
        <v>0</v>
      </c>
      <c r="AS388" s="16">
        <f t="shared" ref="AS388:AS451" ca="1" si="269">MIN(AK388,0)</f>
        <v>0</v>
      </c>
    </row>
    <row r="389" spans="1:45" x14ac:dyDescent="0.25">
      <c r="A389" s="69">
        <f t="shared" ref="A389:A452" ca="1" si="270">A388+ $A$1 * RAND()  * RANDBETWEEN(-1,1)</f>
        <v>2455.7015875206748</v>
      </c>
      <c r="B389" s="69">
        <f t="shared" ref="B389:B452" ca="1" si="271">B388+ $A$1 * RAND()  * RANDBETWEEN(-1,1)</f>
        <v>2135.8756289015978</v>
      </c>
      <c r="C389" s="69">
        <f t="shared" ref="C389:C452" ca="1" si="272">C388+ $A$1 * RAND()  * RANDBETWEEN(-1,1)</f>
        <v>2226.7133244645938</v>
      </c>
      <c r="D389" s="69">
        <f t="shared" ref="D389:D452" ca="1" si="273">D388+ $A$1 * RAND()  * RANDBETWEEN(-1,1)</f>
        <v>2911.8106325604704</v>
      </c>
      <c r="E389" s="69">
        <f t="shared" ref="E389:E452" ca="1" si="274">E388+ $A$1 * RAND()  * RANDBETWEEN(-1,1)</f>
        <v>1931.2741410186591</v>
      </c>
      <c r="F389" s="69">
        <f t="shared" ref="F389:F452" ca="1" si="275">F388+ $A$1 * RAND()  * RANDBETWEEN(-1,1)</f>
        <v>1222.8297955483156</v>
      </c>
      <c r="G389" s="69">
        <f t="shared" ref="G389:G452" ca="1" si="276">G388+ $A$1 * RAND()  * RANDBETWEEN(-1,1)</f>
        <v>960.61939316098835</v>
      </c>
      <c r="H389" s="69">
        <f t="shared" ref="H389:H452" ca="1" si="277">H388+ $A$1 * RAND()  * RANDBETWEEN(-1,1)</f>
        <v>1189.4249193801154</v>
      </c>
      <c r="I389" s="69">
        <f t="shared" ref="I389:I452" ca="1" si="278">I388+ $A$1 * RAND()  * RANDBETWEEN(-1,1)</f>
        <v>1051.1102326343826</v>
      </c>
      <c r="J389" s="69">
        <f t="shared" ref="J389:J452" ca="1" si="279">J388+ $A$1 * RAND()  * RANDBETWEEN(-1,1)</f>
        <v>1144.8144333061282</v>
      </c>
      <c r="K389" s="69">
        <f t="shared" ref="K389:K452" ca="1" si="280">K388+ $A$1 * RAND()  * RANDBETWEEN(-1,1)</f>
        <v>1175.4295482310602</v>
      </c>
      <c r="L389" s="69">
        <f t="shared" ref="L389:L452" ca="1" si="281">L388+ $A$1 * RAND()  * RANDBETWEEN(-1,1)</f>
        <v>953.18212037397529</v>
      </c>
      <c r="M389" s="69">
        <f t="shared" ref="M389:M452" ca="1" si="282">M388+ $A$1 * RAND()  * RANDBETWEEN(-1,1)</f>
        <v>989.76527955812367</v>
      </c>
      <c r="N389" s="69">
        <f t="shared" ref="N389:N452" ca="1" si="283">N388+ $A$1 * RAND()  * RANDBETWEEN(-1,1)</f>
        <v>569.92129491635819</v>
      </c>
      <c r="O389" s="69">
        <f t="shared" ref="O389:O452" ca="1" si="284">O388+ $A$1 * RAND()  * RANDBETWEEN(-1,1)</f>
        <v>627.0640418983071</v>
      </c>
      <c r="P389" s="69">
        <f t="shared" ref="P389:P452" ca="1" si="285">P388+ $A$1 * RAND()  * RANDBETWEEN(-1,1)</f>
        <v>726.35936734882353</v>
      </c>
      <c r="Q389" s="69">
        <f t="shared" ref="Q389:Q452" ca="1" si="286">Q388+ $A$1 * RAND()  * RANDBETWEEN(-1,1)</f>
        <v>954.50404194584507</v>
      </c>
      <c r="R389" s="69">
        <f t="shared" ref="R389:R452" ca="1" si="287">R388+ $A$1 * RAND()  * RANDBETWEEN(-1,1)</f>
        <v>785.85064982454401</v>
      </c>
      <c r="S389" s="69">
        <f t="shared" ref="S389:S452" ca="1" si="288">S388+ $A$1 * RAND()  * RANDBETWEEN(-1,1)</f>
        <v>702.74384319060789</v>
      </c>
      <c r="T389" s="69">
        <f t="shared" ref="T389:T452" ca="1" si="289">T388+ $A$1 * RAND()  * RANDBETWEEN(-1,1)</f>
        <v>803.32844684087877</v>
      </c>
      <c r="U389" s="69">
        <f t="shared" ref="U389:U452" ca="1" si="290">U388+ $A$1 * RAND()  * RANDBETWEEN(-1,1)</f>
        <v>1691.0768587232637</v>
      </c>
      <c r="V389" s="69">
        <f t="shared" ref="V389:V452" ca="1" si="291">V388+ $A$1 * RAND()  * RANDBETWEEN(-1,1)</f>
        <v>1914.9481445158042</v>
      </c>
      <c r="W389" s="69">
        <f t="shared" ref="W389:W452" ca="1" si="292">W388+ $A$1 * RAND()  * RANDBETWEEN(-1,1)</f>
        <v>1176.8486457199358</v>
      </c>
      <c r="X389" s="69">
        <f t="shared" ref="X389:X452" ca="1" si="293">X388+ $A$1 * RAND()  * RANDBETWEEN(-1,1)</f>
        <v>1497.4487806437464</v>
      </c>
      <c r="Y389" s="69">
        <f t="shared" ref="Y389:Y452" ca="1" si="294">Y388+ $A$1 * RAND()  * RANDBETWEEN(-1,1)</f>
        <v>1206.9880605327787</v>
      </c>
      <c r="AA389" s="20">
        <f t="shared" ca="1" si="254"/>
        <v>6.5678452616025368E+16</v>
      </c>
      <c r="AB389" s="20">
        <f t="shared" ca="1" si="255"/>
        <v>1681271129764440</v>
      </c>
      <c r="AC389" s="20">
        <f t="shared" ca="1" si="256"/>
        <v>396306767138715.88</v>
      </c>
      <c r="AD389" s="20">
        <f t="shared" ca="1" si="257"/>
        <v>307581014929842.44</v>
      </c>
      <c r="AE389" s="20">
        <f t="shared" ca="1" si="258"/>
        <v>6888044229457602</v>
      </c>
      <c r="AG389" s="16">
        <f t="shared" ca="1" si="259"/>
        <v>-7.2496979197749189E-5</v>
      </c>
      <c r="AH389" s="16">
        <f t="shared" ca="1" si="260"/>
        <v>7.9010261507068112E-4</v>
      </c>
      <c r="AI389" s="16">
        <f t="shared" ca="1" si="261"/>
        <v>-1.1353847184080159E-3</v>
      </c>
      <c r="AJ389" s="16">
        <f t="shared" ca="1" si="262"/>
        <v>4.2456367312999957E-7</v>
      </c>
      <c r="AK389" s="16">
        <f t="shared" ca="1" si="263"/>
        <v>-2.1502189348248844E-4</v>
      </c>
      <c r="AM389" s="16">
        <f t="shared" ca="1" si="264"/>
        <v>-4.1735451886195399E-4</v>
      </c>
      <c r="AO389" s="16">
        <f t="shared" ca="1" si="265"/>
        <v>-7.2496979197749189E-5</v>
      </c>
      <c r="AP389" s="16">
        <f t="shared" ca="1" si="266"/>
        <v>0</v>
      </c>
      <c r="AQ389" s="16">
        <f t="shared" ca="1" si="267"/>
        <v>-1.1353847184080159E-3</v>
      </c>
      <c r="AR389" s="16">
        <f t="shared" ca="1" si="268"/>
        <v>0</v>
      </c>
      <c r="AS389" s="16">
        <f t="shared" ca="1" si="269"/>
        <v>-2.1502189348248844E-4</v>
      </c>
    </row>
    <row r="390" spans="1:45" x14ac:dyDescent="0.25">
      <c r="A390" s="69">
        <f t="shared" ca="1" si="270"/>
        <v>2455.7015875206748</v>
      </c>
      <c r="B390" s="69">
        <f t="shared" ca="1" si="271"/>
        <v>2135.6950163866609</v>
      </c>
      <c r="C390" s="69">
        <f t="shared" ca="1" si="272"/>
        <v>2226.7133244645938</v>
      </c>
      <c r="D390" s="69">
        <f t="shared" ca="1" si="273"/>
        <v>2911.8457723309766</v>
      </c>
      <c r="E390" s="69">
        <f t="shared" ca="1" si="274"/>
        <v>1931.2741410186591</v>
      </c>
      <c r="F390" s="69">
        <f t="shared" ca="1" si="275"/>
        <v>1222.7164972682447</v>
      </c>
      <c r="G390" s="69">
        <f t="shared" ca="1" si="276"/>
        <v>960.86629998167757</v>
      </c>
      <c r="H390" s="69">
        <f t="shared" ca="1" si="277"/>
        <v>1189.775003660068</v>
      </c>
      <c r="I390" s="69">
        <f t="shared" ca="1" si="278"/>
        <v>1051.4587085141582</v>
      </c>
      <c r="J390" s="69">
        <f t="shared" ca="1" si="279"/>
        <v>1144.8144333061282</v>
      </c>
      <c r="K390" s="69">
        <f t="shared" ca="1" si="280"/>
        <v>1175.4933716477858</v>
      </c>
      <c r="L390" s="69">
        <f t="shared" ca="1" si="281"/>
        <v>953.05098296593985</v>
      </c>
      <c r="M390" s="69">
        <f t="shared" ca="1" si="282"/>
        <v>989.33176625478643</v>
      </c>
      <c r="N390" s="69">
        <f t="shared" ca="1" si="283"/>
        <v>569.47768583032484</v>
      </c>
      <c r="O390" s="69">
        <f t="shared" ca="1" si="284"/>
        <v>627.16730963151258</v>
      </c>
      <c r="P390" s="69">
        <f t="shared" ca="1" si="285"/>
        <v>726.35343852553115</v>
      </c>
      <c r="Q390" s="69">
        <f t="shared" ca="1" si="286"/>
        <v>954.50404194584507</v>
      </c>
      <c r="R390" s="69">
        <f t="shared" ca="1" si="287"/>
        <v>785.85739793725418</v>
      </c>
      <c r="S390" s="69">
        <f t="shared" ca="1" si="288"/>
        <v>702.74384319060789</v>
      </c>
      <c r="T390" s="69">
        <f t="shared" ca="1" si="289"/>
        <v>803.32844684087877</v>
      </c>
      <c r="U390" s="69">
        <f t="shared" ca="1" si="290"/>
        <v>1690.9608396273975</v>
      </c>
      <c r="V390" s="69">
        <f t="shared" ca="1" si="291"/>
        <v>1914.9481445158042</v>
      </c>
      <c r="W390" s="69">
        <f t="shared" ca="1" si="292"/>
        <v>1176.8486457199358</v>
      </c>
      <c r="X390" s="69">
        <f t="shared" ca="1" si="293"/>
        <v>1497.4487806437464</v>
      </c>
      <c r="Y390" s="69">
        <f t="shared" ca="1" si="294"/>
        <v>1206.8113548431072</v>
      </c>
      <c r="AA390" s="20">
        <f t="shared" ca="1" si="254"/>
        <v>6.5673691299204952E+16</v>
      </c>
      <c r="AB390" s="20">
        <f t="shared" ca="1" si="255"/>
        <v>1682600031395904.8</v>
      </c>
      <c r="AC390" s="20">
        <f t="shared" ca="1" si="256"/>
        <v>395857061834079.75</v>
      </c>
      <c r="AD390" s="20">
        <f t="shared" ca="1" si="257"/>
        <v>307581145517595.63</v>
      </c>
      <c r="AE390" s="20">
        <f t="shared" ca="1" si="258"/>
        <v>6886563308365927</v>
      </c>
      <c r="AG390" s="16">
        <f t="shared" ca="1" si="259"/>
        <v>-1.493867283745006E-4</v>
      </c>
      <c r="AH390" s="16">
        <f t="shared" ca="1" si="260"/>
        <v>1.1740388717957023E-3</v>
      </c>
      <c r="AI390" s="16">
        <f t="shared" ca="1" si="261"/>
        <v>-1.9786085898838382E-4</v>
      </c>
      <c r="AJ390" s="16">
        <f t="shared" ca="1" si="262"/>
        <v>-9.6112544729390763E-5</v>
      </c>
      <c r="AK390" s="16">
        <f t="shared" ca="1" si="263"/>
        <v>2.7689237303243929E-4</v>
      </c>
      <c r="AM390" s="16">
        <f t="shared" ca="1" si="264"/>
        <v>7.3067873970342721E-4</v>
      </c>
      <c r="AO390" s="16">
        <f t="shared" ca="1" si="265"/>
        <v>-1.493867283745006E-4</v>
      </c>
      <c r="AP390" s="16">
        <f t="shared" ca="1" si="266"/>
        <v>0</v>
      </c>
      <c r="AQ390" s="16">
        <f t="shared" ca="1" si="267"/>
        <v>-1.9786085898838382E-4</v>
      </c>
      <c r="AR390" s="16">
        <f t="shared" ca="1" si="268"/>
        <v>-9.6112544729390763E-5</v>
      </c>
      <c r="AS390" s="16">
        <f t="shared" ca="1" si="269"/>
        <v>0</v>
      </c>
    </row>
    <row r="391" spans="1:45" x14ac:dyDescent="0.25">
      <c r="A391" s="69">
        <f t="shared" ca="1" si="270"/>
        <v>2455.2898812550638</v>
      </c>
      <c r="B391" s="69">
        <f t="shared" ca="1" si="271"/>
        <v>2135.4378299425534</v>
      </c>
      <c r="C391" s="69">
        <f t="shared" ca="1" si="272"/>
        <v>2226.4845721019547</v>
      </c>
      <c r="D391" s="69">
        <f t="shared" ca="1" si="273"/>
        <v>2911.8457723309766</v>
      </c>
      <c r="E391" s="69">
        <f t="shared" ca="1" si="274"/>
        <v>1931.7404973697519</v>
      </c>
      <c r="F391" s="69">
        <f t="shared" ca="1" si="275"/>
        <v>1222.7164972682447</v>
      </c>
      <c r="G391" s="69">
        <f t="shared" ca="1" si="276"/>
        <v>961.36123274830095</v>
      </c>
      <c r="H391" s="69">
        <f t="shared" ca="1" si="277"/>
        <v>1190.2041757573488</v>
      </c>
      <c r="I391" s="69">
        <f t="shared" ca="1" si="278"/>
        <v>1051.7725414844676</v>
      </c>
      <c r="J391" s="69">
        <f t="shared" ca="1" si="279"/>
        <v>1144.8144333061282</v>
      </c>
      <c r="K391" s="69">
        <f t="shared" ca="1" si="280"/>
        <v>1175.4933716477858</v>
      </c>
      <c r="L391" s="69">
        <f t="shared" ca="1" si="281"/>
        <v>953.05098296593985</v>
      </c>
      <c r="M391" s="69">
        <f t="shared" ca="1" si="282"/>
        <v>988.993849595813</v>
      </c>
      <c r="N391" s="69">
        <f t="shared" ca="1" si="283"/>
        <v>569.38134636890118</v>
      </c>
      <c r="O391" s="69">
        <f t="shared" ca="1" si="284"/>
        <v>627.36360854239274</v>
      </c>
      <c r="P391" s="69">
        <f t="shared" ca="1" si="285"/>
        <v>726.35343852553115</v>
      </c>
      <c r="Q391" s="69">
        <f t="shared" ca="1" si="286"/>
        <v>954.40984328044976</v>
      </c>
      <c r="R391" s="69">
        <f t="shared" ca="1" si="287"/>
        <v>785.85739793725418</v>
      </c>
      <c r="S391" s="69">
        <f t="shared" ca="1" si="288"/>
        <v>702.74384319060789</v>
      </c>
      <c r="T391" s="69">
        <f t="shared" ca="1" si="289"/>
        <v>803.33052017242483</v>
      </c>
      <c r="U391" s="69">
        <f t="shared" ca="1" si="290"/>
        <v>1690.9608396273975</v>
      </c>
      <c r="V391" s="69">
        <f t="shared" ca="1" si="291"/>
        <v>1915.2638335152662</v>
      </c>
      <c r="W391" s="69">
        <f t="shared" ca="1" si="292"/>
        <v>1176.8486457199358</v>
      </c>
      <c r="X391" s="69">
        <f t="shared" ca="1" si="293"/>
        <v>1497.4487806437464</v>
      </c>
      <c r="Y391" s="69">
        <f t="shared" ca="1" si="294"/>
        <v>1206.9465866498094</v>
      </c>
      <c r="AA391" s="20">
        <f t="shared" ca="1" si="254"/>
        <v>6.5663881254085E+16</v>
      </c>
      <c r="AB391" s="20">
        <f t="shared" ca="1" si="255"/>
        <v>1684576629312802.5</v>
      </c>
      <c r="AC391" s="20">
        <f t="shared" ca="1" si="256"/>
        <v>395778744963965.75</v>
      </c>
      <c r="AD391" s="20">
        <f t="shared" ca="1" si="257"/>
        <v>307551584531602.69</v>
      </c>
      <c r="AE391" s="20">
        <f t="shared" ca="1" si="258"/>
        <v>6888470409241077</v>
      </c>
      <c r="AG391" s="16">
        <f t="shared" ca="1" si="259"/>
        <v>3.367753580189851E-4</v>
      </c>
      <c r="AH391" s="16">
        <f t="shared" ca="1" si="260"/>
        <v>3.2851709435376803E-4</v>
      </c>
      <c r="AI391" s="16">
        <f t="shared" ca="1" si="261"/>
        <v>-4.7050268797515647E-4</v>
      </c>
      <c r="AJ391" s="16">
        <f t="shared" ca="1" si="262"/>
        <v>-1.0655200932518801E-3</v>
      </c>
      <c r="AK391" s="16">
        <f t="shared" ca="1" si="263"/>
        <v>-6.4969540243369492E-4</v>
      </c>
      <c r="AM391" s="16">
        <f t="shared" ca="1" si="264"/>
        <v>-8.7073032885428344E-4</v>
      </c>
      <c r="AO391" s="16">
        <f t="shared" ca="1" si="265"/>
        <v>0</v>
      </c>
      <c r="AP391" s="16">
        <f t="shared" ca="1" si="266"/>
        <v>0</v>
      </c>
      <c r="AQ391" s="16">
        <f t="shared" ca="1" si="267"/>
        <v>-4.7050268797515647E-4</v>
      </c>
      <c r="AR391" s="16">
        <f t="shared" ca="1" si="268"/>
        <v>-1.0655200932518801E-3</v>
      </c>
      <c r="AS391" s="16">
        <f t="shared" ca="1" si="269"/>
        <v>-6.4969540243369492E-4</v>
      </c>
    </row>
    <row r="392" spans="1:45" x14ac:dyDescent="0.25">
      <c r="A392" s="69">
        <f t="shared" ca="1" si="270"/>
        <v>2455.2898812550638</v>
      </c>
      <c r="B392" s="69">
        <f t="shared" ca="1" si="271"/>
        <v>2135.4378299425534</v>
      </c>
      <c r="C392" s="69">
        <f t="shared" ca="1" si="272"/>
        <v>2226.747230113996</v>
      </c>
      <c r="D392" s="69">
        <f t="shared" ca="1" si="273"/>
        <v>2912.1946454522422</v>
      </c>
      <c r="E392" s="69">
        <f t="shared" ca="1" si="274"/>
        <v>1931.9317645714782</v>
      </c>
      <c r="F392" s="69">
        <f t="shared" ca="1" si="275"/>
        <v>1222.7164972682447</v>
      </c>
      <c r="G392" s="69">
        <f t="shared" ca="1" si="276"/>
        <v>961.36123274830095</v>
      </c>
      <c r="H392" s="69">
        <f t="shared" ca="1" si="277"/>
        <v>1190.2041757573488</v>
      </c>
      <c r="I392" s="69">
        <f t="shared" ca="1" si="278"/>
        <v>1052.1799391149359</v>
      </c>
      <c r="J392" s="69">
        <f t="shared" ca="1" si="279"/>
        <v>1144.7471754167138</v>
      </c>
      <c r="K392" s="69">
        <f t="shared" ca="1" si="280"/>
        <v>1175.1742306115564</v>
      </c>
      <c r="L392" s="69">
        <f t="shared" ca="1" si="281"/>
        <v>953.05098296593985</v>
      </c>
      <c r="M392" s="69">
        <f t="shared" ca="1" si="282"/>
        <v>989.39085411279359</v>
      </c>
      <c r="N392" s="69">
        <f t="shared" ca="1" si="283"/>
        <v>569.03964219368947</v>
      </c>
      <c r="O392" s="69">
        <f t="shared" ca="1" si="284"/>
        <v>627.36360854239274</v>
      </c>
      <c r="P392" s="69">
        <f t="shared" ca="1" si="285"/>
        <v>725.94017538798869</v>
      </c>
      <c r="Q392" s="69">
        <f t="shared" ca="1" si="286"/>
        <v>954.26947811779803</v>
      </c>
      <c r="R392" s="69">
        <f t="shared" ca="1" si="287"/>
        <v>785.85739793725418</v>
      </c>
      <c r="S392" s="69">
        <f t="shared" ca="1" si="288"/>
        <v>702.42392020232899</v>
      </c>
      <c r="T392" s="69">
        <f t="shared" ca="1" si="289"/>
        <v>803.41570243743593</v>
      </c>
      <c r="U392" s="69">
        <f t="shared" ca="1" si="290"/>
        <v>1690.9608396273975</v>
      </c>
      <c r="V392" s="69">
        <f t="shared" ca="1" si="291"/>
        <v>1915.3118370736697</v>
      </c>
      <c r="W392" s="69">
        <f t="shared" ca="1" si="292"/>
        <v>1176.390201403769</v>
      </c>
      <c r="X392" s="69">
        <f t="shared" ca="1" si="293"/>
        <v>1497.4487806437464</v>
      </c>
      <c r="Y392" s="69">
        <f t="shared" ca="1" si="294"/>
        <v>1206.6024985612084</v>
      </c>
      <c r="AA392" s="20">
        <f t="shared" ca="1" si="254"/>
        <v>6.56859989553426E+16</v>
      </c>
      <c r="AB392" s="20">
        <f t="shared" ca="1" si="255"/>
        <v>1685130132444923</v>
      </c>
      <c r="AC392" s="20">
        <f t="shared" ca="1" si="256"/>
        <v>395592573801067.5</v>
      </c>
      <c r="AD392" s="20">
        <f t="shared" ca="1" si="257"/>
        <v>307224056663322.94</v>
      </c>
      <c r="AE392" s="20">
        <f t="shared" ca="1" si="258"/>
        <v>6883996455197452</v>
      </c>
      <c r="AG392" s="16">
        <f t="shared" ca="1" si="259"/>
        <v>2.3137897916845424E-4</v>
      </c>
      <c r="AH392" s="16">
        <f t="shared" ca="1" si="260"/>
        <v>6.0884461838415637E-4</v>
      </c>
      <c r="AI392" s="16">
        <f t="shared" ca="1" si="261"/>
        <v>1.0347348164149251E-3</v>
      </c>
      <c r="AJ392" s="16">
        <f t="shared" ca="1" si="262"/>
        <v>-4.3731625971958464E-4</v>
      </c>
      <c r="AK392" s="16">
        <f t="shared" ca="1" si="263"/>
        <v>2.8536375706610838E-4</v>
      </c>
      <c r="AM392" s="16">
        <f t="shared" ca="1" si="264"/>
        <v>1.437642154247951E-3</v>
      </c>
      <c r="AO392" s="16">
        <f t="shared" ca="1" si="265"/>
        <v>0</v>
      </c>
      <c r="AP392" s="16">
        <f t="shared" ca="1" si="266"/>
        <v>0</v>
      </c>
      <c r="AQ392" s="16">
        <f t="shared" ca="1" si="267"/>
        <v>0</v>
      </c>
      <c r="AR392" s="16">
        <f t="shared" ca="1" si="268"/>
        <v>-4.3731625971958464E-4</v>
      </c>
      <c r="AS392" s="16">
        <f t="shared" ca="1" si="269"/>
        <v>0</v>
      </c>
    </row>
    <row r="393" spans="1:45" x14ac:dyDescent="0.25">
      <c r="A393" s="69">
        <f t="shared" ca="1" si="270"/>
        <v>2455.2898812550638</v>
      </c>
      <c r="B393" s="69">
        <f t="shared" ca="1" si="271"/>
        <v>2135.7712962045525</v>
      </c>
      <c r="C393" s="69">
        <f t="shared" ca="1" si="272"/>
        <v>2226.7978279914241</v>
      </c>
      <c r="D393" s="69">
        <f t="shared" ca="1" si="273"/>
        <v>2912.2546743042749</v>
      </c>
      <c r="E393" s="69">
        <f t="shared" ca="1" si="274"/>
        <v>1931.9933896898424</v>
      </c>
      <c r="F393" s="69">
        <f t="shared" ca="1" si="275"/>
        <v>1222.8370432176241</v>
      </c>
      <c r="G393" s="69">
        <f t="shared" ca="1" si="276"/>
        <v>961.53187505912229</v>
      </c>
      <c r="H393" s="69">
        <f t="shared" ca="1" si="277"/>
        <v>1190.6003129025967</v>
      </c>
      <c r="I393" s="69">
        <f t="shared" ca="1" si="278"/>
        <v>1052.1799391149359</v>
      </c>
      <c r="J393" s="69">
        <f t="shared" ca="1" si="279"/>
        <v>1144.7471754167138</v>
      </c>
      <c r="K393" s="69">
        <f t="shared" ca="1" si="280"/>
        <v>1174.7002503437202</v>
      </c>
      <c r="L393" s="69">
        <f t="shared" ca="1" si="281"/>
        <v>953.33833904071219</v>
      </c>
      <c r="M393" s="69">
        <f t="shared" ca="1" si="282"/>
        <v>989.39085411279359</v>
      </c>
      <c r="N393" s="69">
        <f t="shared" ca="1" si="283"/>
        <v>569.28331111022464</v>
      </c>
      <c r="O393" s="69">
        <f t="shared" ca="1" si="284"/>
        <v>627.80828980977242</v>
      </c>
      <c r="P393" s="69">
        <f t="shared" ca="1" si="285"/>
        <v>725.70012002867247</v>
      </c>
      <c r="Q393" s="69">
        <f t="shared" ca="1" si="286"/>
        <v>954.28306646082012</v>
      </c>
      <c r="R393" s="69">
        <f t="shared" ca="1" si="287"/>
        <v>785.62373696508121</v>
      </c>
      <c r="S393" s="69">
        <f t="shared" ca="1" si="288"/>
        <v>702.54794954944691</v>
      </c>
      <c r="T393" s="69">
        <f t="shared" ca="1" si="289"/>
        <v>803.41570243743593</v>
      </c>
      <c r="U393" s="69">
        <f t="shared" ca="1" si="290"/>
        <v>1691.414141894541</v>
      </c>
      <c r="V393" s="69">
        <f t="shared" ca="1" si="291"/>
        <v>1915.3118370736697</v>
      </c>
      <c r="W393" s="69">
        <f t="shared" ca="1" si="292"/>
        <v>1176.390201403769</v>
      </c>
      <c r="X393" s="69">
        <f t="shared" ca="1" si="293"/>
        <v>1497.4487806437464</v>
      </c>
      <c r="Y393" s="69">
        <f t="shared" ca="1" si="294"/>
        <v>1206.623404217301</v>
      </c>
      <c r="AA393" s="20">
        <f t="shared" ca="1" si="254"/>
        <v>6.5701199073152608E+16</v>
      </c>
      <c r="AB393" s="20">
        <f t="shared" ca="1" si="255"/>
        <v>1686156427252671.3</v>
      </c>
      <c r="AC393" s="20">
        <f t="shared" ca="1" si="256"/>
        <v>396002119059122.5</v>
      </c>
      <c r="AD393" s="20">
        <f t="shared" ca="1" si="257"/>
        <v>307089731961295.94</v>
      </c>
      <c r="AE393" s="20">
        <f t="shared" ca="1" si="258"/>
        <v>6885961178606631</v>
      </c>
      <c r="AG393" s="16">
        <f t="shared" ca="1" si="259"/>
        <v>-3.3132696556817853E-4</v>
      </c>
      <c r="AH393" s="16">
        <f t="shared" ca="1" si="260"/>
        <v>2.6688950038318625E-4</v>
      </c>
      <c r="AI393" s="16">
        <f t="shared" ca="1" si="261"/>
        <v>3.187121995318012E-4</v>
      </c>
      <c r="AJ393" s="16">
        <f t="shared" ca="1" si="262"/>
        <v>-1.1555939524474591E-3</v>
      </c>
      <c r="AK393" s="16">
        <f t="shared" ca="1" si="263"/>
        <v>-3.3662812659689291E-4</v>
      </c>
      <c r="AM393" s="16">
        <f t="shared" ca="1" si="264"/>
        <v>-9.0131921810065021E-4</v>
      </c>
      <c r="AO393" s="16">
        <f t="shared" ca="1" si="265"/>
        <v>-3.3132696556817853E-4</v>
      </c>
      <c r="AP393" s="16">
        <f t="shared" ca="1" si="266"/>
        <v>0</v>
      </c>
      <c r="AQ393" s="16">
        <f t="shared" ca="1" si="267"/>
        <v>0</v>
      </c>
      <c r="AR393" s="16">
        <f t="shared" ca="1" si="268"/>
        <v>-1.1555939524474591E-3</v>
      </c>
      <c r="AS393" s="16">
        <f t="shared" ca="1" si="269"/>
        <v>-3.3662812659689291E-4</v>
      </c>
    </row>
    <row r="394" spans="1:45" x14ac:dyDescent="0.25">
      <c r="A394" s="69">
        <f t="shared" ca="1" si="270"/>
        <v>2454.8110984924674</v>
      </c>
      <c r="B394" s="69">
        <f t="shared" ca="1" si="271"/>
        <v>2135.7712962045525</v>
      </c>
      <c r="C394" s="69">
        <f t="shared" ca="1" si="272"/>
        <v>2226.4740722615843</v>
      </c>
      <c r="D394" s="69">
        <f t="shared" ca="1" si="273"/>
        <v>2912.1141238654327</v>
      </c>
      <c r="E394" s="69">
        <f t="shared" ca="1" si="274"/>
        <v>1932.1042056909296</v>
      </c>
      <c r="F394" s="69">
        <f t="shared" ca="1" si="275"/>
        <v>1222.8370432176241</v>
      </c>
      <c r="G394" s="69">
        <f t="shared" ca="1" si="276"/>
        <v>961.85558629790535</v>
      </c>
      <c r="H394" s="69">
        <f t="shared" ca="1" si="277"/>
        <v>1190.6003129025967</v>
      </c>
      <c r="I394" s="69">
        <f t="shared" ca="1" si="278"/>
        <v>1052.1799391149359</v>
      </c>
      <c r="J394" s="69">
        <f t="shared" ca="1" si="279"/>
        <v>1144.6673711920616</v>
      </c>
      <c r="K394" s="69">
        <f t="shared" ca="1" si="280"/>
        <v>1174.9265233693243</v>
      </c>
      <c r="L394" s="69">
        <f t="shared" ca="1" si="281"/>
        <v>953.33833904071219</v>
      </c>
      <c r="M394" s="69">
        <f t="shared" ca="1" si="282"/>
        <v>989.39085411279359</v>
      </c>
      <c r="N394" s="69">
        <f t="shared" ca="1" si="283"/>
        <v>569.28331111022464</v>
      </c>
      <c r="O394" s="69">
        <f t="shared" ca="1" si="284"/>
        <v>627.88746696599276</v>
      </c>
      <c r="P394" s="69">
        <f t="shared" ca="1" si="285"/>
        <v>725.27143399047998</v>
      </c>
      <c r="Q394" s="69">
        <f t="shared" ca="1" si="286"/>
        <v>953.92009375113901</v>
      </c>
      <c r="R394" s="69">
        <f t="shared" ca="1" si="287"/>
        <v>785.4789875521144</v>
      </c>
      <c r="S394" s="69">
        <f t="shared" ca="1" si="288"/>
        <v>702.54794954944691</v>
      </c>
      <c r="T394" s="69">
        <f t="shared" ca="1" si="289"/>
        <v>803.41570243743593</v>
      </c>
      <c r="U394" s="69">
        <f t="shared" ca="1" si="290"/>
        <v>1691.414141894541</v>
      </c>
      <c r="V394" s="69">
        <f t="shared" ca="1" si="291"/>
        <v>1915.3118370736697</v>
      </c>
      <c r="W394" s="69">
        <f t="shared" ca="1" si="292"/>
        <v>1176.390201403769</v>
      </c>
      <c r="X394" s="69">
        <f t="shared" ca="1" si="293"/>
        <v>1497.2614901882605</v>
      </c>
      <c r="Y394" s="69">
        <f t="shared" ca="1" si="294"/>
        <v>1206.3681733220405</v>
      </c>
      <c r="AA394" s="20">
        <f t="shared" ca="1" si="254"/>
        <v>6.5679434100089856E+16</v>
      </c>
      <c r="AB394" s="20">
        <f t="shared" ca="1" si="255"/>
        <v>1686606504756917.3</v>
      </c>
      <c r="AC394" s="20">
        <f t="shared" ca="1" si="256"/>
        <v>396128349880089.88</v>
      </c>
      <c r="AD394" s="20">
        <f t="shared" ca="1" si="257"/>
        <v>306735065888635.44</v>
      </c>
      <c r="AE394" s="20">
        <f t="shared" ca="1" si="258"/>
        <v>6883643560504863</v>
      </c>
      <c r="AG394" s="16">
        <f t="shared" ca="1" si="259"/>
        <v>1.0168193034399943E-4</v>
      </c>
      <c r="AH394" s="16">
        <f t="shared" ca="1" si="260"/>
        <v>-3.0150143332927353E-4</v>
      </c>
      <c r="AI394" s="16">
        <f t="shared" ca="1" si="261"/>
        <v>1.6395385017898423E-4</v>
      </c>
      <c r="AJ394" s="16">
        <f t="shared" ca="1" si="262"/>
        <v>-1.1759163989289098E-3</v>
      </c>
      <c r="AK394" s="16">
        <f t="shared" ca="1" si="263"/>
        <v>5.8504071525449061E-4</v>
      </c>
      <c r="AM394" s="16">
        <f t="shared" ca="1" si="264"/>
        <v>-1.2117820517351997E-3</v>
      </c>
      <c r="AO394" s="16">
        <f t="shared" ca="1" si="265"/>
        <v>0</v>
      </c>
      <c r="AP394" s="16">
        <f t="shared" ca="1" si="266"/>
        <v>-3.0150143332927353E-4</v>
      </c>
      <c r="AQ394" s="16">
        <f t="shared" ca="1" si="267"/>
        <v>0</v>
      </c>
      <c r="AR394" s="16">
        <f t="shared" ca="1" si="268"/>
        <v>-1.1759163989289098E-3</v>
      </c>
      <c r="AS394" s="16">
        <f t="shared" ca="1" si="269"/>
        <v>0</v>
      </c>
    </row>
    <row r="395" spans="1:45" x14ac:dyDescent="0.25">
      <c r="A395" s="69">
        <f t="shared" ca="1" si="270"/>
        <v>2454.8110984924674</v>
      </c>
      <c r="B395" s="69">
        <f t="shared" ca="1" si="271"/>
        <v>2135.7712962045525</v>
      </c>
      <c r="C395" s="69">
        <f t="shared" ca="1" si="272"/>
        <v>2226.882912948925</v>
      </c>
      <c r="D395" s="69">
        <f t="shared" ca="1" si="273"/>
        <v>2911.8755494222037</v>
      </c>
      <c r="E395" s="69">
        <f t="shared" ca="1" si="274"/>
        <v>1932.1042056909296</v>
      </c>
      <c r="F395" s="69">
        <f t="shared" ca="1" si="275"/>
        <v>1222.7230735181033</v>
      </c>
      <c r="G395" s="69">
        <f t="shared" ca="1" si="276"/>
        <v>961.85558629790535</v>
      </c>
      <c r="H395" s="69">
        <f t="shared" ca="1" si="277"/>
        <v>1190.6434099872035</v>
      </c>
      <c r="I395" s="69">
        <f t="shared" ca="1" si="278"/>
        <v>1051.9227197630862</v>
      </c>
      <c r="J395" s="69">
        <f t="shared" ca="1" si="279"/>
        <v>1144.6673711920616</v>
      </c>
      <c r="K395" s="69">
        <f t="shared" ca="1" si="280"/>
        <v>1174.9265233693243</v>
      </c>
      <c r="L395" s="69">
        <f t="shared" ca="1" si="281"/>
        <v>953.62507731167977</v>
      </c>
      <c r="M395" s="69">
        <f t="shared" ca="1" si="282"/>
        <v>989.39085411279359</v>
      </c>
      <c r="N395" s="69">
        <f t="shared" ca="1" si="283"/>
        <v>569.28331111022464</v>
      </c>
      <c r="O395" s="69">
        <f t="shared" ca="1" si="284"/>
        <v>627.80159431050367</v>
      </c>
      <c r="P395" s="69">
        <f t="shared" ca="1" si="285"/>
        <v>725.08025700496705</v>
      </c>
      <c r="Q395" s="69">
        <f t="shared" ca="1" si="286"/>
        <v>953.92009375113901</v>
      </c>
      <c r="R395" s="69">
        <f t="shared" ca="1" si="287"/>
        <v>785.00862479715079</v>
      </c>
      <c r="S395" s="69">
        <f t="shared" ca="1" si="288"/>
        <v>702.05124750540256</v>
      </c>
      <c r="T395" s="69">
        <f t="shared" ca="1" si="289"/>
        <v>803.73228263472356</v>
      </c>
      <c r="U395" s="69">
        <f t="shared" ca="1" si="290"/>
        <v>1691.8156958889463</v>
      </c>
      <c r="V395" s="69">
        <f t="shared" ca="1" si="291"/>
        <v>1915.7112352036772</v>
      </c>
      <c r="W395" s="69">
        <f t="shared" ca="1" si="292"/>
        <v>1176.5390856788908</v>
      </c>
      <c r="X395" s="69">
        <f t="shared" ca="1" si="293"/>
        <v>1496.8624615949061</v>
      </c>
      <c r="Y395" s="69">
        <f t="shared" ca="1" si="294"/>
        <v>1206.7049697956522</v>
      </c>
      <c r="AA395" s="20">
        <f t="shared" ca="1" si="254"/>
        <v>6.5686112851281456E+16</v>
      </c>
      <c r="AB395" s="20">
        <f t="shared" ca="1" si="255"/>
        <v>1686098067129458.8</v>
      </c>
      <c r="AC395" s="20">
        <f t="shared" ca="1" si="256"/>
        <v>396193301972645.06</v>
      </c>
      <c r="AD395" s="20">
        <f t="shared" ca="1" si="257"/>
        <v>306374583084889.69</v>
      </c>
      <c r="AE395" s="20">
        <f t="shared" ca="1" si="258"/>
        <v>6887671950528248</v>
      </c>
      <c r="AG395" s="16">
        <f t="shared" ca="1" si="259"/>
        <v>-2.1481363781216919E-4</v>
      </c>
      <c r="AH395" s="16">
        <f t="shared" ca="1" si="260"/>
        <v>2.8128244632972421E-4</v>
      </c>
      <c r="AI395" s="16">
        <f t="shared" ca="1" si="261"/>
        <v>5.7299797591952911E-4</v>
      </c>
      <c r="AJ395" s="16">
        <f t="shared" ca="1" si="262"/>
        <v>4.966698666768512E-4</v>
      </c>
      <c r="AK395" s="16">
        <f t="shared" ca="1" si="263"/>
        <v>4.0570471669996815E-4</v>
      </c>
      <c r="AM395" s="16">
        <f t="shared" ca="1" si="264"/>
        <v>1.1361366511139352E-3</v>
      </c>
      <c r="AO395" s="16">
        <f t="shared" ca="1" si="265"/>
        <v>-2.1481363781216919E-4</v>
      </c>
      <c r="AP395" s="16">
        <f t="shared" ca="1" si="266"/>
        <v>0</v>
      </c>
      <c r="AQ395" s="16">
        <f t="shared" ca="1" si="267"/>
        <v>0</v>
      </c>
      <c r="AR395" s="16">
        <f t="shared" ca="1" si="268"/>
        <v>0</v>
      </c>
      <c r="AS395" s="16">
        <f t="shared" ca="1" si="269"/>
        <v>0</v>
      </c>
    </row>
    <row r="396" spans="1:45" x14ac:dyDescent="0.25">
      <c r="A396" s="69">
        <f t="shared" ca="1" si="270"/>
        <v>2454.3462448324922</v>
      </c>
      <c r="B396" s="69">
        <f t="shared" ca="1" si="271"/>
        <v>2135.2829161929603</v>
      </c>
      <c r="C396" s="69">
        <f t="shared" ca="1" si="272"/>
        <v>2226.6227436797431</v>
      </c>
      <c r="D396" s="69">
        <f t="shared" ca="1" si="273"/>
        <v>2912.1249352381883</v>
      </c>
      <c r="E396" s="69">
        <f t="shared" ca="1" si="274"/>
        <v>1932.5572576767536</v>
      </c>
      <c r="F396" s="69">
        <f t="shared" ca="1" si="275"/>
        <v>1222.7230735181033</v>
      </c>
      <c r="G396" s="69">
        <f t="shared" ca="1" si="276"/>
        <v>961.60639833114658</v>
      </c>
      <c r="H396" s="69">
        <f t="shared" ca="1" si="277"/>
        <v>1191.0026452091861</v>
      </c>
      <c r="I396" s="69">
        <f t="shared" ca="1" si="278"/>
        <v>1051.9227197630862</v>
      </c>
      <c r="J396" s="69">
        <f t="shared" ca="1" si="279"/>
        <v>1144.9406546296605</v>
      </c>
      <c r="K396" s="69">
        <f t="shared" ca="1" si="280"/>
        <v>1174.9265233693243</v>
      </c>
      <c r="L396" s="69">
        <f t="shared" ca="1" si="281"/>
        <v>953.62507731167977</v>
      </c>
      <c r="M396" s="69">
        <f t="shared" ca="1" si="282"/>
        <v>989.66076334891125</v>
      </c>
      <c r="N396" s="69">
        <f t="shared" ca="1" si="283"/>
        <v>569.45425368480949</v>
      </c>
      <c r="O396" s="69">
        <f t="shared" ca="1" si="284"/>
        <v>627.80159431050367</v>
      </c>
      <c r="P396" s="69">
        <f t="shared" ca="1" si="285"/>
        <v>725.08025700496705</v>
      </c>
      <c r="Q396" s="69">
        <f t="shared" ca="1" si="286"/>
        <v>953.92009375113901</v>
      </c>
      <c r="R396" s="69">
        <f t="shared" ca="1" si="287"/>
        <v>785.07615444508667</v>
      </c>
      <c r="S396" s="69">
        <f t="shared" ca="1" si="288"/>
        <v>702.05124750540256</v>
      </c>
      <c r="T396" s="69">
        <f t="shared" ca="1" si="289"/>
        <v>804.06240265779741</v>
      </c>
      <c r="U396" s="69">
        <f t="shared" ca="1" si="290"/>
        <v>1691.5782059055841</v>
      </c>
      <c r="V396" s="69">
        <f t="shared" ca="1" si="291"/>
        <v>1915.9632727363667</v>
      </c>
      <c r="W396" s="69">
        <f t="shared" ca="1" si="292"/>
        <v>1176.7688108825798</v>
      </c>
      <c r="X396" s="69">
        <f t="shared" ca="1" si="293"/>
        <v>1496.8624615949061</v>
      </c>
      <c r="Y396" s="69">
        <f t="shared" ca="1" si="294"/>
        <v>1206.9696287367099</v>
      </c>
      <c r="AA396" s="20">
        <f t="shared" ca="1" si="254"/>
        <v>6.5672004093857136E+16</v>
      </c>
      <c r="AB396" s="20">
        <f t="shared" ca="1" si="255"/>
        <v>1686572403626670.5</v>
      </c>
      <c r="AC396" s="20">
        <f t="shared" ca="1" si="256"/>
        <v>396420384985588.56</v>
      </c>
      <c r="AD396" s="20">
        <f t="shared" ca="1" si="257"/>
        <v>306526787902868.13</v>
      </c>
      <c r="AE396" s="20">
        <f t="shared" ca="1" si="258"/>
        <v>6890466878445042</v>
      </c>
      <c r="AG396" s="16">
        <f t="shared" ca="1" si="259"/>
        <v>-1.7407135111454925E-4</v>
      </c>
      <c r="AH396" s="16">
        <f t="shared" ca="1" si="260"/>
        <v>6.2886841191796901E-4</v>
      </c>
      <c r="AI396" s="16">
        <f t="shared" ca="1" si="261"/>
        <v>-1.001320270048685E-3</v>
      </c>
      <c r="AJ396" s="16">
        <f t="shared" ca="1" si="262"/>
        <v>-1.4660532868089415E-3</v>
      </c>
      <c r="AK396" s="16">
        <f t="shared" ca="1" si="263"/>
        <v>-1.0724595693077623E-4</v>
      </c>
      <c r="AM396" s="16">
        <f t="shared" ca="1" si="264"/>
        <v>-2.0125764960542067E-3</v>
      </c>
      <c r="AO396" s="16">
        <f t="shared" ca="1" si="265"/>
        <v>-1.7407135111454925E-4</v>
      </c>
      <c r="AP396" s="16">
        <f t="shared" ca="1" si="266"/>
        <v>0</v>
      </c>
      <c r="AQ396" s="16">
        <f t="shared" ca="1" si="267"/>
        <v>-1.001320270048685E-3</v>
      </c>
      <c r="AR396" s="16">
        <f t="shared" ca="1" si="268"/>
        <v>-1.4660532868089415E-3</v>
      </c>
      <c r="AS396" s="16">
        <f t="shared" ca="1" si="269"/>
        <v>-1.0724595693077623E-4</v>
      </c>
    </row>
    <row r="397" spans="1:45" x14ac:dyDescent="0.25">
      <c r="A397" s="69">
        <f t="shared" ca="1" si="270"/>
        <v>2454.3462448324922</v>
      </c>
      <c r="B397" s="69">
        <f t="shared" ca="1" si="271"/>
        <v>2135.2829161929603</v>
      </c>
      <c r="C397" s="69">
        <f t="shared" ca="1" si="272"/>
        <v>2226.6227436797431</v>
      </c>
      <c r="D397" s="69">
        <f t="shared" ca="1" si="273"/>
        <v>2911.8629533462035</v>
      </c>
      <c r="E397" s="69">
        <f t="shared" ca="1" si="274"/>
        <v>1932.3947270639105</v>
      </c>
      <c r="F397" s="69">
        <f t="shared" ca="1" si="275"/>
        <v>1222.7230735181033</v>
      </c>
      <c r="G397" s="69">
        <f t="shared" ca="1" si="276"/>
        <v>962.08563661445135</v>
      </c>
      <c r="H397" s="69">
        <f t="shared" ca="1" si="277"/>
        <v>1190.7850384276026</v>
      </c>
      <c r="I397" s="69">
        <f t="shared" ca="1" si="278"/>
        <v>1052.2523867110438</v>
      </c>
      <c r="J397" s="69">
        <f t="shared" ca="1" si="279"/>
        <v>1144.9406546296605</v>
      </c>
      <c r="K397" s="69">
        <f t="shared" ca="1" si="280"/>
        <v>1174.4687202320063</v>
      </c>
      <c r="L397" s="69">
        <f t="shared" ca="1" si="281"/>
        <v>953.37363582012392</v>
      </c>
      <c r="M397" s="69">
        <f t="shared" ca="1" si="282"/>
        <v>989.66076334891125</v>
      </c>
      <c r="N397" s="69">
        <f t="shared" ca="1" si="283"/>
        <v>569.45425368480949</v>
      </c>
      <c r="O397" s="69">
        <f t="shared" ca="1" si="284"/>
        <v>627.58322239089898</v>
      </c>
      <c r="P397" s="69">
        <f t="shared" ca="1" si="285"/>
        <v>725.08025700496705</v>
      </c>
      <c r="Q397" s="69">
        <f t="shared" ca="1" si="286"/>
        <v>953.92009375113901</v>
      </c>
      <c r="R397" s="69">
        <f t="shared" ca="1" si="287"/>
        <v>784.70987104606672</v>
      </c>
      <c r="S397" s="69">
        <f t="shared" ca="1" si="288"/>
        <v>701.76194336770368</v>
      </c>
      <c r="T397" s="69">
        <f t="shared" ca="1" si="289"/>
        <v>803.59038165265326</v>
      </c>
      <c r="U397" s="69">
        <f t="shared" ca="1" si="290"/>
        <v>1691.186889382582</v>
      </c>
      <c r="V397" s="69">
        <f t="shared" ca="1" si="291"/>
        <v>1915.9632727363667</v>
      </c>
      <c r="W397" s="69">
        <f t="shared" ca="1" si="292"/>
        <v>1176.7688108825798</v>
      </c>
      <c r="X397" s="69">
        <f t="shared" ca="1" si="293"/>
        <v>1497.0482532350807</v>
      </c>
      <c r="Y397" s="69">
        <f t="shared" ca="1" si="294"/>
        <v>1206.9696287367099</v>
      </c>
      <c r="AA397" s="20">
        <f t="shared" ca="1" si="254"/>
        <v>6.566057347427468E+16</v>
      </c>
      <c r="AB397" s="20">
        <f t="shared" ca="1" si="255"/>
        <v>1687633369304659</v>
      </c>
      <c r="AC397" s="20">
        <f t="shared" ca="1" si="256"/>
        <v>396023639886246.44</v>
      </c>
      <c r="AD397" s="20">
        <f t="shared" ca="1" si="257"/>
        <v>306077732547937.69</v>
      </c>
      <c r="AE397" s="20">
        <f t="shared" ca="1" si="258"/>
        <v>6889727943355572</v>
      </c>
      <c r="AG397" s="16">
        <f t="shared" ca="1" si="259"/>
        <v>8.8651771998353145E-5</v>
      </c>
      <c r="AH397" s="16">
        <f t="shared" ca="1" si="260"/>
        <v>-3.8334387250232291E-4</v>
      </c>
      <c r="AI397" s="16">
        <f t="shared" ca="1" si="261"/>
        <v>-2.2332289774878522E-4</v>
      </c>
      <c r="AJ397" s="16">
        <f t="shared" ca="1" si="262"/>
        <v>-8.2191542285085697E-4</v>
      </c>
      <c r="AK397" s="16">
        <f t="shared" ca="1" si="263"/>
        <v>1.8333513227272613E-4</v>
      </c>
      <c r="AM397" s="16">
        <f t="shared" ca="1" si="264"/>
        <v>-1.3399304211036121E-3</v>
      </c>
      <c r="AO397" s="16">
        <f t="shared" ca="1" si="265"/>
        <v>0</v>
      </c>
      <c r="AP397" s="16">
        <f t="shared" ca="1" si="266"/>
        <v>-3.8334387250232291E-4</v>
      </c>
      <c r="AQ397" s="16">
        <f t="shared" ca="1" si="267"/>
        <v>-2.2332289774878522E-4</v>
      </c>
      <c r="AR397" s="16">
        <f t="shared" ca="1" si="268"/>
        <v>-8.2191542285085697E-4</v>
      </c>
      <c r="AS397" s="16">
        <f t="shared" ca="1" si="269"/>
        <v>0</v>
      </c>
    </row>
    <row r="398" spans="1:45" x14ac:dyDescent="0.25">
      <c r="A398" s="69">
        <f t="shared" ca="1" si="270"/>
        <v>2454.0169472782277</v>
      </c>
      <c r="B398" s="69">
        <f t="shared" ca="1" si="271"/>
        <v>2135.2829161929603</v>
      </c>
      <c r="C398" s="69">
        <f t="shared" ca="1" si="272"/>
        <v>2226.6227436797431</v>
      </c>
      <c r="D398" s="69">
        <f t="shared" ca="1" si="273"/>
        <v>2911.8629533462035</v>
      </c>
      <c r="E398" s="69">
        <f t="shared" ca="1" si="274"/>
        <v>1932.8253704151855</v>
      </c>
      <c r="F398" s="69">
        <f t="shared" ca="1" si="275"/>
        <v>1222.5600952137536</v>
      </c>
      <c r="G398" s="69">
        <f t="shared" ca="1" si="276"/>
        <v>962.25901044663283</v>
      </c>
      <c r="H398" s="69">
        <f t="shared" ca="1" si="277"/>
        <v>1190.7500415334775</v>
      </c>
      <c r="I398" s="69">
        <f t="shared" ca="1" si="278"/>
        <v>1051.7658169673639</v>
      </c>
      <c r="J398" s="69">
        <f t="shared" ca="1" si="279"/>
        <v>1145.0112667246574</v>
      </c>
      <c r="K398" s="69">
        <f t="shared" ca="1" si="280"/>
        <v>1174.4687202320063</v>
      </c>
      <c r="L398" s="69">
        <f t="shared" ca="1" si="281"/>
        <v>953.61005409256836</v>
      </c>
      <c r="M398" s="69">
        <f t="shared" ca="1" si="282"/>
        <v>989.19447296722512</v>
      </c>
      <c r="N398" s="69">
        <f t="shared" ca="1" si="283"/>
        <v>569.45425368480949</v>
      </c>
      <c r="O398" s="69">
        <f t="shared" ca="1" si="284"/>
        <v>627.58322239089898</v>
      </c>
      <c r="P398" s="69">
        <f t="shared" ca="1" si="285"/>
        <v>725.16208415449819</v>
      </c>
      <c r="Q398" s="69">
        <f t="shared" ca="1" si="286"/>
        <v>953.92009375113901</v>
      </c>
      <c r="R398" s="69">
        <f t="shared" ca="1" si="287"/>
        <v>784.42043149801862</v>
      </c>
      <c r="S398" s="69">
        <f t="shared" ca="1" si="288"/>
        <v>701.62748995550578</v>
      </c>
      <c r="T398" s="69">
        <f t="shared" ca="1" si="289"/>
        <v>803.28970866018972</v>
      </c>
      <c r="U398" s="69">
        <f t="shared" ca="1" si="290"/>
        <v>1691.5783949343077</v>
      </c>
      <c r="V398" s="69">
        <f t="shared" ca="1" si="291"/>
        <v>1915.5677114004352</v>
      </c>
      <c r="W398" s="69">
        <f t="shared" ca="1" si="292"/>
        <v>1176.687088908928</v>
      </c>
      <c r="X398" s="69">
        <f t="shared" ca="1" si="293"/>
        <v>1497.0482532350807</v>
      </c>
      <c r="Y398" s="69">
        <f t="shared" ca="1" si="294"/>
        <v>1207.2445954343659</v>
      </c>
      <c r="AA398" s="20">
        <f t="shared" ca="1" si="254"/>
        <v>6.5666394658488936E+16</v>
      </c>
      <c r="AB398" s="20">
        <f t="shared" ca="1" si="255"/>
        <v>1686986549378654.3</v>
      </c>
      <c r="AC398" s="20">
        <f t="shared" ca="1" si="256"/>
        <v>395935208614141.5</v>
      </c>
      <c r="AD398" s="20">
        <f t="shared" ca="1" si="257"/>
        <v>305826265895281.81</v>
      </c>
      <c r="AE398" s="20">
        <f t="shared" ca="1" si="258"/>
        <v>6890991188334444</v>
      </c>
      <c r="AG398" s="16">
        <f t="shared" ca="1" si="259"/>
        <v>9.5008932507308607E-7</v>
      </c>
      <c r="AH398" s="16">
        <f t="shared" ca="1" si="260"/>
        <v>-1.2761760550294811E-4</v>
      </c>
      <c r="AI398" s="16">
        <f t="shared" ca="1" si="261"/>
        <v>-6.3547933704857944E-5</v>
      </c>
      <c r="AJ398" s="16">
        <f t="shared" ca="1" si="262"/>
        <v>5.6242827851804404E-4</v>
      </c>
      <c r="AK398" s="16">
        <f t="shared" ca="1" si="263"/>
        <v>-3.3910432951218936E-4</v>
      </c>
      <c r="AM398" s="16">
        <f t="shared" ca="1" si="264"/>
        <v>3.7221282863531105E-4</v>
      </c>
      <c r="AO398" s="16">
        <f t="shared" ca="1" si="265"/>
        <v>0</v>
      </c>
      <c r="AP398" s="16">
        <f t="shared" ca="1" si="266"/>
        <v>-1.2761760550294811E-4</v>
      </c>
      <c r="AQ398" s="16">
        <f t="shared" ca="1" si="267"/>
        <v>-6.3547933704857944E-5</v>
      </c>
      <c r="AR398" s="16">
        <f t="shared" ca="1" si="268"/>
        <v>0</v>
      </c>
      <c r="AS398" s="16">
        <f t="shared" ca="1" si="269"/>
        <v>-3.3910432951218936E-4</v>
      </c>
    </row>
    <row r="399" spans="1:45" x14ac:dyDescent="0.25">
      <c r="A399" s="69">
        <f t="shared" ca="1" si="270"/>
        <v>2454.0297978170865</v>
      </c>
      <c r="B399" s="69">
        <f t="shared" ca="1" si="271"/>
        <v>2135.2829161929603</v>
      </c>
      <c r="C399" s="69">
        <f t="shared" ca="1" si="272"/>
        <v>2226.4635750652587</v>
      </c>
      <c r="D399" s="69">
        <f t="shared" ca="1" si="273"/>
        <v>2911.5430938129207</v>
      </c>
      <c r="E399" s="69">
        <f t="shared" ca="1" si="274"/>
        <v>1933.1676142526917</v>
      </c>
      <c r="F399" s="69">
        <f t="shared" ca="1" si="275"/>
        <v>1222.1780814524718</v>
      </c>
      <c r="G399" s="69">
        <f t="shared" ca="1" si="276"/>
        <v>962.14739497462244</v>
      </c>
      <c r="H399" s="69">
        <f t="shared" ca="1" si="277"/>
        <v>1191.0074731048057</v>
      </c>
      <c r="I399" s="69">
        <f t="shared" ca="1" si="278"/>
        <v>1051.7658169673639</v>
      </c>
      <c r="J399" s="69">
        <f t="shared" ca="1" si="279"/>
        <v>1145.1082899669509</v>
      </c>
      <c r="K399" s="69">
        <f t="shared" ca="1" si="280"/>
        <v>1174.9502237462571</v>
      </c>
      <c r="L399" s="69">
        <f t="shared" ca="1" si="281"/>
        <v>953.55446691402858</v>
      </c>
      <c r="M399" s="69">
        <f t="shared" ca="1" si="282"/>
        <v>989.19447296722512</v>
      </c>
      <c r="N399" s="69">
        <f t="shared" ca="1" si="283"/>
        <v>569.21789580658321</v>
      </c>
      <c r="O399" s="69">
        <f t="shared" ca="1" si="284"/>
        <v>627.58322239089898</v>
      </c>
      <c r="P399" s="69">
        <f t="shared" ca="1" si="285"/>
        <v>725.26269164816199</v>
      </c>
      <c r="Q399" s="69">
        <f t="shared" ca="1" si="286"/>
        <v>954.2379153760088</v>
      </c>
      <c r="R399" s="69">
        <f t="shared" ca="1" si="287"/>
        <v>784.49148845101718</v>
      </c>
      <c r="S399" s="69">
        <f t="shared" ca="1" si="288"/>
        <v>701.62748995550578</v>
      </c>
      <c r="T399" s="69">
        <f t="shared" ca="1" si="289"/>
        <v>803.28970866018972</v>
      </c>
      <c r="U399" s="69">
        <f t="shared" ca="1" si="290"/>
        <v>1691.4124002139299</v>
      </c>
      <c r="V399" s="69">
        <f t="shared" ca="1" si="291"/>
        <v>1915.8753871100782</v>
      </c>
      <c r="W399" s="69">
        <f t="shared" ca="1" si="292"/>
        <v>1176.6711354965219</v>
      </c>
      <c r="X399" s="69">
        <f t="shared" ca="1" si="293"/>
        <v>1497.0482532350807</v>
      </c>
      <c r="Y399" s="69">
        <f t="shared" ca="1" si="294"/>
        <v>1206.7762547655309</v>
      </c>
      <c r="AA399" s="20">
        <f t="shared" ca="1" si="254"/>
        <v>6.566645704745916E+16</v>
      </c>
      <c r="AB399" s="20">
        <f t="shared" ca="1" si="255"/>
        <v>1686771273931467.5</v>
      </c>
      <c r="AC399" s="20">
        <f t="shared" ca="1" si="256"/>
        <v>395910048549196.63</v>
      </c>
      <c r="AD399" s="20">
        <f t="shared" ca="1" si="257"/>
        <v>305998319614938.19</v>
      </c>
      <c r="AE399" s="20">
        <f t="shared" ca="1" si="258"/>
        <v>6888654819546624</v>
      </c>
      <c r="AG399" s="16">
        <f t="shared" ca="1" si="259"/>
        <v>1.6933069275521854E-4</v>
      </c>
      <c r="AH399" s="16">
        <f t="shared" ca="1" si="260"/>
        <v>-9.6047688799776943E-4</v>
      </c>
      <c r="AI399" s="16">
        <f t="shared" ca="1" si="261"/>
        <v>4.5774661853086259E-5</v>
      </c>
      <c r="AJ399" s="16">
        <f t="shared" ca="1" si="262"/>
        <v>7.75453524041913E-4</v>
      </c>
      <c r="AK399" s="16">
        <f t="shared" ca="1" si="263"/>
        <v>-1.9040207629887162E-4</v>
      </c>
      <c r="AM399" s="16">
        <f t="shared" ca="1" si="264"/>
        <v>3.0081990652448365E-5</v>
      </c>
      <c r="AO399" s="16">
        <f t="shared" ca="1" si="265"/>
        <v>0</v>
      </c>
      <c r="AP399" s="16">
        <f t="shared" ca="1" si="266"/>
        <v>-9.6047688799776943E-4</v>
      </c>
      <c r="AQ399" s="16">
        <f t="shared" ca="1" si="267"/>
        <v>0</v>
      </c>
      <c r="AR399" s="16">
        <f t="shared" ca="1" si="268"/>
        <v>0</v>
      </c>
      <c r="AS399" s="16">
        <f t="shared" ca="1" si="269"/>
        <v>-1.9040207629887162E-4</v>
      </c>
    </row>
    <row r="400" spans="1:45" x14ac:dyDescent="0.25">
      <c r="A400" s="69">
        <f t="shared" ca="1" si="270"/>
        <v>2453.6627174890714</v>
      </c>
      <c r="B400" s="69">
        <f t="shared" ca="1" si="271"/>
        <v>2135.1184948691262</v>
      </c>
      <c r="C400" s="69">
        <f t="shared" ca="1" si="272"/>
        <v>2226.8255139983698</v>
      </c>
      <c r="D400" s="69">
        <f t="shared" ca="1" si="273"/>
        <v>2911.5430938129207</v>
      </c>
      <c r="E400" s="69">
        <f t="shared" ca="1" si="274"/>
        <v>1933.6188307230782</v>
      </c>
      <c r="F400" s="69">
        <f t="shared" ca="1" si="275"/>
        <v>1221.7092320748043</v>
      </c>
      <c r="G400" s="69">
        <f t="shared" ca="1" si="276"/>
        <v>962.14739497462244</v>
      </c>
      <c r="H400" s="69">
        <f t="shared" ca="1" si="277"/>
        <v>1190.5530011774717</v>
      </c>
      <c r="I400" s="69">
        <f t="shared" ca="1" si="278"/>
        <v>1051.7658169673639</v>
      </c>
      <c r="J400" s="69">
        <f t="shared" ca="1" si="279"/>
        <v>1144.8848708508931</v>
      </c>
      <c r="K400" s="69">
        <f t="shared" ca="1" si="280"/>
        <v>1175.3324119794138</v>
      </c>
      <c r="L400" s="69">
        <f t="shared" ca="1" si="281"/>
        <v>953.24011726660274</v>
      </c>
      <c r="M400" s="69">
        <f t="shared" ca="1" si="282"/>
        <v>989.31830264336054</v>
      </c>
      <c r="N400" s="69">
        <f t="shared" ca="1" si="283"/>
        <v>569.21789580658321</v>
      </c>
      <c r="O400" s="69">
        <f t="shared" ca="1" si="284"/>
        <v>627.53621061557931</v>
      </c>
      <c r="P400" s="69">
        <f t="shared" ca="1" si="285"/>
        <v>725.26269164816199</v>
      </c>
      <c r="Q400" s="69">
        <f t="shared" ca="1" si="286"/>
        <v>954.69778018489285</v>
      </c>
      <c r="R400" s="69">
        <f t="shared" ca="1" si="287"/>
        <v>784.49148845101718</v>
      </c>
      <c r="S400" s="69">
        <f t="shared" ca="1" si="288"/>
        <v>701.83355397086348</v>
      </c>
      <c r="T400" s="69">
        <f t="shared" ca="1" si="289"/>
        <v>803.28970866018972</v>
      </c>
      <c r="U400" s="69">
        <f t="shared" ca="1" si="290"/>
        <v>1691.4124002139299</v>
      </c>
      <c r="V400" s="69">
        <f t="shared" ca="1" si="291"/>
        <v>1915.8640931262094</v>
      </c>
      <c r="W400" s="69">
        <f t="shared" ca="1" si="292"/>
        <v>1176.6711354965219</v>
      </c>
      <c r="X400" s="69">
        <f t="shared" ca="1" si="293"/>
        <v>1497.1357584291729</v>
      </c>
      <c r="Y400" s="69">
        <f t="shared" ca="1" si="294"/>
        <v>1206.4830953718626</v>
      </c>
      <c r="AA400" s="20">
        <f t="shared" ca="1" si="254"/>
        <v>6.5677577335598264E+16</v>
      </c>
      <c r="AB400" s="20">
        <f t="shared" ca="1" si="255"/>
        <v>1685151946895102</v>
      </c>
      <c r="AC400" s="20">
        <f t="shared" ca="1" si="256"/>
        <v>395928171612578.56</v>
      </c>
      <c r="AD400" s="20">
        <f t="shared" ca="1" si="257"/>
        <v>306235699116724.81</v>
      </c>
      <c r="AE400" s="20">
        <f t="shared" ca="1" si="258"/>
        <v>6887343330225183</v>
      </c>
      <c r="AG400" s="16">
        <f t="shared" ca="1" si="259"/>
        <v>-2.18191342999044E-4</v>
      </c>
      <c r="AH400" s="16">
        <f t="shared" ca="1" si="260"/>
        <v>-2.2173825504535218E-4</v>
      </c>
      <c r="AI400" s="16">
        <f t="shared" ca="1" si="261"/>
        <v>-3.8570991369704525E-4</v>
      </c>
      <c r="AJ400" s="16">
        <f t="shared" ca="1" si="262"/>
        <v>-1.3792161304446114E-3</v>
      </c>
      <c r="AK400" s="16">
        <f t="shared" ca="1" si="263"/>
        <v>1.2327202078820187E-4</v>
      </c>
      <c r="AM400" s="16">
        <f t="shared" ca="1" si="264"/>
        <v>-2.204855642186053E-3</v>
      </c>
      <c r="AO400" s="16">
        <f t="shared" ca="1" si="265"/>
        <v>-2.18191342999044E-4</v>
      </c>
      <c r="AP400" s="16">
        <f t="shared" ca="1" si="266"/>
        <v>-2.2173825504535218E-4</v>
      </c>
      <c r="AQ400" s="16">
        <f t="shared" ca="1" si="267"/>
        <v>-3.8570991369704525E-4</v>
      </c>
      <c r="AR400" s="16">
        <f t="shared" ca="1" si="268"/>
        <v>-1.3792161304446114E-3</v>
      </c>
      <c r="AS400" s="16">
        <f t="shared" ca="1" si="269"/>
        <v>0</v>
      </c>
    </row>
    <row r="401" spans="1:45" x14ac:dyDescent="0.25">
      <c r="A401" s="69">
        <f t="shared" ca="1" si="270"/>
        <v>2453.299838520566</v>
      </c>
      <c r="B401" s="69">
        <f t="shared" ca="1" si="271"/>
        <v>2135.0665417071996</v>
      </c>
      <c r="C401" s="69">
        <f t="shared" ca="1" si="272"/>
        <v>2226.6639138980831</v>
      </c>
      <c r="D401" s="69">
        <f t="shared" ca="1" si="273"/>
        <v>2911.620593401818</v>
      </c>
      <c r="E401" s="69">
        <f t="shared" ca="1" si="274"/>
        <v>1933.6188307230782</v>
      </c>
      <c r="F401" s="69">
        <f t="shared" ca="1" si="275"/>
        <v>1221.355231509684</v>
      </c>
      <c r="G401" s="69">
        <f t="shared" ca="1" si="276"/>
        <v>961.90390682787347</v>
      </c>
      <c r="H401" s="69">
        <f t="shared" ca="1" si="277"/>
        <v>1190.9229720549365</v>
      </c>
      <c r="I401" s="69">
        <f t="shared" ca="1" si="278"/>
        <v>1051.7658169673639</v>
      </c>
      <c r="J401" s="69">
        <f t="shared" ca="1" si="279"/>
        <v>1144.8968399958221</v>
      </c>
      <c r="K401" s="69">
        <f t="shared" ca="1" si="280"/>
        <v>1175.5834192238669</v>
      </c>
      <c r="L401" s="69">
        <f t="shared" ca="1" si="281"/>
        <v>953.24011726660274</v>
      </c>
      <c r="M401" s="69">
        <f t="shared" ca="1" si="282"/>
        <v>989.5572992189484</v>
      </c>
      <c r="N401" s="69">
        <f t="shared" ca="1" si="283"/>
        <v>569.10431681592604</v>
      </c>
      <c r="O401" s="69">
        <f t="shared" ca="1" si="284"/>
        <v>627.13393662238161</v>
      </c>
      <c r="P401" s="69">
        <f t="shared" ca="1" si="285"/>
        <v>724.88779884482983</v>
      </c>
      <c r="Q401" s="69">
        <f t="shared" ca="1" si="286"/>
        <v>954.28168832078643</v>
      </c>
      <c r="R401" s="69">
        <f t="shared" ca="1" si="287"/>
        <v>784.3157305340934</v>
      </c>
      <c r="S401" s="69">
        <f t="shared" ca="1" si="288"/>
        <v>701.83355397086348</v>
      </c>
      <c r="T401" s="69">
        <f t="shared" ca="1" si="289"/>
        <v>803.12731646482735</v>
      </c>
      <c r="U401" s="69">
        <f t="shared" ca="1" si="290"/>
        <v>1691.0192065114525</v>
      </c>
      <c r="V401" s="69">
        <f t="shared" ca="1" si="291"/>
        <v>1915.8640931262094</v>
      </c>
      <c r="W401" s="69">
        <f t="shared" ca="1" si="292"/>
        <v>1176.8216368296648</v>
      </c>
      <c r="X401" s="69">
        <f t="shared" ca="1" si="293"/>
        <v>1497.4769460469638</v>
      </c>
      <c r="Y401" s="69">
        <f t="shared" ca="1" si="294"/>
        <v>1206.4830953718626</v>
      </c>
      <c r="AA401" s="20">
        <f t="shared" ca="1" si="254"/>
        <v>6.5663248620052176E+16</v>
      </c>
      <c r="AB401" s="20">
        <f t="shared" ca="1" si="255"/>
        <v>1684778325667501.5</v>
      </c>
      <c r="AC401" s="20">
        <f t="shared" ca="1" si="256"/>
        <v>395775487639429.63</v>
      </c>
      <c r="AD401" s="20">
        <f t="shared" ca="1" si="257"/>
        <v>305813625033384.13</v>
      </c>
      <c r="AE401" s="20">
        <f t="shared" ca="1" si="258"/>
        <v>6888192399287517</v>
      </c>
      <c r="AG401" s="16">
        <f t="shared" ca="1" si="259"/>
        <v>1.6944572220153943E-4</v>
      </c>
      <c r="AH401" s="16">
        <f t="shared" ca="1" si="260"/>
        <v>-1.3516127698600202E-3</v>
      </c>
      <c r="AI401" s="16">
        <f t="shared" ca="1" si="261"/>
        <v>-1.3668051349543487E-3</v>
      </c>
      <c r="AJ401" s="16">
        <f t="shared" ca="1" si="262"/>
        <v>1.9312126814329244E-4</v>
      </c>
      <c r="AK401" s="16">
        <f t="shared" ca="1" si="263"/>
        <v>2.9879654438888417E-4</v>
      </c>
      <c r="AM401" s="16">
        <f t="shared" ca="1" si="264"/>
        <v>-2.355850914469537E-3</v>
      </c>
      <c r="AO401" s="16">
        <f t="shared" ca="1" si="265"/>
        <v>0</v>
      </c>
      <c r="AP401" s="16">
        <f t="shared" ca="1" si="266"/>
        <v>-1.3516127698600202E-3</v>
      </c>
      <c r="AQ401" s="16">
        <f t="shared" ca="1" si="267"/>
        <v>-1.3668051349543487E-3</v>
      </c>
      <c r="AR401" s="16">
        <f t="shared" ca="1" si="268"/>
        <v>0</v>
      </c>
      <c r="AS401" s="16">
        <f t="shared" ca="1" si="269"/>
        <v>0</v>
      </c>
    </row>
    <row r="402" spans="1:45" x14ac:dyDescent="0.25">
      <c r="A402" s="69">
        <f t="shared" ca="1" si="270"/>
        <v>2453.1698522197762</v>
      </c>
      <c r="B402" s="69">
        <f t="shared" ca="1" si="271"/>
        <v>2135.4339782593856</v>
      </c>
      <c r="C402" s="69">
        <f t="shared" ca="1" si="272"/>
        <v>2226.476872483528</v>
      </c>
      <c r="D402" s="69">
        <f t="shared" ca="1" si="273"/>
        <v>2912.0791731319832</v>
      </c>
      <c r="E402" s="69">
        <f t="shared" ca="1" si="274"/>
        <v>1933.5741008017285</v>
      </c>
      <c r="F402" s="69">
        <f t="shared" ca="1" si="275"/>
        <v>1221.355231509684</v>
      </c>
      <c r="G402" s="69">
        <f t="shared" ca="1" si="276"/>
        <v>961.41088669862131</v>
      </c>
      <c r="H402" s="69">
        <f t="shared" ca="1" si="277"/>
        <v>1190.4807967707138</v>
      </c>
      <c r="I402" s="69">
        <f t="shared" ca="1" si="278"/>
        <v>1051.6891713363241</v>
      </c>
      <c r="J402" s="69">
        <f t="shared" ca="1" si="279"/>
        <v>1144.4450355697611</v>
      </c>
      <c r="K402" s="69">
        <f t="shared" ca="1" si="280"/>
        <v>1175.2665781269409</v>
      </c>
      <c r="L402" s="69">
        <f t="shared" ca="1" si="281"/>
        <v>952.77676547794749</v>
      </c>
      <c r="M402" s="69">
        <f t="shared" ca="1" si="282"/>
        <v>989.22088633607882</v>
      </c>
      <c r="N402" s="69">
        <f t="shared" ca="1" si="283"/>
        <v>569.10431681592604</v>
      </c>
      <c r="O402" s="69">
        <f t="shared" ca="1" si="284"/>
        <v>626.96398706062962</v>
      </c>
      <c r="P402" s="69">
        <f t="shared" ca="1" si="285"/>
        <v>724.82588391125319</v>
      </c>
      <c r="Q402" s="69">
        <f t="shared" ca="1" si="286"/>
        <v>954.43686902983154</v>
      </c>
      <c r="R402" s="69">
        <f t="shared" ca="1" si="287"/>
        <v>784.3157305340934</v>
      </c>
      <c r="S402" s="69">
        <f t="shared" ca="1" si="288"/>
        <v>701.83355397086348</v>
      </c>
      <c r="T402" s="69">
        <f t="shared" ca="1" si="289"/>
        <v>803.22043328079258</v>
      </c>
      <c r="U402" s="69">
        <f t="shared" ca="1" si="290"/>
        <v>1691.0192065114525</v>
      </c>
      <c r="V402" s="69">
        <f t="shared" ca="1" si="291"/>
        <v>1915.507672683736</v>
      </c>
      <c r="W402" s="69">
        <f t="shared" ca="1" si="292"/>
        <v>1177.1967701385938</v>
      </c>
      <c r="X402" s="69">
        <f t="shared" ca="1" si="293"/>
        <v>1497.5056608685522</v>
      </c>
      <c r="Y402" s="69">
        <f t="shared" ca="1" si="294"/>
        <v>1206.6604102114284</v>
      </c>
      <c r="AA402" s="20">
        <f t="shared" ca="1" si="254"/>
        <v>6.5674375919346704E+16</v>
      </c>
      <c r="AB402" s="20">
        <f t="shared" ca="1" si="255"/>
        <v>1682502695999642.8</v>
      </c>
      <c r="AC402" s="20">
        <f t="shared" ca="1" si="256"/>
        <v>395234909187494.06</v>
      </c>
      <c r="AD402" s="20">
        <f t="shared" ca="1" si="257"/>
        <v>305872689851618.81</v>
      </c>
      <c r="AE402" s="20">
        <f t="shared" ca="1" si="258"/>
        <v>6890250874890894</v>
      </c>
      <c r="AG402" s="16">
        <f t="shared" ca="1" si="259"/>
        <v>1.8917856963373506E-4</v>
      </c>
      <c r="AH402" s="16">
        <f t="shared" ca="1" si="260"/>
        <v>-3.4918401065678578E-4</v>
      </c>
      <c r="AI402" s="16">
        <f t="shared" ca="1" si="261"/>
        <v>1.9676274995539207E-4</v>
      </c>
      <c r="AJ402" s="16">
        <f t="shared" ca="1" si="262"/>
        <v>-7.4432992774641686E-4</v>
      </c>
      <c r="AK402" s="16">
        <f t="shared" ca="1" si="263"/>
        <v>-2.0453863138200385E-4</v>
      </c>
      <c r="AM402" s="16">
        <f t="shared" ca="1" si="264"/>
        <v>-7.0757261881407556E-4</v>
      </c>
      <c r="AO402" s="16">
        <f t="shared" ca="1" si="265"/>
        <v>0</v>
      </c>
      <c r="AP402" s="16">
        <f t="shared" ca="1" si="266"/>
        <v>-3.4918401065678578E-4</v>
      </c>
      <c r="AQ402" s="16">
        <f t="shared" ca="1" si="267"/>
        <v>0</v>
      </c>
      <c r="AR402" s="16">
        <f t="shared" ca="1" si="268"/>
        <v>-7.4432992774641686E-4</v>
      </c>
      <c r="AS402" s="16">
        <f t="shared" ca="1" si="269"/>
        <v>-2.0453863138200385E-4</v>
      </c>
    </row>
    <row r="403" spans="1:45" x14ac:dyDescent="0.25">
      <c r="A403" s="69">
        <f t="shared" ca="1" si="270"/>
        <v>2453.1698522197762</v>
      </c>
      <c r="B403" s="69">
        <f t="shared" ca="1" si="271"/>
        <v>2135.7728580178004</v>
      </c>
      <c r="C403" s="69">
        <f t="shared" ca="1" si="272"/>
        <v>2226.5689986443899</v>
      </c>
      <c r="D403" s="69">
        <f t="shared" ca="1" si="273"/>
        <v>2911.988107510866</v>
      </c>
      <c r="E403" s="69">
        <f t="shared" ca="1" si="274"/>
        <v>1933.6135326068129</v>
      </c>
      <c r="F403" s="69">
        <f t="shared" ca="1" si="275"/>
        <v>1221.355231509684</v>
      </c>
      <c r="G403" s="69">
        <f t="shared" ca="1" si="276"/>
        <v>961.41088669862131</v>
      </c>
      <c r="H403" s="69">
        <f t="shared" ca="1" si="277"/>
        <v>1190.2996446464624</v>
      </c>
      <c r="I403" s="69">
        <f t="shared" ca="1" si="278"/>
        <v>1051.8849879249376</v>
      </c>
      <c r="J403" s="69">
        <f t="shared" ca="1" si="279"/>
        <v>1144.006590716458</v>
      </c>
      <c r="K403" s="69">
        <f t="shared" ca="1" si="280"/>
        <v>1175.2665781269409</v>
      </c>
      <c r="L403" s="69">
        <f t="shared" ca="1" si="281"/>
        <v>952.28060238978833</v>
      </c>
      <c r="M403" s="69">
        <f t="shared" ca="1" si="282"/>
        <v>989.22088633607882</v>
      </c>
      <c r="N403" s="69">
        <f t="shared" ca="1" si="283"/>
        <v>569.51288293958407</v>
      </c>
      <c r="O403" s="69">
        <f t="shared" ca="1" si="284"/>
        <v>626.96398706062962</v>
      </c>
      <c r="P403" s="69">
        <f t="shared" ca="1" si="285"/>
        <v>724.35166810223359</v>
      </c>
      <c r="Q403" s="69">
        <f t="shared" ca="1" si="286"/>
        <v>954.02687931175137</v>
      </c>
      <c r="R403" s="69">
        <f t="shared" ca="1" si="287"/>
        <v>784.43952223152678</v>
      </c>
      <c r="S403" s="69">
        <f t="shared" ca="1" si="288"/>
        <v>701.83355397086348</v>
      </c>
      <c r="T403" s="69">
        <f t="shared" ca="1" si="289"/>
        <v>803.36660435768329</v>
      </c>
      <c r="U403" s="69">
        <f t="shared" ca="1" si="290"/>
        <v>1690.8258701531315</v>
      </c>
      <c r="V403" s="69">
        <f t="shared" ca="1" si="291"/>
        <v>1915.5106817355168</v>
      </c>
      <c r="W403" s="69">
        <f t="shared" ca="1" si="292"/>
        <v>1177.2040763157304</v>
      </c>
      <c r="X403" s="69">
        <f t="shared" ca="1" si="293"/>
        <v>1497.9694267612367</v>
      </c>
      <c r="Y403" s="69">
        <f t="shared" ca="1" si="294"/>
        <v>1206.1686486020121</v>
      </c>
      <c r="AA403" s="20">
        <f t="shared" ca="1" si="254"/>
        <v>6.5686801279113544E+16</v>
      </c>
      <c r="AB403" s="20">
        <f t="shared" ca="1" si="255"/>
        <v>1681915295521708.5</v>
      </c>
      <c r="AC403" s="20">
        <f t="shared" ca="1" si="256"/>
        <v>395312684346480.31</v>
      </c>
      <c r="AD403" s="20">
        <f t="shared" ca="1" si="257"/>
        <v>305645104364334</v>
      </c>
      <c r="AE403" s="20">
        <f t="shared" ca="1" si="258"/>
        <v>6888841696527685</v>
      </c>
      <c r="AG403" s="16">
        <f t="shared" ca="1" si="259"/>
        <v>4.9231588923306566E-4</v>
      </c>
      <c r="AH403" s="16">
        <f t="shared" ca="1" si="260"/>
        <v>3.6959770223108355E-4</v>
      </c>
      <c r="AI403" s="16">
        <f t="shared" ca="1" si="261"/>
        <v>5.9787400436859433E-4</v>
      </c>
      <c r="AJ403" s="16">
        <f t="shared" ca="1" si="262"/>
        <v>-3.7309898007141404E-4</v>
      </c>
      <c r="AK403" s="16">
        <f t="shared" ca="1" si="263"/>
        <v>3.7787997770255148E-4</v>
      </c>
      <c r="AM403" s="16">
        <f t="shared" ca="1" si="264"/>
        <v>1.0866886157613294E-3</v>
      </c>
      <c r="AO403" s="16">
        <f t="shared" ca="1" si="265"/>
        <v>0</v>
      </c>
      <c r="AP403" s="16">
        <f t="shared" ca="1" si="266"/>
        <v>0</v>
      </c>
      <c r="AQ403" s="16">
        <f t="shared" ca="1" si="267"/>
        <v>0</v>
      </c>
      <c r="AR403" s="16">
        <f t="shared" ca="1" si="268"/>
        <v>-3.7309898007141404E-4</v>
      </c>
      <c r="AS403" s="16">
        <f t="shared" ca="1" si="269"/>
        <v>0</v>
      </c>
    </row>
    <row r="404" spans="1:45" x14ac:dyDescent="0.25">
      <c r="A404" s="69">
        <f t="shared" ca="1" si="270"/>
        <v>2453.1698522197762</v>
      </c>
      <c r="B404" s="69">
        <f t="shared" ca="1" si="271"/>
        <v>2136.134427353782</v>
      </c>
      <c r="C404" s="69">
        <f t="shared" ca="1" si="272"/>
        <v>2226.9637403434831</v>
      </c>
      <c r="D404" s="69">
        <f t="shared" ca="1" si="273"/>
        <v>2911.988107510866</v>
      </c>
      <c r="E404" s="69">
        <f t="shared" ca="1" si="274"/>
        <v>1933.8954100247454</v>
      </c>
      <c r="F404" s="69">
        <f t="shared" ca="1" si="275"/>
        <v>1221.355231509684</v>
      </c>
      <c r="G404" s="69">
        <f t="shared" ca="1" si="276"/>
        <v>961.41088669862131</v>
      </c>
      <c r="H404" s="69">
        <f t="shared" ca="1" si="277"/>
        <v>1190.3965059335922</v>
      </c>
      <c r="I404" s="69">
        <f t="shared" ca="1" si="278"/>
        <v>1051.7786135590047</v>
      </c>
      <c r="J404" s="69">
        <f t="shared" ca="1" si="279"/>
        <v>1144.4521055053808</v>
      </c>
      <c r="K404" s="69">
        <f t="shared" ca="1" si="280"/>
        <v>1175.236269110115</v>
      </c>
      <c r="L404" s="69">
        <f t="shared" ca="1" si="281"/>
        <v>952.28060238978833</v>
      </c>
      <c r="M404" s="69">
        <f t="shared" ca="1" si="282"/>
        <v>989.14850217921571</v>
      </c>
      <c r="N404" s="69">
        <f t="shared" ca="1" si="283"/>
        <v>569.8570902038698</v>
      </c>
      <c r="O404" s="69">
        <f t="shared" ca="1" si="284"/>
        <v>627.02206707835512</v>
      </c>
      <c r="P404" s="69">
        <f t="shared" ca="1" si="285"/>
        <v>724.35166810223359</v>
      </c>
      <c r="Q404" s="69">
        <f t="shared" ca="1" si="286"/>
        <v>954.02687931175137</v>
      </c>
      <c r="R404" s="69">
        <f t="shared" ca="1" si="287"/>
        <v>784.43952223152678</v>
      </c>
      <c r="S404" s="69">
        <f t="shared" ca="1" si="288"/>
        <v>701.83355397086348</v>
      </c>
      <c r="T404" s="69">
        <f t="shared" ca="1" si="289"/>
        <v>803.0669250054807</v>
      </c>
      <c r="U404" s="69">
        <f t="shared" ca="1" si="290"/>
        <v>1690.5502361720785</v>
      </c>
      <c r="V404" s="69">
        <f t="shared" ca="1" si="291"/>
        <v>1915.8740361197945</v>
      </c>
      <c r="W404" s="69">
        <f t="shared" ca="1" si="292"/>
        <v>1177.3154193232742</v>
      </c>
      <c r="X404" s="69">
        <f t="shared" ca="1" si="293"/>
        <v>1497.7340641994697</v>
      </c>
      <c r="Y404" s="69">
        <f t="shared" ca="1" si="294"/>
        <v>1206.6678564050219</v>
      </c>
      <c r="AA404" s="20">
        <f t="shared" ca="1" si="254"/>
        <v>6.5719147896819744E+16</v>
      </c>
      <c r="AB404" s="20">
        <f t="shared" ca="1" si="255"/>
        <v>1682537042441319.5</v>
      </c>
      <c r="AC404" s="20">
        <f t="shared" ca="1" si="256"/>
        <v>395549102191047.56</v>
      </c>
      <c r="AD404" s="20">
        <f t="shared" ca="1" si="257"/>
        <v>305531089758321.06</v>
      </c>
      <c r="AE404" s="20">
        <f t="shared" ca="1" si="258"/>
        <v>6891445343776465</v>
      </c>
      <c r="AG404" s="16">
        <f t="shared" ca="1" si="259"/>
        <v>1.2721732937512559E-4</v>
      </c>
      <c r="AH404" s="16">
        <f t="shared" ca="1" si="260"/>
        <v>9.6504974203793202E-4</v>
      </c>
      <c r="AI404" s="16">
        <f t="shared" ca="1" si="261"/>
        <v>4.7529763046327025E-4</v>
      </c>
      <c r="AJ404" s="16">
        <f t="shared" ca="1" si="262"/>
        <v>-1.4577384463254307E-3</v>
      </c>
      <c r="AK404" s="16">
        <f t="shared" ca="1" si="263"/>
        <v>-4.3083372488475788E-5</v>
      </c>
      <c r="AM404" s="16">
        <f t="shared" ca="1" si="264"/>
        <v>1.0982625555089722E-4</v>
      </c>
      <c r="AO404" s="16">
        <f t="shared" ca="1" si="265"/>
        <v>0</v>
      </c>
      <c r="AP404" s="16">
        <f t="shared" ca="1" si="266"/>
        <v>0</v>
      </c>
      <c r="AQ404" s="16">
        <f t="shared" ca="1" si="267"/>
        <v>0</v>
      </c>
      <c r="AR404" s="16">
        <f t="shared" ca="1" si="268"/>
        <v>-1.4577384463254307E-3</v>
      </c>
      <c r="AS404" s="16">
        <f t="shared" ca="1" si="269"/>
        <v>-4.3083372488475788E-5</v>
      </c>
    </row>
    <row r="405" spans="1:45" x14ac:dyDescent="0.25">
      <c r="A405" s="69">
        <f t="shared" ca="1" si="270"/>
        <v>2453.1698522197762</v>
      </c>
      <c r="B405" s="69">
        <f t="shared" ca="1" si="271"/>
        <v>2136.4375138041728</v>
      </c>
      <c r="C405" s="69">
        <f t="shared" ca="1" si="272"/>
        <v>2227.2039453854427</v>
      </c>
      <c r="D405" s="69">
        <f t="shared" ca="1" si="273"/>
        <v>2911.6313689157346</v>
      </c>
      <c r="E405" s="69">
        <f t="shared" ca="1" si="274"/>
        <v>1933.8954100247454</v>
      </c>
      <c r="F405" s="69">
        <f t="shared" ca="1" si="275"/>
        <v>1221.5202957864833</v>
      </c>
      <c r="G405" s="69">
        <f t="shared" ca="1" si="276"/>
        <v>961.84187953559604</v>
      </c>
      <c r="H405" s="69">
        <f t="shared" ca="1" si="277"/>
        <v>1190.3965059335922</v>
      </c>
      <c r="I405" s="69">
        <f t="shared" ca="1" si="278"/>
        <v>1051.7786135590047</v>
      </c>
      <c r="J405" s="69">
        <f t="shared" ca="1" si="279"/>
        <v>1144.889047823943</v>
      </c>
      <c r="K405" s="69">
        <f t="shared" ca="1" si="280"/>
        <v>1175.5096307656472</v>
      </c>
      <c r="L405" s="69">
        <f t="shared" ca="1" si="281"/>
        <v>952.51177106927139</v>
      </c>
      <c r="M405" s="69">
        <f t="shared" ca="1" si="282"/>
        <v>989.14850217921571</v>
      </c>
      <c r="N405" s="69">
        <f t="shared" ca="1" si="283"/>
        <v>569.8570902038698</v>
      </c>
      <c r="O405" s="69">
        <f t="shared" ca="1" si="284"/>
        <v>627.02206707835512</v>
      </c>
      <c r="P405" s="69">
        <f t="shared" ca="1" si="285"/>
        <v>724.35166810223359</v>
      </c>
      <c r="Q405" s="69">
        <f t="shared" ca="1" si="286"/>
        <v>954.02687931175137</v>
      </c>
      <c r="R405" s="69">
        <f t="shared" ca="1" si="287"/>
        <v>784.03574203262554</v>
      </c>
      <c r="S405" s="69">
        <f t="shared" ca="1" si="288"/>
        <v>701.48875766387334</v>
      </c>
      <c r="T405" s="69">
        <f t="shared" ca="1" si="289"/>
        <v>802.70444725636105</v>
      </c>
      <c r="U405" s="69">
        <f t="shared" ca="1" si="290"/>
        <v>1690.5577167390397</v>
      </c>
      <c r="V405" s="69">
        <f t="shared" ca="1" si="291"/>
        <v>1915.8740361197945</v>
      </c>
      <c r="W405" s="69">
        <f t="shared" ca="1" si="292"/>
        <v>1177.3154193232742</v>
      </c>
      <c r="X405" s="69">
        <f t="shared" ca="1" si="293"/>
        <v>1497.8827852899478</v>
      </c>
      <c r="Y405" s="69">
        <f t="shared" ca="1" si="294"/>
        <v>1206.4907296505323</v>
      </c>
      <c r="AA405" s="20">
        <f t="shared" ca="1" si="254"/>
        <v>6.5727509043134056E+16</v>
      </c>
      <c r="AB405" s="20">
        <f t="shared" ca="1" si="255"/>
        <v>1684161558123238</v>
      </c>
      <c r="AC405" s="20">
        <f t="shared" ca="1" si="256"/>
        <v>395737150427951.44</v>
      </c>
      <c r="AD405" s="20">
        <f t="shared" ca="1" si="257"/>
        <v>305086029811543.06</v>
      </c>
      <c r="AE405" s="20">
        <f t="shared" ca="1" si="258"/>
        <v>6891148443465514</v>
      </c>
      <c r="AG405" s="16">
        <f t="shared" ca="1" si="259"/>
        <v>-1.1642133850726495E-4</v>
      </c>
      <c r="AH405" s="16">
        <f t="shared" ca="1" si="260"/>
        <v>-1.1856219905498177E-3</v>
      </c>
      <c r="AI405" s="16">
        <f t="shared" ca="1" si="261"/>
        <v>1.2819344762725601E-5</v>
      </c>
      <c r="AJ405" s="16">
        <f t="shared" ca="1" si="262"/>
        <v>-7.7217162234899568E-4</v>
      </c>
      <c r="AK405" s="16">
        <f t="shared" ca="1" si="263"/>
        <v>5.9455487933575901E-4</v>
      </c>
      <c r="AM405" s="16">
        <f t="shared" ca="1" si="264"/>
        <v>-2.0613956066433529E-3</v>
      </c>
      <c r="AO405" s="16">
        <f t="shared" ca="1" si="265"/>
        <v>-1.1642133850726495E-4</v>
      </c>
      <c r="AP405" s="16">
        <f t="shared" ca="1" si="266"/>
        <v>-1.1856219905498177E-3</v>
      </c>
      <c r="AQ405" s="16">
        <f t="shared" ca="1" si="267"/>
        <v>0</v>
      </c>
      <c r="AR405" s="16">
        <f t="shared" ca="1" si="268"/>
        <v>-7.7217162234899568E-4</v>
      </c>
      <c r="AS405" s="16">
        <f t="shared" ca="1" si="269"/>
        <v>0</v>
      </c>
    </row>
    <row r="406" spans="1:45" x14ac:dyDescent="0.25">
      <c r="A406" s="69">
        <f t="shared" ca="1" si="270"/>
        <v>2453.4484778413284</v>
      </c>
      <c r="B406" s="69">
        <f t="shared" ca="1" si="271"/>
        <v>2136.420562313996</v>
      </c>
      <c r="C406" s="69">
        <f t="shared" ca="1" si="272"/>
        <v>2226.7940056313364</v>
      </c>
      <c r="D406" s="69">
        <f t="shared" ca="1" si="273"/>
        <v>2911.5207844096863</v>
      </c>
      <c r="E406" s="69">
        <f t="shared" ca="1" si="274"/>
        <v>1933.8954100247454</v>
      </c>
      <c r="F406" s="69">
        <f t="shared" ca="1" si="275"/>
        <v>1221.4014666564462</v>
      </c>
      <c r="G406" s="69">
        <f t="shared" ca="1" si="276"/>
        <v>961.84187953559604</v>
      </c>
      <c r="H406" s="69">
        <f t="shared" ca="1" si="277"/>
        <v>1189.9063962861378</v>
      </c>
      <c r="I406" s="69">
        <f t="shared" ca="1" si="278"/>
        <v>1051.3844210052264</v>
      </c>
      <c r="J406" s="69">
        <f t="shared" ca="1" si="279"/>
        <v>1144.5437140899826</v>
      </c>
      <c r="K406" s="69">
        <f t="shared" ca="1" si="280"/>
        <v>1175.7782733572606</v>
      </c>
      <c r="L406" s="69">
        <f t="shared" ca="1" si="281"/>
        <v>952.44711635468968</v>
      </c>
      <c r="M406" s="69">
        <f t="shared" ca="1" si="282"/>
        <v>988.69957094265817</v>
      </c>
      <c r="N406" s="69">
        <f t="shared" ca="1" si="283"/>
        <v>570.03157996804271</v>
      </c>
      <c r="O406" s="69">
        <f t="shared" ca="1" si="284"/>
        <v>627.02206707835512</v>
      </c>
      <c r="P406" s="69">
        <f t="shared" ca="1" si="285"/>
        <v>724.22964808002166</v>
      </c>
      <c r="Q406" s="69">
        <f t="shared" ca="1" si="286"/>
        <v>953.98602008961166</v>
      </c>
      <c r="R406" s="69">
        <f t="shared" ca="1" si="287"/>
        <v>783.79502390434936</v>
      </c>
      <c r="S406" s="69">
        <f t="shared" ca="1" si="288"/>
        <v>701.52632229361086</v>
      </c>
      <c r="T406" s="69">
        <f t="shared" ca="1" si="289"/>
        <v>802.45777307988453</v>
      </c>
      <c r="U406" s="69">
        <f t="shared" ca="1" si="290"/>
        <v>1690.8411378047549</v>
      </c>
      <c r="V406" s="69">
        <f t="shared" ca="1" si="291"/>
        <v>1915.4380000437673</v>
      </c>
      <c r="W406" s="69">
        <f t="shared" ca="1" si="292"/>
        <v>1177.7850774537596</v>
      </c>
      <c r="X406" s="69">
        <f t="shared" ca="1" si="293"/>
        <v>1498.1339433732917</v>
      </c>
      <c r="Y406" s="69">
        <f t="shared" ca="1" si="294"/>
        <v>1206.5969439491091</v>
      </c>
      <c r="AA406" s="20">
        <f t="shared" ca="1" si="254"/>
        <v>6.5719857403970184E+16</v>
      </c>
      <c r="AB406" s="20">
        <f t="shared" ca="1" si="255"/>
        <v>1682165962389149</v>
      </c>
      <c r="AC406" s="20">
        <f t="shared" ca="1" si="256"/>
        <v>395742223551435.19</v>
      </c>
      <c r="AD406" s="20">
        <f t="shared" ca="1" si="257"/>
        <v>304850541967163.69</v>
      </c>
      <c r="AE406" s="20">
        <f t="shared" ca="1" si="258"/>
        <v>6895246827633226</v>
      </c>
      <c r="AG406" s="16">
        <f t="shared" ca="1" si="259"/>
        <v>1.0526433183966097E-4</v>
      </c>
      <c r="AH406" s="16">
        <f t="shared" ca="1" si="260"/>
        <v>-6.0619319415223941E-4</v>
      </c>
      <c r="AI406" s="16">
        <f t="shared" ca="1" si="261"/>
        <v>-1.0292585697267089E-4</v>
      </c>
      <c r="AJ406" s="16">
        <f t="shared" ca="1" si="262"/>
        <v>0</v>
      </c>
      <c r="AK406" s="16">
        <f t="shared" ca="1" si="263"/>
        <v>2.1265303991268087E-4</v>
      </c>
      <c r="AM406" s="16">
        <f t="shared" ca="1" si="264"/>
        <v>-6.0385471928524933E-4</v>
      </c>
      <c r="AO406" s="16">
        <f t="shared" ca="1" si="265"/>
        <v>0</v>
      </c>
      <c r="AP406" s="16">
        <f t="shared" ca="1" si="266"/>
        <v>-6.0619319415223941E-4</v>
      </c>
      <c r="AQ406" s="16">
        <f t="shared" ca="1" si="267"/>
        <v>-1.0292585697267089E-4</v>
      </c>
      <c r="AR406" s="16">
        <f t="shared" ca="1" si="268"/>
        <v>0</v>
      </c>
      <c r="AS406" s="16">
        <f t="shared" ca="1" si="269"/>
        <v>0</v>
      </c>
    </row>
    <row r="407" spans="1:45" x14ac:dyDescent="0.25">
      <c r="A407" s="69">
        <f t="shared" ca="1" si="270"/>
        <v>2453.4484778413284</v>
      </c>
      <c r="B407" s="69">
        <f t="shared" ca="1" si="271"/>
        <v>2136.7894657110078</v>
      </c>
      <c r="C407" s="69">
        <f t="shared" ca="1" si="272"/>
        <v>2226.7779296972358</v>
      </c>
      <c r="D407" s="69">
        <f t="shared" ca="1" si="273"/>
        <v>2911.5207844096863</v>
      </c>
      <c r="E407" s="69">
        <f t="shared" ca="1" si="274"/>
        <v>1933.7790413649832</v>
      </c>
      <c r="F407" s="69">
        <f t="shared" ca="1" si="275"/>
        <v>1221.4014666564462</v>
      </c>
      <c r="G407" s="69">
        <f t="shared" ca="1" si="276"/>
        <v>961.57842662929227</v>
      </c>
      <c r="H407" s="69">
        <f t="shared" ca="1" si="277"/>
        <v>1189.626350450342</v>
      </c>
      <c r="I407" s="69">
        <f t="shared" ca="1" si="278"/>
        <v>1051.3844210052264</v>
      </c>
      <c r="J407" s="69">
        <f t="shared" ca="1" si="279"/>
        <v>1144.4328449492614</v>
      </c>
      <c r="K407" s="69">
        <f t="shared" ca="1" si="280"/>
        <v>1175.3597150063877</v>
      </c>
      <c r="L407" s="69">
        <f t="shared" ca="1" si="281"/>
        <v>952.26496478895262</v>
      </c>
      <c r="M407" s="69">
        <f t="shared" ca="1" si="282"/>
        <v>988.86281852746163</v>
      </c>
      <c r="N407" s="69">
        <f t="shared" ca="1" si="283"/>
        <v>569.7947646677078</v>
      </c>
      <c r="O407" s="69">
        <f t="shared" ca="1" si="284"/>
        <v>627.45788260694121</v>
      </c>
      <c r="P407" s="69">
        <f t="shared" ca="1" si="285"/>
        <v>724.22964808002166</v>
      </c>
      <c r="Q407" s="69">
        <f t="shared" ca="1" si="286"/>
        <v>953.98602008961166</v>
      </c>
      <c r="R407" s="69">
        <f t="shared" ca="1" si="287"/>
        <v>783.79502390434936</v>
      </c>
      <c r="S407" s="69">
        <f t="shared" ca="1" si="288"/>
        <v>701.52632229361086</v>
      </c>
      <c r="T407" s="69">
        <f t="shared" ca="1" si="289"/>
        <v>802.45777307988453</v>
      </c>
      <c r="U407" s="69">
        <f t="shared" ca="1" si="290"/>
        <v>1690.8411378047549</v>
      </c>
      <c r="V407" s="69">
        <f t="shared" ca="1" si="291"/>
        <v>1915.216543240879</v>
      </c>
      <c r="W407" s="69">
        <f t="shared" ca="1" si="292"/>
        <v>1177.8406296810961</v>
      </c>
      <c r="X407" s="69">
        <f t="shared" ca="1" si="293"/>
        <v>1498.1339433732917</v>
      </c>
      <c r="Y407" s="69">
        <f t="shared" ca="1" si="294"/>
        <v>1206.9361792274067</v>
      </c>
      <c r="AA407" s="20">
        <f t="shared" ca="1" si="254"/>
        <v>6.5726775724968248E+16</v>
      </c>
      <c r="AB407" s="20">
        <f t="shared" ca="1" si="255"/>
        <v>1681146553841792.8</v>
      </c>
      <c r="AC407" s="20">
        <f t="shared" ca="1" si="256"/>
        <v>395701493540057.5</v>
      </c>
      <c r="AD407" s="20">
        <f t="shared" ca="1" si="257"/>
        <v>304850541967163.69</v>
      </c>
      <c r="AE407" s="20">
        <f t="shared" ca="1" si="258"/>
        <v>6896713278749188</v>
      </c>
      <c r="AG407" s="16">
        <f t="shared" ca="1" si="259"/>
        <v>1.8164367680528377E-4</v>
      </c>
      <c r="AH407" s="16">
        <f t="shared" ca="1" si="260"/>
        <v>-6.1960113523228469E-4</v>
      </c>
      <c r="AI407" s="16">
        <f t="shared" ca="1" si="261"/>
        <v>8.040024493747631E-5</v>
      </c>
      <c r="AJ407" s="16">
        <f t="shared" ca="1" si="262"/>
        <v>3.41956954459156E-4</v>
      </c>
      <c r="AK407" s="16">
        <f t="shared" ca="1" si="263"/>
        <v>-6.4247911779415784E-4</v>
      </c>
      <c r="AM407" s="16">
        <f t="shared" ca="1" si="264"/>
        <v>-1.5600259030368552E-5</v>
      </c>
      <c r="AO407" s="16">
        <f t="shared" ca="1" si="265"/>
        <v>0</v>
      </c>
      <c r="AP407" s="16">
        <f t="shared" ca="1" si="266"/>
        <v>-6.1960113523228469E-4</v>
      </c>
      <c r="AQ407" s="16">
        <f t="shared" ca="1" si="267"/>
        <v>0</v>
      </c>
      <c r="AR407" s="16">
        <f t="shared" ca="1" si="268"/>
        <v>0</v>
      </c>
      <c r="AS407" s="16">
        <f t="shared" ca="1" si="269"/>
        <v>-6.4247911779415784E-4</v>
      </c>
    </row>
    <row r="408" spans="1:45" x14ac:dyDescent="0.25">
      <c r="A408" s="69">
        <f t="shared" ca="1" si="270"/>
        <v>2453.4484778413284</v>
      </c>
      <c r="B408" s="69">
        <f t="shared" ca="1" si="271"/>
        <v>2136.7894657110078</v>
      </c>
      <c r="C408" s="69">
        <f t="shared" ca="1" si="272"/>
        <v>2226.8279808357893</v>
      </c>
      <c r="D408" s="69">
        <f t="shared" ca="1" si="273"/>
        <v>2911.9842393100134</v>
      </c>
      <c r="E408" s="69">
        <f t="shared" ca="1" si="274"/>
        <v>1933.7790413649832</v>
      </c>
      <c r="F408" s="69">
        <f t="shared" ca="1" si="275"/>
        <v>1221.502581052765</v>
      </c>
      <c r="G408" s="69">
        <f t="shared" ca="1" si="276"/>
        <v>961.32667883927604</v>
      </c>
      <c r="H408" s="69">
        <f t="shared" ca="1" si="277"/>
        <v>1189.4095638267329</v>
      </c>
      <c r="I408" s="69">
        <f t="shared" ca="1" si="278"/>
        <v>1051.1128890439261</v>
      </c>
      <c r="J408" s="69">
        <f t="shared" ca="1" si="279"/>
        <v>1144.4328449492614</v>
      </c>
      <c r="K408" s="69">
        <f t="shared" ca="1" si="280"/>
        <v>1175.3627044523978</v>
      </c>
      <c r="L408" s="69">
        <f t="shared" ca="1" si="281"/>
        <v>951.95492778292783</v>
      </c>
      <c r="M408" s="69">
        <f t="shared" ca="1" si="282"/>
        <v>988.86281852746163</v>
      </c>
      <c r="N408" s="69">
        <f t="shared" ca="1" si="283"/>
        <v>569.7947646677078</v>
      </c>
      <c r="O408" s="69">
        <f t="shared" ca="1" si="284"/>
        <v>627.71110562747958</v>
      </c>
      <c r="P408" s="69">
        <f t="shared" ca="1" si="285"/>
        <v>724.22964808002166</v>
      </c>
      <c r="Q408" s="69">
        <f t="shared" ca="1" si="286"/>
        <v>954.47267044223429</v>
      </c>
      <c r="R408" s="69">
        <f t="shared" ca="1" si="287"/>
        <v>783.53173105367705</v>
      </c>
      <c r="S408" s="69">
        <f t="shared" ca="1" si="288"/>
        <v>701.82534032395097</v>
      </c>
      <c r="T408" s="69">
        <f t="shared" ca="1" si="289"/>
        <v>802.25059917156466</v>
      </c>
      <c r="U408" s="69">
        <f t="shared" ca="1" si="290"/>
        <v>1690.8411378047549</v>
      </c>
      <c r="V408" s="69">
        <f t="shared" ca="1" si="291"/>
        <v>1914.9426715729121</v>
      </c>
      <c r="W408" s="69">
        <f t="shared" ca="1" si="292"/>
        <v>1177.4605017142828</v>
      </c>
      <c r="X408" s="69">
        <f t="shared" ca="1" si="293"/>
        <v>1498.1339433732917</v>
      </c>
      <c r="Y408" s="69">
        <f t="shared" ca="1" si="294"/>
        <v>1206.722949207759</v>
      </c>
      <c r="AA408" s="20">
        <f t="shared" ca="1" si="254"/>
        <v>6.5738715662549744E+16</v>
      </c>
      <c r="AB408" s="20">
        <f t="shared" ca="1" si="255"/>
        <v>1680105236162662.5</v>
      </c>
      <c r="AC408" s="20">
        <f t="shared" ca="1" si="256"/>
        <v>395733309316041.19</v>
      </c>
      <c r="AD408" s="20">
        <f t="shared" ca="1" si="257"/>
        <v>304954805555873.63</v>
      </c>
      <c r="AE408" s="20">
        <f t="shared" ca="1" si="258"/>
        <v>6892283707592032</v>
      </c>
      <c r="AG408" s="16">
        <f t="shared" ca="1" si="259"/>
        <v>-9.721498475441932E-5</v>
      </c>
      <c r="AH408" s="16">
        <f t="shared" ca="1" si="260"/>
        <v>-6.2731793927662321E-5</v>
      </c>
      <c r="AI408" s="16">
        <f t="shared" ca="1" si="261"/>
        <v>-4.9383814896510254E-4</v>
      </c>
      <c r="AJ408" s="16">
        <f t="shared" ca="1" si="262"/>
        <v>-1.2297074470958267E-3</v>
      </c>
      <c r="AK408" s="16">
        <f t="shared" ca="1" si="263"/>
        <v>-1.6676086394148295E-6</v>
      </c>
      <c r="AM408" s="16">
        <f t="shared" ca="1" si="264"/>
        <v>-1.883492374743011E-3</v>
      </c>
      <c r="AO408" s="16">
        <f t="shared" ca="1" si="265"/>
        <v>-9.721498475441932E-5</v>
      </c>
      <c r="AP408" s="16">
        <f t="shared" ca="1" si="266"/>
        <v>-6.2731793927662321E-5</v>
      </c>
      <c r="AQ408" s="16">
        <f t="shared" ca="1" si="267"/>
        <v>-4.9383814896510254E-4</v>
      </c>
      <c r="AR408" s="16">
        <f t="shared" ca="1" si="268"/>
        <v>-1.2297074470958267E-3</v>
      </c>
      <c r="AS408" s="16">
        <f t="shared" ca="1" si="269"/>
        <v>-1.6676086394148295E-6</v>
      </c>
    </row>
    <row r="409" spans="1:45" x14ac:dyDescent="0.25">
      <c r="A409" s="69">
        <f t="shared" ca="1" si="270"/>
        <v>2453.150634196551</v>
      </c>
      <c r="B409" s="69">
        <f t="shared" ca="1" si="271"/>
        <v>2136.9870958815009</v>
      </c>
      <c r="C409" s="69">
        <f t="shared" ca="1" si="272"/>
        <v>2226.8279808357893</v>
      </c>
      <c r="D409" s="69">
        <f t="shared" ca="1" si="273"/>
        <v>2911.7853730670618</v>
      </c>
      <c r="E409" s="69">
        <f t="shared" ca="1" si="274"/>
        <v>1933.7790413649832</v>
      </c>
      <c r="F409" s="69">
        <f t="shared" ca="1" si="275"/>
        <v>1221.502581052765</v>
      </c>
      <c r="G409" s="69">
        <f t="shared" ca="1" si="276"/>
        <v>961.32667883927604</v>
      </c>
      <c r="H409" s="69">
        <f t="shared" ca="1" si="277"/>
        <v>1189.5312205440955</v>
      </c>
      <c r="I409" s="69">
        <f t="shared" ca="1" si="278"/>
        <v>1050.6642159649737</v>
      </c>
      <c r="J409" s="69">
        <f t="shared" ca="1" si="279"/>
        <v>1144.732653007535</v>
      </c>
      <c r="K409" s="69">
        <f t="shared" ca="1" si="280"/>
        <v>1175.3627044523978</v>
      </c>
      <c r="L409" s="69">
        <f t="shared" ca="1" si="281"/>
        <v>951.95492778292783</v>
      </c>
      <c r="M409" s="69">
        <f t="shared" ca="1" si="282"/>
        <v>988.3737706554133</v>
      </c>
      <c r="N409" s="69">
        <f t="shared" ca="1" si="283"/>
        <v>569.7947646677078</v>
      </c>
      <c r="O409" s="69">
        <f t="shared" ca="1" si="284"/>
        <v>627.71163291393134</v>
      </c>
      <c r="P409" s="69">
        <f t="shared" ca="1" si="285"/>
        <v>723.92866517199707</v>
      </c>
      <c r="Q409" s="69">
        <f t="shared" ca="1" si="286"/>
        <v>954.47267044223429</v>
      </c>
      <c r="R409" s="69">
        <f t="shared" ca="1" si="287"/>
        <v>783.09889624787627</v>
      </c>
      <c r="S409" s="69">
        <f t="shared" ca="1" si="288"/>
        <v>701.51853934879034</v>
      </c>
      <c r="T409" s="69">
        <f t="shared" ca="1" si="289"/>
        <v>802.39163111540802</v>
      </c>
      <c r="U409" s="69">
        <f t="shared" ca="1" si="290"/>
        <v>1691.2204889383788</v>
      </c>
      <c r="V409" s="69">
        <f t="shared" ca="1" si="291"/>
        <v>1915.0664949234304</v>
      </c>
      <c r="W409" s="69">
        <f t="shared" ca="1" si="292"/>
        <v>1177.0379459263004</v>
      </c>
      <c r="X409" s="69">
        <f t="shared" ca="1" si="293"/>
        <v>1498.236234061198</v>
      </c>
      <c r="Y409" s="69">
        <f t="shared" ca="1" si="294"/>
        <v>1206.722949207759</v>
      </c>
      <c r="AA409" s="20">
        <f t="shared" ca="1" si="254"/>
        <v>6.573232518493896E+16</v>
      </c>
      <c r="AB409" s="20">
        <f t="shared" ca="1" si="255"/>
        <v>1679999843452982.3</v>
      </c>
      <c r="AC409" s="20">
        <f t="shared" ca="1" si="256"/>
        <v>395537929358093.81</v>
      </c>
      <c r="AD409" s="20">
        <f t="shared" ca="1" si="257"/>
        <v>304580030839311.13</v>
      </c>
      <c r="AE409" s="20">
        <f t="shared" ca="1" si="258"/>
        <v>6892272213969759</v>
      </c>
      <c r="AG409" s="16">
        <f t="shared" ca="1" si="259"/>
        <v>-4.5976638800150399E-4</v>
      </c>
      <c r="AH409" s="16">
        <f t="shared" ca="1" si="260"/>
        <v>2.3824290051439358E-4</v>
      </c>
      <c r="AI409" s="16">
        <f t="shared" ca="1" si="261"/>
        <v>1.7808632131559443E-4</v>
      </c>
      <c r="AJ409" s="16">
        <f t="shared" ca="1" si="262"/>
        <v>3.7646269139207124E-4</v>
      </c>
      <c r="AK409" s="16">
        <f t="shared" ca="1" si="263"/>
        <v>-3.8872268872208159E-5</v>
      </c>
      <c r="AM409" s="16">
        <f t="shared" ca="1" si="264"/>
        <v>3.3302552522055523E-4</v>
      </c>
      <c r="AO409" s="16">
        <f t="shared" ca="1" si="265"/>
        <v>-4.5976638800150399E-4</v>
      </c>
      <c r="AP409" s="16">
        <f t="shared" ca="1" si="266"/>
        <v>0</v>
      </c>
      <c r="AQ409" s="16">
        <f t="shared" ca="1" si="267"/>
        <v>0</v>
      </c>
      <c r="AR409" s="16">
        <f t="shared" ca="1" si="268"/>
        <v>0</v>
      </c>
      <c r="AS409" s="16">
        <f t="shared" ca="1" si="269"/>
        <v>-3.8872268872208159E-5</v>
      </c>
    </row>
    <row r="410" spans="1:45" x14ac:dyDescent="0.25">
      <c r="A410" s="69">
        <f t="shared" ca="1" si="270"/>
        <v>2453.150634196551</v>
      </c>
      <c r="B410" s="69">
        <f t="shared" ca="1" si="271"/>
        <v>2136.9870958815009</v>
      </c>
      <c r="C410" s="69">
        <f t="shared" ca="1" si="272"/>
        <v>2226.7215094265193</v>
      </c>
      <c r="D410" s="69">
        <f t="shared" ca="1" si="273"/>
        <v>2911.3311420332379</v>
      </c>
      <c r="E410" s="69">
        <f t="shared" ca="1" si="274"/>
        <v>1933.2841682438818</v>
      </c>
      <c r="F410" s="69">
        <f t="shared" ca="1" si="275"/>
        <v>1221.502581052765</v>
      </c>
      <c r="G410" s="69">
        <f t="shared" ca="1" si="276"/>
        <v>960.94640955336388</v>
      </c>
      <c r="H410" s="69">
        <f t="shared" ca="1" si="277"/>
        <v>1189.5044242344386</v>
      </c>
      <c r="I410" s="69">
        <f t="shared" ca="1" si="278"/>
        <v>1051.0929235790995</v>
      </c>
      <c r="J410" s="69">
        <f t="shared" ca="1" si="279"/>
        <v>1145.0171129134908</v>
      </c>
      <c r="K410" s="69">
        <f t="shared" ca="1" si="280"/>
        <v>1175.3627044523978</v>
      </c>
      <c r="L410" s="69">
        <f t="shared" ca="1" si="281"/>
        <v>952.14627154650543</v>
      </c>
      <c r="M410" s="69">
        <f t="shared" ca="1" si="282"/>
        <v>988.35114274399757</v>
      </c>
      <c r="N410" s="69">
        <f t="shared" ca="1" si="283"/>
        <v>569.7947646677078</v>
      </c>
      <c r="O410" s="69">
        <f t="shared" ca="1" si="284"/>
        <v>627.71163291393134</v>
      </c>
      <c r="P410" s="69">
        <f t="shared" ca="1" si="285"/>
        <v>723.80829007616251</v>
      </c>
      <c r="Q410" s="69">
        <f t="shared" ca="1" si="286"/>
        <v>954.07018214539698</v>
      </c>
      <c r="R410" s="69">
        <f t="shared" ca="1" si="287"/>
        <v>783.46182912868073</v>
      </c>
      <c r="S410" s="69">
        <f t="shared" ca="1" si="288"/>
        <v>701.51853934879034</v>
      </c>
      <c r="T410" s="69">
        <f t="shared" ca="1" si="289"/>
        <v>802.79387649186617</v>
      </c>
      <c r="U410" s="69">
        <f t="shared" ca="1" si="290"/>
        <v>1691.2204889383788</v>
      </c>
      <c r="V410" s="69">
        <f t="shared" ca="1" si="291"/>
        <v>1915.0664949234304</v>
      </c>
      <c r="W410" s="69">
        <f t="shared" ca="1" si="292"/>
        <v>1176.64205368327</v>
      </c>
      <c r="X410" s="69">
        <f t="shared" ca="1" si="293"/>
        <v>1498.7352718968502</v>
      </c>
      <c r="Y410" s="69">
        <f t="shared" ca="1" si="294"/>
        <v>1206.6801142305562</v>
      </c>
      <c r="AA410" s="20">
        <f t="shared" ca="1" si="254"/>
        <v>6.5702110617567232E+16</v>
      </c>
      <c r="AB410" s="20">
        <f t="shared" ca="1" si="255"/>
        <v>1680400139170463.3</v>
      </c>
      <c r="AC410" s="20">
        <f t="shared" ca="1" si="256"/>
        <v>395608375525437.19</v>
      </c>
      <c r="AD410" s="20">
        <f t="shared" ca="1" si="257"/>
        <v>304694715443348.06</v>
      </c>
      <c r="AE410" s="20">
        <f t="shared" ca="1" si="258"/>
        <v>6892004300918345</v>
      </c>
      <c r="AG410" s="16">
        <f t="shared" ca="1" si="259"/>
        <v>-4.4971325300340276E-4</v>
      </c>
      <c r="AH410" s="16">
        <f t="shared" ca="1" si="260"/>
        <v>-3.4569966028264647E-4</v>
      </c>
      <c r="AI410" s="16">
        <f t="shared" ca="1" si="261"/>
        <v>8.4032091309992323E-4</v>
      </c>
      <c r="AJ410" s="16">
        <f t="shared" ca="1" si="262"/>
        <v>-2.848891989723569E-4</v>
      </c>
      <c r="AK410" s="16">
        <f t="shared" ca="1" si="263"/>
        <v>9.7225797658221042E-5</v>
      </c>
      <c r="AM410" s="16">
        <f t="shared" ca="1" si="264"/>
        <v>-2.399811991584829E-4</v>
      </c>
      <c r="AO410" s="16">
        <f t="shared" ca="1" si="265"/>
        <v>-4.4971325300340276E-4</v>
      </c>
      <c r="AP410" s="16">
        <f t="shared" ca="1" si="266"/>
        <v>-3.4569966028264647E-4</v>
      </c>
      <c r="AQ410" s="16">
        <f t="shared" ca="1" si="267"/>
        <v>0</v>
      </c>
      <c r="AR410" s="16">
        <f t="shared" ca="1" si="268"/>
        <v>-2.848891989723569E-4</v>
      </c>
      <c r="AS410" s="16">
        <f t="shared" ca="1" si="269"/>
        <v>0</v>
      </c>
    </row>
    <row r="411" spans="1:45" x14ac:dyDescent="0.25">
      <c r="A411" s="69">
        <f t="shared" ca="1" si="270"/>
        <v>2453.1650300775518</v>
      </c>
      <c r="B411" s="69">
        <f t="shared" ca="1" si="271"/>
        <v>2136.5416226896668</v>
      </c>
      <c r="C411" s="69">
        <f t="shared" ca="1" si="272"/>
        <v>2226.7215094265193</v>
      </c>
      <c r="D411" s="69">
        <f t="shared" ca="1" si="273"/>
        <v>2911.3302347938497</v>
      </c>
      <c r="E411" s="69">
        <f t="shared" ca="1" si="274"/>
        <v>1932.8071125439158</v>
      </c>
      <c r="F411" s="69">
        <f t="shared" ca="1" si="275"/>
        <v>1221.502581052765</v>
      </c>
      <c r="G411" s="69">
        <f t="shared" ca="1" si="276"/>
        <v>960.89127287178314</v>
      </c>
      <c r="H411" s="69">
        <f t="shared" ca="1" si="277"/>
        <v>1189.5044242344386</v>
      </c>
      <c r="I411" s="69">
        <f t="shared" ca="1" si="278"/>
        <v>1051.0929235790995</v>
      </c>
      <c r="J411" s="69">
        <f t="shared" ca="1" si="279"/>
        <v>1144.6870285530797</v>
      </c>
      <c r="K411" s="69">
        <f t="shared" ca="1" si="280"/>
        <v>1175.3627044523978</v>
      </c>
      <c r="L411" s="69">
        <f t="shared" ca="1" si="281"/>
        <v>952.14627154650543</v>
      </c>
      <c r="M411" s="69">
        <f t="shared" ca="1" si="282"/>
        <v>988.79693817573207</v>
      </c>
      <c r="N411" s="69">
        <f t="shared" ca="1" si="283"/>
        <v>569.7947646677078</v>
      </c>
      <c r="O411" s="69">
        <f t="shared" ca="1" si="284"/>
        <v>627.95609444120385</v>
      </c>
      <c r="P411" s="69">
        <f t="shared" ca="1" si="285"/>
        <v>723.80829007616251</v>
      </c>
      <c r="Q411" s="69">
        <f t="shared" ca="1" si="286"/>
        <v>953.95195280150801</v>
      </c>
      <c r="R411" s="69">
        <f t="shared" ca="1" si="287"/>
        <v>783.46182912868073</v>
      </c>
      <c r="S411" s="69">
        <f t="shared" ca="1" si="288"/>
        <v>701.38048327264926</v>
      </c>
      <c r="T411" s="69">
        <f t="shared" ca="1" si="289"/>
        <v>802.82266110865737</v>
      </c>
      <c r="U411" s="69">
        <f t="shared" ca="1" si="290"/>
        <v>1691.5291243768143</v>
      </c>
      <c r="V411" s="69">
        <f t="shared" ca="1" si="291"/>
        <v>1915.4039328490635</v>
      </c>
      <c r="W411" s="69">
        <f t="shared" ca="1" si="292"/>
        <v>1176.64205368327</v>
      </c>
      <c r="X411" s="69">
        <f t="shared" ca="1" si="293"/>
        <v>1498.9373254081465</v>
      </c>
      <c r="Y411" s="69">
        <f t="shared" ca="1" si="294"/>
        <v>1206.2020699675709</v>
      </c>
      <c r="AA411" s="20">
        <f t="shared" ca="1" si="254"/>
        <v>6.567257015053984E+16</v>
      </c>
      <c r="AB411" s="20">
        <f t="shared" ca="1" si="255"/>
        <v>1679819325812487.8</v>
      </c>
      <c r="AC411" s="20">
        <f t="shared" ca="1" si="256"/>
        <v>395940953233219.75</v>
      </c>
      <c r="AD411" s="20">
        <f t="shared" ca="1" si="257"/>
        <v>304607923573554.44</v>
      </c>
      <c r="AE411" s="20">
        <f t="shared" ca="1" si="258"/>
        <v>6892674414109583</v>
      </c>
      <c r="AG411" s="16">
        <f t="shared" ca="1" si="259"/>
        <v>-7.2765011074618136E-5</v>
      </c>
      <c r="AH411" s="16">
        <f t="shared" ca="1" si="260"/>
        <v>-6.92895352176406E-4</v>
      </c>
      <c r="AI411" s="16">
        <f t="shared" ca="1" si="261"/>
        <v>-7.1355348473020597E-4</v>
      </c>
      <c r="AJ411" s="16">
        <f t="shared" ca="1" si="262"/>
        <v>-3.6674686626985271E-5</v>
      </c>
      <c r="AK411" s="16">
        <f t="shared" ca="1" si="263"/>
        <v>1.4193914419095849E-4</v>
      </c>
      <c r="AM411" s="16">
        <f t="shared" ca="1" si="264"/>
        <v>-1.5158885346082153E-3</v>
      </c>
      <c r="AO411" s="16">
        <f t="shared" ca="1" si="265"/>
        <v>-7.2765011074618136E-5</v>
      </c>
      <c r="AP411" s="16">
        <f t="shared" ca="1" si="266"/>
        <v>-6.92895352176406E-4</v>
      </c>
      <c r="AQ411" s="16">
        <f t="shared" ca="1" si="267"/>
        <v>-7.1355348473020597E-4</v>
      </c>
      <c r="AR411" s="16">
        <f t="shared" ca="1" si="268"/>
        <v>-3.6674686626985271E-5</v>
      </c>
      <c r="AS411" s="16">
        <f t="shared" ca="1" si="269"/>
        <v>0</v>
      </c>
    </row>
    <row r="412" spans="1:45" x14ac:dyDescent="0.25">
      <c r="A412" s="69">
        <f t="shared" ca="1" si="270"/>
        <v>2453.1032738010817</v>
      </c>
      <c r="B412" s="69">
        <f t="shared" ca="1" si="271"/>
        <v>2136.5416226896668</v>
      </c>
      <c r="C412" s="69">
        <f t="shared" ca="1" si="272"/>
        <v>2226.7215094265193</v>
      </c>
      <c r="D412" s="69">
        <f t="shared" ca="1" si="273"/>
        <v>2911.7283672858052</v>
      </c>
      <c r="E412" s="69">
        <f t="shared" ca="1" si="274"/>
        <v>1932.4508633164062</v>
      </c>
      <c r="F412" s="69">
        <f t="shared" ca="1" si="275"/>
        <v>1221.502581052765</v>
      </c>
      <c r="G412" s="69">
        <f t="shared" ca="1" si="276"/>
        <v>960.58333930415154</v>
      </c>
      <c r="H412" s="69">
        <f t="shared" ca="1" si="277"/>
        <v>1189.0615621509151</v>
      </c>
      <c r="I412" s="69">
        <f t="shared" ca="1" si="278"/>
        <v>1051.0929235790995</v>
      </c>
      <c r="J412" s="69">
        <f t="shared" ca="1" si="279"/>
        <v>1144.6870285530797</v>
      </c>
      <c r="K412" s="69">
        <f t="shared" ca="1" si="280"/>
        <v>1175.0886879889567</v>
      </c>
      <c r="L412" s="69">
        <f t="shared" ca="1" si="281"/>
        <v>952.14627154650543</v>
      </c>
      <c r="M412" s="69">
        <f t="shared" ca="1" si="282"/>
        <v>988.79693817573207</v>
      </c>
      <c r="N412" s="69">
        <f t="shared" ca="1" si="283"/>
        <v>569.33317639258291</v>
      </c>
      <c r="O412" s="69">
        <f t="shared" ca="1" si="284"/>
        <v>628.163373754639</v>
      </c>
      <c r="P412" s="69">
        <f t="shared" ca="1" si="285"/>
        <v>724.27581561690033</v>
      </c>
      <c r="Q412" s="69">
        <f t="shared" ca="1" si="286"/>
        <v>954.24808214635061</v>
      </c>
      <c r="R412" s="69">
        <f t="shared" ca="1" si="287"/>
        <v>782.98382012434797</v>
      </c>
      <c r="S412" s="69">
        <f t="shared" ca="1" si="288"/>
        <v>701.38048327264926</v>
      </c>
      <c r="T412" s="69">
        <f t="shared" ca="1" si="289"/>
        <v>802.51567554179394</v>
      </c>
      <c r="U412" s="69">
        <f t="shared" ca="1" si="290"/>
        <v>1691.435545635378</v>
      </c>
      <c r="V412" s="69">
        <f t="shared" ca="1" si="291"/>
        <v>1915.445839762534</v>
      </c>
      <c r="W412" s="69">
        <f t="shared" ca="1" si="292"/>
        <v>1176.8415134387105</v>
      </c>
      <c r="X412" s="69">
        <f t="shared" ca="1" si="293"/>
        <v>1498.9461426091361</v>
      </c>
      <c r="Y412" s="69">
        <f t="shared" ca="1" si="294"/>
        <v>1206.2020699675709</v>
      </c>
      <c r="AA412" s="20">
        <f t="shared" ca="1" si="254"/>
        <v>6.5667791659101136E+16</v>
      </c>
      <c r="AB412" s="20">
        <f t="shared" ca="1" si="255"/>
        <v>1678655789959979.8</v>
      </c>
      <c r="AC412" s="20">
        <f t="shared" ca="1" si="256"/>
        <v>395658528960687.94</v>
      </c>
      <c r="AD412" s="20">
        <f t="shared" ca="1" si="257"/>
        <v>304596752378264.56</v>
      </c>
      <c r="AE412" s="20">
        <f t="shared" ca="1" si="258"/>
        <v>6893652823852787</v>
      </c>
      <c r="AG412" s="16">
        <f t="shared" ca="1" si="259"/>
        <v>-3.5160686079918803E-4</v>
      </c>
      <c r="AH412" s="16">
        <f t="shared" ca="1" si="260"/>
        <v>-1.0483257957887662E-3</v>
      </c>
      <c r="AI412" s="16">
        <f t="shared" ca="1" si="261"/>
        <v>3.5990531815726636E-4</v>
      </c>
      <c r="AJ412" s="16">
        <f t="shared" ca="1" si="262"/>
        <v>3.0572579986585354E-5</v>
      </c>
      <c r="AK412" s="16">
        <f t="shared" ca="1" si="263"/>
        <v>8.1726613045873017E-4</v>
      </c>
      <c r="AM412" s="16">
        <f t="shared" ca="1" si="264"/>
        <v>-1.0094547584441024E-3</v>
      </c>
      <c r="AO412" s="16">
        <f t="shared" ca="1" si="265"/>
        <v>-3.5160686079918803E-4</v>
      </c>
      <c r="AP412" s="16">
        <f t="shared" ca="1" si="266"/>
        <v>-1.0483257957887662E-3</v>
      </c>
      <c r="AQ412" s="16">
        <f t="shared" ca="1" si="267"/>
        <v>0</v>
      </c>
      <c r="AR412" s="16">
        <f t="shared" ca="1" si="268"/>
        <v>0</v>
      </c>
      <c r="AS412" s="16">
        <f t="shared" ca="1" si="269"/>
        <v>0</v>
      </c>
    </row>
    <row r="413" spans="1:45" x14ac:dyDescent="0.25">
      <c r="A413" s="69">
        <f t="shared" ca="1" si="270"/>
        <v>2452.6367100862276</v>
      </c>
      <c r="B413" s="69">
        <f t="shared" ca="1" si="271"/>
        <v>2136.5416226896668</v>
      </c>
      <c r="C413" s="69">
        <f t="shared" ca="1" si="272"/>
        <v>2226.6690655676316</v>
      </c>
      <c r="D413" s="69">
        <f t="shared" ca="1" si="273"/>
        <v>2911.3270330473242</v>
      </c>
      <c r="E413" s="69">
        <f t="shared" ca="1" si="274"/>
        <v>1932.4508633164062</v>
      </c>
      <c r="F413" s="69">
        <f t="shared" ca="1" si="275"/>
        <v>1221.2084172539578</v>
      </c>
      <c r="G413" s="69">
        <f t="shared" ca="1" si="276"/>
        <v>960.58333930415154</v>
      </c>
      <c r="H413" s="69">
        <f t="shared" ca="1" si="277"/>
        <v>1188.6198652390301</v>
      </c>
      <c r="I413" s="69">
        <f t="shared" ca="1" si="278"/>
        <v>1050.6348103067553</v>
      </c>
      <c r="J413" s="69">
        <f t="shared" ca="1" si="279"/>
        <v>1144.6870285530797</v>
      </c>
      <c r="K413" s="69">
        <f t="shared" ca="1" si="280"/>
        <v>1175.0886879889567</v>
      </c>
      <c r="L413" s="69">
        <f t="shared" ca="1" si="281"/>
        <v>952.14627154650543</v>
      </c>
      <c r="M413" s="69">
        <f t="shared" ca="1" si="282"/>
        <v>988.80254173639821</v>
      </c>
      <c r="N413" s="69">
        <f t="shared" ca="1" si="283"/>
        <v>569.53489172626109</v>
      </c>
      <c r="O413" s="69">
        <f t="shared" ca="1" si="284"/>
        <v>628.163373754639</v>
      </c>
      <c r="P413" s="69">
        <f t="shared" ca="1" si="285"/>
        <v>724.19000615209757</v>
      </c>
      <c r="Q413" s="69">
        <f t="shared" ca="1" si="286"/>
        <v>954.66455641222808</v>
      </c>
      <c r="R413" s="69">
        <f t="shared" ca="1" si="287"/>
        <v>782.83875961452259</v>
      </c>
      <c r="S413" s="69">
        <f t="shared" ca="1" si="288"/>
        <v>701.30894060967819</v>
      </c>
      <c r="T413" s="69">
        <f t="shared" ca="1" si="289"/>
        <v>802.51567554179394</v>
      </c>
      <c r="U413" s="69">
        <f t="shared" ca="1" si="290"/>
        <v>1691.6954504600465</v>
      </c>
      <c r="V413" s="69">
        <f t="shared" ca="1" si="291"/>
        <v>1915.7457102554108</v>
      </c>
      <c r="W413" s="69">
        <f t="shared" ca="1" si="292"/>
        <v>1176.8365274597672</v>
      </c>
      <c r="X413" s="69">
        <f t="shared" ca="1" si="293"/>
        <v>1499.2462140710043</v>
      </c>
      <c r="Y413" s="69">
        <f t="shared" ca="1" si="294"/>
        <v>1206.5774326941669</v>
      </c>
      <c r="AA413" s="20">
        <f t="shared" ca="1" si="254"/>
        <v>6.5644706471713232E+16</v>
      </c>
      <c r="AB413" s="20">
        <f t="shared" ca="1" si="255"/>
        <v>1676896933881293.8</v>
      </c>
      <c r="AC413" s="20">
        <f t="shared" ca="1" si="256"/>
        <v>395800954197697.94</v>
      </c>
      <c r="AD413" s="20">
        <f t="shared" ca="1" si="257"/>
        <v>304606064829192.38</v>
      </c>
      <c r="AE413" s="20">
        <f t="shared" ca="1" si="258"/>
        <v>6899289075666003</v>
      </c>
      <c r="AG413" s="16">
        <f t="shared" ca="1" si="259"/>
        <v>1.5002900049220622E-4</v>
      </c>
      <c r="AH413" s="16">
        <f t="shared" ca="1" si="260"/>
        <v>-6.5816205194387271E-4</v>
      </c>
      <c r="AI413" s="16">
        <f t="shared" ca="1" si="261"/>
        <v>3.5800591589920923E-4</v>
      </c>
      <c r="AJ413" s="16">
        <f t="shared" ca="1" si="262"/>
        <v>6.1406872926913776E-4</v>
      </c>
      <c r="AK413" s="16">
        <f t="shared" ca="1" si="263"/>
        <v>-3.1770416119654529E-4</v>
      </c>
      <c r="AM413" s="16">
        <f t="shared" ca="1" si="264"/>
        <v>4.6394159371668047E-4</v>
      </c>
      <c r="AO413" s="16">
        <f t="shared" ca="1" si="265"/>
        <v>0</v>
      </c>
      <c r="AP413" s="16">
        <f t="shared" ca="1" si="266"/>
        <v>-6.5816205194387271E-4</v>
      </c>
      <c r="AQ413" s="16">
        <f t="shared" ca="1" si="267"/>
        <v>0</v>
      </c>
      <c r="AR413" s="16">
        <f t="shared" ca="1" si="268"/>
        <v>0</v>
      </c>
      <c r="AS413" s="16">
        <f t="shared" ca="1" si="269"/>
        <v>-3.1770416119654529E-4</v>
      </c>
    </row>
    <row r="414" spans="1:45" x14ac:dyDescent="0.25">
      <c r="A414" s="69">
        <f t="shared" ca="1" si="270"/>
        <v>2452.2376365972041</v>
      </c>
      <c r="B414" s="69">
        <f t="shared" ca="1" si="271"/>
        <v>2136.8947575467146</v>
      </c>
      <c r="C414" s="69">
        <f t="shared" ca="1" si="272"/>
        <v>2226.6690655676316</v>
      </c>
      <c r="D414" s="69">
        <f t="shared" ca="1" si="273"/>
        <v>2911.3270330473242</v>
      </c>
      <c r="E414" s="69">
        <f t="shared" ca="1" si="274"/>
        <v>1932.7358909355564</v>
      </c>
      <c r="F414" s="69">
        <f t="shared" ca="1" si="275"/>
        <v>1220.7690636757959</v>
      </c>
      <c r="G414" s="69">
        <f t="shared" ca="1" si="276"/>
        <v>960.54540111967356</v>
      </c>
      <c r="H414" s="69">
        <f t="shared" ca="1" si="277"/>
        <v>1188.3973213376114</v>
      </c>
      <c r="I414" s="69">
        <f t="shared" ca="1" si="278"/>
        <v>1050.5344059657798</v>
      </c>
      <c r="J414" s="69">
        <f t="shared" ca="1" si="279"/>
        <v>1144.7144833539649</v>
      </c>
      <c r="K414" s="69">
        <f t="shared" ca="1" si="280"/>
        <v>1175.2141314593357</v>
      </c>
      <c r="L414" s="69">
        <f t="shared" ca="1" si="281"/>
        <v>952.61763789198585</v>
      </c>
      <c r="M414" s="69">
        <f t="shared" ca="1" si="282"/>
        <v>988.41526835977083</v>
      </c>
      <c r="N414" s="69">
        <f t="shared" ca="1" si="283"/>
        <v>569.61922376020982</v>
      </c>
      <c r="O414" s="69">
        <f t="shared" ca="1" si="284"/>
        <v>628.163373754639</v>
      </c>
      <c r="P414" s="69">
        <f t="shared" ca="1" si="285"/>
        <v>723.83783693967041</v>
      </c>
      <c r="Q414" s="69">
        <f t="shared" ca="1" si="286"/>
        <v>955.13173903587892</v>
      </c>
      <c r="R414" s="69">
        <f t="shared" ca="1" si="287"/>
        <v>783.16669298059344</v>
      </c>
      <c r="S414" s="69">
        <f t="shared" ca="1" si="288"/>
        <v>701.44389748833385</v>
      </c>
      <c r="T414" s="69">
        <f t="shared" ca="1" si="289"/>
        <v>802.51567554179394</v>
      </c>
      <c r="U414" s="69">
        <f t="shared" ca="1" si="290"/>
        <v>1691.3092462411423</v>
      </c>
      <c r="V414" s="69">
        <f t="shared" ca="1" si="291"/>
        <v>1915.7457102554108</v>
      </c>
      <c r="W414" s="69">
        <f t="shared" ca="1" si="292"/>
        <v>1176.7313418962738</v>
      </c>
      <c r="X414" s="69">
        <f t="shared" ca="1" si="293"/>
        <v>1499.2462140710043</v>
      </c>
      <c r="Y414" s="69">
        <f t="shared" ca="1" si="294"/>
        <v>1206.5774326941669</v>
      </c>
      <c r="AA414" s="20">
        <f t="shared" ca="1" si="254"/>
        <v>6.5654555820238272E+16</v>
      </c>
      <c r="AB414" s="20">
        <f t="shared" ca="1" si="255"/>
        <v>1675793627071556.3</v>
      </c>
      <c r="AC414" s="20">
        <f t="shared" ca="1" si="256"/>
        <v>395942678648401.44</v>
      </c>
      <c r="AD414" s="20">
        <f t="shared" ca="1" si="257"/>
        <v>304793171330595.94</v>
      </c>
      <c r="AE414" s="20">
        <f t="shared" ca="1" si="258"/>
        <v>6897097490973588</v>
      </c>
      <c r="AG414" s="16">
        <f t="shared" ca="1" si="259"/>
        <v>-3.12793366324278E-4</v>
      </c>
      <c r="AH414" s="16">
        <f t="shared" ca="1" si="260"/>
        <v>-1.0392312724670447E-4</v>
      </c>
      <c r="AI414" s="16">
        <f t="shared" ca="1" si="261"/>
        <v>-5.4065291027994363E-4</v>
      </c>
      <c r="AJ414" s="16">
        <f t="shared" ca="1" si="262"/>
        <v>-1.3191124324067288E-3</v>
      </c>
      <c r="AK414" s="16">
        <f t="shared" ca="1" si="263"/>
        <v>-5.1674062314569251E-4</v>
      </c>
      <c r="AM414" s="16">
        <f t="shared" ca="1" si="264"/>
        <v>-2.2764818362576546E-3</v>
      </c>
      <c r="AO414" s="16">
        <f t="shared" ca="1" si="265"/>
        <v>-3.12793366324278E-4</v>
      </c>
      <c r="AP414" s="16">
        <f t="shared" ca="1" si="266"/>
        <v>-1.0392312724670447E-4</v>
      </c>
      <c r="AQ414" s="16">
        <f t="shared" ca="1" si="267"/>
        <v>-5.4065291027994363E-4</v>
      </c>
      <c r="AR414" s="16">
        <f t="shared" ca="1" si="268"/>
        <v>-1.3191124324067288E-3</v>
      </c>
      <c r="AS414" s="16">
        <f t="shared" ca="1" si="269"/>
        <v>-5.1674062314569251E-4</v>
      </c>
    </row>
    <row r="415" spans="1:45" x14ac:dyDescent="0.25">
      <c r="A415" s="69">
        <f t="shared" ca="1" si="270"/>
        <v>2451.7991040160164</v>
      </c>
      <c r="B415" s="69">
        <f t="shared" ca="1" si="271"/>
        <v>2136.8947575467146</v>
      </c>
      <c r="C415" s="69">
        <f t="shared" ca="1" si="272"/>
        <v>2226.6690655676316</v>
      </c>
      <c r="D415" s="69">
        <f t="shared" ca="1" si="273"/>
        <v>2910.8762867184973</v>
      </c>
      <c r="E415" s="69">
        <f t="shared" ca="1" si="274"/>
        <v>1932.7762646932667</v>
      </c>
      <c r="F415" s="69">
        <f t="shared" ca="1" si="275"/>
        <v>1220.7690636757959</v>
      </c>
      <c r="G415" s="69">
        <f t="shared" ca="1" si="276"/>
        <v>960.54540111967356</v>
      </c>
      <c r="H415" s="69">
        <f t="shared" ca="1" si="277"/>
        <v>1188.3973213376114</v>
      </c>
      <c r="I415" s="69">
        <f t="shared" ca="1" si="278"/>
        <v>1050.5344059657798</v>
      </c>
      <c r="J415" s="69">
        <f t="shared" ca="1" si="279"/>
        <v>1144.5955272263036</v>
      </c>
      <c r="K415" s="69">
        <f t="shared" ca="1" si="280"/>
        <v>1174.8704354151496</v>
      </c>
      <c r="L415" s="69">
        <f t="shared" ca="1" si="281"/>
        <v>952.43548843039753</v>
      </c>
      <c r="M415" s="69">
        <f t="shared" ca="1" si="282"/>
        <v>988.42509707320414</v>
      </c>
      <c r="N415" s="69">
        <f t="shared" ca="1" si="283"/>
        <v>569.61922376020982</v>
      </c>
      <c r="O415" s="69">
        <f t="shared" ca="1" si="284"/>
        <v>628.12136841346478</v>
      </c>
      <c r="P415" s="69">
        <f t="shared" ca="1" si="285"/>
        <v>723.83783693967041</v>
      </c>
      <c r="Q415" s="69">
        <f t="shared" ca="1" si="286"/>
        <v>954.90396721036382</v>
      </c>
      <c r="R415" s="69">
        <f t="shared" ca="1" si="287"/>
        <v>782.69144050425393</v>
      </c>
      <c r="S415" s="69">
        <f t="shared" ca="1" si="288"/>
        <v>701.49705199270488</v>
      </c>
      <c r="T415" s="69">
        <f t="shared" ca="1" si="289"/>
        <v>802.07491890199685</v>
      </c>
      <c r="U415" s="69">
        <f t="shared" ca="1" si="290"/>
        <v>1691.3092462411423</v>
      </c>
      <c r="V415" s="69">
        <f t="shared" ca="1" si="291"/>
        <v>1915.7457102554108</v>
      </c>
      <c r="W415" s="69">
        <f t="shared" ca="1" si="292"/>
        <v>1176.596020330282</v>
      </c>
      <c r="X415" s="69">
        <f t="shared" ca="1" si="293"/>
        <v>1498.9078123351358</v>
      </c>
      <c r="Y415" s="69">
        <f t="shared" ca="1" si="294"/>
        <v>1206.3650984501123</v>
      </c>
      <c r="AA415" s="20">
        <f t="shared" ca="1" si="254"/>
        <v>6.5634022722184576E+16</v>
      </c>
      <c r="AB415" s="20">
        <f t="shared" ca="1" si="255"/>
        <v>1675619482406196.8</v>
      </c>
      <c r="AC415" s="20">
        <f t="shared" ca="1" si="256"/>
        <v>395728668944583.75</v>
      </c>
      <c r="AD415" s="20">
        <f t="shared" ca="1" si="257"/>
        <v>304391379931257.81</v>
      </c>
      <c r="AE415" s="20">
        <f t="shared" ca="1" si="258"/>
        <v>6893534401194107</v>
      </c>
      <c r="AG415" s="16">
        <f t="shared" ca="1" si="259"/>
        <v>1.2058976129021832E-4</v>
      </c>
      <c r="AH415" s="16">
        <f t="shared" ca="1" si="260"/>
        <v>-8.5399204874834667E-5</v>
      </c>
      <c r="AI415" s="16">
        <f t="shared" ca="1" si="261"/>
        <v>5.1246356175759617E-4</v>
      </c>
      <c r="AJ415" s="16">
        <f t="shared" ca="1" si="262"/>
        <v>-4.3657477507017564E-4</v>
      </c>
      <c r="AK415" s="16">
        <f t="shared" ca="1" si="263"/>
        <v>2.2205169265738519E-5</v>
      </c>
      <c r="AM415" s="16">
        <f t="shared" ca="1" si="264"/>
        <v>1.1107934310280418E-4</v>
      </c>
      <c r="AO415" s="16">
        <f t="shared" ca="1" si="265"/>
        <v>0</v>
      </c>
      <c r="AP415" s="16">
        <f t="shared" ca="1" si="266"/>
        <v>-8.5399204874834667E-5</v>
      </c>
      <c r="AQ415" s="16">
        <f t="shared" ca="1" si="267"/>
        <v>0</v>
      </c>
      <c r="AR415" s="16">
        <f t="shared" ca="1" si="268"/>
        <v>-4.3657477507017564E-4</v>
      </c>
      <c r="AS415" s="16">
        <f t="shared" ca="1" si="269"/>
        <v>0</v>
      </c>
    </row>
    <row r="416" spans="1:45" x14ac:dyDescent="0.25">
      <c r="A416" s="69">
        <f t="shared" ca="1" si="270"/>
        <v>2451.7991040160164</v>
      </c>
      <c r="B416" s="69">
        <f t="shared" ca="1" si="271"/>
        <v>2137.1524607132992</v>
      </c>
      <c r="C416" s="69">
        <f t="shared" ca="1" si="272"/>
        <v>2226.6690655676316</v>
      </c>
      <c r="D416" s="69">
        <f t="shared" ca="1" si="273"/>
        <v>2910.8762867184973</v>
      </c>
      <c r="E416" s="69">
        <f t="shared" ca="1" si="274"/>
        <v>1932.7762646932667</v>
      </c>
      <c r="F416" s="69">
        <f t="shared" ca="1" si="275"/>
        <v>1221.109266866506</v>
      </c>
      <c r="G416" s="69">
        <f t="shared" ca="1" si="276"/>
        <v>960.54540111967356</v>
      </c>
      <c r="H416" s="69">
        <f t="shared" ca="1" si="277"/>
        <v>1188.630802474439</v>
      </c>
      <c r="I416" s="69">
        <f t="shared" ca="1" si="278"/>
        <v>1050.1661723803015</v>
      </c>
      <c r="J416" s="69">
        <f t="shared" ca="1" si="279"/>
        <v>1144.3552949477544</v>
      </c>
      <c r="K416" s="69">
        <f t="shared" ca="1" si="280"/>
        <v>1175.2027999228631</v>
      </c>
      <c r="L416" s="69">
        <f t="shared" ca="1" si="281"/>
        <v>952.43548843039753</v>
      </c>
      <c r="M416" s="69">
        <f t="shared" ca="1" si="282"/>
        <v>988.3476215486121</v>
      </c>
      <c r="N416" s="69">
        <f t="shared" ca="1" si="283"/>
        <v>570.11105404752516</v>
      </c>
      <c r="O416" s="69">
        <f t="shared" ca="1" si="284"/>
        <v>627.77281409889906</v>
      </c>
      <c r="P416" s="69">
        <f t="shared" ca="1" si="285"/>
        <v>723.83783693967041</v>
      </c>
      <c r="Q416" s="69">
        <f t="shared" ca="1" si="286"/>
        <v>954.97288562642734</v>
      </c>
      <c r="R416" s="69">
        <f t="shared" ca="1" si="287"/>
        <v>782.71360699248396</v>
      </c>
      <c r="S416" s="69">
        <f t="shared" ca="1" si="288"/>
        <v>701.49705199270488</v>
      </c>
      <c r="T416" s="69">
        <f t="shared" ca="1" si="289"/>
        <v>801.64426758074626</v>
      </c>
      <c r="U416" s="69">
        <f t="shared" ca="1" si="290"/>
        <v>1691.3583630816054</v>
      </c>
      <c r="V416" s="69">
        <f t="shared" ca="1" si="291"/>
        <v>1915.8236230883663</v>
      </c>
      <c r="W416" s="69">
        <f t="shared" ca="1" si="292"/>
        <v>1176.596020330282</v>
      </c>
      <c r="X416" s="69">
        <f t="shared" ca="1" si="293"/>
        <v>1498.5670801776018</v>
      </c>
      <c r="Y416" s="69">
        <f t="shared" ca="1" si="294"/>
        <v>1206.58207320682</v>
      </c>
      <c r="AA416" s="20">
        <f t="shared" ca="1" si="254"/>
        <v>6.5641937990557736E+16</v>
      </c>
      <c r="AB416" s="20">
        <f t="shared" ca="1" si="255"/>
        <v>1675476391944719.3</v>
      </c>
      <c r="AC416" s="20">
        <f t="shared" ca="1" si="256"/>
        <v>395931517439552.44</v>
      </c>
      <c r="AD416" s="20">
        <f t="shared" ca="1" si="257"/>
        <v>304258519336933.31</v>
      </c>
      <c r="AE416" s="20">
        <f t="shared" ca="1" si="258"/>
        <v>6893687474991833</v>
      </c>
      <c r="AG416" s="16">
        <f t="shared" ca="1" si="259"/>
        <v>-1.8277380921910872E-4</v>
      </c>
      <c r="AH416" s="16">
        <f t="shared" ca="1" si="260"/>
        <v>1.7600650289278458E-4</v>
      </c>
      <c r="AI416" s="16">
        <f t="shared" ca="1" si="261"/>
        <v>2.2695598975759314E-5</v>
      </c>
      <c r="AJ416" s="16">
        <f t="shared" ca="1" si="262"/>
        <v>-3.5108749358189842E-6</v>
      </c>
      <c r="AK416" s="16">
        <f t="shared" ca="1" si="263"/>
        <v>3.3855378200800583E-4</v>
      </c>
      <c r="AM416" s="16">
        <f t="shared" ca="1" si="264"/>
        <v>1.2417417713616189E-5</v>
      </c>
      <c r="AO416" s="16">
        <f t="shared" ca="1" si="265"/>
        <v>-1.8277380921910872E-4</v>
      </c>
      <c r="AP416" s="16">
        <f t="shared" ca="1" si="266"/>
        <v>0</v>
      </c>
      <c r="AQ416" s="16">
        <f t="shared" ca="1" si="267"/>
        <v>0</v>
      </c>
      <c r="AR416" s="16">
        <f t="shared" ca="1" si="268"/>
        <v>-3.5108749358189842E-6</v>
      </c>
      <c r="AS416" s="16">
        <f t="shared" ca="1" si="269"/>
        <v>0</v>
      </c>
    </row>
    <row r="417" spans="1:45" x14ac:dyDescent="0.25">
      <c r="A417" s="69">
        <f t="shared" ca="1" si="270"/>
        <v>2451.7991040160164</v>
      </c>
      <c r="B417" s="69">
        <f t="shared" ca="1" si="271"/>
        <v>2137.1524607132992</v>
      </c>
      <c r="C417" s="69">
        <f t="shared" ca="1" si="272"/>
        <v>2226.6690655676316</v>
      </c>
      <c r="D417" s="69">
        <f t="shared" ca="1" si="273"/>
        <v>2910.9186892947027</v>
      </c>
      <c r="E417" s="69">
        <f t="shared" ca="1" si="274"/>
        <v>1932.3948870034621</v>
      </c>
      <c r="F417" s="69">
        <f t="shared" ca="1" si="275"/>
        <v>1221.109266866506</v>
      </c>
      <c r="G417" s="69">
        <f t="shared" ca="1" si="276"/>
        <v>960.82169924870675</v>
      </c>
      <c r="H417" s="69">
        <f t="shared" ca="1" si="277"/>
        <v>1188.630802474439</v>
      </c>
      <c r="I417" s="69">
        <f t="shared" ca="1" si="278"/>
        <v>1050.1661723803015</v>
      </c>
      <c r="J417" s="69">
        <f t="shared" ca="1" si="279"/>
        <v>1144.227592862866</v>
      </c>
      <c r="K417" s="69">
        <f t="shared" ca="1" si="280"/>
        <v>1175.6812024076619</v>
      </c>
      <c r="L417" s="69">
        <f t="shared" ca="1" si="281"/>
        <v>952.43548843039753</v>
      </c>
      <c r="M417" s="69">
        <f t="shared" ca="1" si="282"/>
        <v>988.45667026953811</v>
      </c>
      <c r="N417" s="69">
        <f t="shared" ca="1" si="283"/>
        <v>570.06668530230911</v>
      </c>
      <c r="O417" s="69">
        <f t="shared" ca="1" si="284"/>
        <v>627.51121110457984</v>
      </c>
      <c r="P417" s="69">
        <f t="shared" ca="1" si="285"/>
        <v>723.79106000864294</v>
      </c>
      <c r="Q417" s="69">
        <f t="shared" ca="1" si="286"/>
        <v>954.7634566866783</v>
      </c>
      <c r="R417" s="69">
        <f t="shared" ca="1" si="287"/>
        <v>782.71360699248396</v>
      </c>
      <c r="S417" s="69">
        <f t="shared" ca="1" si="288"/>
        <v>701.54184531034934</v>
      </c>
      <c r="T417" s="69">
        <f t="shared" ca="1" si="289"/>
        <v>801.817914878122</v>
      </c>
      <c r="U417" s="69">
        <f t="shared" ca="1" si="290"/>
        <v>1691.3583630816054</v>
      </c>
      <c r="V417" s="69">
        <f t="shared" ca="1" si="291"/>
        <v>1916.2858748723238</v>
      </c>
      <c r="W417" s="69">
        <f t="shared" ca="1" si="292"/>
        <v>1176.8856948759612</v>
      </c>
      <c r="X417" s="69">
        <f t="shared" ca="1" si="293"/>
        <v>1498.5670801776018</v>
      </c>
      <c r="Y417" s="69">
        <f t="shared" ca="1" si="294"/>
        <v>1206.4024688573229</v>
      </c>
      <c r="AA417" s="20">
        <f t="shared" ca="1" si="254"/>
        <v>6.562994145986588E+16</v>
      </c>
      <c r="AB417" s="20">
        <f t="shared" ca="1" si="255"/>
        <v>1675771312638363.5</v>
      </c>
      <c r="AC417" s="20">
        <f t="shared" ca="1" si="256"/>
        <v>395940503444465.13</v>
      </c>
      <c r="AD417" s="20">
        <f t="shared" ca="1" si="257"/>
        <v>304257451125198.94</v>
      </c>
      <c r="AE417" s="20">
        <f t="shared" ca="1" si="258"/>
        <v>6896021754075683</v>
      </c>
      <c r="AG417" s="16">
        <f t="shared" ca="1" si="259"/>
        <v>1.1717718991818496E-4</v>
      </c>
      <c r="AH417" s="16">
        <f t="shared" ca="1" si="260"/>
        <v>2.9784516427812168E-4</v>
      </c>
      <c r="AI417" s="16">
        <f t="shared" ca="1" si="261"/>
        <v>7.9955458153098966E-4</v>
      </c>
      <c r="AJ417" s="16">
        <f t="shared" ca="1" si="262"/>
        <v>-1.2306279786767195E-3</v>
      </c>
      <c r="AK417" s="16">
        <f t="shared" ca="1" si="263"/>
        <v>3.4299091170141054E-4</v>
      </c>
      <c r="AM417" s="16">
        <f t="shared" ca="1" si="264"/>
        <v>-1.6051042949423314E-5</v>
      </c>
      <c r="AO417" s="16">
        <f t="shared" ca="1" si="265"/>
        <v>0</v>
      </c>
      <c r="AP417" s="16">
        <f t="shared" ca="1" si="266"/>
        <v>0</v>
      </c>
      <c r="AQ417" s="16">
        <f t="shared" ca="1" si="267"/>
        <v>0</v>
      </c>
      <c r="AR417" s="16">
        <f t="shared" ca="1" si="268"/>
        <v>-1.2306279786767195E-3</v>
      </c>
      <c r="AS417" s="16">
        <f t="shared" ca="1" si="269"/>
        <v>0</v>
      </c>
    </row>
    <row r="418" spans="1:45" x14ac:dyDescent="0.25">
      <c r="A418" s="69">
        <f t="shared" ca="1" si="270"/>
        <v>2451.6859097879965</v>
      </c>
      <c r="B418" s="69">
        <f t="shared" ca="1" si="271"/>
        <v>2137.2936582869179</v>
      </c>
      <c r="C418" s="69">
        <f t="shared" ca="1" si="272"/>
        <v>2226.9577366505473</v>
      </c>
      <c r="D418" s="69">
        <f t="shared" ca="1" si="273"/>
        <v>2910.8245110004164</v>
      </c>
      <c r="E418" s="69">
        <f t="shared" ca="1" si="274"/>
        <v>1932.3948870034621</v>
      </c>
      <c r="F418" s="69">
        <f t="shared" ca="1" si="275"/>
        <v>1221.109266866506</v>
      </c>
      <c r="G418" s="69">
        <f t="shared" ca="1" si="276"/>
        <v>961.10791796787635</v>
      </c>
      <c r="H418" s="69">
        <f t="shared" ca="1" si="277"/>
        <v>1188.630802474439</v>
      </c>
      <c r="I418" s="69">
        <f t="shared" ca="1" si="278"/>
        <v>1050.1661723803015</v>
      </c>
      <c r="J418" s="69">
        <f t="shared" ca="1" si="279"/>
        <v>1144.227592862866</v>
      </c>
      <c r="K418" s="69">
        <f t="shared" ca="1" si="280"/>
        <v>1175.7850164040906</v>
      </c>
      <c r="L418" s="69">
        <f t="shared" ca="1" si="281"/>
        <v>952.43548843039753</v>
      </c>
      <c r="M418" s="69">
        <f t="shared" ca="1" si="282"/>
        <v>988.82758950701373</v>
      </c>
      <c r="N418" s="69">
        <f t="shared" ca="1" si="283"/>
        <v>570.06668530230911</v>
      </c>
      <c r="O418" s="69">
        <f t="shared" ca="1" si="284"/>
        <v>627.72213853241885</v>
      </c>
      <c r="P418" s="69">
        <f t="shared" ca="1" si="285"/>
        <v>723.37390272119956</v>
      </c>
      <c r="Q418" s="69">
        <f t="shared" ca="1" si="286"/>
        <v>954.7634566866783</v>
      </c>
      <c r="R418" s="69">
        <f t="shared" ca="1" si="287"/>
        <v>782.32429668713667</v>
      </c>
      <c r="S418" s="69">
        <f t="shared" ca="1" si="288"/>
        <v>701.54184531034934</v>
      </c>
      <c r="T418" s="69">
        <f t="shared" ca="1" si="289"/>
        <v>801.69235819693233</v>
      </c>
      <c r="U418" s="69">
        <f t="shared" ca="1" si="290"/>
        <v>1691.72356903014</v>
      </c>
      <c r="V418" s="69">
        <f t="shared" ca="1" si="291"/>
        <v>1916.0506546407551</v>
      </c>
      <c r="W418" s="69">
        <f t="shared" ca="1" si="292"/>
        <v>1176.8856948759612</v>
      </c>
      <c r="X418" s="69">
        <f t="shared" ca="1" si="293"/>
        <v>1498.9584180650165</v>
      </c>
      <c r="Y418" s="69">
        <f t="shared" ca="1" si="294"/>
        <v>1206.388882190181</v>
      </c>
      <c r="AA418" s="20">
        <f t="shared" ca="1" si="254"/>
        <v>6.5637632242563992E+16</v>
      </c>
      <c r="AB418" s="20">
        <f t="shared" ca="1" si="255"/>
        <v>1676270507357945.3</v>
      </c>
      <c r="AC418" s="20">
        <f t="shared" ca="1" si="256"/>
        <v>396257206081658.06</v>
      </c>
      <c r="AD418" s="20">
        <f t="shared" ca="1" si="257"/>
        <v>303883253689265.63</v>
      </c>
      <c r="AE418" s="20">
        <f t="shared" ca="1" si="258"/>
        <v>6898387432544142</v>
      </c>
      <c r="AG418" s="16">
        <f t="shared" ca="1" si="259"/>
        <v>5.1918137806083093E-5</v>
      </c>
      <c r="AH418" s="16">
        <f t="shared" ca="1" si="260"/>
        <v>9.6425254818499647E-5</v>
      </c>
      <c r="AI418" s="16">
        <f t="shared" ca="1" si="261"/>
        <v>-1.6088308844265395E-4</v>
      </c>
      <c r="AJ418" s="16">
        <f t="shared" ca="1" si="262"/>
        <v>-1.6655976313223035E-3</v>
      </c>
      <c r="AK418" s="16">
        <f t="shared" ca="1" si="263"/>
        <v>-5.4451913464580528E-4</v>
      </c>
      <c r="AM418" s="16">
        <f t="shared" ca="1" si="264"/>
        <v>-1.6781373271403746E-3</v>
      </c>
      <c r="AO418" s="16">
        <f t="shared" ca="1" si="265"/>
        <v>0</v>
      </c>
      <c r="AP418" s="16">
        <f t="shared" ca="1" si="266"/>
        <v>0</v>
      </c>
      <c r="AQ418" s="16">
        <f t="shared" ca="1" si="267"/>
        <v>-1.6088308844265395E-4</v>
      </c>
      <c r="AR418" s="16">
        <f t="shared" ca="1" si="268"/>
        <v>-1.6655976313223035E-3</v>
      </c>
      <c r="AS418" s="16">
        <f t="shared" ca="1" si="269"/>
        <v>-5.4451913464580528E-4</v>
      </c>
    </row>
    <row r="419" spans="1:45" x14ac:dyDescent="0.25">
      <c r="A419" s="69">
        <f t="shared" ca="1" si="270"/>
        <v>2451.6859097879965</v>
      </c>
      <c r="B419" s="69">
        <f t="shared" ca="1" si="271"/>
        <v>2137.7328739732689</v>
      </c>
      <c r="C419" s="69">
        <f t="shared" ca="1" si="272"/>
        <v>2226.9577366505473</v>
      </c>
      <c r="D419" s="69">
        <f t="shared" ca="1" si="273"/>
        <v>2910.3775544192281</v>
      </c>
      <c r="E419" s="69">
        <f t="shared" ca="1" si="274"/>
        <v>1932.3948870034621</v>
      </c>
      <c r="F419" s="69">
        <f t="shared" ca="1" si="275"/>
        <v>1221.109266866506</v>
      </c>
      <c r="G419" s="69">
        <f t="shared" ca="1" si="276"/>
        <v>961.10791796787635</v>
      </c>
      <c r="H419" s="69">
        <f t="shared" ca="1" si="277"/>
        <v>1188.6748118109124</v>
      </c>
      <c r="I419" s="69">
        <f t="shared" ca="1" si="278"/>
        <v>1049.934500545281</v>
      </c>
      <c r="J419" s="69">
        <f t="shared" ca="1" si="279"/>
        <v>1144.548055749724</v>
      </c>
      <c r="K419" s="69">
        <f t="shared" ca="1" si="280"/>
        <v>1175.8021015659524</v>
      </c>
      <c r="L419" s="69">
        <f t="shared" ca="1" si="281"/>
        <v>952.22050040671593</v>
      </c>
      <c r="M419" s="69">
        <f t="shared" ca="1" si="282"/>
        <v>989.2208897296149</v>
      </c>
      <c r="N419" s="69">
        <f t="shared" ca="1" si="283"/>
        <v>570.06668530230911</v>
      </c>
      <c r="O419" s="69">
        <f t="shared" ca="1" si="284"/>
        <v>627.50415043829321</v>
      </c>
      <c r="P419" s="69">
        <f t="shared" ca="1" si="285"/>
        <v>723.09186052815608</v>
      </c>
      <c r="Q419" s="69">
        <f t="shared" ca="1" si="286"/>
        <v>954.47193103758809</v>
      </c>
      <c r="R419" s="69">
        <f t="shared" ca="1" si="287"/>
        <v>781.85305878918882</v>
      </c>
      <c r="S419" s="69">
        <f t="shared" ca="1" si="288"/>
        <v>701.10694654897588</v>
      </c>
      <c r="T419" s="69">
        <f t="shared" ca="1" si="289"/>
        <v>801.8947387008501</v>
      </c>
      <c r="U419" s="69">
        <f t="shared" ca="1" si="290"/>
        <v>1691.2538997609693</v>
      </c>
      <c r="V419" s="69">
        <f t="shared" ca="1" si="291"/>
        <v>1916.0506546407551</v>
      </c>
      <c r="W419" s="69">
        <f t="shared" ca="1" si="292"/>
        <v>1176.8856948759612</v>
      </c>
      <c r="X419" s="69">
        <f t="shared" ca="1" si="293"/>
        <v>1498.9584180650165</v>
      </c>
      <c r="Y419" s="69">
        <f t="shared" ca="1" si="294"/>
        <v>1206.0669967429701</v>
      </c>
      <c r="AA419" s="20">
        <f t="shared" ca="1" si="254"/>
        <v>6.5641040114664448E+16</v>
      </c>
      <c r="AB419" s="20">
        <f t="shared" ca="1" si="255"/>
        <v>1676432149961851.5</v>
      </c>
      <c r="AC419" s="20">
        <f t="shared" ca="1" si="256"/>
        <v>396193460126486.56</v>
      </c>
      <c r="AD419" s="20">
        <f t="shared" ca="1" si="257"/>
        <v>303377527746604.44</v>
      </c>
      <c r="AE419" s="20">
        <f t="shared" ca="1" si="258"/>
        <v>6894632151093012</v>
      </c>
      <c r="AG419" s="16">
        <f t="shared" ca="1" si="259"/>
        <v>-7.2293512309349153E-5</v>
      </c>
      <c r="AH419" s="16">
        <f t="shared" ca="1" si="260"/>
        <v>2.5541579851408856E-4</v>
      </c>
      <c r="AI419" s="16">
        <f t="shared" ca="1" si="261"/>
        <v>1.7825790543848477E-4</v>
      </c>
      <c r="AJ419" s="16">
        <f t="shared" ca="1" si="262"/>
        <v>-7.9812624059662262E-4</v>
      </c>
      <c r="AK419" s="16">
        <f t="shared" ca="1" si="263"/>
        <v>5.618719464205384E-5</v>
      </c>
      <c r="AM419" s="16">
        <f t="shared" ca="1" si="264"/>
        <v>-4.3674604895339842E-4</v>
      </c>
      <c r="AO419" s="16">
        <f t="shared" ca="1" si="265"/>
        <v>-7.2293512309349153E-5</v>
      </c>
      <c r="AP419" s="16">
        <f t="shared" ca="1" si="266"/>
        <v>0</v>
      </c>
      <c r="AQ419" s="16">
        <f t="shared" ca="1" si="267"/>
        <v>0</v>
      </c>
      <c r="AR419" s="16">
        <f t="shared" ca="1" si="268"/>
        <v>-7.9812624059662262E-4</v>
      </c>
      <c r="AS419" s="16">
        <f t="shared" ca="1" si="269"/>
        <v>0</v>
      </c>
    </row>
    <row r="420" spans="1:45" x14ac:dyDescent="0.25">
      <c r="A420" s="69">
        <f t="shared" ca="1" si="270"/>
        <v>2451.6859097879965</v>
      </c>
      <c r="B420" s="69">
        <f t="shared" ca="1" si="271"/>
        <v>2138.0280443805254</v>
      </c>
      <c r="C420" s="69">
        <f t="shared" ca="1" si="272"/>
        <v>2226.9577366505473</v>
      </c>
      <c r="D420" s="69">
        <f t="shared" ca="1" si="273"/>
        <v>2910.4564730282636</v>
      </c>
      <c r="E420" s="69">
        <f t="shared" ca="1" si="274"/>
        <v>1931.9360435629951</v>
      </c>
      <c r="F420" s="69">
        <f t="shared" ca="1" si="275"/>
        <v>1221.109266866506</v>
      </c>
      <c r="G420" s="69">
        <f t="shared" ca="1" si="276"/>
        <v>961.38091985433607</v>
      </c>
      <c r="H420" s="69">
        <f t="shared" ca="1" si="277"/>
        <v>1188.7289866461585</v>
      </c>
      <c r="I420" s="69">
        <f t="shared" ca="1" si="278"/>
        <v>1049.719218846471</v>
      </c>
      <c r="J420" s="69">
        <f t="shared" ca="1" si="279"/>
        <v>1144.6978825480601</v>
      </c>
      <c r="K420" s="69">
        <f t="shared" ca="1" si="280"/>
        <v>1175.6629660047361</v>
      </c>
      <c r="L420" s="69">
        <f t="shared" ca="1" si="281"/>
        <v>952.22050040671593</v>
      </c>
      <c r="M420" s="69">
        <f t="shared" ca="1" si="282"/>
        <v>989.2208897296149</v>
      </c>
      <c r="N420" s="69">
        <f t="shared" ca="1" si="283"/>
        <v>570.06668530230911</v>
      </c>
      <c r="O420" s="69">
        <f t="shared" ca="1" si="284"/>
        <v>627.69029412400471</v>
      </c>
      <c r="P420" s="69">
        <f t="shared" ca="1" si="285"/>
        <v>723.09186052815608</v>
      </c>
      <c r="Q420" s="69">
        <f t="shared" ca="1" si="286"/>
        <v>954.47193103758809</v>
      </c>
      <c r="R420" s="69">
        <f t="shared" ca="1" si="287"/>
        <v>781.85305878918882</v>
      </c>
      <c r="S420" s="69">
        <f t="shared" ca="1" si="288"/>
        <v>700.66289689216387</v>
      </c>
      <c r="T420" s="69">
        <f t="shared" ca="1" si="289"/>
        <v>801.76278134807376</v>
      </c>
      <c r="U420" s="69">
        <f t="shared" ca="1" si="290"/>
        <v>1691.2538997609693</v>
      </c>
      <c r="V420" s="69">
        <f t="shared" ca="1" si="291"/>
        <v>1915.6028492287587</v>
      </c>
      <c r="W420" s="69">
        <f t="shared" ca="1" si="292"/>
        <v>1177.2269555542921</v>
      </c>
      <c r="X420" s="69">
        <f t="shared" ca="1" si="293"/>
        <v>1498.9584180650165</v>
      </c>
      <c r="Y420" s="69">
        <f t="shared" ca="1" si="294"/>
        <v>1206.0669967429701</v>
      </c>
      <c r="AA420" s="20">
        <f t="shared" ca="1" si="254"/>
        <v>6.5636294864850376E+16</v>
      </c>
      <c r="AB420" s="20">
        <f t="shared" ca="1" si="255"/>
        <v>1676860391905639.5</v>
      </c>
      <c r="AC420" s="20">
        <f t="shared" ca="1" si="256"/>
        <v>396264091037909.25</v>
      </c>
      <c r="AD420" s="20">
        <f t="shared" ca="1" si="257"/>
        <v>303135490781777.19</v>
      </c>
      <c r="AE420" s="20">
        <f t="shared" ca="1" si="258"/>
        <v>6895019552015055</v>
      </c>
      <c r="AG420" s="16">
        <f t="shared" ca="1" si="259"/>
        <v>4.6129838331391988E-5</v>
      </c>
      <c r="AH420" s="16">
        <f t="shared" ca="1" si="260"/>
        <v>1.0053395469915062E-5</v>
      </c>
      <c r="AI420" s="16">
        <f t="shared" ca="1" si="261"/>
        <v>5.1431556784173598E-4</v>
      </c>
      <c r="AJ420" s="16">
        <f t="shared" ca="1" si="262"/>
        <v>-2.022229172680376E-3</v>
      </c>
      <c r="AK420" s="16">
        <f t="shared" ca="1" si="263"/>
        <v>5.799418270430631E-4</v>
      </c>
      <c r="AM420" s="16">
        <f t="shared" ca="1" si="264"/>
        <v>-1.4517303710373331E-3</v>
      </c>
      <c r="AO420" s="16">
        <f t="shared" ca="1" si="265"/>
        <v>0</v>
      </c>
      <c r="AP420" s="16">
        <f t="shared" ca="1" si="266"/>
        <v>0</v>
      </c>
      <c r="AQ420" s="16">
        <f t="shared" ca="1" si="267"/>
        <v>0</v>
      </c>
      <c r="AR420" s="16">
        <f t="shared" ca="1" si="268"/>
        <v>-2.022229172680376E-3</v>
      </c>
      <c r="AS420" s="16">
        <f t="shared" ca="1" si="269"/>
        <v>0</v>
      </c>
    </row>
    <row r="421" spans="1:45" x14ac:dyDescent="0.25">
      <c r="A421" s="69">
        <f t="shared" ca="1" si="270"/>
        <v>2451.6859097879965</v>
      </c>
      <c r="B421" s="69">
        <f t="shared" ca="1" si="271"/>
        <v>2138.0280443805254</v>
      </c>
      <c r="C421" s="69">
        <f t="shared" ca="1" si="272"/>
        <v>2226.9577366505473</v>
      </c>
      <c r="D421" s="69">
        <f t="shared" ca="1" si="273"/>
        <v>2910.73095174525</v>
      </c>
      <c r="E421" s="69">
        <f t="shared" ca="1" si="274"/>
        <v>1931.8429776746561</v>
      </c>
      <c r="F421" s="69">
        <f t="shared" ca="1" si="275"/>
        <v>1220.996945425215</v>
      </c>
      <c r="G421" s="69">
        <f t="shared" ca="1" si="276"/>
        <v>961.50274335089</v>
      </c>
      <c r="H421" s="69">
        <f t="shared" ca="1" si="277"/>
        <v>1189.1094296737785</v>
      </c>
      <c r="I421" s="69">
        <f t="shared" ca="1" si="278"/>
        <v>1049.8048408185982</v>
      </c>
      <c r="J421" s="69">
        <f t="shared" ca="1" si="279"/>
        <v>1144.2100907513168</v>
      </c>
      <c r="K421" s="69">
        <f t="shared" ca="1" si="280"/>
        <v>1176.0898401698817</v>
      </c>
      <c r="L421" s="69">
        <f t="shared" ca="1" si="281"/>
        <v>952.22050040671593</v>
      </c>
      <c r="M421" s="69">
        <f t="shared" ca="1" si="282"/>
        <v>989.45984115717613</v>
      </c>
      <c r="N421" s="69">
        <f t="shared" ca="1" si="283"/>
        <v>569.87916294798765</v>
      </c>
      <c r="O421" s="69">
        <f t="shared" ca="1" si="284"/>
        <v>627.84018273165293</v>
      </c>
      <c r="P421" s="69">
        <f t="shared" ca="1" si="285"/>
        <v>722.6174087943441</v>
      </c>
      <c r="Q421" s="69">
        <f t="shared" ca="1" si="286"/>
        <v>954.2505057837401</v>
      </c>
      <c r="R421" s="69">
        <f t="shared" ca="1" si="287"/>
        <v>781.85305878918882</v>
      </c>
      <c r="S421" s="69">
        <f t="shared" ca="1" si="288"/>
        <v>700.25882797313875</v>
      </c>
      <c r="T421" s="69">
        <f t="shared" ca="1" si="289"/>
        <v>801.31632776733068</v>
      </c>
      <c r="U421" s="69">
        <f t="shared" ca="1" si="290"/>
        <v>1691.4655314822082</v>
      </c>
      <c r="V421" s="69">
        <f t="shared" ca="1" si="291"/>
        <v>1915.6028492287587</v>
      </c>
      <c r="W421" s="69">
        <f t="shared" ca="1" si="292"/>
        <v>1177.2269555542921</v>
      </c>
      <c r="X421" s="69">
        <f t="shared" ca="1" si="293"/>
        <v>1499.4399316679776</v>
      </c>
      <c r="Y421" s="69">
        <f t="shared" ca="1" si="294"/>
        <v>1206.2281815825104</v>
      </c>
      <c r="AA421" s="20">
        <f t="shared" ca="1" si="254"/>
        <v>6.5639322726358008E+16</v>
      </c>
      <c r="AB421" s="20">
        <f t="shared" ca="1" si="255"/>
        <v>1676877250131048.3</v>
      </c>
      <c r="AC421" s="20">
        <f t="shared" ca="1" si="256"/>
        <v>396467948247881.31</v>
      </c>
      <c r="AD421" s="20">
        <f t="shared" ca="1" si="257"/>
        <v>302523100754225.75</v>
      </c>
      <c r="AE421" s="20">
        <f t="shared" ca="1" si="258"/>
        <v>6899019421985390</v>
      </c>
      <c r="AG421" s="16">
        <f t="shared" ca="1" si="259"/>
        <v>2.0656456106262939E-4</v>
      </c>
      <c r="AH421" s="16">
        <f t="shared" ca="1" si="260"/>
        <v>-2.1722135392139848E-4</v>
      </c>
      <c r="AI421" s="16">
        <f t="shared" ca="1" si="261"/>
        <v>2.917156629586686E-4</v>
      </c>
      <c r="AJ421" s="16">
        <f t="shared" ca="1" si="262"/>
        <v>-5.4162533701776919E-5</v>
      </c>
      <c r="AK421" s="16">
        <f t="shared" ca="1" si="263"/>
        <v>-2.5152594857705382E-4</v>
      </c>
      <c r="AM421" s="16">
        <f t="shared" ca="1" si="264"/>
        <v>2.2689633639812261E-4</v>
      </c>
      <c r="AO421" s="16">
        <f t="shared" ca="1" si="265"/>
        <v>0</v>
      </c>
      <c r="AP421" s="16">
        <f t="shared" ca="1" si="266"/>
        <v>-2.1722135392139848E-4</v>
      </c>
      <c r="AQ421" s="16">
        <f t="shared" ca="1" si="267"/>
        <v>0</v>
      </c>
      <c r="AR421" s="16">
        <f t="shared" ca="1" si="268"/>
        <v>-5.4162533701776919E-5</v>
      </c>
      <c r="AS421" s="16">
        <f t="shared" ca="1" si="269"/>
        <v>-2.5152594857705382E-4</v>
      </c>
    </row>
    <row r="422" spans="1:45" x14ac:dyDescent="0.25">
      <c r="A422" s="69">
        <f t="shared" ca="1" si="270"/>
        <v>2451.8841191617371</v>
      </c>
      <c r="B422" s="69">
        <f t="shared" ca="1" si="271"/>
        <v>2138.383651206063</v>
      </c>
      <c r="C422" s="69">
        <f t="shared" ca="1" si="272"/>
        <v>2226.9577366505473</v>
      </c>
      <c r="D422" s="69">
        <f t="shared" ca="1" si="273"/>
        <v>2911.2114534086581</v>
      </c>
      <c r="E422" s="69">
        <f t="shared" ca="1" si="274"/>
        <v>1931.4457254959857</v>
      </c>
      <c r="F422" s="69">
        <f t="shared" ca="1" si="275"/>
        <v>1221.1177993088738</v>
      </c>
      <c r="G422" s="69">
        <f t="shared" ca="1" si="276"/>
        <v>961.22128604939292</v>
      </c>
      <c r="H422" s="69">
        <f t="shared" ca="1" si="277"/>
        <v>1189.0823010766401</v>
      </c>
      <c r="I422" s="69">
        <f t="shared" ca="1" si="278"/>
        <v>1049.3661808973477</v>
      </c>
      <c r="J422" s="69">
        <f t="shared" ca="1" si="279"/>
        <v>1144.6876967370029</v>
      </c>
      <c r="K422" s="69">
        <f t="shared" ca="1" si="280"/>
        <v>1175.6149495824059</v>
      </c>
      <c r="L422" s="69">
        <f t="shared" ca="1" si="281"/>
        <v>952.18077174707616</v>
      </c>
      <c r="M422" s="69">
        <f t="shared" ca="1" si="282"/>
        <v>989.68465634312042</v>
      </c>
      <c r="N422" s="69">
        <f t="shared" ca="1" si="283"/>
        <v>569.94668057911099</v>
      </c>
      <c r="O422" s="69">
        <f t="shared" ca="1" si="284"/>
        <v>628.08612675144423</v>
      </c>
      <c r="P422" s="69">
        <f t="shared" ca="1" si="285"/>
        <v>722.6174087943441</v>
      </c>
      <c r="Q422" s="69">
        <f t="shared" ca="1" si="286"/>
        <v>954.2878679438362</v>
      </c>
      <c r="R422" s="69">
        <f t="shared" ca="1" si="287"/>
        <v>781.9400992480073</v>
      </c>
      <c r="S422" s="69">
        <f t="shared" ca="1" si="288"/>
        <v>700.25882797313875</v>
      </c>
      <c r="T422" s="69">
        <f t="shared" ca="1" si="289"/>
        <v>801.15236731110383</v>
      </c>
      <c r="U422" s="69">
        <f t="shared" ca="1" si="290"/>
        <v>1691.2619164179678</v>
      </c>
      <c r="V422" s="69">
        <f t="shared" ca="1" si="291"/>
        <v>1915.6028492287587</v>
      </c>
      <c r="W422" s="69">
        <f t="shared" ca="1" si="292"/>
        <v>1177.5491067913406</v>
      </c>
      <c r="X422" s="69">
        <f t="shared" ca="1" si="293"/>
        <v>1499.4399316679776</v>
      </c>
      <c r="Y422" s="69">
        <f t="shared" ca="1" si="294"/>
        <v>1205.740052298838</v>
      </c>
      <c r="AA422" s="20">
        <f t="shared" ca="1" si="254"/>
        <v>6.5652882884721288E+16</v>
      </c>
      <c r="AB422" s="20">
        <f t="shared" ca="1" si="255"/>
        <v>1676513036143374.8</v>
      </c>
      <c r="AC422" s="20">
        <f t="shared" ca="1" si="256"/>
        <v>396583621029207.06</v>
      </c>
      <c r="AD422" s="20">
        <f t="shared" ca="1" si="257"/>
        <v>302506715780315.44</v>
      </c>
      <c r="AE422" s="20">
        <f t="shared" ca="1" si="258"/>
        <v>6897284357797004</v>
      </c>
      <c r="AG422" s="16">
        <f t="shared" ca="1" si="259"/>
        <v>-1.5786010989144813E-5</v>
      </c>
      <c r="AH422" s="16">
        <f t="shared" ca="1" si="260"/>
        <v>6.2037182061013511E-5</v>
      </c>
      <c r="AI422" s="16">
        <f t="shared" ca="1" si="261"/>
        <v>5.8350274120426275E-4</v>
      </c>
      <c r="AJ422" s="16">
        <f t="shared" ca="1" si="262"/>
        <v>1.2036282322050238E-4</v>
      </c>
      <c r="AK422" s="16">
        <f t="shared" ca="1" si="263"/>
        <v>3.173970387740819E-4</v>
      </c>
      <c r="AM422" s="16">
        <f t="shared" ca="1" si="264"/>
        <v>7.5011673549663376E-4</v>
      </c>
      <c r="AO422" s="16">
        <f t="shared" ca="1" si="265"/>
        <v>-1.5786010989144813E-5</v>
      </c>
      <c r="AP422" s="16">
        <f t="shared" ca="1" si="266"/>
        <v>0</v>
      </c>
      <c r="AQ422" s="16">
        <f t="shared" ca="1" si="267"/>
        <v>0</v>
      </c>
      <c r="AR422" s="16">
        <f t="shared" ca="1" si="268"/>
        <v>0</v>
      </c>
      <c r="AS422" s="16">
        <f t="shared" ca="1" si="269"/>
        <v>0</v>
      </c>
    </row>
    <row r="423" spans="1:45" x14ac:dyDescent="0.25">
      <c r="A423" s="69">
        <f t="shared" ca="1" si="270"/>
        <v>2452.3265727913731</v>
      </c>
      <c r="B423" s="69">
        <f t="shared" ca="1" si="271"/>
        <v>2138.5706626624674</v>
      </c>
      <c r="C423" s="69">
        <f t="shared" ca="1" si="272"/>
        <v>2226.9577366505473</v>
      </c>
      <c r="D423" s="69">
        <f t="shared" ca="1" si="273"/>
        <v>2911.0998427708719</v>
      </c>
      <c r="E423" s="69">
        <f t="shared" ca="1" si="274"/>
        <v>1930.9719302737944</v>
      </c>
      <c r="F423" s="69">
        <f t="shared" ca="1" si="275"/>
        <v>1221.1268802538348</v>
      </c>
      <c r="G423" s="69">
        <f t="shared" ca="1" si="276"/>
        <v>961.64820050169794</v>
      </c>
      <c r="H423" s="69">
        <f t="shared" ca="1" si="277"/>
        <v>1189.0823010766401</v>
      </c>
      <c r="I423" s="69">
        <f t="shared" ca="1" si="278"/>
        <v>1049.3661808973477</v>
      </c>
      <c r="J423" s="69">
        <f t="shared" ca="1" si="279"/>
        <v>1144.2419982876872</v>
      </c>
      <c r="K423" s="69">
        <f t="shared" ca="1" si="280"/>
        <v>1175.4404001496578</v>
      </c>
      <c r="L423" s="69">
        <f t="shared" ca="1" si="281"/>
        <v>952.1787761726722</v>
      </c>
      <c r="M423" s="69">
        <f t="shared" ca="1" si="282"/>
        <v>989.85038785387803</v>
      </c>
      <c r="N423" s="69">
        <f t="shared" ca="1" si="283"/>
        <v>570.26972649816798</v>
      </c>
      <c r="O423" s="69">
        <f t="shared" ca="1" si="284"/>
        <v>628.08612675144423</v>
      </c>
      <c r="P423" s="69">
        <f t="shared" ca="1" si="285"/>
        <v>722.6174087943441</v>
      </c>
      <c r="Q423" s="69">
        <f t="shared" ca="1" si="286"/>
        <v>954.72331216816201</v>
      </c>
      <c r="R423" s="69">
        <f t="shared" ca="1" si="287"/>
        <v>782.1275243102275</v>
      </c>
      <c r="S423" s="69">
        <f t="shared" ca="1" si="288"/>
        <v>700.25882797313875</v>
      </c>
      <c r="T423" s="69">
        <f t="shared" ca="1" si="289"/>
        <v>800.69143714417396</v>
      </c>
      <c r="U423" s="69">
        <f t="shared" ca="1" si="290"/>
        <v>1691.1765942783466</v>
      </c>
      <c r="V423" s="69">
        <f t="shared" ca="1" si="291"/>
        <v>1915.6028492287587</v>
      </c>
      <c r="W423" s="69">
        <f t="shared" ca="1" si="292"/>
        <v>1177.6287898253045</v>
      </c>
      <c r="X423" s="69">
        <f t="shared" ca="1" si="293"/>
        <v>1499.9329136733215</v>
      </c>
      <c r="Y423" s="69">
        <f t="shared" ca="1" si="294"/>
        <v>1205.7056379139178</v>
      </c>
      <c r="AA423" s="20">
        <f t="shared" ca="1" si="254"/>
        <v>6.5651846495770848E+16</v>
      </c>
      <c r="AB423" s="20">
        <f t="shared" ca="1" si="255"/>
        <v>1676617045514016.3</v>
      </c>
      <c r="AC423" s="20">
        <f t="shared" ca="1" si="256"/>
        <v>396815096185820.88</v>
      </c>
      <c r="AD423" s="20">
        <f t="shared" ca="1" si="257"/>
        <v>302543128533996.88</v>
      </c>
      <c r="AE423" s="20">
        <f t="shared" ca="1" si="258"/>
        <v>6899473882883760</v>
      </c>
      <c r="AG423" s="16">
        <f t="shared" ca="1" si="259"/>
        <v>-1.019444193685226E-4</v>
      </c>
      <c r="AH423" s="16">
        <f t="shared" ca="1" si="260"/>
        <v>1.0612120290686079E-3</v>
      </c>
      <c r="AI423" s="16">
        <f t="shared" ca="1" si="261"/>
        <v>5.580094928461422E-4</v>
      </c>
      <c r="AJ423" s="16">
        <f t="shared" ca="1" si="262"/>
        <v>-7.8828465125348104E-4</v>
      </c>
      <c r="AK423" s="16">
        <f t="shared" ca="1" si="263"/>
        <v>-3.7329751825210067E-5</v>
      </c>
      <c r="AM423" s="16">
        <f t="shared" ca="1" si="264"/>
        <v>7.2899245129274658E-4</v>
      </c>
      <c r="AO423" s="16">
        <f t="shared" ca="1" si="265"/>
        <v>-1.019444193685226E-4</v>
      </c>
      <c r="AP423" s="16">
        <f t="shared" ca="1" si="266"/>
        <v>0</v>
      </c>
      <c r="AQ423" s="16">
        <f t="shared" ca="1" si="267"/>
        <v>0</v>
      </c>
      <c r="AR423" s="16">
        <f t="shared" ca="1" si="268"/>
        <v>-7.8828465125348104E-4</v>
      </c>
      <c r="AS423" s="16">
        <f t="shared" ca="1" si="269"/>
        <v>-3.7329751825210067E-5</v>
      </c>
    </row>
    <row r="424" spans="1:45" x14ac:dyDescent="0.25">
      <c r="A424" s="69">
        <f t="shared" ca="1" si="270"/>
        <v>2451.9514509828477</v>
      </c>
      <c r="B424" s="69">
        <f t="shared" ca="1" si="271"/>
        <v>2138.7781323072441</v>
      </c>
      <c r="C424" s="69">
        <f t="shared" ca="1" si="272"/>
        <v>2227.2200593636539</v>
      </c>
      <c r="D424" s="69">
        <f t="shared" ca="1" si="273"/>
        <v>2910.6231518675318</v>
      </c>
      <c r="E424" s="69">
        <f t="shared" ca="1" si="274"/>
        <v>1930.9719302737944</v>
      </c>
      <c r="F424" s="69">
        <f t="shared" ca="1" si="275"/>
        <v>1221.5880584649678</v>
      </c>
      <c r="G424" s="69">
        <f t="shared" ca="1" si="276"/>
        <v>961.64820050169794</v>
      </c>
      <c r="H424" s="69">
        <f t="shared" ca="1" si="277"/>
        <v>1189.3617385428029</v>
      </c>
      <c r="I424" s="69">
        <f t="shared" ca="1" si="278"/>
        <v>1049.6914445287014</v>
      </c>
      <c r="J424" s="69">
        <f t="shared" ca="1" si="279"/>
        <v>1144.4007479964894</v>
      </c>
      <c r="K424" s="69">
        <f t="shared" ca="1" si="280"/>
        <v>1175.4404001496578</v>
      </c>
      <c r="L424" s="69">
        <f t="shared" ca="1" si="281"/>
        <v>952.30393527422314</v>
      </c>
      <c r="M424" s="69">
        <f t="shared" ca="1" si="282"/>
        <v>989.68374929243578</v>
      </c>
      <c r="N424" s="69">
        <f t="shared" ca="1" si="283"/>
        <v>570.60910061136371</v>
      </c>
      <c r="O424" s="69">
        <f t="shared" ca="1" si="284"/>
        <v>628.08612675144423</v>
      </c>
      <c r="P424" s="69">
        <f t="shared" ca="1" si="285"/>
        <v>722.6174087943441</v>
      </c>
      <c r="Q424" s="69">
        <f t="shared" ca="1" si="286"/>
        <v>954.48103116944287</v>
      </c>
      <c r="R424" s="69">
        <f t="shared" ca="1" si="287"/>
        <v>782.1275243102275</v>
      </c>
      <c r="S424" s="69">
        <f t="shared" ca="1" si="288"/>
        <v>700.25882797313875</v>
      </c>
      <c r="T424" s="69">
        <f t="shared" ca="1" si="289"/>
        <v>800.26359669740793</v>
      </c>
      <c r="U424" s="69">
        <f t="shared" ca="1" si="290"/>
        <v>1691.1765942783466</v>
      </c>
      <c r="V424" s="69">
        <f t="shared" ca="1" si="291"/>
        <v>1915.6028492287587</v>
      </c>
      <c r="W424" s="69">
        <f t="shared" ca="1" si="292"/>
        <v>1177.6287898253045</v>
      </c>
      <c r="X424" s="69">
        <f t="shared" ca="1" si="293"/>
        <v>1499.9588979738912</v>
      </c>
      <c r="Y424" s="69">
        <f t="shared" ca="1" si="294"/>
        <v>1205.639743990647</v>
      </c>
      <c r="AA424" s="20">
        <f t="shared" ca="1" si="254"/>
        <v>6.5645153997536584E+16</v>
      </c>
      <c r="AB424" s="20">
        <f t="shared" ca="1" si="255"/>
        <v>1678397236103624.5</v>
      </c>
      <c r="AC424" s="20">
        <f t="shared" ca="1" si="256"/>
        <v>397036584566959.69</v>
      </c>
      <c r="AD424" s="20">
        <f t="shared" ca="1" si="257"/>
        <v>302304732403781.31</v>
      </c>
      <c r="AE424" s="20">
        <f t="shared" ca="1" si="258"/>
        <v>6899216332043172</v>
      </c>
      <c r="AG424" s="16">
        <f t="shared" ca="1" si="259"/>
        <v>-3.0896775291658574E-4</v>
      </c>
      <c r="AH424" s="16">
        <f t="shared" ca="1" si="260"/>
        <v>-2.5726200821930606E-4</v>
      </c>
      <c r="AI424" s="16">
        <f t="shared" ca="1" si="261"/>
        <v>-7.0862574275044328E-6</v>
      </c>
      <c r="AJ424" s="16">
        <f t="shared" ca="1" si="262"/>
        <v>5.3358764792446806E-4</v>
      </c>
      <c r="AK424" s="16">
        <f t="shared" ca="1" si="263"/>
        <v>5.4587504099246173E-4</v>
      </c>
      <c r="AM424" s="16">
        <f t="shared" ca="1" si="264"/>
        <v>-3.9728370638928237E-5</v>
      </c>
      <c r="AO424" s="16">
        <f t="shared" ca="1" si="265"/>
        <v>-3.0896775291658574E-4</v>
      </c>
      <c r="AP424" s="16">
        <f t="shared" ca="1" si="266"/>
        <v>-2.5726200821930606E-4</v>
      </c>
      <c r="AQ424" s="16">
        <f t="shared" ca="1" si="267"/>
        <v>-7.0862574275044328E-6</v>
      </c>
      <c r="AR424" s="16">
        <f t="shared" ca="1" si="268"/>
        <v>0</v>
      </c>
      <c r="AS424" s="16">
        <f t="shared" ca="1" si="269"/>
        <v>0</v>
      </c>
    </row>
    <row r="425" spans="1:45" x14ac:dyDescent="0.25">
      <c r="A425" s="69">
        <f t="shared" ca="1" si="270"/>
        <v>2451.4584505937432</v>
      </c>
      <c r="B425" s="69">
        <f t="shared" ca="1" si="271"/>
        <v>2138.7781323072441</v>
      </c>
      <c r="C425" s="69">
        <f t="shared" ca="1" si="272"/>
        <v>2227.2200593636539</v>
      </c>
      <c r="D425" s="69">
        <f t="shared" ca="1" si="273"/>
        <v>2910.6440665655523</v>
      </c>
      <c r="E425" s="69">
        <f t="shared" ca="1" si="274"/>
        <v>1930.7497487142061</v>
      </c>
      <c r="F425" s="69">
        <f t="shared" ca="1" si="275"/>
        <v>1221.5460465717242</v>
      </c>
      <c r="G425" s="69">
        <f t="shared" ca="1" si="276"/>
        <v>961.47589462696396</v>
      </c>
      <c r="H425" s="69">
        <f t="shared" ca="1" si="277"/>
        <v>1189.3097925303264</v>
      </c>
      <c r="I425" s="69">
        <f t="shared" ca="1" si="278"/>
        <v>1049.6914445287014</v>
      </c>
      <c r="J425" s="69">
        <f t="shared" ca="1" si="279"/>
        <v>1144.4007479964894</v>
      </c>
      <c r="K425" s="69">
        <f t="shared" ca="1" si="280"/>
        <v>1175.5591880160018</v>
      </c>
      <c r="L425" s="69">
        <f t="shared" ca="1" si="281"/>
        <v>952.30393527422314</v>
      </c>
      <c r="M425" s="69">
        <f t="shared" ca="1" si="282"/>
        <v>989.40931855073768</v>
      </c>
      <c r="N425" s="69">
        <f t="shared" ca="1" si="283"/>
        <v>570.61644849278878</v>
      </c>
      <c r="O425" s="69">
        <f t="shared" ca="1" si="284"/>
        <v>628.18431263665195</v>
      </c>
      <c r="P425" s="69">
        <f t="shared" ca="1" si="285"/>
        <v>722.61060741749884</v>
      </c>
      <c r="Q425" s="69">
        <f t="shared" ca="1" si="286"/>
        <v>954.82727227206306</v>
      </c>
      <c r="R425" s="69">
        <f t="shared" ca="1" si="287"/>
        <v>782.1275243102275</v>
      </c>
      <c r="S425" s="69">
        <f t="shared" ca="1" si="288"/>
        <v>700.25882797313875</v>
      </c>
      <c r="T425" s="69">
        <f t="shared" ca="1" si="289"/>
        <v>800.40790712150033</v>
      </c>
      <c r="U425" s="69">
        <f t="shared" ca="1" si="290"/>
        <v>1691.2482413560576</v>
      </c>
      <c r="V425" s="69">
        <f t="shared" ca="1" si="291"/>
        <v>1915.6028492287587</v>
      </c>
      <c r="W425" s="69">
        <f t="shared" ca="1" si="292"/>
        <v>1178.0653330776272</v>
      </c>
      <c r="X425" s="69">
        <f t="shared" ca="1" si="293"/>
        <v>1500.1582296256074</v>
      </c>
      <c r="Y425" s="69">
        <f t="shared" ca="1" si="294"/>
        <v>1205.639743990647</v>
      </c>
      <c r="AA425" s="20">
        <f t="shared" ca="1" si="254"/>
        <v>6.5624874894771832E+16</v>
      </c>
      <c r="AB425" s="20">
        <f t="shared" ca="1" si="255"/>
        <v>1677965503796616</v>
      </c>
      <c r="AC425" s="20">
        <f t="shared" ca="1" si="256"/>
        <v>397033771073481.88</v>
      </c>
      <c r="AD425" s="20">
        <f t="shared" ca="1" si="257"/>
        <v>302466081518020.06</v>
      </c>
      <c r="AE425" s="20">
        <f t="shared" ca="1" si="258"/>
        <v>6902983470141030</v>
      </c>
      <c r="AG425" s="16">
        <f t="shared" ca="1" si="259"/>
        <v>-8.3083350448351196E-5</v>
      </c>
      <c r="AH425" s="16">
        <f t="shared" ca="1" si="260"/>
        <v>1.5784998056780783E-4</v>
      </c>
      <c r="AI425" s="16">
        <f t="shared" ca="1" si="261"/>
        <v>9.3068622629962608E-4</v>
      </c>
      <c r="AJ425" s="16">
        <f t="shared" ca="1" si="262"/>
        <v>4.3481238160224456E-4</v>
      </c>
      <c r="AK425" s="16">
        <f t="shared" ca="1" si="263"/>
        <v>1.0772135362742867E-4</v>
      </c>
      <c r="AM425" s="16">
        <f t="shared" ca="1" si="264"/>
        <v>1.4402652380213273E-3</v>
      </c>
      <c r="AO425" s="16">
        <f t="shared" ca="1" si="265"/>
        <v>-8.3083350448351196E-5</v>
      </c>
      <c r="AP425" s="16">
        <f t="shared" ca="1" si="266"/>
        <v>0</v>
      </c>
      <c r="AQ425" s="16">
        <f t="shared" ca="1" si="267"/>
        <v>0</v>
      </c>
      <c r="AR425" s="16">
        <f t="shared" ca="1" si="268"/>
        <v>0</v>
      </c>
      <c r="AS425" s="16">
        <f t="shared" ca="1" si="269"/>
        <v>0</v>
      </c>
    </row>
    <row r="426" spans="1:45" x14ac:dyDescent="0.25">
      <c r="A426" s="69">
        <f t="shared" ca="1" si="270"/>
        <v>2451.5644466021145</v>
      </c>
      <c r="B426" s="69">
        <f t="shared" ca="1" si="271"/>
        <v>2138.7989627328047</v>
      </c>
      <c r="C426" s="69">
        <f t="shared" ca="1" si="272"/>
        <v>2227.2200593636539</v>
      </c>
      <c r="D426" s="69">
        <f t="shared" ca="1" si="273"/>
        <v>2910.2930184380989</v>
      </c>
      <c r="E426" s="69">
        <f t="shared" ca="1" si="274"/>
        <v>1930.71993037621</v>
      </c>
      <c r="F426" s="69">
        <f t="shared" ca="1" si="275"/>
        <v>1221.5460465717242</v>
      </c>
      <c r="G426" s="69">
        <f t="shared" ca="1" si="276"/>
        <v>961.47589462696396</v>
      </c>
      <c r="H426" s="69">
        <f t="shared" ca="1" si="277"/>
        <v>1188.9850406476564</v>
      </c>
      <c r="I426" s="69">
        <f t="shared" ca="1" si="278"/>
        <v>1050.1439027484764</v>
      </c>
      <c r="J426" s="69">
        <f t="shared" ca="1" si="279"/>
        <v>1144.4007479964894</v>
      </c>
      <c r="K426" s="69">
        <f t="shared" ca="1" si="280"/>
        <v>1175.5591880160018</v>
      </c>
      <c r="L426" s="69">
        <f t="shared" ca="1" si="281"/>
        <v>952.50231666998422</v>
      </c>
      <c r="M426" s="69">
        <f t="shared" ca="1" si="282"/>
        <v>989.44043777913214</v>
      </c>
      <c r="N426" s="69">
        <f t="shared" ca="1" si="283"/>
        <v>571.02903759376761</v>
      </c>
      <c r="O426" s="69">
        <f t="shared" ca="1" si="284"/>
        <v>628.16429994968064</v>
      </c>
      <c r="P426" s="69">
        <f t="shared" ca="1" si="285"/>
        <v>722.92487577561644</v>
      </c>
      <c r="Q426" s="69">
        <f t="shared" ca="1" si="286"/>
        <v>954.82727227206306</v>
      </c>
      <c r="R426" s="69">
        <f t="shared" ca="1" si="287"/>
        <v>782.1275243102275</v>
      </c>
      <c r="S426" s="69">
        <f t="shared" ca="1" si="288"/>
        <v>700.25882797313875</v>
      </c>
      <c r="T426" s="69">
        <f t="shared" ca="1" si="289"/>
        <v>800.40790712150033</v>
      </c>
      <c r="U426" s="69">
        <f t="shared" ca="1" si="290"/>
        <v>1691.2482413560576</v>
      </c>
      <c r="V426" s="69">
        <f t="shared" ca="1" si="291"/>
        <v>1915.9260200996216</v>
      </c>
      <c r="W426" s="69">
        <f t="shared" ca="1" si="292"/>
        <v>1178.0653330776272</v>
      </c>
      <c r="X426" s="69">
        <f t="shared" ca="1" si="293"/>
        <v>1500.1582296256074</v>
      </c>
      <c r="Y426" s="69">
        <f t="shared" ca="1" si="294"/>
        <v>1205.5662396500288</v>
      </c>
      <c r="AA426" s="20">
        <f t="shared" ca="1" si="254"/>
        <v>6.5619422786785656E+16</v>
      </c>
      <c r="AB426" s="20">
        <f t="shared" ca="1" si="255"/>
        <v>1678230391524495.3</v>
      </c>
      <c r="AC426" s="20">
        <f t="shared" ca="1" si="256"/>
        <v>397403456939683.19</v>
      </c>
      <c r="AD426" s="20">
        <f t="shared" ca="1" si="257"/>
        <v>302597626111815.38</v>
      </c>
      <c r="AE426" s="20">
        <f t="shared" ca="1" si="258"/>
        <v>6903727108916670</v>
      </c>
      <c r="AG426" s="16">
        <f t="shared" ca="1" si="259"/>
        <v>6.8133293862986718E-4</v>
      </c>
      <c r="AH426" s="16">
        <f t="shared" ca="1" si="260"/>
        <v>-5.4349004392064424E-4</v>
      </c>
      <c r="AI426" s="16">
        <f t="shared" ca="1" si="261"/>
        <v>-5.8526428045885769E-4</v>
      </c>
      <c r="AJ426" s="16">
        <f t="shared" ca="1" si="262"/>
        <v>-5.5195966865264831E-4</v>
      </c>
      <c r="AK426" s="16">
        <f t="shared" ca="1" si="263"/>
        <v>-2.0459063434799218E-4</v>
      </c>
      <c r="AM426" s="16">
        <f t="shared" ca="1" si="264"/>
        <v>-9.9938105440228317E-4</v>
      </c>
      <c r="AO426" s="16">
        <f t="shared" ca="1" si="265"/>
        <v>0</v>
      </c>
      <c r="AP426" s="16">
        <f t="shared" ca="1" si="266"/>
        <v>-5.4349004392064424E-4</v>
      </c>
      <c r="AQ426" s="16">
        <f t="shared" ca="1" si="267"/>
        <v>-5.8526428045885769E-4</v>
      </c>
      <c r="AR426" s="16">
        <f t="shared" ca="1" si="268"/>
        <v>-5.5195966865264831E-4</v>
      </c>
      <c r="AS426" s="16">
        <f t="shared" ca="1" si="269"/>
        <v>-2.0459063434799218E-4</v>
      </c>
    </row>
    <row r="427" spans="1:45" x14ac:dyDescent="0.25">
      <c r="A427" s="69">
        <f t="shared" ca="1" si="270"/>
        <v>2451.390478820656</v>
      </c>
      <c r="B427" s="69">
        <f t="shared" ca="1" si="271"/>
        <v>2139.271052100768</v>
      </c>
      <c r="C427" s="69">
        <f t="shared" ca="1" si="272"/>
        <v>2227.5854900818326</v>
      </c>
      <c r="D427" s="69">
        <f t="shared" ca="1" si="273"/>
        <v>2910.7061918924933</v>
      </c>
      <c r="E427" s="69">
        <f t="shared" ca="1" si="274"/>
        <v>1931.1555004569013</v>
      </c>
      <c r="F427" s="69">
        <f t="shared" ca="1" si="275"/>
        <v>1221.5460465717242</v>
      </c>
      <c r="G427" s="69">
        <f t="shared" ca="1" si="276"/>
        <v>961.47589462696396</v>
      </c>
      <c r="H427" s="69">
        <f t="shared" ca="1" si="277"/>
        <v>1188.8810422736535</v>
      </c>
      <c r="I427" s="69">
        <f t="shared" ca="1" si="278"/>
        <v>1049.665127373881</v>
      </c>
      <c r="J427" s="69">
        <f t="shared" ca="1" si="279"/>
        <v>1144.4007479964894</v>
      </c>
      <c r="K427" s="69">
        <f t="shared" ca="1" si="280"/>
        <v>1175.3686619790383</v>
      </c>
      <c r="L427" s="69">
        <f t="shared" ca="1" si="281"/>
        <v>952.50231666998422</v>
      </c>
      <c r="M427" s="69">
        <f t="shared" ca="1" si="282"/>
        <v>989.44043777913214</v>
      </c>
      <c r="N427" s="69">
        <f t="shared" ca="1" si="283"/>
        <v>571.02903759376761</v>
      </c>
      <c r="O427" s="69">
        <f t="shared" ca="1" si="284"/>
        <v>627.89853058793233</v>
      </c>
      <c r="P427" s="69">
        <f t="shared" ca="1" si="285"/>
        <v>722.92487577561644</v>
      </c>
      <c r="Q427" s="69">
        <f t="shared" ca="1" si="286"/>
        <v>955.16519967912529</v>
      </c>
      <c r="R427" s="69">
        <f t="shared" ca="1" si="287"/>
        <v>781.91147178039637</v>
      </c>
      <c r="S427" s="69">
        <f t="shared" ca="1" si="288"/>
        <v>699.81812812031205</v>
      </c>
      <c r="T427" s="69">
        <f t="shared" ca="1" si="289"/>
        <v>800.40790712150033</v>
      </c>
      <c r="U427" s="69">
        <f t="shared" ca="1" si="290"/>
        <v>1691.2482413560576</v>
      </c>
      <c r="V427" s="69">
        <f t="shared" ca="1" si="291"/>
        <v>1915.5023700340828</v>
      </c>
      <c r="W427" s="69">
        <f t="shared" ca="1" si="292"/>
        <v>1178.2527917451093</v>
      </c>
      <c r="X427" s="69">
        <f t="shared" ca="1" si="293"/>
        <v>1499.944386165171</v>
      </c>
      <c r="Y427" s="69">
        <f t="shared" ca="1" si="294"/>
        <v>1205.5662396500288</v>
      </c>
      <c r="AA427" s="20">
        <f t="shared" ca="1" si="254"/>
        <v>6.5664146695150008E+16</v>
      </c>
      <c r="AB427" s="20">
        <f t="shared" ca="1" si="255"/>
        <v>1677318537829444.5</v>
      </c>
      <c r="AC427" s="20">
        <f t="shared" ca="1" si="256"/>
        <v>397170938940282.44</v>
      </c>
      <c r="AD427" s="20">
        <f t="shared" ca="1" si="257"/>
        <v>302430650512509.06</v>
      </c>
      <c r="AE427" s="20">
        <f t="shared" ca="1" si="258"/>
        <v>6902314815484022</v>
      </c>
      <c r="AG427" s="16">
        <f t="shared" ca="1" si="259"/>
        <v>-2.9743574838923494E-4</v>
      </c>
      <c r="AH427" s="16">
        <f t="shared" ca="1" si="260"/>
        <v>5.2862191948261045E-4</v>
      </c>
      <c r="AI427" s="16">
        <f t="shared" ca="1" si="261"/>
        <v>1.4488958345725428E-3</v>
      </c>
      <c r="AJ427" s="16">
        <f t="shared" ca="1" si="262"/>
        <v>-9.2037201830250239E-5</v>
      </c>
      <c r="AK427" s="16">
        <f t="shared" ca="1" si="263"/>
        <v>-2.8397007387099551E-4</v>
      </c>
      <c r="AM427" s="16">
        <f t="shared" ca="1" si="264"/>
        <v>1.588044803835668E-3</v>
      </c>
      <c r="AO427" s="16">
        <f t="shared" ca="1" si="265"/>
        <v>-2.9743574838923494E-4</v>
      </c>
      <c r="AP427" s="16">
        <f t="shared" ca="1" si="266"/>
        <v>0</v>
      </c>
      <c r="AQ427" s="16">
        <f t="shared" ca="1" si="267"/>
        <v>0</v>
      </c>
      <c r="AR427" s="16">
        <f t="shared" ca="1" si="268"/>
        <v>-9.2037201830250239E-5</v>
      </c>
      <c r="AS427" s="16">
        <f t="shared" ca="1" si="269"/>
        <v>-2.8397007387099551E-4</v>
      </c>
    </row>
    <row r="428" spans="1:45" x14ac:dyDescent="0.25">
      <c r="A428" s="69">
        <f t="shared" ca="1" si="270"/>
        <v>2451.2482975907956</v>
      </c>
      <c r="B428" s="69">
        <f t="shared" ca="1" si="271"/>
        <v>2139.568382310988</v>
      </c>
      <c r="C428" s="69">
        <f t="shared" ca="1" si="272"/>
        <v>2227.3546572891378</v>
      </c>
      <c r="D428" s="69">
        <f t="shared" ca="1" si="273"/>
        <v>2910.4803900860602</v>
      </c>
      <c r="E428" s="69">
        <f t="shared" ca="1" si="274"/>
        <v>1930.7747111887743</v>
      </c>
      <c r="F428" s="69">
        <f t="shared" ca="1" si="275"/>
        <v>1221.8844990150503</v>
      </c>
      <c r="G428" s="69">
        <f t="shared" ca="1" si="276"/>
        <v>961.71782410309618</v>
      </c>
      <c r="H428" s="69">
        <f t="shared" ca="1" si="277"/>
        <v>1188.8810422736535</v>
      </c>
      <c r="I428" s="69">
        <f t="shared" ca="1" si="278"/>
        <v>1049.665127373881</v>
      </c>
      <c r="J428" s="69">
        <f t="shared" ca="1" si="279"/>
        <v>1144.4007479964894</v>
      </c>
      <c r="K428" s="69">
        <f t="shared" ca="1" si="280"/>
        <v>1175.6114885286022</v>
      </c>
      <c r="L428" s="69">
        <f t="shared" ca="1" si="281"/>
        <v>952.73959654332339</v>
      </c>
      <c r="M428" s="69">
        <f t="shared" ca="1" si="282"/>
        <v>989.44043777913214</v>
      </c>
      <c r="N428" s="69">
        <f t="shared" ca="1" si="283"/>
        <v>571.19771368998886</v>
      </c>
      <c r="O428" s="69">
        <f t="shared" ca="1" si="284"/>
        <v>628.33689010115586</v>
      </c>
      <c r="P428" s="69">
        <f t="shared" ca="1" si="285"/>
        <v>723.37094997982524</v>
      </c>
      <c r="Q428" s="69">
        <f t="shared" ca="1" si="286"/>
        <v>955.16519967912529</v>
      </c>
      <c r="R428" s="69">
        <f t="shared" ca="1" si="287"/>
        <v>781.5971239285401</v>
      </c>
      <c r="S428" s="69">
        <f t="shared" ca="1" si="288"/>
        <v>699.81812812031205</v>
      </c>
      <c r="T428" s="69">
        <f t="shared" ca="1" si="289"/>
        <v>800.1623939659213</v>
      </c>
      <c r="U428" s="69">
        <f t="shared" ca="1" si="290"/>
        <v>1690.8923391095802</v>
      </c>
      <c r="V428" s="69">
        <f t="shared" ca="1" si="291"/>
        <v>1915.5023700340828</v>
      </c>
      <c r="W428" s="69">
        <f t="shared" ca="1" si="292"/>
        <v>1177.9122315015295</v>
      </c>
      <c r="X428" s="69">
        <f t="shared" ca="1" si="293"/>
        <v>1499.944386165171</v>
      </c>
      <c r="Y428" s="69">
        <f t="shared" ca="1" si="294"/>
        <v>1205.8261513568036</v>
      </c>
      <c r="AA428" s="20">
        <f t="shared" ca="1" si="254"/>
        <v>6.5644618734836104E+16</v>
      </c>
      <c r="AB428" s="20">
        <f t="shared" ca="1" si="255"/>
        <v>1678205439571693.3</v>
      </c>
      <c r="AC428" s="20">
        <f t="shared" ca="1" si="256"/>
        <v>397746815351047.94</v>
      </c>
      <c r="AD428" s="20">
        <f t="shared" ca="1" si="257"/>
        <v>302402816922570.69</v>
      </c>
      <c r="AE428" s="20">
        <f t="shared" ca="1" si="258"/>
        <v>6900355042907539</v>
      </c>
      <c r="AG428" s="16">
        <f t="shared" ca="1" si="259"/>
        <v>-5.6985277368151339E-5</v>
      </c>
      <c r="AH428" s="16">
        <f t="shared" ca="1" si="260"/>
        <v>-7.2774462285565692E-4</v>
      </c>
      <c r="AI428" s="16">
        <f t="shared" ca="1" si="261"/>
        <v>-1.2346394244610714E-3</v>
      </c>
      <c r="AJ428" s="16">
        <f t="shared" ca="1" si="262"/>
        <v>-1.0566081700379034E-3</v>
      </c>
      <c r="AK428" s="16">
        <f t="shared" ca="1" si="263"/>
        <v>5.7750343682783993E-6</v>
      </c>
      <c r="AM428" s="16">
        <f t="shared" ca="1" si="264"/>
        <v>-3.0759774947227833E-3</v>
      </c>
      <c r="AO428" s="16">
        <f t="shared" ca="1" si="265"/>
        <v>-5.6985277368151339E-5</v>
      </c>
      <c r="AP428" s="16">
        <f t="shared" ca="1" si="266"/>
        <v>-7.2774462285565692E-4</v>
      </c>
      <c r="AQ428" s="16">
        <f t="shared" ca="1" si="267"/>
        <v>-1.2346394244610714E-3</v>
      </c>
      <c r="AR428" s="16">
        <f t="shared" ca="1" si="268"/>
        <v>-1.0566081700379034E-3</v>
      </c>
      <c r="AS428" s="16">
        <f t="shared" ca="1" si="269"/>
        <v>0</v>
      </c>
    </row>
    <row r="429" spans="1:45" x14ac:dyDescent="0.25">
      <c r="A429" s="69">
        <f t="shared" ca="1" si="270"/>
        <v>2451.5587789159517</v>
      </c>
      <c r="B429" s="69">
        <f t="shared" ca="1" si="271"/>
        <v>2139.321560625965</v>
      </c>
      <c r="C429" s="69">
        <f t="shared" ca="1" si="272"/>
        <v>2227.2025951097016</v>
      </c>
      <c r="D429" s="69">
        <f t="shared" ca="1" si="273"/>
        <v>2910.4803900860602</v>
      </c>
      <c r="E429" s="69">
        <f t="shared" ca="1" si="274"/>
        <v>1930.7747111887743</v>
      </c>
      <c r="F429" s="69">
        <f t="shared" ca="1" si="275"/>
        <v>1221.5410575775243</v>
      </c>
      <c r="G429" s="69">
        <f t="shared" ca="1" si="276"/>
        <v>961.90243124125914</v>
      </c>
      <c r="H429" s="69">
        <f t="shared" ca="1" si="277"/>
        <v>1188.5067914041847</v>
      </c>
      <c r="I429" s="69">
        <f t="shared" ca="1" si="278"/>
        <v>1049.552349501959</v>
      </c>
      <c r="J429" s="69">
        <f t="shared" ca="1" si="279"/>
        <v>1144.153266647781</v>
      </c>
      <c r="K429" s="69">
        <f t="shared" ca="1" si="280"/>
        <v>1175.6114885286022</v>
      </c>
      <c r="L429" s="69">
        <f t="shared" ca="1" si="281"/>
        <v>952.39448499874391</v>
      </c>
      <c r="M429" s="69">
        <f t="shared" ca="1" si="282"/>
        <v>989.04246993162781</v>
      </c>
      <c r="N429" s="69">
        <f t="shared" ca="1" si="283"/>
        <v>570.92928694347984</v>
      </c>
      <c r="O429" s="69">
        <f t="shared" ca="1" si="284"/>
        <v>628.33689010115586</v>
      </c>
      <c r="P429" s="69">
        <f t="shared" ca="1" si="285"/>
        <v>723.43596390653533</v>
      </c>
      <c r="Q429" s="69">
        <f t="shared" ca="1" si="286"/>
        <v>955.45534383687902</v>
      </c>
      <c r="R429" s="69">
        <f t="shared" ca="1" si="287"/>
        <v>781.11816394470213</v>
      </c>
      <c r="S429" s="69">
        <f t="shared" ca="1" si="288"/>
        <v>699.43867088066725</v>
      </c>
      <c r="T429" s="69">
        <f t="shared" ca="1" si="289"/>
        <v>799.92650596839678</v>
      </c>
      <c r="U429" s="69">
        <f t="shared" ca="1" si="290"/>
        <v>1690.8923391095802</v>
      </c>
      <c r="V429" s="69">
        <f t="shared" ca="1" si="291"/>
        <v>1915.5023700340828</v>
      </c>
      <c r="W429" s="69">
        <f t="shared" ca="1" si="292"/>
        <v>1177.9122315015295</v>
      </c>
      <c r="X429" s="69">
        <f t="shared" ca="1" si="293"/>
        <v>1499.9530484205643</v>
      </c>
      <c r="Y429" s="69">
        <f t="shared" ca="1" si="294"/>
        <v>1205.8261513568036</v>
      </c>
      <c r="AA429" s="20">
        <f t="shared" ca="1" si="254"/>
        <v>6.5640878064612352E+16</v>
      </c>
      <c r="AB429" s="20">
        <f t="shared" ca="1" si="255"/>
        <v>1676984578878282.3</v>
      </c>
      <c r="AC429" s="20">
        <f t="shared" ca="1" si="256"/>
        <v>397256044476738.19</v>
      </c>
      <c r="AD429" s="20">
        <f t="shared" ca="1" si="257"/>
        <v>302083464380531.31</v>
      </c>
      <c r="AE429" s="20">
        <f t="shared" ca="1" si="258"/>
        <v>6900394892810133</v>
      </c>
      <c r="AG429" s="16">
        <f t="shared" ca="1" si="259"/>
        <v>-3.7350528155863209E-4</v>
      </c>
      <c r="AH429" s="16">
        <f t="shared" ca="1" si="260"/>
        <v>-6.0496470892577689E-5</v>
      </c>
      <c r="AI429" s="16">
        <f t="shared" ca="1" si="261"/>
        <v>1.5684329320294404E-5</v>
      </c>
      <c r="AJ429" s="16">
        <f t="shared" ca="1" si="262"/>
        <v>1.0605503206264858E-3</v>
      </c>
      <c r="AK429" s="16">
        <f t="shared" ca="1" si="263"/>
        <v>4.5220061765347035E-4</v>
      </c>
      <c r="AM429" s="16">
        <f t="shared" ca="1" si="264"/>
        <v>6.4223289749557044E-4</v>
      </c>
      <c r="AO429" s="16">
        <f t="shared" ca="1" si="265"/>
        <v>-3.7350528155863209E-4</v>
      </c>
      <c r="AP429" s="16">
        <f t="shared" ca="1" si="266"/>
        <v>-6.0496470892577689E-5</v>
      </c>
      <c r="AQ429" s="16">
        <f t="shared" ca="1" si="267"/>
        <v>0</v>
      </c>
      <c r="AR429" s="16">
        <f t="shared" ca="1" si="268"/>
        <v>0</v>
      </c>
      <c r="AS429" s="16">
        <f t="shared" ca="1" si="269"/>
        <v>0</v>
      </c>
    </row>
    <row r="430" spans="1:45" x14ac:dyDescent="0.25">
      <c r="A430" s="69">
        <f t="shared" ca="1" si="270"/>
        <v>2451.1609241166821</v>
      </c>
      <c r="B430" s="69">
        <f t="shared" ca="1" si="271"/>
        <v>2139.0704344657006</v>
      </c>
      <c r="C430" s="69">
        <f t="shared" ca="1" si="272"/>
        <v>2227.3810450107576</v>
      </c>
      <c r="D430" s="69">
        <f t="shared" ca="1" si="273"/>
        <v>2910.4803900860602</v>
      </c>
      <c r="E430" s="69">
        <f t="shared" ca="1" si="274"/>
        <v>1930.4389158247689</v>
      </c>
      <c r="F430" s="69">
        <f t="shared" ca="1" si="275"/>
        <v>1221.7247116293277</v>
      </c>
      <c r="G430" s="69">
        <f t="shared" ca="1" si="276"/>
        <v>961.48059238480005</v>
      </c>
      <c r="H430" s="69">
        <f t="shared" ca="1" si="277"/>
        <v>1188.5592348488433</v>
      </c>
      <c r="I430" s="69">
        <f t="shared" ca="1" si="278"/>
        <v>1050.0493806996417</v>
      </c>
      <c r="J430" s="69">
        <f t="shared" ca="1" si="279"/>
        <v>1143.8217778121711</v>
      </c>
      <c r="K430" s="69">
        <f t="shared" ca="1" si="280"/>
        <v>1175.4078301152419</v>
      </c>
      <c r="L430" s="69">
        <f t="shared" ca="1" si="281"/>
        <v>952.39448499874391</v>
      </c>
      <c r="M430" s="69">
        <f t="shared" ca="1" si="282"/>
        <v>989.04246993162781</v>
      </c>
      <c r="N430" s="69">
        <f t="shared" ca="1" si="283"/>
        <v>571.03716593931517</v>
      </c>
      <c r="O430" s="69">
        <f t="shared" ca="1" si="284"/>
        <v>628.33689010115586</v>
      </c>
      <c r="P430" s="69">
        <f t="shared" ca="1" si="285"/>
        <v>723.77546792096405</v>
      </c>
      <c r="Q430" s="69">
        <f t="shared" ca="1" si="286"/>
        <v>955.45534383687902</v>
      </c>
      <c r="R430" s="69">
        <f t="shared" ca="1" si="287"/>
        <v>781.15747494533525</v>
      </c>
      <c r="S430" s="69">
        <f t="shared" ca="1" si="288"/>
        <v>699.89629853929193</v>
      </c>
      <c r="T430" s="69">
        <f t="shared" ca="1" si="289"/>
        <v>799.83610080682786</v>
      </c>
      <c r="U430" s="69">
        <f t="shared" ca="1" si="290"/>
        <v>1691.2247079089691</v>
      </c>
      <c r="V430" s="69">
        <f t="shared" ca="1" si="291"/>
        <v>1915.5023700340828</v>
      </c>
      <c r="W430" s="69">
        <f t="shared" ca="1" si="292"/>
        <v>1177.9122315015295</v>
      </c>
      <c r="X430" s="69">
        <f t="shared" ca="1" si="293"/>
        <v>1499.9530484205643</v>
      </c>
      <c r="Y430" s="69">
        <f t="shared" ca="1" si="294"/>
        <v>1206.1344672078094</v>
      </c>
      <c r="AA430" s="20">
        <f t="shared" ca="1" si="254"/>
        <v>6.5616365428053656E+16</v>
      </c>
      <c r="AB430" s="20">
        <f t="shared" ca="1" si="255"/>
        <v>1676883130298190.3</v>
      </c>
      <c r="AC430" s="20">
        <f t="shared" ca="1" si="256"/>
        <v>397262275220226.63</v>
      </c>
      <c r="AD430" s="20">
        <f t="shared" ca="1" si="257"/>
        <v>302404009042363.13</v>
      </c>
      <c r="AE430" s="20">
        <f t="shared" ca="1" si="258"/>
        <v>6903515961264072</v>
      </c>
      <c r="AG430" s="16">
        <f t="shared" ca="1" si="259"/>
        <v>-2.5750085910694312E-5</v>
      </c>
      <c r="AH430" s="16">
        <f t="shared" ca="1" si="260"/>
        <v>-1.5139523433790094E-4</v>
      </c>
      <c r="AI430" s="16">
        <f t="shared" ca="1" si="261"/>
        <v>-1.3164756012766024E-5</v>
      </c>
      <c r="AJ430" s="16">
        <f t="shared" ca="1" si="262"/>
        <v>1.1884958885652089E-4</v>
      </c>
      <c r="AK430" s="16">
        <f t="shared" ca="1" si="263"/>
        <v>-4.6260653945134661E-4</v>
      </c>
      <c r="AM430" s="16">
        <f t="shared" ca="1" si="264"/>
        <v>-7.1460487404840389E-5</v>
      </c>
      <c r="AO430" s="16">
        <f t="shared" ca="1" si="265"/>
        <v>-2.5750085910694312E-5</v>
      </c>
      <c r="AP430" s="16">
        <f t="shared" ca="1" si="266"/>
        <v>-1.5139523433790094E-4</v>
      </c>
      <c r="AQ430" s="16">
        <f t="shared" ca="1" si="267"/>
        <v>-1.3164756012766024E-5</v>
      </c>
      <c r="AR430" s="16">
        <f t="shared" ca="1" si="268"/>
        <v>0</v>
      </c>
      <c r="AS430" s="16">
        <f t="shared" ca="1" si="269"/>
        <v>-4.6260653945134661E-4</v>
      </c>
    </row>
    <row r="431" spans="1:45" x14ac:dyDescent="0.25">
      <c r="A431" s="69">
        <f t="shared" ca="1" si="270"/>
        <v>2451.0350512698192</v>
      </c>
      <c r="B431" s="69">
        <f t="shared" ca="1" si="271"/>
        <v>2138.7732215168207</v>
      </c>
      <c r="C431" s="69">
        <f t="shared" ca="1" si="272"/>
        <v>2227.7476088420676</v>
      </c>
      <c r="D431" s="69">
        <f t="shared" ca="1" si="273"/>
        <v>2910.4803900860602</v>
      </c>
      <c r="E431" s="69">
        <f t="shared" ca="1" si="274"/>
        <v>1930.4389158247689</v>
      </c>
      <c r="F431" s="69">
        <f t="shared" ca="1" si="275"/>
        <v>1221.3385274103141</v>
      </c>
      <c r="G431" s="69">
        <f t="shared" ca="1" si="276"/>
        <v>961.75371544860286</v>
      </c>
      <c r="H431" s="69">
        <f t="shared" ca="1" si="277"/>
        <v>1188.5592348488433</v>
      </c>
      <c r="I431" s="69">
        <f t="shared" ca="1" si="278"/>
        <v>1050.0493332246808</v>
      </c>
      <c r="J431" s="69">
        <f t="shared" ca="1" si="279"/>
        <v>1143.6854112494987</v>
      </c>
      <c r="K431" s="69">
        <f t="shared" ca="1" si="280"/>
        <v>1174.9717879155412</v>
      </c>
      <c r="L431" s="69">
        <f t="shared" ca="1" si="281"/>
        <v>952.31863143917553</v>
      </c>
      <c r="M431" s="69">
        <f t="shared" ca="1" si="282"/>
        <v>989.17130621792433</v>
      </c>
      <c r="N431" s="69">
        <f t="shared" ca="1" si="283"/>
        <v>571.03716593931517</v>
      </c>
      <c r="O431" s="69">
        <f t="shared" ca="1" si="284"/>
        <v>628.52998768741486</v>
      </c>
      <c r="P431" s="69">
        <f t="shared" ca="1" si="285"/>
        <v>723.60373724224564</v>
      </c>
      <c r="Q431" s="69">
        <f t="shared" ca="1" si="286"/>
        <v>955.33690141973227</v>
      </c>
      <c r="R431" s="69">
        <f t="shared" ca="1" si="287"/>
        <v>781.15747494533525</v>
      </c>
      <c r="S431" s="69">
        <f t="shared" ca="1" si="288"/>
        <v>700.19194123353429</v>
      </c>
      <c r="T431" s="69">
        <f t="shared" ca="1" si="289"/>
        <v>799.88233295224461</v>
      </c>
      <c r="U431" s="69">
        <f t="shared" ca="1" si="290"/>
        <v>1691.3077456919175</v>
      </c>
      <c r="V431" s="69">
        <f t="shared" ca="1" si="291"/>
        <v>1915.177234416044</v>
      </c>
      <c r="W431" s="69">
        <f t="shared" ca="1" si="292"/>
        <v>1177.9122315015295</v>
      </c>
      <c r="X431" s="69">
        <f t="shared" ca="1" si="293"/>
        <v>1499.5848306871189</v>
      </c>
      <c r="Y431" s="69">
        <f t="shared" ca="1" si="294"/>
        <v>1206.0181595586271</v>
      </c>
      <c r="AA431" s="20">
        <f t="shared" ca="1" si="254"/>
        <v>6.5614675822760568E+16</v>
      </c>
      <c r="AB431" s="20">
        <f t="shared" ca="1" si="255"/>
        <v>1676629277400265.8</v>
      </c>
      <c r="AC431" s="20">
        <f t="shared" ca="1" si="256"/>
        <v>397257045393725.06</v>
      </c>
      <c r="AD431" s="20">
        <f t="shared" ca="1" si="257"/>
        <v>302439951770353.31</v>
      </c>
      <c r="AE431" s="20">
        <f t="shared" ca="1" si="258"/>
        <v>6900323088214102</v>
      </c>
      <c r="AG431" s="16">
        <f t="shared" ca="1" si="259"/>
        <v>2.1058174940038224E-4</v>
      </c>
      <c r="AH431" s="16">
        <f t="shared" ca="1" si="260"/>
        <v>7.4589214077153601E-5</v>
      </c>
      <c r="AI431" s="16">
        <f t="shared" ca="1" si="261"/>
        <v>1.3826224695861345E-3</v>
      </c>
      <c r="AJ431" s="16">
        <f t="shared" ca="1" si="262"/>
        <v>9.239397976961545E-5</v>
      </c>
      <c r="AK431" s="16">
        <f t="shared" ca="1" si="263"/>
        <v>2.2656736755527753E-4</v>
      </c>
      <c r="AM431" s="16">
        <f t="shared" ca="1" si="264"/>
        <v>1.7601874128332856E-3</v>
      </c>
      <c r="AO431" s="16">
        <f t="shared" ca="1" si="265"/>
        <v>0</v>
      </c>
      <c r="AP431" s="16">
        <f t="shared" ca="1" si="266"/>
        <v>0</v>
      </c>
      <c r="AQ431" s="16">
        <f t="shared" ca="1" si="267"/>
        <v>0</v>
      </c>
      <c r="AR431" s="16">
        <f t="shared" ca="1" si="268"/>
        <v>0</v>
      </c>
      <c r="AS431" s="16">
        <f t="shared" ca="1" si="269"/>
        <v>0</v>
      </c>
    </row>
    <row r="432" spans="1:45" x14ac:dyDescent="0.25">
      <c r="A432" s="69">
        <f t="shared" ca="1" si="270"/>
        <v>2450.8575897918113</v>
      </c>
      <c r="B432" s="69">
        <f t="shared" ca="1" si="271"/>
        <v>2139.1338265126869</v>
      </c>
      <c r="C432" s="69">
        <f t="shared" ca="1" si="272"/>
        <v>2227.4895746651682</v>
      </c>
      <c r="D432" s="69">
        <f t="shared" ca="1" si="273"/>
        <v>2910.4183919243401</v>
      </c>
      <c r="E432" s="69">
        <f t="shared" ca="1" si="274"/>
        <v>1930.9245471531378</v>
      </c>
      <c r="F432" s="69">
        <f t="shared" ca="1" si="275"/>
        <v>1221.3385274103141</v>
      </c>
      <c r="G432" s="69">
        <f t="shared" ca="1" si="276"/>
        <v>961.77086057076986</v>
      </c>
      <c r="H432" s="69">
        <f t="shared" ca="1" si="277"/>
        <v>1188.5592348488433</v>
      </c>
      <c r="I432" s="69">
        <f t="shared" ca="1" si="278"/>
        <v>1050.0493332246808</v>
      </c>
      <c r="J432" s="69">
        <f t="shared" ca="1" si="279"/>
        <v>1143.7503314627932</v>
      </c>
      <c r="K432" s="69">
        <f t="shared" ca="1" si="280"/>
        <v>1174.9717879155412</v>
      </c>
      <c r="L432" s="69">
        <f t="shared" ca="1" si="281"/>
        <v>952.55365569670289</v>
      </c>
      <c r="M432" s="69">
        <f t="shared" ca="1" si="282"/>
        <v>989.08509132165159</v>
      </c>
      <c r="N432" s="69">
        <f t="shared" ca="1" si="283"/>
        <v>571.48365703813124</v>
      </c>
      <c r="O432" s="69">
        <f t="shared" ca="1" si="284"/>
        <v>628.80750365507947</v>
      </c>
      <c r="P432" s="69">
        <f t="shared" ca="1" si="285"/>
        <v>723.60373724224564</v>
      </c>
      <c r="Q432" s="69">
        <f t="shared" ca="1" si="286"/>
        <v>955.42517287588828</v>
      </c>
      <c r="R432" s="69">
        <f t="shared" ca="1" si="287"/>
        <v>781.15747494533525</v>
      </c>
      <c r="S432" s="69">
        <f t="shared" ca="1" si="288"/>
        <v>700.19194123353429</v>
      </c>
      <c r="T432" s="69">
        <f t="shared" ca="1" si="289"/>
        <v>799.88233295224461</v>
      </c>
      <c r="U432" s="69">
        <f t="shared" ca="1" si="290"/>
        <v>1691.3077456919175</v>
      </c>
      <c r="V432" s="69">
        <f t="shared" ca="1" si="291"/>
        <v>1914.8393955331178</v>
      </c>
      <c r="W432" s="69">
        <f t="shared" ca="1" si="292"/>
        <v>1178.2649203108733</v>
      </c>
      <c r="X432" s="69">
        <f t="shared" ca="1" si="293"/>
        <v>1499.7402107337521</v>
      </c>
      <c r="Y432" s="69">
        <f t="shared" ca="1" si="294"/>
        <v>1206.0181595586271</v>
      </c>
      <c r="AA432" s="20">
        <f t="shared" ca="1" si="254"/>
        <v>6.5628494530914472E+16</v>
      </c>
      <c r="AB432" s="20">
        <f t="shared" ca="1" si="255"/>
        <v>1676754340524488</v>
      </c>
      <c r="AC432" s="20">
        <f t="shared" ca="1" si="256"/>
        <v>397806681793146.63</v>
      </c>
      <c r="AD432" s="20">
        <f t="shared" ca="1" si="257"/>
        <v>302467896692090.13</v>
      </c>
      <c r="AE432" s="20">
        <f t="shared" ca="1" si="258"/>
        <v>6901886653371212</v>
      </c>
      <c r="AG432" s="16">
        <f t="shared" ca="1" si="259"/>
        <v>-1.7456617319832672E-4</v>
      </c>
      <c r="AH432" s="16">
        <f t="shared" ca="1" si="260"/>
        <v>-1.526671272838862E-4</v>
      </c>
      <c r="AI432" s="16">
        <f t="shared" ca="1" si="261"/>
        <v>8.9448505744831446E-5</v>
      </c>
      <c r="AJ432" s="16">
        <f t="shared" ca="1" si="262"/>
        <v>-1.6691426534733131E-4</v>
      </c>
      <c r="AK432" s="16">
        <f t="shared" ca="1" si="263"/>
        <v>-1.4885744105229865E-4</v>
      </c>
      <c r="AM432" s="16">
        <f t="shared" ca="1" si="264"/>
        <v>-4.0469906008471282E-4</v>
      </c>
      <c r="AO432" s="16">
        <f t="shared" ca="1" si="265"/>
        <v>-1.7456617319832672E-4</v>
      </c>
      <c r="AP432" s="16">
        <f t="shared" ca="1" si="266"/>
        <v>-1.526671272838862E-4</v>
      </c>
      <c r="AQ432" s="16">
        <f t="shared" ca="1" si="267"/>
        <v>0</v>
      </c>
      <c r="AR432" s="16">
        <f t="shared" ca="1" si="268"/>
        <v>-1.6691426534733131E-4</v>
      </c>
      <c r="AS432" s="16">
        <f t="shared" ca="1" si="269"/>
        <v>-1.4885744105229865E-4</v>
      </c>
    </row>
    <row r="433" spans="1:45" x14ac:dyDescent="0.25">
      <c r="A433" s="69">
        <f t="shared" ca="1" si="270"/>
        <v>2450.817627702133</v>
      </c>
      <c r="B433" s="69">
        <f t="shared" ca="1" si="271"/>
        <v>2139.1338265126869</v>
      </c>
      <c r="C433" s="69">
        <f t="shared" ca="1" si="272"/>
        <v>2227.4936485455764</v>
      </c>
      <c r="D433" s="69">
        <f t="shared" ca="1" si="273"/>
        <v>2910.4183919243401</v>
      </c>
      <c r="E433" s="69">
        <f t="shared" ca="1" si="274"/>
        <v>1930.6154509566663</v>
      </c>
      <c r="F433" s="69">
        <f t="shared" ca="1" si="275"/>
        <v>1220.9306068672427</v>
      </c>
      <c r="G433" s="69">
        <f t="shared" ca="1" si="276"/>
        <v>961.73754724669459</v>
      </c>
      <c r="H433" s="69">
        <f t="shared" ca="1" si="277"/>
        <v>1188.5592348488433</v>
      </c>
      <c r="I433" s="69">
        <f t="shared" ca="1" si="278"/>
        <v>1050.3355289224085</v>
      </c>
      <c r="J433" s="69">
        <f t="shared" ca="1" si="279"/>
        <v>1143.6857159862527</v>
      </c>
      <c r="K433" s="69">
        <f t="shared" ca="1" si="280"/>
        <v>1174.9717879155412</v>
      </c>
      <c r="L433" s="69">
        <f t="shared" ca="1" si="281"/>
        <v>952.55365569670289</v>
      </c>
      <c r="M433" s="69">
        <f t="shared" ca="1" si="282"/>
        <v>989.08509132165159</v>
      </c>
      <c r="N433" s="69">
        <f t="shared" ca="1" si="283"/>
        <v>571.09541924362463</v>
      </c>
      <c r="O433" s="69">
        <f t="shared" ca="1" si="284"/>
        <v>629.29126149054332</v>
      </c>
      <c r="P433" s="69">
        <f t="shared" ca="1" si="285"/>
        <v>723.76275585624876</v>
      </c>
      <c r="Q433" s="69">
        <f t="shared" ca="1" si="286"/>
        <v>955.5032610023876</v>
      </c>
      <c r="R433" s="69">
        <f t="shared" ca="1" si="287"/>
        <v>781.15747494533525</v>
      </c>
      <c r="S433" s="69">
        <f t="shared" ca="1" si="288"/>
        <v>700.19194123353429</v>
      </c>
      <c r="T433" s="69">
        <f t="shared" ca="1" si="289"/>
        <v>799.50777393669625</v>
      </c>
      <c r="U433" s="69">
        <f t="shared" ca="1" si="290"/>
        <v>1691.3077456919175</v>
      </c>
      <c r="V433" s="69">
        <f t="shared" ca="1" si="291"/>
        <v>1914.5543786546405</v>
      </c>
      <c r="W433" s="69">
        <f t="shared" ca="1" si="292"/>
        <v>1178.2649203108733</v>
      </c>
      <c r="X433" s="69">
        <f t="shared" ca="1" si="293"/>
        <v>1499.7402107337521</v>
      </c>
      <c r="Y433" s="69">
        <f t="shared" ca="1" si="294"/>
        <v>1206.0181595586271</v>
      </c>
      <c r="AA433" s="20">
        <f t="shared" ca="1" si="254"/>
        <v>6.5617039015673264E+16</v>
      </c>
      <c r="AB433" s="20">
        <f t="shared" ca="1" si="255"/>
        <v>1676498374795432.8</v>
      </c>
      <c r="AC433" s="20">
        <f t="shared" ca="1" si="256"/>
        <v>397842266597888.44</v>
      </c>
      <c r="AD433" s="20">
        <f t="shared" ca="1" si="257"/>
        <v>302417414698522.25</v>
      </c>
      <c r="AE433" s="20">
        <f t="shared" ca="1" si="258"/>
        <v>6900859332649622</v>
      </c>
      <c r="AG433" s="16">
        <f t="shared" ca="1" si="259"/>
        <v>3.9891164397339572E-4</v>
      </c>
      <c r="AH433" s="16">
        <f t="shared" ca="1" si="260"/>
        <v>-2.52926196204136E-4</v>
      </c>
      <c r="AI433" s="16">
        <f t="shared" ca="1" si="261"/>
        <v>9.7914546917426045E-5</v>
      </c>
      <c r="AJ433" s="16">
        <f t="shared" ca="1" si="262"/>
        <v>1.9339403811375317E-4</v>
      </c>
      <c r="AK433" s="16">
        <f t="shared" ca="1" si="263"/>
        <v>1.6597400215129099E-4</v>
      </c>
      <c r="AM433" s="16">
        <f t="shared" ca="1" si="264"/>
        <v>4.3729403280043898E-4</v>
      </c>
      <c r="AO433" s="16">
        <f t="shared" ca="1" si="265"/>
        <v>0</v>
      </c>
      <c r="AP433" s="16">
        <f t="shared" ca="1" si="266"/>
        <v>-2.52926196204136E-4</v>
      </c>
      <c r="AQ433" s="16">
        <f t="shared" ca="1" si="267"/>
        <v>0</v>
      </c>
      <c r="AR433" s="16">
        <f t="shared" ca="1" si="268"/>
        <v>0</v>
      </c>
      <c r="AS433" s="16">
        <f t="shared" ca="1" si="269"/>
        <v>0</v>
      </c>
    </row>
    <row r="434" spans="1:45" x14ac:dyDescent="0.25">
      <c r="A434" s="69">
        <f t="shared" ca="1" si="270"/>
        <v>2451.3052148229126</v>
      </c>
      <c r="B434" s="69">
        <f t="shared" ca="1" si="271"/>
        <v>2139.5616589947695</v>
      </c>
      <c r="C434" s="69">
        <f t="shared" ca="1" si="272"/>
        <v>2227.4936485455764</v>
      </c>
      <c r="D434" s="69">
        <f t="shared" ca="1" si="273"/>
        <v>2910.4183919243401</v>
      </c>
      <c r="E434" s="69">
        <f t="shared" ca="1" si="274"/>
        <v>1930.6154509566663</v>
      </c>
      <c r="F434" s="69">
        <f t="shared" ca="1" si="275"/>
        <v>1221.2563968969735</v>
      </c>
      <c r="G434" s="69">
        <f t="shared" ca="1" si="276"/>
        <v>961.23783511801673</v>
      </c>
      <c r="H434" s="69">
        <f t="shared" ca="1" si="277"/>
        <v>1188.5592348488433</v>
      </c>
      <c r="I434" s="69">
        <f t="shared" ca="1" si="278"/>
        <v>1050.3355289224085</v>
      </c>
      <c r="J434" s="69">
        <f t="shared" ca="1" si="279"/>
        <v>1143.6857159862527</v>
      </c>
      <c r="K434" s="69">
        <f t="shared" ca="1" si="280"/>
        <v>1175.0825341855177</v>
      </c>
      <c r="L434" s="69">
        <f t="shared" ca="1" si="281"/>
        <v>952.0830373779246</v>
      </c>
      <c r="M434" s="69">
        <f t="shared" ca="1" si="282"/>
        <v>989.55873789390296</v>
      </c>
      <c r="N434" s="69">
        <f t="shared" ca="1" si="283"/>
        <v>571.10632013289091</v>
      </c>
      <c r="O434" s="69">
        <f t="shared" ca="1" si="284"/>
        <v>629.29126149054332</v>
      </c>
      <c r="P434" s="69">
        <f t="shared" ca="1" si="285"/>
        <v>723.93643250840239</v>
      </c>
      <c r="Q434" s="69">
        <f t="shared" ca="1" si="286"/>
        <v>955.5032610023876</v>
      </c>
      <c r="R434" s="69">
        <f t="shared" ca="1" si="287"/>
        <v>781.15747494533525</v>
      </c>
      <c r="S434" s="69">
        <f t="shared" ca="1" si="288"/>
        <v>700.15935457826936</v>
      </c>
      <c r="T434" s="69">
        <f t="shared" ca="1" si="289"/>
        <v>799.50777393669625</v>
      </c>
      <c r="U434" s="69">
        <f t="shared" ca="1" si="290"/>
        <v>1691.3077456919175</v>
      </c>
      <c r="V434" s="69">
        <f t="shared" ca="1" si="291"/>
        <v>1914.4409873008428</v>
      </c>
      <c r="W434" s="69">
        <f t="shared" ca="1" si="292"/>
        <v>1178.5302974936567</v>
      </c>
      <c r="X434" s="69">
        <f t="shared" ca="1" si="293"/>
        <v>1499.7402107337521</v>
      </c>
      <c r="Y434" s="69">
        <f t="shared" ca="1" si="294"/>
        <v>1206.0181595586271</v>
      </c>
      <c r="AA434" s="20">
        <f t="shared" ca="1" si="254"/>
        <v>6.5643219638110056E+16</v>
      </c>
      <c r="AB434" s="20">
        <f t="shared" ca="1" si="255"/>
        <v>1676074398058225.3</v>
      </c>
      <c r="AC434" s="20">
        <f t="shared" ca="1" si="256"/>
        <v>397881223050337.56</v>
      </c>
      <c r="AD434" s="20">
        <f t="shared" ca="1" si="257"/>
        <v>302475906079306.56</v>
      </c>
      <c r="AE434" s="20">
        <f t="shared" ca="1" si="258"/>
        <v>6902004790946865</v>
      </c>
      <c r="AG434" s="16">
        <f t="shared" ca="1" si="259"/>
        <v>8.881578051906802E-5</v>
      </c>
      <c r="AH434" s="16">
        <f t="shared" ca="1" si="260"/>
        <v>-6.2352071653108714E-5</v>
      </c>
      <c r="AI434" s="16">
        <f t="shared" ca="1" si="261"/>
        <v>6.681306162218103E-4</v>
      </c>
      <c r="AJ434" s="16">
        <f t="shared" ca="1" si="262"/>
        <v>2.9308076402870671E-4</v>
      </c>
      <c r="AK434" s="16">
        <f t="shared" ca="1" si="263"/>
        <v>-2.7354276662419489E-4</v>
      </c>
      <c r="AM434" s="16">
        <f t="shared" ca="1" si="264"/>
        <v>9.8767508911647628E-4</v>
      </c>
      <c r="AO434" s="16">
        <f t="shared" ca="1" si="265"/>
        <v>0</v>
      </c>
      <c r="AP434" s="16">
        <f t="shared" ca="1" si="266"/>
        <v>-6.2352071653108714E-5</v>
      </c>
      <c r="AQ434" s="16">
        <f t="shared" ca="1" si="267"/>
        <v>0</v>
      </c>
      <c r="AR434" s="16">
        <f t="shared" ca="1" si="268"/>
        <v>0</v>
      </c>
      <c r="AS434" s="16">
        <f t="shared" ca="1" si="269"/>
        <v>-2.7354276662419489E-4</v>
      </c>
    </row>
    <row r="435" spans="1:45" x14ac:dyDescent="0.25">
      <c r="A435" s="69">
        <f t="shared" ca="1" si="270"/>
        <v>2451.0235576865216</v>
      </c>
      <c r="B435" s="69">
        <f t="shared" ca="1" si="271"/>
        <v>2139.6451449268334</v>
      </c>
      <c r="C435" s="69">
        <f t="shared" ca="1" si="272"/>
        <v>2227.4936485455764</v>
      </c>
      <c r="D435" s="69">
        <f t="shared" ca="1" si="273"/>
        <v>2910.4183919243401</v>
      </c>
      <c r="E435" s="69">
        <f t="shared" ca="1" si="274"/>
        <v>1930.9334570716298</v>
      </c>
      <c r="F435" s="69">
        <f t="shared" ca="1" si="275"/>
        <v>1221.3991645038702</v>
      </c>
      <c r="G435" s="69">
        <f t="shared" ca="1" si="276"/>
        <v>961.23783511801673</v>
      </c>
      <c r="H435" s="69">
        <f t="shared" ca="1" si="277"/>
        <v>1188.5592348488433</v>
      </c>
      <c r="I435" s="69">
        <f t="shared" ca="1" si="278"/>
        <v>1050.5345437940819</v>
      </c>
      <c r="J435" s="69">
        <f t="shared" ca="1" si="279"/>
        <v>1143.2641088384662</v>
      </c>
      <c r="K435" s="69">
        <f t="shared" ca="1" si="280"/>
        <v>1175.1844174377354</v>
      </c>
      <c r="L435" s="69">
        <f t="shared" ca="1" si="281"/>
        <v>952.40576586597138</v>
      </c>
      <c r="M435" s="69">
        <f t="shared" ca="1" si="282"/>
        <v>989.55873789390296</v>
      </c>
      <c r="N435" s="69">
        <f t="shared" ca="1" si="283"/>
        <v>571.24375808696163</v>
      </c>
      <c r="O435" s="69">
        <f t="shared" ca="1" si="284"/>
        <v>629.29245376243341</v>
      </c>
      <c r="P435" s="69">
        <f t="shared" ca="1" si="285"/>
        <v>723.93643250840239</v>
      </c>
      <c r="Q435" s="69">
        <f t="shared" ca="1" si="286"/>
        <v>955.5032610023876</v>
      </c>
      <c r="R435" s="69">
        <f t="shared" ca="1" si="287"/>
        <v>781.15747494533525</v>
      </c>
      <c r="S435" s="69">
        <f t="shared" ca="1" si="288"/>
        <v>700.36458789034987</v>
      </c>
      <c r="T435" s="69">
        <f t="shared" ca="1" si="289"/>
        <v>799.50777393669625</v>
      </c>
      <c r="U435" s="69">
        <f t="shared" ca="1" si="290"/>
        <v>1691.7887661607485</v>
      </c>
      <c r="V435" s="69">
        <f t="shared" ca="1" si="291"/>
        <v>1913.9451995150694</v>
      </c>
      <c r="W435" s="69">
        <f t="shared" ca="1" si="292"/>
        <v>1178.5302974936567</v>
      </c>
      <c r="X435" s="69">
        <f t="shared" ca="1" si="293"/>
        <v>1499.2919999813009</v>
      </c>
      <c r="Y435" s="69">
        <f t="shared" ca="1" si="294"/>
        <v>1206.0181595586271</v>
      </c>
      <c r="AA435" s="20">
        <f t="shared" ca="1" si="254"/>
        <v>6.5649050050810488E+16</v>
      </c>
      <c r="AB435" s="20">
        <f t="shared" ca="1" si="255"/>
        <v>1675969894605298.8</v>
      </c>
      <c r="AC435" s="20">
        <f t="shared" ca="1" si="256"/>
        <v>398147148503653.38</v>
      </c>
      <c r="AD435" s="20">
        <f t="shared" ca="1" si="257"/>
        <v>302564568941015.56</v>
      </c>
      <c r="AE435" s="20">
        <f t="shared" ca="1" si="258"/>
        <v>6900117055661033</v>
      </c>
      <c r="AG435" s="16">
        <f t="shared" ca="1" si="259"/>
        <v>-1.9865855580052436E-6</v>
      </c>
      <c r="AH435" s="16">
        <f t="shared" ca="1" si="260"/>
        <v>7.1378396345835051E-5</v>
      </c>
      <c r="AI435" s="16">
        <f t="shared" ca="1" si="261"/>
        <v>-3.6897179048007094E-4</v>
      </c>
      <c r="AJ435" s="16">
        <f t="shared" ca="1" si="262"/>
        <v>-6.0012629065113964E-4</v>
      </c>
      <c r="AK435" s="16">
        <f t="shared" ca="1" si="263"/>
        <v>-2.0859219874962002E-4</v>
      </c>
      <c r="AM435" s="16">
        <f t="shared" ca="1" si="264"/>
        <v>-8.9970627034338083E-4</v>
      </c>
      <c r="AO435" s="16">
        <f t="shared" ca="1" si="265"/>
        <v>-1.9865855580052436E-6</v>
      </c>
      <c r="AP435" s="16">
        <f t="shared" ca="1" si="266"/>
        <v>0</v>
      </c>
      <c r="AQ435" s="16">
        <f t="shared" ca="1" si="267"/>
        <v>-3.6897179048007094E-4</v>
      </c>
      <c r="AR435" s="16">
        <f t="shared" ca="1" si="268"/>
        <v>-6.0012629065113964E-4</v>
      </c>
      <c r="AS435" s="16">
        <f t="shared" ca="1" si="269"/>
        <v>-2.0859219874962002E-4</v>
      </c>
    </row>
    <row r="436" spans="1:45" x14ac:dyDescent="0.25">
      <c r="A436" s="69">
        <f t="shared" ca="1" si="270"/>
        <v>2451.1872857560579</v>
      </c>
      <c r="B436" s="69">
        <f t="shared" ca="1" si="271"/>
        <v>2139.6451449268334</v>
      </c>
      <c r="C436" s="69">
        <f t="shared" ca="1" si="272"/>
        <v>2227.3589521818317</v>
      </c>
      <c r="D436" s="69">
        <f t="shared" ca="1" si="273"/>
        <v>2910.0596992882556</v>
      </c>
      <c r="E436" s="69">
        <f t="shared" ca="1" si="274"/>
        <v>1931.1554102914572</v>
      </c>
      <c r="F436" s="69">
        <f t="shared" ca="1" si="275"/>
        <v>1220.9875393415025</v>
      </c>
      <c r="G436" s="69">
        <f t="shared" ca="1" si="276"/>
        <v>961.23783511801673</v>
      </c>
      <c r="H436" s="69">
        <f t="shared" ca="1" si="277"/>
        <v>1189.0172647215659</v>
      </c>
      <c r="I436" s="69">
        <f t="shared" ca="1" si="278"/>
        <v>1050.558869179001</v>
      </c>
      <c r="J436" s="69">
        <f t="shared" ca="1" si="279"/>
        <v>1143.2641088384662</v>
      </c>
      <c r="K436" s="69">
        <f t="shared" ca="1" si="280"/>
        <v>1174.8793493660655</v>
      </c>
      <c r="L436" s="69">
        <f t="shared" ca="1" si="281"/>
        <v>952.40576586597138</v>
      </c>
      <c r="M436" s="69">
        <f t="shared" ca="1" si="282"/>
        <v>989.38302837442859</v>
      </c>
      <c r="N436" s="69">
        <f t="shared" ca="1" si="283"/>
        <v>571.24375808696163</v>
      </c>
      <c r="O436" s="69">
        <f t="shared" ca="1" si="284"/>
        <v>629.33539363891373</v>
      </c>
      <c r="P436" s="69">
        <f t="shared" ca="1" si="285"/>
        <v>723.93643250840239</v>
      </c>
      <c r="Q436" s="69">
        <f t="shared" ca="1" si="286"/>
        <v>955.52037833361896</v>
      </c>
      <c r="R436" s="69">
        <f t="shared" ca="1" si="287"/>
        <v>780.82759031668479</v>
      </c>
      <c r="S436" s="69">
        <f t="shared" ca="1" si="288"/>
        <v>700.23485343480513</v>
      </c>
      <c r="T436" s="69">
        <f t="shared" ca="1" si="289"/>
        <v>799.49946433778848</v>
      </c>
      <c r="U436" s="69">
        <f t="shared" ca="1" si="290"/>
        <v>1691.6172719612489</v>
      </c>
      <c r="V436" s="69">
        <f t="shared" ca="1" si="291"/>
        <v>1914.1863254248256</v>
      </c>
      <c r="W436" s="69">
        <f t="shared" ca="1" si="292"/>
        <v>1178.5302974936567</v>
      </c>
      <c r="X436" s="69">
        <f t="shared" ca="1" si="293"/>
        <v>1499.2919999813009</v>
      </c>
      <c r="Y436" s="69">
        <f t="shared" ca="1" si="294"/>
        <v>1205.736955827269</v>
      </c>
      <c r="AA436" s="20">
        <f t="shared" ca="1" si="254"/>
        <v>6.5648919633485304E+16</v>
      </c>
      <c r="AB436" s="20">
        <f t="shared" ca="1" si="255"/>
        <v>1676089526918230</v>
      </c>
      <c r="AC436" s="20">
        <f t="shared" ca="1" si="256"/>
        <v>398000270535975.13</v>
      </c>
      <c r="AD436" s="20">
        <f t="shared" ca="1" si="257"/>
        <v>302383046462228.44</v>
      </c>
      <c r="AE436" s="20">
        <f t="shared" ca="1" si="258"/>
        <v>6898677895176806</v>
      </c>
      <c r="AG436" s="16">
        <f t="shared" ca="1" si="259"/>
        <v>4.3826429117850758E-4</v>
      </c>
      <c r="AH436" s="16">
        <f t="shared" ca="1" si="260"/>
        <v>-5.4881464027493128E-4</v>
      </c>
      <c r="AI436" s="16">
        <f t="shared" ca="1" si="261"/>
        <v>3.1872592643286115E-4</v>
      </c>
      <c r="AJ436" s="16">
        <f t="shared" ca="1" si="262"/>
        <v>5.6442804665269548E-5</v>
      </c>
      <c r="AK436" s="16">
        <f t="shared" ca="1" si="263"/>
        <v>1.7818796477511473E-4</v>
      </c>
      <c r="AM436" s="16">
        <f t="shared" ca="1" si="264"/>
        <v>2.6461838200170701E-4</v>
      </c>
      <c r="AO436" s="16">
        <f t="shared" ca="1" si="265"/>
        <v>0</v>
      </c>
      <c r="AP436" s="16">
        <f t="shared" ca="1" si="266"/>
        <v>-5.4881464027493128E-4</v>
      </c>
      <c r="AQ436" s="16">
        <f t="shared" ca="1" si="267"/>
        <v>0</v>
      </c>
      <c r="AR436" s="16">
        <f t="shared" ca="1" si="268"/>
        <v>0</v>
      </c>
      <c r="AS436" s="16">
        <f t="shared" ca="1" si="269"/>
        <v>0</v>
      </c>
    </row>
    <row r="437" spans="1:45" x14ac:dyDescent="0.25">
      <c r="A437" s="69">
        <f t="shared" ca="1" si="270"/>
        <v>2451.4150351764933</v>
      </c>
      <c r="B437" s="69">
        <f t="shared" ca="1" si="271"/>
        <v>2140.1106895968855</v>
      </c>
      <c r="C437" s="69">
        <f t="shared" ca="1" si="272"/>
        <v>2227.6436224724944</v>
      </c>
      <c r="D437" s="69">
        <f t="shared" ca="1" si="273"/>
        <v>2910.0596992882556</v>
      </c>
      <c r="E437" s="69">
        <f t="shared" ca="1" si="274"/>
        <v>1931.1554102914572</v>
      </c>
      <c r="F437" s="69">
        <f t="shared" ca="1" si="275"/>
        <v>1220.5131335620736</v>
      </c>
      <c r="G437" s="69">
        <f t="shared" ca="1" si="276"/>
        <v>961.23783511801673</v>
      </c>
      <c r="H437" s="69">
        <f t="shared" ca="1" si="277"/>
        <v>1189.3228482740603</v>
      </c>
      <c r="I437" s="69">
        <f t="shared" ca="1" si="278"/>
        <v>1050.558869179001</v>
      </c>
      <c r="J437" s="69">
        <f t="shared" ca="1" si="279"/>
        <v>1142.7872744474944</v>
      </c>
      <c r="K437" s="69">
        <f t="shared" ca="1" si="280"/>
        <v>1174.8793493660655</v>
      </c>
      <c r="L437" s="69">
        <f t="shared" ca="1" si="281"/>
        <v>952.81460034715235</v>
      </c>
      <c r="M437" s="69">
        <f t="shared" ca="1" si="282"/>
        <v>989.39224353862267</v>
      </c>
      <c r="N437" s="69">
        <f t="shared" ca="1" si="283"/>
        <v>571.24375808696163</v>
      </c>
      <c r="O437" s="69">
        <f t="shared" ca="1" si="284"/>
        <v>629.26002831921676</v>
      </c>
      <c r="P437" s="69">
        <f t="shared" ca="1" si="285"/>
        <v>724.28716269718723</v>
      </c>
      <c r="Q437" s="69">
        <f t="shared" ca="1" si="286"/>
        <v>955.67071301767578</v>
      </c>
      <c r="R437" s="69">
        <f t="shared" ca="1" si="287"/>
        <v>780.82759031668479</v>
      </c>
      <c r="S437" s="69">
        <f t="shared" ca="1" si="288"/>
        <v>699.82517013263657</v>
      </c>
      <c r="T437" s="69">
        <f t="shared" ca="1" si="289"/>
        <v>799.49946433778848</v>
      </c>
      <c r="U437" s="69">
        <f t="shared" ca="1" si="290"/>
        <v>1691.7299521951743</v>
      </c>
      <c r="V437" s="69">
        <f t="shared" ca="1" si="291"/>
        <v>1914.1863254248256</v>
      </c>
      <c r="W437" s="69">
        <f t="shared" ca="1" si="292"/>
        <v>1178.563363037224</v>
      </c>
      <c r="X437" s="69">
        <f t="shared" ca="1" si="293"/>
        <v>1499.2919999813009</v>
      </c>
      <c r="Y437" s="69">
        <f t="shared" ca="1" si="294"/>
        <v>1205.8376668425985</v>
      </c>
      <c r="AA437" s="20">
        <f t="shared" ca="1" si="254"/>
        <v>6.5677697516413712E+16</v>
      </c>
      <c r="AB437" s="20">
        <f t="shared" ca="1" si="255"/>
        <v>1675169916818271</v>
      </c>
      <c r="AC437" s="20">
        <f t="shared" ca="1" si="256"/>
        <v>398127143758740.88</v>
      </c>
      <c r="AD437" s="20">
        <f t="shared" ca="1" si="257"/>
        <v>302400114291127.56</v>
      </c>
      <c r="AE437" s="20">
        <f t="shared" ca="1" si="258"/>
        <v>6899907266076883</v>
      </c>
      <c r="AG437" s="16">
        <f t="shared" ca="1" si="259"/>
        <v>-3.1737836723494866E-4</v>
      </c>
      <c r="AH437" s="16">
        <f t="shared" ca="1" si="260"/>
        <v>3.5146520251605289E-4</v>
      </c>
      <c r="AI437" s="16">
        <f t="shared" ca="1" si="261"/>
        <v>-2.5910889329042446E-4</v>
      </c>
      <c r="AJ437" s="16">
        <f t="shared" ca="1" si="262"/>
        <v>-4.5509022800706392E-4</v>
      </c>
      <c r="AK437" s="16">
        <f t="shared" ca="1" si="263"/>
        <v>1.9114428294265384E-4</v>
      </c>
      <c r="AM437" s="16">
        <f t="shared" ca="1" si="264"/>
        <v>-6.8011228601638416E-4</v>
      </c>
      <c r="AO437" s="16">
        <f t="shared" ca="1" si="265"/>
        <v>-3.1737836723494866E-4</v>
      </c>
      <c r="AP437" s="16">
        <f t="shared" ca="1" si="266"/>
        <v>0</v>
      </c>
      <c r="AQ437" s="16">
        <f t="shared" ca="1" si="267"/>
        <v>-2.5910889329042446E-4</v>
      </c>
      <c r="AR437" s="16">
        <f t="shared" ca="1" si="268"/>
        <v>-4.5509022800706392E-4</v>
      </c>
      <c r="AS437" s="16">
        <f t="shared" ca="1" si="269"/>
        <v>0</v>
      </c>
    </row>
    <row r="438" spans="1:45" x14ac:dyDescent="0.25">
      <c r="A438" s="69">
        <f t="shared" ca="1" si="270"/>
        <v>2451.2247983215389</v>
      </c>
      <c r="B438" s="69">
        <f t="shared" ca="1" si="271"/>
        <v>2140.1997631473682</v>
      </c>
      <c r="C438" s="69">
        <f t="shared" ca="1" si="272"/>
        <v>2227.4936069891924</v>
      </c>
      <c r="D438" s="69">
        <f t="shared" ca="1" si="273"/>
        <v>2910.0596992882556</v>
      </c>
      <c r="E438" s="69">
        <f t="shared" ca="1" si="274"/>
        <v>1930.7420952069522</v>
      </c>
      <c r="F438" s="69">
        <f t="shared" ca="1" si="275"/>
        <v>1220.5131335620736</v>
      </c>
      <c r="G438" s="69">
        <f t="shared" ca="1" si="276"/>
        <v>961.54873509523509</v>
      </c>
      <c r="H438" s="69">
        <f t="shared" ca="1" si="277"/>
        <v>1189.2932543355623</v>
      </c>
      <c r="I438" s="69">
        <f t="shared" ca="1" si="278"/>
        <v>1050.3761823812949</v>
      </c>
      <c r="J438" s="69">
        <f t="shared" ca="1" si="279"/>
        <v>1143.0465722531226</v>
      </c>
      <c r="K438" s="69">
        <f t="shared" ca="1" si="280"/>
        <v>1174.8793493660655</v>
      </c>
      <c r="L438" s="69">
        <f t="shared" ca="1" si="281"/>
        <v>952.755175982227</v>
      </c>
      <c r="M438" s="69">
        <f t="shared" ca="1" si="282"/>
        <v>989.83165927947755</v>
      </c>
      <c r="N438" s="69">
        <f t="shared" ca="1" si="283"/>
        <v>570.87784055675354</v>
      </c>
      <c r="O438" s="69">
        <f t="shared" ca="1" si="284"/>
        <v>629.26002831921676</v>
      </c>
      <c r="P438" s="69">
        <f t="shared" ca="1" si="285"/>
        <v>723.9576216783089</v>
      </c>
      <c r="Q438" s="69">
        <f t="shared" ca="1" si="286"/>
        <v>955.67071301767578</v>
      </c>
      <c r="R438" s="69">
        <f t="shared" ca="1" si="287"/>
        <v>780.82759031668479</v>
      </c>
      <c r="S438" s="69">
        <f t="shared" ca="1" si="288"/>
        <v>699.82517013263657</v>
      </c>
      <c r="T438" s="69">
        <f t="shared" ca="1" si="289"/>
        <v>799.49946433778848</v>
      </c>
      <c r="U438" s="69">
        <f t="shared" ca="1" si="290"/>
        <v>1691.828927546348</v>
      </c>
      <c r="V438" s="69">
        <f t="shared" ca="1" si="291"/>
        <v>1914.4402410606303</v>
      </c>
      <c r="W438" s="69">
        <f t="shared" ca="1" si="292"/>
        <v>1178.563363037224</v>
      </c>
      <c r="X438" s="69">
        <f t="shared" ca="1" si="293"/>
        <v>1499.2919999813009</v>
      </c>
      <c r="Y438" s="69">
        <f t="shared" ca="1" si="294"/>
        <v>1205.8376668425985</v>
      </c>
      <c r="AA438" s="20">
        <f t="shared" ca="1" si="254"/>
        <v>6.56568561434876E+16</v>
      </c>
      <c r="AB438" s="20">
        <f t="shared" ca="1" si="255"/>
        <v>1675758784229474.5</v>
      </c>
      <c r="AC438" s="20">
        <f t="shared" ca="1" si="256"/>
        <v>398023998838592.81</v>
      </c>
      <c r="AD438" s="20">
        <f t="shared" ca="1" si="257"/>
        <v>302262526264023.38</v>
      </c>
      <c r="AE438" s="20">
        <f t="shared" ca="1" si="258"/>
        <v>6901226269959638</v>
      </c>
      <c r="AG438" s="16">
        <f t="shared" ca="1" si="259"/>
        <v>0</v>
      </c>
      <c r="AH438" s="16">
        <f t="shared" ca="1" si="260"/>
        <v>-3.5598633634320641E-4</v>
      </c>
      <c r="AI438" s="16">
        <f t="shared" ca="1" si="261"/>
        <v>2.3725696388759223E-4</v>
      </c>
      <c r="AJ438" s="16">
        <f t="shared" ca="1" si="262"/>
        <v>-7.2315704741193071E-5</v>
      </c>
      <c r="AK438" s="16">
        <f t="shared" ca="1" si="263"/>
        <v>-7.7100320398220938E-5</v>
      </c>
      <c r="AM438" s="16">
        <f t="shared" ca="1" si="264"/>
        <v>-1.9104507719680725E-4</v>
      </c>
      <c r="AO438" s="16">
        <f t="shared" ca="1" si="265"/>
        <v>0</v>
      </c>
      <c r="AP438" s="16">
        <f t="shared" ca="1" si="266"/>
        <v>-3.5598633634320641E-4</v>
      </c>
      <c r="AQ438" s="16">
        <f t="shared" ca="1" si="267"/>
        <v>0</v>
      </c>
      <c r="AR438" s="16">
        <f t="shared" ca="1" si="268"/>
        <v>-7.2315704741193071E-5</v>
      </c>
      <c r="AS438" s="16">
        <f t="shared" ca="1" si="269"/>
        <v>-7.7100320398220938E-5</v>
      </c>
    </row>
    <row r="439" spans="1:45" x14ac:dyDescent="0.25">
      <c r="A439" s="69">
        <f t="shared" ca="1" si="270"/>
        <v>2451.2247983215389</v>
      </c>
      <c r="B439" s="69">
        <f t="shared" ca="1" si="271"/>
        <v>2140.1997631473682</v>
      </c>
      <c r="C439" s="69">
        <f t="shared" ca="1" si="272"/>
        <v>2227.4936069891924</v>
      </c>
      <c r="D439" s="69">
        <f t="shared" ca="1" si="273"/>
        <v>2910.0596992882556</v>
      </c>
      <c r="E439" s="69">
        <f t="shared" ca="1" si="274"/>
        <v>1930.7420952069522</v>
      </c>
      <c r="F439" s="69">
        <f t="shared" ca="1" si="275"/>
        <v>1220.5131335620736</v>
      </c>
      <c r="G439" s="69">
        <f t="shared" ca="1" si="276"/>
        <v>961.53499520387231</v>
      </c>
      <c r="H439" s="69">
        <f t="shared" ca="1" si="277"/>
        <v>1189.2932543355623</v>
      </c>
      <c r="I439" s="69">
        <f t="shared" ca="1" si="278"/>
        <v>1050.0173334083217</v>
      </c>
      <c r="J439" s="69">
        <f t="shared" ca="1" si="279"/>
        <v>1143.0465722531226</v>
      </c>
      <c r="K439" s="69">
        <f t="shared" ca="1" si="280"/>
        <v>1174.8793493660655</v>
      </c>
      <c r="L439" s="69">
        <f t="shared" ca="1" si="281"/>
        <v>953.21811190755159</v>
      </c>
      <c r="M439" s="69">
        <f t="shared" ca="1" si="282"/>
        <v>989.82853804968056</v>
      </c>
      <c r="N439" s="69">
        <f t="shared" ca="1" si="283"/>
        <v>570.5857774452154</v>
      </c>
      <c r="O439" s="69">
        <f t="shared" ca="1" si="284"/>
        <v>629.42766720755083</v>
      </c>
      <c r="P439" s="69">
        <f t="shared" ca="1" si="285"/>
        <v>723.84406783001464</v>
      </c>
      <c r="Q439" s="69">
        <f t="shared" ca="1" si="286"/>
        <v>956.09132815554233</v>
      </c>
      <c r="R439" s="69">
        <f t="shared" ca="1" si="287"/>
        <v>780.60974862769478</v>
      </c>
      <c r="S439" s="69">
        <f t="shared" ca="1" si="288"/>
        <v>699.35044372379105</v>
      </c>
      <c r="T439" s="69">
        <f t="shared" ca="1" si="289"/>
        <v>799.98100924660685</v>
      </c>
      <c r="U439" s="69">
        <f t="shared" ca="1" si="290"/>
        <v>1691.5344322023386</v>
      </c>
      <c r="V439" s="69">
        <f t="shared" ca="1" si="291"/>
        <v>1914.6005119719973</v>
      </c>
      <c r="W439" s="69">
        <f t="shared" ca="1" si="292"/>
        <v>1178.563363037224</v>
      </c>
      <c r="X439" s="69">
        <f t="shared" ca="1" si="293"/>
        <v>1499.311896774014</v>
      </c>
      <c r="Y439" s="69">
        <f t="shared" ca="1" si="294"/>
        <v>1205.8376668425985</v>
      </c>
      <c r="AA439" s="20">
        <f t="shared" ca="1" si="254"/>
        <v>6.56568561434876E+16</v>
      </c>
      <c r="AB439" s="20">
        <f t="shared" ca="1" si="255"/>
        <v>1675162343168014.5</v>
      </c>
      <c r="AC439" s="20">
        <f t="shared" ca="1" si="256"/>
        <v>398118444007555.63</v>
      </c>
      <c r="AD439" s="20">
        <f t="shared" ca="1" si="257"/>
        <v>302240668726750.88</v>
      </c>
      <c r="AE439" s="20">
        <f t="shared" ca="1" si="258"/>
        <v>6900694203714586</v>
      </c>
      <c r="AG439" s="16">
        <f t="shared" ca="1" si="259"/>
        <v>4.9072803615211966E-4</v>
      </c>
      <c r="AH439" s="16">
        <f t="shared" ca="1" si="260"/>
        <v>-4.2617098271058624E-5</v>
      </c>
      <c r="AI439" s="16">
        <f t="shared" ca="1" si="261"/>
        <v>-8.0065756973614821E-4</v>
      </c>
      <c r="AJ439" s="16">
        <f t="shared" ca="1" si="262"/>
        <v>-3.5548304651572592E-4</v>
      </c>
      <c r="AK439" s="16">
        <f t="shared" ca="1" si="263"/>
        <v>2.2084992223214426E-4</v>
      </c>
      <c r="AM439" s="16">
        <f t="shared" ca="1" si="264"/>
        <v>-7.0802967837081308E-4</v>
      </c>
      <c r="AO439" s="16">
        <f t="shared" ca="1" si="265"/>
        <v>0</v>
      </c>
      <c r="AP439" s="16">
        <f t="shared" ca="1" si="266"/>
        <v>-4.2617098271058624E-5</v>
      </c>
      <c r="AQ439" s="16">
        <f t="shared" ca="1" si="267"/>
        <v>-8.0065756973614821E-4</v>
      </c>
      <c r="AR439" s="16">
        <f t="shared" ca="1" si="268"/>
        <v>-3.5548304651572592E-4</v>
      </c>
      <c r="AS439" s="16">
        <f t="shared" ca="1" si="269"/>
        <v>0</v>
      </c>
    </row>
    <row r="440" spans="1:45" x14ac:dyDescent="0.25">
      <c r="A440" s="69">
        <f t="shared" ca="1" si="270"/>
        <v>2451.6207372328026</v>
      </c>
      <c r="B440" s="69">
        <f t="shared" ca="1" si="271"/>
        <v>2140.3724481036361</v>
      </c>
      <c r="C440" s="69">
        <f t="shared" ca="1" si="272"/>
        <v>2227.4936069891924</v>
      </c>
      <c r="D440" s="69">
        <f t="shared" ca="1" si="273"/>
        <v>2910.3025204991759</v>
      </c>
      <c r="E440" s="69">
        <f t="shared" ca="1" si="274"/>
        <v>1931.0608725041998</v>
      </c>
      <c r="F440" s="69">
        <f t="shared" ca="1" si="275"/>
        <v>1220.5131335620736</v>
      </c>
      <c r="G440" s="69">
        <f t="shared" ca="1" si="276"/>
        <v>961.53499520387231</v>
      </c>
      <c r="H440" s="69">
        <f t="shared" ca="1" si="277"/>
        <v>1189.3326710463962</v>
      </c>
      <c r="I440" s="69">
        <f t="shared" ca="1" si="278"/>
        <v>1049.6319834043559</v>
      </c>
      <c r="J440" s="69">
        <f t="shared" ca="1" si="279"/>
        <v>1143.3795922622498</v>
      </c>
      <c r="K440" s="69">
        <f t="shared" ca="1" si="280"/>
        <v>1174.8793493660655</v>
      </c>
      <c r="L440" s="69">
        <f t="shared" ca="1" si="281"/>
        <v>952.73708946856721</v>
      </c>
      <c r="M440" s="69">
        <f t="shared" ca="1" si="282"/>
        <v>989.82853804968056</v>
      </c>
      <c r="N440" s="69">
        <f t="shared" ca="1" si="283"/>
        <v>570.11393129922203</v>
      </c>
      <c r="O440" s="69">
        <f t="shared" ca="1" si="284"/>
        <v>629.76222911306422</v>
      </c>
      <c r="P440" s="69">
        <f t="shared" ca="1" si="285"/>
        <v>723.8606815296813</v>
      </c>
      <c r="Q440" s="69">
        <f t="shared" ca="1" si="286"/>
        <v>955.75222827174491</v>
      </c>
      <c r="R440" s="69">
        <f t="shared" ca="1" si="287"/>
        <v>780.60974862769478</v>
      </c>
      <c r="S440" s="69">
        <f t="shared" ca="1" si="288"/>
        <v>699.35044372379105</v>
      </c>
      <c r="T440" s="69">
        <f t="shared" ca="1" si="289"/>
        <v>799.96205087723706</v>
      </c>
      <c r="U440" s="69">
        <f t="shared" ca="1" si="290"/>
        <v>1691.9804687506874</v>
      </c>
      <c r="V440" s="69">
        <f t="shared" ca="1" si="291"/>
        <v>1914.6005119719973</v>
      </c>
      <c r="W440" s="69">
        <f t="shared" ca="1" si="292"/>
        <v>1178.563363037224</v>
      </c>
      <c r="X440" s="69">
        <f t="shared" ca="1" si="293"/>
        <v>1499.5719788932515</v>
      </c>
      <c r="Y440" s="69">
        <f t="shared" ca="1" si="294"/>
        <v>1205.5769260492689</v>
      </c>
      <c r="AA440" s="20">
        <f t="shared" ca="1" si="254"/>
        <v>6.5689083710401384E+16</v>
      </c>
      <c r="AB440" s="20">
        <f t="shared" ca="1" si="255"/>
        <v>1675090954131023.3</v>
      </c>
      <c r="AC440" s="20">
        <f t="shared" ca="1" si="256"/>
        <v>397799815035080.25</v>
      </c>
      <c r="AD440" s="20">
        <f t="shared" ca="1" si="257"/>
        <v>302133246387592.38</v>
      </c>
      <c r="AE440" s="20">
        <f t="shared" ca="1" si="258"/>
        <v>6902218389794818</v>
      </c>
      <c r="AG440" s="16">
        <f t="shared" ca="1" si="259"/>
        <v>2.0484280985080105E-5</v>
      </c>
      <c r="AH440" s="16">
        <f t="shared" ca="1" si="260"/>
        <v>-5.5037749781535264E-4</v>
      </c>
      <c r="AI440" s="16">
        <f t="shared" ca="1" si="261"/>
        <v>-1.03865323743591E-3</v>
      </c>
      <c r="AJ440" s="16">
        <f t="shared" ca="1" si="262"/>
        <v>9.2841417857773191E-5</v>
      </c>
      <c r="AK440" s="16">
        <f t="shared" ca="1" si="263"/>
        <v>3.2336042409475413E-4</v>
      </c>
      <c r="AM440" s="16">
        <f t="shared" ca="1" si="264"/>
        <v>-1.4757050364084094E-3</v>
      </c>
      <c r="AO440" s="16">
        <f t="shared" ca="1" si="265"/>
        <v>0</v>
      </c>
      <c r="AP440" s="16">
        <f t="shared" ca="1" si="266"/>
        <v>-5.5037749781535264E-4</v>
      </c>
      <c r="AQ440" s="16">
        <f t="shared" ca="1" si="267"/>
        <v>-1.03865323743591E-3</v>
      </c>
      <c r="AR440" s="16">
        <f t="shared" ca="1" si="268"/>
        <v>0</v>
      </c>
      <c r="AS440" s="16">
        <f t="shared" ca="1" si="269"/>
        <v>0</v>
      </c>
    </row>
    <row r="441" spans="1:45" x14ac:dyDescent="0.25">
      <c r="A441" s="69">
        <f t="shared" ca="1" si="270"/>
        <v>2451.2373729681394</v>
      </c>
      <c r="B441" s="69">
        <f t="shared" ca="1" si="271"/>
        <v>2140.212717612224</v>
      </c>
      <c r="C441" s="69">
        <f t="shared" ca="1" si="272"/>
        <v>2227.7499515442532</v>
      </c>
      <c r="D441" s="69">
        <f t="shared" ca="1" si="273"/>
        <v>2910.3025204991759</v>
      </c>
      <c r="E441" s="69">
        <f t="shared" ca="1" si="274"/>
        <v>1931.3243316849196</v>
      </c>
      <c r="F441" s="69">
        <f t="shared" ca="1" si="275"/>
        <v>1220.5131335620736</v>
      </c>
      <c r="G441" s="69">
        <f t="shared" ca="1" si="276"/>
        <v>961.71535698486684</v>
      </c>
      <c r="H441" s="69">
        <f t="shared" ca="1" si="277"/>
        <v>1189.2310096199203</v>
      </c>
      <c r="I441" s="69">
        <f t="shared" ca="1" si="278"/>
        <v>1049.3644327215327</v>
      </c>
      <c r="J441" s="69">
        <f t="shared" ca="1" si="279"/>
        <v>1142.92516236694</v>
      </c>
      <c r="K441" s="69">
        <f t="shared" ca="1" si="280"/>
        <v>1174.4073865692908</v>
      </c>
      <c r="L441" s="69">
        <f t="shared" ca="1" si="281"/>
        <v>952.25753009664822</v>
      </c>
      <c r="M441" s="69">
        <f t="shared" ca="1" si="282"/>
        <v>989.75874724641153</v>
      </c>
      <c r="N441" s="69">
        <f t="shared" ca="1" si="283"/>
        <v>570.078086786923</v>
      </c>
      <c r="O441" s="69">
        <f t="shared" ca="1" si="284"/>
        <v>629.76222911306422</v>
      </c>
      <c r="P441" s="69">
        <f t="shared" ca="1" si="285"/>
        <v>723.52126848502235</v>
      </c>
      <c r="Q441" s="69">
        <f t="shared" ca="1" si="286"/>
        <v>955.84901713737133</v>
      </c>
      <c r="R441" s="69">
        <f t="shared" ca="1" si="287"/>
        <v>780.92011312518025</v>
      </c>
      <c r="S441" s="69">
        <f t="shared" ca="1" si="288"/>
        <v>699.69320536182465</v>
      </c>
      <c r="T441" s="69">
        <f t="shared" ca="1" si="289"/>
        <v>799.6205974690065</v>
      </c>
      <c r="U441" s="69">
        <f t="shared" ca="1" si="290"/>
        <v>1692.2807649422298</v>
      </c>
      <c r="V441" s="69">
        <f t="shared" ca="1" si="291"/>
        <v>1914.8546189673443</v>
      </c>
      <c r="W441" s="69">
        <f t="shared" ca="1" si="292"/>
        <v>1178.563363037224</v>
      </c>
      <c r="X441" s="69">
        <f t="shared" ca="1" si="293"/>
        <v>1499.1868181232533</v>
      </c>
      <c r="Y441" s="69">
        <f t="shared" ca="1" si="294"/>
        <v>1205.9025510206513</v>
      </c>
      <c r="AA441" s="20">
        <f t="shared" ca="1" si="254"/>
        <v>6.5690429317831616E+16</v>
      </c>
      <c r="AB441" s="20">
        <f t="shared" ca="1" si="255"/>
        <v>1674169275421952.3</v>
      </c>
      <c r="AC441" s="20">
        <f t="shared" ca="1" si="256"/>
        <v>397386853468402</v>
      </c>
      <c r="AD441" s="20">
        <f t="shared" ca="1" si="257"/>
        <v>302161298168732.38</v>
      </c>
      <c r="AE441" s="20">
        <f t="shared" ca="1" si="258"/>
        <v>6904450654954190</v>
      </c>
      <c r="AG441" s="16">
        <f t="shared" ca="1" si="259"/>
        <v>-2.1460887926486421E-4</v>
      </c>
      <c r="AH441" s="16">
        <f t="shared" ca="1" si="260"/>
        <v>-2.8602040953691415E-4</v>
      </c>
      <c r="AI441" s="16">
        <f t="shared" ca="1" si="261"/>
        <v>7.113199379765497E-4</v>
      </c>
      <c r="AJ441" s="16">
        <f t="shared" ca="1" si="262"/>
        <v>1.4867038609942417E-5</v>
      </c>
      <c r="AK441" s="16">
        <f t="shared" ca="1" si="263"/>
        <v>6.6506425303508121E-4</v>
      </c>
      <c r="AM441" s="16">
        <f t="shared" ca="1" si="264"/>
        <v>2.2555768778471379E-4</v>
      </c>
      <c r="AO441" s="16">
        <f t="shared" ca="1" si="265"/>
        <v>-2.1460887926486421E-4</v>
      </c>
      <c r="AP441" s="16">
        <f t="shared" ca="1" si="266"/>
        <v>-2.8602040953691415E-4</v>
      </c>
      <c r="AQ441" s="16">
        <f t="shared" ca="1" si="267"/>
        <v>0</v>
      </c>
      <c r="AR441" s="16">
        <f t="shared" ca="1" si="268"/>
        <v>0</v>
      </c>
      <c r="AS441" s="16">
        <f t="shared" ca="1" si="269"/>
        <v>0</v>
      </c>
    </row>
    <row r="442" spans="1:45" x14ac:dyDescent="0.25">
      <c r="A442" s="69">
        <f t="shared" ca="1" si="270"/>
        <v>2450.8920885652137</v>
      </c>
      <c r="B442" s="69">
        <f t="shared" ca="1" si="271"/>
        <v>2140.212717612224</v>
      </c>
      <c r="C442" s="69">
        <f t="shared" ca="1" si="272"/>
        <v>2227.675146433608</v>
      </c>
      <c r="D442" s="69">
        <f t="shared" ca="1" si="273"/>
        <v>2909.9003318730779</v>
      </c>
      <c r="E442" s="69">
        <f t="shared" ca="1" si="274"/>
        <v>1931.5136995551852</v>
      </c>
      <c r="F442" s="69">
        <f t="shared" ca="1" si="275"/>
        <v>1220.7081222606141</v>
      </c>
      <c r="G442" s="69">
        <f t="shared" ca="1" si="276"/>
        <v>961.31904097297831</v>
      </c>
      <c r="H442" s="69">
        <f t="shared" ca="1" si="277"/>
        <v>1189.0807154698257</v>
      </c>
      <c r="I442" s="69">
        <f t="shared" ca="1" si="278"/>
        <v>1049.4618159251386</v>
      </c>
      <c r="J442" s="69">
        <f t="shared" ca="1" si="279"/>
        <v>1142.92516236694</v>
      </c>
      <c r="K442" s="69">
        <f t="shared" ca="1" si="280"/>
        <v>1174.4073865692908</v>
      </c>
      <c r="L442" s="69">
        <f t="shared" ca="1" si="281"/>
        <v>952.56769023250877</v>
      </c>
      <c r="M442" s="69">
        <f t="shared" ca="1" si="282"/>
        <v>989.75874724641153</v>
      </c>
      <c r="N442" s="69">
        <f t="shared" ca="1" si="283"/>
        <v>570.078086786923</v>
      </c>
      <c r="O442" s="69">
        <f t="shared" ca="1" si="284"/>
        <v>630.00515170282495</v>
      </c>
      <c r="P442" s="69">
        <f t="shared" ca="1" si="285"/>
        <v>723.59604332238234</v>
      </c>
      <c r="Q442" s="69">
        <f t="shared" ca="1" si="286"/>
        <v>956.2707303281469</v>
      </c>
      <c r="R442" s="69">
        <f t="shared" ca="1" si="287"/>
        <v>780.68837210800325</v>
      </c>
      <c r="S442" s="69">
        <f t="shared" ca="1" si="288"/>
        <v>699.6282040010326</v>
      </c>
      <c r="T442" s="69">
        <f t="shared" ca="1" si="289"/>
        <v>799.50876306049895</v>
      </c>
      <c r="U442" s="69">
        <f t="shared" ca="1" si="290"/>
        <v>1692.2807649422298</v>
      </c>
      <c r="V442" s="69">
        <f t="shared" ca="1" si="291"/>
        <v>1914.9180718681448</v>
      </c>
      <c r="W442" s="69">
        <f t="shared" ca="1" si="292"/>
        <v>1178.595943538912</v>
      </c>
      <c r="X442" s="69">
        <f t="shared" ca="1" si="293"/>
        <v>1499.600234347218</v>
      </c>
      <c r="Y442" s="69">
        <f t="shared" ca="1" si="294"/>
        <v>1206.2988292045691</v>
      </c>
      <c r="AA442" s="20">
        <f t="shared" ca="1" si="254"/>
        <v>6.5676333081060176E+16</v>
      </c>
      <c r="AB442" s="20">
        <f t="shared" ca="1" si="255"/>
        <v>1673690497313581.3</v>
      </c>
      <c r="AC442" s="20">
        <f t="shared" ca="1" si="256"/>
        <v>397669623218321.44</v>
      </c>
      <c r="AD442" s="20">
        <f t="shared" ca="1" si="257"/>
        <v>302165790445812</v>
      </c>
      <c r="AE442" s="20">
        <f t="shared" ca="1" si="258"/>
        <v>6909044085565583</v>
      </c>
      <c r="AG442" s="16">
        <f t="shared" ca="1" si="259"/>
        <v>-1.1204273550850718E-4</v>
      </c>
      <c r="AH442" s="16">
        <f t="shared" ca="1" si="260"/>
        <v>5.6405048516616286E-4</v>
      </c>
      <c r="AI442" s="16">
        <f t="shared" ca="1" si="261"/>
        <v>4.2270935981824037E-4</v>
      </c>
      <c r="AJ442" s="16">
        <f t="shared" ca="1" si="262"/>
        <v>1.3470521735629141E-3</v>
      </c>
      <c r="AK442" s="16">
        <f t="shared" ca="1" si="263"/>
        <v>5.8817160193909109E-4</v>
      </c>
      <c r="AM442" s="16">
        <f t="shared" ca="1" si="264"/>
        <v>2.22176928303881E-3</v>
      </c>
      <c r="AO442" s="16">
        <f t="shared" ca="1" si="265"/>
        <v>-1.1204273550850718E-4</v>
      </c>
      <c r="AP442" s="16">
        <f t="shared" ca="1" si="266"/>
        <v>0</v>
      </c>
      <c r="AQ442" s="16">
        <f t="shared" ca="1" si="267"/>
        <v>0</v>
      </c>
      <c r="AR442" s="16">
        <f t="shared" ca="1" si="268"/>
        <v>0</v>
      </c>
      <c r="AS442" s="16">
        <f t="shared" ca="1" si="269"/>
        <v>0</v>
      </c>
    </row>
    <row r="443" spans="1:45" x14ac:dyDescent="0.25">
      <c r="A443" s="69">
        <f t="shared" ca="1" si="270"/>
        <v>2450.8920885652137</v>
      </c>
      <c r="B443" s="69">
        <f t="shared" ca="1" si="271"/>
        <v>2139.7827718589001</v>
      </c>
      <c r="C443" s="69">
        <f t="shared" ca="1" si="272"/>
        <v>2228.0740074954811</v>
      </c>
      <c r="D443" s="69">
        <f t="shared" ca="1" si="273"/>
        <v>2909.6379713968431</v>
      </c>
      <c r="E443" s="69">
        <f t="shared" ca="1" si="274"/>
        <v>1931.5136995551852</v>
      </c>
      <c r="F443" s="69">
        <f t="shared" ca="1" si="275"/>
        <v>1220.5944569464093</v>
      </c>
      <c r="G443" s="69">
        <f t="shared" ca="1" si="276"/>
        <v>961.33866197701013</v>
      </c>
      <c r="H443" s="69">
        <f t="shared" ca="1" si="277"/>
        <v>1189.5037812718815</v>
      </c>
      <c r="I443" s="69">
        <f t="shared" ca="1" si="278"/>
        <v>1049.4618159251386</v>
      </c>
      <c r="J443" s="69">
        <f t="shared" ca="1" si="279"/>
        <v>1143.2464034391171</v>
      </c>
      <c r="K443" s="69">
        <f t="shared" ca="1" si="280"/>
        <v>1174.8100514688274</v>
      </c>
      <c r="L443" s="69">
        <f t="shared" ca="1" si="281"/>
        <v>952.56769023250877</v>
      </c>
      <c r="M443" s="69">
        <f t="shared" ca="1" si="282"/>
        <v>989.75874724641153</v>
      </c>
      <c r="N443" s="69">
        <f t="shared" ca="1" si="283"/>
        <v>570.12363879689826</v>
      </c>
      <c r="O443" s="69">
        <f t="shared" ca="1" si="284"/>
        <v>630.00515170282495</v>
      </c>
      <c r="P443" s="69">
        <f t="shared" ca="1" si="285"/>
        <v>724.03146635587382</v>
      </c>
      <c r="Q443" s="69">
        <f t="shared" ca="1" si="286"/>
        <v>956.67190727621119</v>
      </c>
      <c r="R443" s="69">
        <f t="shared" ca="1" si="287"/>
        <v>780.79053231362343</v>
      </c>
      <c r="S443" s="69">
        <f t="shared" ca="1" si="288"/>
        <v>699.46119900073711</v>
      </c>
      <c r="T443" s="69">
        <f t="shared" ca="1" si="289"/>
        <v>799.85577179927532</v>
      </c>
      <c r="U443" s="69">
        <f t="shared" ca="1" si="290"/>
        <v>1692.7437532094746</v>
      </c>
      <c r="V443" s="69">
        <f t="shared" ca="1" si="291"/>
        <v>1914.9687209863548</v>
      </c>
      <c r="W443" s="69">
        <f t="shared" ca="1" si="292"/>
        <v>1178.595943538912</v>
      </c>
      <c r="X443" s="69">
        <f t="shared" ca="1" si="293"/>
        <v>1499.5815715929202</v>
      </c>
      <c r="Y443" s="69">
        <f t="shared" ca="1" si="294"/>
        <v>1206.6615170656717</v>
      </c>
      <c r="AA443" s="20">
        <f t="shared" ca="1" si="254"/>
        <v>6.5668974937264584E+16</v>
      </c>
      <c r="AB443" s="20">
        <f t="shared" ca="1" si="255"/>
        <v>1674634809545458.8</v>
      </c>
      <c r="AC443" s="20">
        <f t="shared" ca="1" si="256"/>
        <v>397837757423618.81</v>
      </c>
      <c r="AD443" s="20">
        <f t="shared" ca="1" si="257"/>
        <v>302573097801147.63</v>
      </c>
      <c r="AE443" s="20">
        <f t="shared" ca="1" si="258"/>
        <v>6913108984405102</v>
      </c>
      <c r="AG443" s="16">
        <f t="shared" ca="1" si="259"/>
        <v>4.541024920536847E-4</v>
      </c>
      <c r="AH443" s="16">
        <f t="shared" ca="1" si="260"/>
        <v>3.4447108193933699E-4</v>
      </c>
      <c r="AI443" s="16">
        <f t="shared" ca="1" si="261"/>
        <v>-4.2841770327367422E-4</v>
      </c>
      <c r="AJ443" s="16">
        <f t="shared" ca="1" si="262"/>
        <v>-5.6595468277486531E-4</v>
      </c>
      <c r="AK443" s="16">
        <f t="shared" ca="1" si="263"/>
        <v>4.2384917103218051E-4</v>
      </c>
      <c r="AM443" s="16">
        <f t="shared" ca="1" si="264"/>
        <v>-1.9579881205551789E-4</v>
      </c>
      <c r="AO443" s="16">
        <f t="shared" ca="1" si="265"/>
        <v>0</v>
      </c>
      <c r="AP443" s="16">
        <f t="shared" ca="1" si="266"/>
        <v>0</v>
      </c>
      <c r="AQ443" s="16">
        <f t="shared" ca="1" si="267"/>
        <v>-4.2841770327367422E-4</v>
      </c>
      <c r="AR443" s="16">
        <f t="shared" ca="1" si="268"/>
        <v>-5.6595468277486531E-4</v>
      </c>
      <c r="AS443" s="16">
        <f t="shared" ca="1" si="269"/>
        <v>0</v>
      </c>
    </row>
    <row r="444" spans="1:45" x14ac:dyDescent="0.25">
      <c r="A444" s="69">
        <f t="shared" ca="1" si="270"/>
        <v>2451.1608235093754</v>
      </c>
      <c r="B444" s="69">
        <f t="shared" ca="1" si="271"/>
        <v>2139.7827718589001</v>
      </c>
      <c r="C444" s="69">
        <f t="shared" ca="1" si="272"/>
        <v>2228.3836718163993</v>
      </c>
      <c r="D444" s="69">
        <f t="shared" ca="1" si="273"/>
        <v>2909.6379713968431</v>
      </c>
      <c r="E444" s="69">
        <f t="shared" ca="1" si="274"/>
        <v>1931.9106420507542</v>
      </c>
      <c r="F444" s="69">
        <f t="shared" ca="1" si="275"/>
        <v>1220.5944569464093</v>
      </c>
      <c r="G444" s="69">
        <f t="shared" ca="1" si="276"/>
        <v>961.33866197701013</v>
      </c>
      <c r="H444" s="69">
        <f t="shared" ca="1" si="277"/>
        <v>1189.497978658379</v>
      </c>
      <c r="I444" s="69">
        <f t="shared" ca="1" si="278"/>
        <v>1049.938776789706</v>
      </c>
      <c r="J444" s="69">
        <f t="shared" ca="1" si="279"/>
        <v>1143.1263358659962</v>
      </c>
      <c r="K444" s="69">
        <f t="shared" ca="1" si="280"/>
        <v>1174.9101381527119</v>
      </c>
      <c r="L444" s="69">
        <f t="shared" ca="1" si="281"/>
        <v>952.07856946206073</v>
      </c>
      <c r="M444" s="69">
        <f t="shared" ca="1" si="282"/>
        <v>989.75874724641153</v>
      </c>
      <c r="N444" s="69">
        <f t="shared" ca="1" si="283"/>
        <v>570.12363879689826</v>
      </c>
      <c r="O444" s="69">
        <f t="shared" ca="1" si="284"/>
        <v>630.00515170282495</v>
      </c>
      <c r="P444" s="69">
        <f t="shared" ca="1" si="285"/>
        <v>724.15090172398016</v>
      </c>
      <c r="Q444" s="69">
        <f t="shared" ca="1" si="286"/>
        <v>956.51340656461548</v>
      </c>
      <c r="R444" s="69">
        <f t="shared" ca="1" si="287"/>
        <v>780.56501287707181</v>
      </c>
      <c r="S444" s="69">
        <f t="shared" ca="1" si="288"/>
        <v>699.33624850886224</v>
      </c>
      <c r="T444" s="69">
        <f t="shared" ca="1" si="289"/>
        <v>799.77764870044177</v>
      </c>
      <c r="U444" s="69">
        <f t="shared" ca="1" si="290"/>
        <v>1692.7804298780486</v>
      </c>
      <c r="V444" s="69">
        <f t="shared" ca="1" si="291"/>
        <v>1914.9687209863548</v>
      </c>
      <c r="W444" s="69">
        <f t="shared" ca="1" si="292"/>
        <v>1179.0700494302262</v>
      </c>
      <c r="X444" s="69">
        <f t="shared" ca="1" si="293"/>
        <v>1499.5815715929202</v>
      </c>
      <c r="Y444" s="69">
        <f t="shared" ca="1" si="294"/>
        <v>1206.6615170656717</v>
      </c>
      <c r="AA444" s="20">
        <f t="shared" ca="1" si="254"/>
        <v>6.5698802154228424E+16</v>
      </c>
      <c r="AB444" s="20">
        <f t="shared" ca="1" si="255"/>
        <v>1675211772177922</v>
      </c>
      <c r="AC444" s="20">
        <f t="shared" ca="1" si="256"/>
        <v>397667353190009.38</v>
      </c>
      <c r="AD444" s="20">
        <f t="shared" ca="1" si="257"/>
        <v>302401903588218.13</v>
      </c>
      <c r="AE444" s="20">
        <f t="shared" ca="1" si="258"/>
        <v>6916039720968653</v>
      </c>
      <c r="AG444" s="16">
        <f t="shared" ca="1" si="259"/>
        <v>1.4960434414460405E-4</v>
      </c>
      <c r="AH444" s="16">
        <f t="shared" ca="1" si="260"/>
        <v>1.1452040509919203E-4</v>
      </c>
      <c r="AI444" s="16">
        <f t="shared" ca="1" si="261"/>
        <v>6.3106617324088616E-4</v>
      </c>
      <c r="AJ444" s="16">
        <f t="shared" ca="1" si="262"/>
        <v>-1.4889154314542802E-3</v>
      </c>
      <c r="AK444" s="16">
        <f t="shared" ca="1" si="263"/>
        <v>-1.6666375649216779E-4</v>
      </c>
      <c r="AM444" s="16">
        <f t="shared" ca="1" si="264"/>
        <v>-5.9372450896959792E-4</v>
      </c>
      <c r="AO444" s="16">
        <f t="shared" ca="1" si="265"/>
        <v>0</v>
      </c>
      <c r="AP444" s="16">
        <f t="shared" ca="1" si="266"/>
        <v>0</v>
      </c>
      <c r="AQ444" s="16">
        <f t="shared" ca="1" si="267"/>
        <v>0</v>
      </c>
      <c r="AR444" s="16">
        <f t="shared" ca="1" si="268"/>
        <v>-1.4889154314542802E-3</v>
      </c>
      <c r="AS444" s="16">
        <f t="shared" ca="1" si="269"/>
        <v>-1.6666375649216779E-4</v>
      </c>
    </row>
    <row r="445" spans="1:45" x14ac:dyDescent="0.25">
      <c r="A445" s="69">
        <f t="shared" ca="1" si="270"/>
        <v>2451.1608235093754</v>
      </c>
      <c r="B445" s="69">
        <f t="shared" ca="1" si="271"/>
        <v>2139.7827718589001</v>
      </c>
      <c r="C445" s="69">
        <f t="shared" ca="1" si="272"/>
        <v>2228.2457100012052</v>
      </c>
      <c r="D445" s="69">
        <f t="shared" ca="1" si="273"/>
        <v>2909.6571304820145</v>
      </c>
      <c r="E445" s="69">
        <f t="shared" ca="1" si="274"/>
        <v>1932.3065943699344</v>
      </c>
      <c r="F445" s="69">
        <f t="shared" ca="1" si="275"/>
        <v>1220.5944569464093</v>
      </c>
      <c r="G445" s="69">
        <f t="shared" ca="1" si="276"/>
        <v>961.33866197701013</v>
      </c>
      <c r="H445" s="69">
        <f t="shared" ca="1" si="277"/>
        <v>1189.6342082491446</v>
      </c>
      <c r="I445" s="69">
        <f t="shared" ca="1" si="278"/>
        <v>1049.938776789706</v>
      </c>
      <c r="J445" s="69">
        <f t="shared" ca="1" si="279"/>
        <v>1143.1263358659962</v>
      </c>
      <c r="K445" s="69">
        <f t="shared" ca="1" si="280"/>
        <v>1174.9101381527119</v>
      </c>
      <c r="L445" s="69">
        <f t="shared" ca="1" si="281"/>
        <v>952.07856946206073</v>
      </c>
      <c r="M445" s="69">
        <f t="shared" ca="1" si="282"/>
        <v>990.15279552193113</v>
      </c>
      <c r="N445" s="69">
        <f t="shared" ca="1" si="283"/>
        <v>569.97721434618097</v>
      </c>
      <c r="O445" s="69">
        <f t="shared" ca="1" si="284"/>
        <v>630.31385555929535</v>
      </c>
      <c r="P445" s="69">
        <f t="shared" ca="1" si="285"/>
        <v>723.78966009703231</v>
      </c>
      <c r="Q445" s="69">
        <f t="shared" ca="1" si="286"/>
        <v>956.51340656461548</v>
      </c>
      <c r="R445" s="69">
        <f t="shared" ca="1" si="287"/>
        <v>780.46760696590991</v>
      </c>
      <c r="S445" s="69">
        <f t="shared" ca="1" si="288"/>
        <v>698.96799520268303</v>
      </c>
      <c r="T445" s="69">
        <f t="shared" ca="1" si="289"/>
        <v>799.50702454686495</v>
      </c>
      <c r="U445" s="69">
        <f t="shared" ca="1" si="290"/>
        <v>1693.007696347848</v>
      </c>
      <c r="V445" s="69">
        <f t="shared" ca="1" si="291"/>
        <v>1914.9687209863548</v>
      </c>
      <c r="W445" s="69">
        <f t="shared" ca="1" si="292"/>
        <v>1178.9342550002959</v>
      </c>
      <c r="X445" s="69">
        <f t="shared" ca="1" si="293"/>
        <v>1499.5815715929202</v>
      </c>
      <c r="Y445" s="69">
        <f t="shared" ca="1" si="294"/>
        <v>1206.4374202407505</v>
      </c>
      <c r="AA445" s="20">
        <f t="shared" ca="1" si="254"/>
        <v>6.5708631715690008E+16</v>
      </c>
      <c r="AB445" s="20">
        <f t="shared" ca="1" si="255"/>
        <v>1675403629094255</v>
      </c>
      <c r="AC445" s="20">
        <f t="shared" ca="1" si="256"/>
        <v>397918386805890.44</v>
      </c>
      <c r="AD445" s="20">
        <f t="shared" ca="1" si="257"/>
        <v>301951987753895.81</v>
      </c>
      <c r="AE445" s="20">
        <f t="shared" ca="1" si="258"/>
        <v>6914887163856124</v>
      </c>
      <c r="AG445" s="16">
        <f t="shared" ca="1" si="259"/>
        <v>0</v>
      </c>
      <c r="AH445" s="16">
        <f t="shared" ca="1" si="260"/>
        <v>-2.7315827552169819E-4</v>
      </c>
      <c r="AI445" s="16">
        <f t="shared" ca="1" si="261"/>
        <v>-2.1952203898845501E-4</v>
      </c>
      <c r="AJ445" s="16">
        <f t="shared" ca="1" si="262"/>
        <v>-1.2044934644188658E-3</v>
      </c>
      <c r="AK445" s="16">
        <f t="shared" ca="1" si="263"/>
        <v>2.5751499825716061E-4</v>
      </c>
      <c r="AM445" s="16">
        <f t="shared" ca="1" si="264"/>
        <v>-1.6971737789290191E-3</v>
      </c>
      <c r="AO445" s="16">
        <f t="shared" ca="1" si="265"/>
        <v>0</v>
      </c>
      <c r="AP445" s="16">
        <f t="shared" ca="1" si="266"/>
        <v>-2.7315827552169819E-4</v>
      </c>
      <c r="AQ445" s="16">
        <f t="shared" ca="1" si="267"/>
        <v>-2.1952203898845501E-4</v>
      </c>
      <c r="AR445" s="16">
        <f t="shared" ca="1" si="268"/>
        <v>-1.2044934644188658E-3</v>
      </c>
      <c r="AS445" s="16">
        <f t="shared" ca="1" si="269"/>
        <v>0</v>
      </c>
    </row>
    <row r="446" spans="1:45" x14ac:dyDescent="0.25">
      <c r="A446" s="69">
        <f t="shared" ca="1" si="270"/>
        <v>2451.1608235093754</v>
      </c>
      <c r="B446" s="69">
        <f t="shared" ca="1" si="271"/>
        <v>2139.7827718589001</v>
      </c>
      <c r="C446" s="69">
        <f t="shared" ca="1" si="272"/>
        <v>2228.2457100012052</v>
      </c>
      <c r="D446" s="69">
        <f t="shared" ca="1" si="273"/>
        <v>2909.6571304820145</v>
      </c>
      <c r="E446" s="69">
        <f t="shared" ca="1" si="274"/>
        <v>1932.3065943699344</v>
      </c>
      <c r="F446" s="69">
        <f t="shared" ca="1" si="275"/>
        <v>1220.6295105469696</v>
      </c>
      <c r="G446" s="69">
        <f t="shared" ca="1" si="276"/>
        <v>960.98739489141087</v>
      </c>
      <c r="H446" s="69">
        <f t="shared" ca="1" si="277"/>
        <v>1189.6342082491446</v>
      </c>
      <c r="I446" s="69">
        <f t="shared" ca="1" si="278"/>
        <v>1049.871300599691</v>
      </c>
      <c r="J446" s="69">
        <f t="shared" ca="1" si="279"/>
        <v>1143.2724973277441</v>
      </c>
      <c r="K446" s="69">
        <f t="shared" ca="1" si="280"/>
        <v>1175.142802301968</v>
      </c>
      <c r="L446" s="69">
        <f t="shared" ca="1" si="281"/>
        <v>952.07856946206073</v>
      </c>
      <c r="M446" s="69">
        <f t="shared" ca="1" si="282"/>
        <v>989.73946369575867</v>
      </c>
      <c r="N446" s="69">
        <f t="shared" ca="1" si="283"/>
        <v>569.97721434618097</v>
      </c>
      <c r="O446" s="69">
        <f t="shared" ca="1" si="284"/>
        <v>630.31385555929535</v>
      </c>
      <c r="P446" s="69">
        <f t="shared" ca="1" si="285"/>
        <v>723.78966009703231</v>
      </c>
      <c r="Q446" s="69">
        <f t="shared" ca="1" si="286"/>
        <v>956.51340656461548</v>
      </c>
      <c r="R446" s="69">
        <f t="shared" ca="1" si="287"/>
        <v>780.46760696590991</v>
      </c>
      <c r="S446" s="69">
        <f t="shared" ca="1" si="288"/>
        <v>698.49838901450426</v>
      </c>
      <c r="T446" s="69">
        <f t="shared" ca="1" si="289"/>
        <v>799.08147136994785</v>
      </c>
      <c r="U446" s="69">
        <f t="shared" ca="1" si="290"/>
        <v>1693.007696347848</v>
      </c>
      <c r="V446" s="69">
        <f t="shared" ca="1" si="291"/>
        <v>1914.9687209863548</v>
      </c>
      <c r="W446" s="69">
        <f t="shared" ca="1" si="292"/>
        <v>1179.3158229076319</v>
      </c>
      <c r="X446" s="69">
        <f t="shared" ca="1" si="293"/>
        <v>1499.4847018145688</v>
      </c>
      <c r="Y446" s="69">
        <f t="shared" ca="1" si="294"/>
        <v>1206.4356255116709</v>
      </c>
      <c r="AA446" s="20">
        <f t="shared" ca="1" si="254"/>
        <v>6.5708631715690008E+16</v>
      </c>
      <c r="AB446" s="20">
        <f t="shared" ca="1" si="255"/>
        <v>1674946041227930.3</v>
      </c>
      <c r="AC446" s="20">
        <f t="shared" ca="1" si="256"/>
        <v>397831044537395</v>
      </c>
      <c r="AD446" s="20">
        <f t="shared" ca="1" si="257"/>
        <v>301588507506813.88</v>
      </c>
      <c r="AE446" s="20">
        <f t="shared" ca="1" si="258"/>
        <v>6916668080308580</v>
      </c>
      <c r="AG446" s="16">
        <f t="shared" ca="1" si="259"/>
        <v>-2.0326711778581938E-4</v>
      </c>
      <c r="AH446" s="16">
        <f t="shared" ca="1" si="260"/>
        <v>2.3195599140193705E-4</v>
      </c>
      <c r="AI446" s="16">
        <f t="shared" ca="1" si="261"/>
        <v>2.132851479854944E-4</v>
      </c>
      <c r="AJ446" s="16">
        <f t="shared" ca="1" si="262"/>
        <v>-6.4688807984571064E-4</v>
      </c>
      <c r="AK446" s="16">
        <f t="shared" ca="1" si="263"/>
        <v>-1.1809176670708814E-4</v>
      </c>
      <c r="AM446" s="16">
        <f t="shared" ca="1" si="264"/>
        <v>-4.049140582440986E-4</v>
      </c>
      <c r="AO446" s="16">
        <f t="shared" ca="1" si="265"/>
        <v>-2.0326711778581938E-4</v>
      </c>
      <c r="AP446" s="16">
        <f t="shared" ca="1" si="266"/>
        <v>0</v>
      </c>
      <c r="AQ446" s="16">
        <f t="shared" ca="1" si="267"/>
        <v>0</v>
      </c>
      <c r="AR446" s="16">
        <f t="shared" ca="1" si="268"/>
        <v>-6.4688807984571064E-4</v>
      </c>
      <c r="AS446" s="16">
        <f t="shared" ca="1" si="269"/>
        <v>-1.1809176670708814E-4</v>
      </c>
    </row>
    <row r="447" spans="1:45" x14ac:dyDescent="0.25">
      <c r="A447" s="69">
        <f t="shared" ca="1" si="270"/>
        <v>2450.9620068991621</v>
      </c>
      <c r="B447" s="69">
        <f t="shared" ca="1" si="271"/>
        <v>2139.9350303037386</v>
      </c>
      <c r="C447" s="69">
        <f t="shared" ca="1" si="272"/>
        <v>2228.2457100012052</v>
      </c>
      <c r="D447" s="69">
        <f t="shared" ca="1" si="273"/>
        <v>2909.5465319699269</v>
      </c>
      <c r="E447" s="69">
        <f t="shared" ca="1" si="274"/>
        <v>1932.0065409721235</v>
      </c>
      <c r="F447" s="69">
        <f t="shared" ca="1" si="275"/>
        <v>1220.776682296246</v>
      </c>
      <c r="G447" s="69">
        <f t="shared" ca="1" si="276"/>
        <v>961.37637069483992</v>
      </c>
      <c r="H447" s="69">
        <f t="shared" ca="1" si="277"/>
        <v>1189.285349185938</v>
      </c>
      <c r="I447" s="69">
        <f t="shared" ca="1" si="278"/>
        <v>1049.871300599691</v>
      </c>
      <c r="J447" s="69">
        <f t="shared" ca="1" si="279"/>
        <v>1143.2724973277441</v>
      </c>
      <c r="K447" s="69">
        <f t="shared" ca="1" si="280"/>
        <v>1175.4399072396461</v>
      </c>
      <c r="L447" s="69">
        <f t="shared" ca="1" si="281"/>
        <v>952.07856946206073</v>
      </c>
      <c r="M447" s="69">
        <f t="shared" ca="1" si="282"/>
        <v>989.53916448219366</v>
      </c>
      <c r="N447" s="69">
        <f t="shared" ca="1" si="283"/>
        <v>569.84308718872114</v>
      </c>
      <c r="O447" s="69">
        <f t="shared" ca="1" si="284"/>
        <v>630.56491962094367</v>
      </c>
      <c r="P447" s="69">
        <f t="shared" ca="1" si="285"/>
        <v>723.32876686708209</v>
      </c>
      <c r="Q447" s="69">
        <f t="shared" ca="1" si="286"/>
        <v>956.52228064571955</v>
      </c>
      <c r="R447" s="69">
        <f t="shared" ca="1" si="287"/>
        <v>780.45263393358698</v>
      </c>
      <c r="S447" s="69">
        <f t="shared" ca="1" si="288"/>
        <v>698.49838901450426</v>
      </c>
      <c r="T447" s="69">
        <f t="shared" ca="1" si="289"/>
        <v>799.08147136994785</v>
      </c>
      <c r="U447" s="69">
        <f t="shared" ca="1" si="290"/>
        <v>1692.5850917104779</v>
      </c>
      <c r="V447" s="69">
        <f t="shared" ca="1" si="291"/>
        <v>1914.9987625358071</v>
      </c>
      <c r="W447" s="69">
        <f t="shared" ca="1" si="292"/>
        <v>1179.3158229076319</v>
      </c>
      <c r="X447" s="69">
        <f t="shared" ca="1" si="293"/>
        <v>1499.4847018145688</v>
      </c>
      <c r="Y447" s="69">
        <f t="shared" ca="1" si="294"/>
        <v>1206.5754226274901</v>
      </c>
      <c r="AA447" s="20">
        <f t="shared" ca="1" si="254"/>
        <v>6.5695276668874432E+16</v>
      </c>
      <c r="AB447" s="20">
        <f t="shared" ca="1" si="255"/>
        <v>1675334600060000.3</v>
      </c>
      <c r="AC447" s="20">
        <f t="shared" ca="1" si="256"/>
        <v>397915905040023.13</v>
      </c>
      <c r="AD447" s="20">
        <f t="shared" ca="1" si="257"/>
        <v>301393476584679.75</v>
      </c>
      <c r="AE447" s="20">
        <f t="shared" ca="1" si="258"/>
        <v>6915851326982121</v>
      </c>
      <c r="AG447" s="16">
        <f t="shared" ca="1" si="259"/>
        <v>-1.5317160794702282E-4</v>
      </c>
      <c r="AH447" s="16">
        <f t="shared" ca="1" si="260"/>
        <v>3.7278515166668815E-4</v>
      </c>
      <c r="AI447" s="16">
        <f t="shared" ca="1" si="261"/>
        <v>1.0620988912659029E-4</v>
      </c>
      <c r="AJ447" s="16">
        <f t="shared" ca="1" si="262"/>
        <v>5.9478474243808129E-4</v>
      </c>
      <c r="AK447" s="16">
        <f t="shared" ca="1" si="263"/>
        <v>2.0119158290113953E-4</v>
      </c>
      <c r="AM447" s="16">
        <f t="shared" ca="1" si="264"/>
        <v>9.2060817528433691E-4</v>
      </c>
      <c r="AO447" s="16">
        <f t="shared" ca="1" si="265"/>
        <v>-1.5317160794702282E-4</v>
      </c>
      <c r="AP447" s="16">
        <f t="shared" ca="1" si="266"/>
        <v>0</v>
      </c>
      <c r="AQ447" s="16">
        <f t="shared" ca="1" si="267"/>
        <v>0</v>
      </c>
      <c r="AR447" s="16">
        <f t="shared" ca="1" si="268"/>
        <v>0</v>
      </c>
      <c r="AS447" s="16">
        <f t="shared" ca="1" si="269"/>
        <v>0</v>
      </c>
    </row>
    <row r="448" spans="1:45" x14ac:dyDescent="0.25">
      <c r="A448" s="69">
        <f t="shared" ca="1" si="270"/>
        <v>2451.3669043971468</v>
      </c>
      <c r="B448" s="69">
        <f t="shared" ca="1" si="271"/>
        <v>2139.8753423862877</v>
      </c>
      <c r="C448" s="69">
        <f t="shared" ca="1" si="272"/>
        <v>2228.2457100012052</v>
      </c>
      <c r="D448" s="69">
        <f t="shared" ca="1" si="273"/>
        <v>2909.1008085393059</v>
      </c>
      <c r="E448" s="69">
        <f t="shared" ca="1" si="274"/>
        <v>1931.741373064021</v>
      </c>
      <c r="F448" s="69">
        <f t="shared" ca="1" si="275"/>
        <v>1220.9671378145172</v>
      </c>
      <c r="G448" s="69">
        <f t="shared" ca="1" si="276"/>
        <v>961.226031471537</v>
      </c>
      <c r="H448" s="69">
        <f t="shared" ca="1" si="277"/>
        <v>1189.1565438685891</v>
      </c>
      <c r="I448" s="69">
        <f t="shared" ca="1" si="278"/>
        <v>1049.9659836602368</v>
      </c>
      <c r="J448" s="69">
        <f t="shared" ca="1" si="279"/>
        <v>1143.7199545785465</v>
      </c>
      <c r="K448" s="69">
        <f t="shared" ca="1" si="280"/>
        <v>1175.4399072396461</v>
      </c>
      <c r="L448" s="69">
        <f t="shared" ca="1" si="281"/>
        <v>952.55164760923014</v>
      </c>
      <c r="M448" s="69">
        <f t="shared" ca="1" si="282"/>
        <v>989.96318442158451</v>
      </c>
      <c r="N448" s="69">
        <f t="shared" ca="1" si="283"/>
        <v>569.37659545391102</v>
      </c>
      <c r="O448" s="69">
        <f t="shared" ca="1" si="284"/>
        <v>630.56491962094367</v>
      </c>
      <c r="P448" s="69">
        <f t="shared" ca="1" si="285"/>
        <v>723.77257225405299</v>
      </c>
      <c r="Q448" s="69">
        <f t="shared" ca="1" si="286"/>
        <v>956.20625493103864</v>
      </c>
      <c r="R448" s="69">
        <f t="shared" ca="1" si="287"/>
        <v>780.58109602881268</v>
      </c>
      <c r="S448" s="69">
        <f t="shared" ca="1" si="288"/>
        <v>698.74620055790047</v>
      </c>
      <c r="T448" s="69">
        <f t="shared" ca="1" si="289"/>
        <v>798.91572514475968</v>
      </c>
      <c r="U448" s="69">
        <f t="shared" ca="1" si="290"/>
        <v>1692.5850917104779</v>
      </c>
      <c r="V448" s="69">
        <f t="shared" ca="1" si="291"/>
        <v>1914.8725505924308</v>
      </c>
      <c r="W448" s="69">
        <f t="shared" ca="1" si="292"/>
        <v>1179.630861199636</v>
      </c>
      <c r="X448" s="69">
        <f t="shared" ca="1" si="293"/>
        <v>1499.4847018145688</v>
      </c>
      <c r="Y448" s="69">
        <f t="shared" ca="1" si="294"/>
        <v>1206.5754226274901</v>
      </c>
      <c r="AA448" s="20">
        <f t="shared" ca="1" si="254"/>
        <v>6.5685214788329416E+16</v>
      </c>
      <c r="AB448" s="20">
        <f t="shared" ca="1" si="255"/>
        <v>1675959256347036.5</v>
      </c>
      <c r="AC448" s="20">
        <f t="shared" ca="1" si="256"/>
        <v>397958169888611.88</v>
      </c>
      <c r="AD448" s="20">
        <f t="shared" ca="1" si="257"/>
        <v>301572794148411.75</v>
      </c>
      <c r="AE448" s="20">
        <f t="shared" ca="1" si="258"/>
        <v>6917242878037192</v>
      </c>
      <c r="AG448" s="16">
        <f t="shared" ca="1" si="259"/>
        <v>-2.642930916245444E-5</v>
      </c>
      <c r="AH448" s="16">
        <f t="shared" ca="1" si="260"/>
        <v>6.232432328298872E-4</v>
      </c>
      <c r="AI448" s="16">
        <f t="shared" ca="1" si="261"/>
        <v>8.6182555632598494E-4</v>
      </c>
      <c r="AJ448" s="16">
        <f t="shared" ca="1" si="262"/>
        <v>7.9826616620635993E-4</v>
      </c>
      <c r="AK448" s="16">
        <f t="shared" ca="1" si="263"/>
        <v>-7.107363355825637E-5</v>
      </c>
      <c r="AM448" s="16">
        <f t="shared" ca="1" si="264"/>
        <v>2.2569056461997777E-3</v>
      </c>
      <c r="AO448" s="16">
        <f t="shared" ca="1" si="265"/>
        <v>-2.642930916245444E-5</v>
      </c>
      <c r="AP448" s="16">
        <f t="shared" ca="1" si="266"/>
        <v>0</v>
      </c>
      <c r="AQ448" s="16">
        <f t="shared" ca="1" si="267"/>
        <v>0</v>
      </c>
      <c r="AR448" s="16">
        <f t="shared" ca="1" si="268"/>
        <v>0</v>
      </c>
      <c r="AS448" s="16">
        <f t="shared" ca="1" si="269"/>
        <v>-7.107363355825637E-5</v>
      </c>
    </row>
    <row r="449" spans="1:45" x14ac:dyDescent="0.25">
      <c r="A449" s="69">
        <f t="shared" ca="1" si="270"/>
        <v>2451.3669043971468</v>
      </c>
      <c r="B449" s="69">
        <f t="shared" ca="1" si="271"/>
        <v>2139.8753423862877</v>
      </c>
      <c r="C449" s="69">
        <f t="shared" ca="1" si="272"/>
        <v>2228.6834773425667</v>
      </c>
      <c r="D449" s="69">
        <f t="shared" ca="1" si="273"/>
        <v>2909.1008085393059</v>
      </c>
      <c r="E449" s="69">
        <f t="shared" ca="1" si="274"/>
        <v>1931.3108884471608</v>
      </c>
      <c r="F449" s="69">
        <f t="shared" ca="1" si="275"/>
        <v>1220.9387082782641</v>
      </c>
      <c r="G449" s="69">
        <f t="shared" ca="1" si="276"/>
        <v>961.33857730763305</v>
      </c>
      <c r="H449" s="69">
        <f t="shared" ca="1" si="277"/>
        <v>1189.3194824224531</v>
      </c>
      <c r="I449" s="69">
        <f t="shared" ca="1" si="278"/>
        <v>1050.0360371954548</v>
      </c>
      <c r="J449" s="69">
        <f t="shared" ca="1" si="279"/>
        <v>1144.0925484167574</v>
      </c>
      <c r="K449" s="69">
        <f t="shared" ca="1" si="280"/>
        <v>1175.4399072396461</v>
      </c>
      <c r="L449" s="69">
        <f t="shared" ca="1" si="281"/>
        <v>952.41267144152232</v>
      </c>
      <c r="M449" s="69">
        <f t="shared" ca="1" si="282"/>
        <v>990.28065566060388</v>
      </c>
      <c r="N449" s="69">
        <f t="shared" ca="1" si="283"/>
        <v>569.76794654809839</v>
      </c>
      <c r="O449" s="69">
        <f t="shared" ca="1" si="284"/>
        <v>630.56491962094367</v>
      </c>
      <c r="P449" s="69">
        <f t="shared" ca="1" si="285"/>
        <v>723.77257225405299</v>
      </c>
      <c r="Q449" s="69">
        <f t="shared" ca="1" si="286"/>
        <v>956.00113827796213</v>
      </c>
      <c r="R449" s="69">
        <f t="shared" ca="1" si="287"/>
        <v>780.58109602881268</v>
      </c>
      <c r="S449" s="69">
        <f t="shared" ca="1" si="288"/>
        <v>699.22113025335216</v>
      </c>
      <c r="T449" s="69">
        <f t="shared" ca="1" si="289"/>
        <v>799.1820821308097</v>
      </c>
      <c r="U449" s="69">
        <f t="shared" ca="1" si="290"/>
        <v>1692.8820271963584</v>
      </c>
      <c r="V449" s="69">
        <f t="shared" ca="1" si="291"/>
        <v>1914.4319711629182</v>
      </c>
      <c r="W449" s="69">
        <f t="shared" ca="1" si="292"/>
        <v>1179.357382926059</v>
      </c>
      <c r="X449" s="69">
        <f t="shared" ca="1" si="293"/>
        <v>1499.4847018145688</v>
      </c>
      <c r="Y449" s="69">
        <f t="shared" ca="1" si="294"/>
        <v>1206.835441890694</v>
      </c>
      <c r="AA449" s="20">
        <f t="shared" ca="1" si="254"/>
        <v>6.5683478796421008E+16</v>
      </c>
      <c r="AB449" s="20">
        <f t="shared" ca="1" si="255"/>
        <v>1677004112177895</v>
      </c>
      <c r="AC449" s="20">
        <f t="shared" ca="1" si="256"/>
        <v>398301288242616.38</v>
      </c>
      <c r="AD449" s="20">
        <f t="shared" ca="1" si="257"/>
        <v>301813625617646.81</v>
      </c>
      <c r="AE449" s="20">
        <f t="shared" ca="1" si="258"/>
        <v>6916751261922324</v>
      </c>
      <c r="AG449" s="16">
        <f t="shared" ca="1" si="259"/>
        <v>8.5890989686351595E-5</v>
      </c>
      <c r="AH449" s="16">
        <f t="shared" ca="1" si="260"/>
        <v>-3.9150506094007639E-4</v>
      </c>
      <c r="AI449" s="16">
        <f t="shared" ca="1" si="261"/>
        <v>1.118644979916846E-3</v>
      </c>
      <c r="AJ449" s="16">
        <f t="shared" ca="1" si="262"/>
        <v>-6.647983150405057E-4</v>
      </c>
      <c r="AK449" s="16">
        <f t="shared" ca="1" si="263"/>
        <v>3.3162731541838664E-4</v>
      </c>
      <c r="AM449" s="16">
        <f t="shared" ca="1" si="264"/>
        <v>1.4823259362261557E-4</v>
      </c>
      <c r="AO449" s="16">
        <f t="shared" ca="1" si="265"/>
        <v>0</v>
      </c>
      <c r="AP449" s="16">
        <f t="shared" ca="1" si="266"/>
        <v>-3.9150506094007639E-4</v>
      </c>
      <c r="AQ449" s="16">
        <f t="shared" ca="1" si="267"/>
        <v>0</v>
      </c>
      <c r="AR449" s="16">
        <f t="shared" ca="1" si="268"/>
        <v>-6.647983150405057E-4</v>
      </c>
      <c r="AS449" s="16">
        <f t="shared" ca="1" si="269"/>
        <v>0</v>
      </c>
    </row>
    <row r="450" spans="1:45" x14ac:dyDescent="0.25">
      <c r="A450" s="69">
        <f t="shared" ca="1" si="270"/>
        <v>2451.0494745595006</v>
      </c>
      <c r="B450" s="69">
        <f t="shared" ca="1" si="271"/>
        <v>2140.1604424512393</v>
      </c>
      <c r="C450" s="69">
        <f t="shared" ca="1" si="272"/>
        <v>2228.4506794743111</v>
      </c>
      <c r="D450" s="69">
        <f t="shared" ca="1" si="273"/>
        <v>2909.3655251365167</v>
      </c>
      <c r="E450" s="69">
        <f t="shared" ca="1" si="274"/>
        <v>1931.4956001609278</v>
      </c>
      <c r="F450" s="69">
        <f t="shared" ca="1" si="275"/>
        <v>1220.9587155168135</v>
      </c>
      <c r="G450" s="69">
        <f t="shared" ca="1" si="276"/>
        <v>961.37859086842934</v>
      </c>
      <c r="H450" s="69">
        <f t="shared" ca="1" si="277"/>
        <v>1188.9714879712949</v>
      </c>
      <c r="I450" s="69">
        <f t="shared" ca="1" si="278"/>
        <v>1050.0360371954548</v>
      </c>
      <c r="J450" s="69">
        <f t="shared" ca="1" si="279"/>
        <v>1143.9130874035177</v>
      </c>
      <c r="K450" s="69">
        <f t="shared" ca="1" si="280"/>
        <v>1175.4773669536944</v>
      </c>
      <c r="L450" s="69">
        <f t="shared" ca="1" si="281"/>
        <v>952.72810901493654</v>
      </c>
      <c r="M450" s="69">
        <f t="shared" ca="1" si="282"/>
        <v>990.28065566060388</v>
      </c>
      <c r="N450" s="69">
        <f t="shared" ca="1" si="283"/>
        <v>569.76794654809839</v>
      </c>
      <c r="O450" s="69">
        <f t="shared" ca="1" si="284"/>
        <v>631.04157548984222</v>
      </c>
      <c r="P450" s="69">
        <f t="shared" ca="1" si="285"/>
        <v>723.77257225405299</v>
      </c>
      <c r="Q450" s="69">
        <f t="shared" ca="1" si="286"/>
        <v>956.00113827796213</v>
      </c>
      <c r="R450" s="69">
        <f t="shared" ca="1" si="287"/>
        <v>780.58109602881268</v>
      </c>
      <c r="S450" s="69">
        <f t="shared" ca="1" si="288"/>
        <v>698.75644370265127</v>
      </c>
      <c r="T450" s="69">
        <f t="shared" ca="1" si="289"/>
        <v>799.1820821308097</v>
      </c>
      <c r="U450" s="69">
        <f t="shared" ca="1" si="290"/>
        <v>1693.3781002230508</v>
      </c>
      <c r="V450" s="69">
        <f t="shared" ca="1" si="291"/>
        <v>1914.2099486025415</v>
      </c>
      <c r="W450" s="69">
        <f t="shared" ca="1" si="292"/>
        <v>1179.357382926059</v>
      </c>
      <c r="X450" s="69">
        <f t="shared" ca="1" si="293"/>
        <v>1499.2394554453099</v>
      </c>
      <c r="Y450" s="69">
        <f t="shared" ca="1" si="294"/>
        <v>1207.2194969916125</v>
      </c>
      <c r="AA450" s="20">
        <f t="shared" ca="1" si="254"/>
        <v>6.5689120657709936E+16</v>
      </c>
      <c r="AB450" s="20">
        <f t="shared" ca="1" si="255"/>
        <v>1676347685086408.8</v>
      </c>
      <c r="AC450" s="20">
        <f t="shared" ca="1" si="256"/>
        <v>398747095282618.06</v>
      </c>
      <c r="AD450" s="20">
        <f t="shared" ca="1" si="257"/>
        <v>301613047107395</v>
      </c>
      <c r="AE450" s="20">
        <f t="shared" ca="1" si="258"/>
        <v>6919045425957436</v>
      </c>
      <c r="AG450" s="16">
        <f t="shared" ca="1" si="259"/>
        <v>7.8630995049349284E-5</v>
      </c>
      <c r="AH450" s="16">
        <f t="shared" ca="1" si="260"/>
        <v>1.6326605713370507E-4</v>
      </c>
      <c r="AI450" s="16">
        <f t="shared" ca="1" si="261"/>
        <v>7.7924848770016288E-4</v>
      </c>
      <c r="AJ450" s="16">
        <f t="shared" ca="1" si="262"/>
        <v>-9.9478785485987561E-4</v>
      </c>
      <c r="AK450" s="16">
        <f t="shared" ca="1" si="263"/>
        <v>7.8347341162966733E-5</v>
      </c>
      <c r="AM450" s="16">
        <f t="shared" ca="1" si="264"/>
        <v>2.6357685023341727E-5</v>
      </c>
      <c r="AO450" s="16">
        <f t="shared" ca="1" si="265"/>
        <v>0</v>
      </c>
      <c r="AP450" s="16">
        <f t="shared" ca="1" si="266"/>
        <v>0</v>
      </c>
      <c r="AQ450" s="16">
        <f t="shared" ca="1" si="267"/>
        <v>0</v>
      </c>
      <c r="AR450" s="16">
        <f t="shared" ca="1" si="268"/>
        <v>-9.9478785485987561E-4</v>
      </c>
      <c r="AS450" s="16">
        <f t="shared" ca="1" si="269"/>
        <v>0</v>
      </c>
    </row>
    <row r="451" spans="1:45" x14ac:dyDescent="0.25">
      <c r="A451" s="69">
        <f t="shared" ca="1" si="270"/>
        <v>2451.0554730183298</v>
      </c>
      <c r="B451" s="69">
        <f t="shared" ca="1" si="271"/>
        <v>2140.1916710845312</v>
      </c>
      <c r="C451" s="69">
        <f t="shared" ca="1" si="272"/>
        <v>2228.1662564702965</v>
      </c>
      <c r="D451" s="69">
        <f t="shared" ca="1" si="273"/>
        <v>2909.3655251365167</v>
      </c>
      <c r="E451" s="69">
        <f t="shared" ca="1" si="274"/>
        <v>1931.8611371532857</v>
      </c>
      <c r="F451" s="69">
        <f t="shared" ca="1" si="275"/>
        <v>1220.9587155168135</v>
      </c>
      <c r="G451" s="69">
        <f t="shared" ca="1" si="276"/>
        <v>961.53556417423079</v>
      </c>
      <c r="H451" s="69">
        <f t="shared" ca="1" si="277"/>
        <v>1188.9714879712949</v>
      </c>
      <c r="I451" s="69">
        <f t="shared" ca="1" si="278"/>
        <v>1050.0360371954548</v>
      </c>
      <c r="J451" s="69">
        <f t="shared" ca="1" si="279"/>
        <v>1143.9130874035177</v>
      </c>
      <c r="K451" s="69">
        <f t="shared" ca="1" si="280"/>
        <v>1175.5862499080861</v>
      </c>
      <c r="L451" s="69">
        <f t="shared" ca="1" si="281"/>
        <v>952.72810901493654</v>
      </c>
      <c r="M451" s="69">
        <f t="shared" ca="1" si="282"/>
        <v>990.61234020763561</v>
      </c>
      <c r="N451" s="69">
        <f t="shared" ca="1" si="283"/>
        <v>569.9683920908725</v>
      </c>
      <c r="O451" s="69">
        <f t="shared" ca="1" si="284"/>
        <v>631.04157548984222</v>
      </c>
      <c r="P451" s="69">
        <f t="shared" ca="1" si="285"/>
        <v>723.54590787132906</v>
      </c>
      <c r="Q451" s="69">
        <f t="shared" ca="1" si="286"/>
        <v>956.00113827796213</v>
      </c>
      <c r="R451" s="69">
        <f t="shared" ca="1" si="287"/>
        <v>780.58109602881268</v>
      </c>
      <c r="S451" s="69">
        <f t="shared" ca="1" si="288"/>
        <v>698.68998138677364</v>
      </c>
      <c r="T451" s="69">
        <f t="shared" ca="1" si="289"/>
        <v>798.71354046473778</v>
      </c>
      <c r="U451" s="69">
        <f t="shared" ca="1" si="290"/>
        <v>1693.3781002230508</v>
      </c>
      <c r="V451" s="69">
        <f t="shared" ca="1" si="291"/>
        <v>1913.9549348748683</v>
      </c>
      <c r="W451" s="69">
        <f t="shared" ca="1" si="292"/>
        <v>1179.728053132761</v>
      </c>
      <c r="X451" s="69">
        <f t="shared" ca="1" si="293"/>
        <v>1499.0855342413256</v>
      </c>
      <c r="Y451" s="69">
        <f t="shared" ca="1" si="294"/>
        <v>1207.2194969916125</v>
      </c>
      <c r="AA451" s="20">
        <f t="shared" ref="AA451:AA514" ca="1" si="295">A451*B451*C451*D451*E451</f>
        <v>6.5694286061708936E+16</v>
      </c>
      <c r="AB451" s="20">
        <f t="shared" ref="AB451:AB514" ca="1" si="296">F451*G451*H451*I451*J451</f>
        <v>1676621398106753</v>
      </c>
      <c r="AC451" s="20">
        <f t="shared" ref="AC451:AC514" ca="1" si="297">K451*L451*M451*N451*O451</f>
        <v>399057939450286.19</v>
      </c>
      <c r="AD451" s="20">
        <f t="shared" ref="AD451:AD514" ca="1" si="298">P451*Q451*R451*S451*T451</f>
        <v>301313155300360.13</v>
      </c>
      <c r="AE451" s="20">
        <f t="shared" ref="AE451:AE514" ca="1" si="299">U451*V451*W451*X451*Y451</f>
        <v>6919587536006108</v>
      </c>
      <c r="AG451" s="16">
        <f t="shared" ca="1" si="259"/>
        <v>3.6077391080215131E-4</v>
      </c>
      <c r="AH451" s="16">
        <f t="shared" ca="1" si="260"/>
        <v>-5.3521305105002154E-5</v>
      </c>
      <c r="AI451" s="16">
        <f t="shared" ca="1" si="261"/>
        <v>4.2610768122879316E-4</v>
      </c>
      <c r="AJ451" s="16">
        <f t="shared" ca="1" si="262"/>
        <v>2.9077831254914059E-4</v>
      </c>
      <c r="AK451" s="16">
        <f t="shared" ca="1" si="263"/>
        <v>-4.7163669677206045E-5</v>
      </c>
      <c r="AM451" s="16">
        <f t="shared" ca="1" si="264"/>
        <v>1.024138599475083E-3</v>
      </c>
      <c r="AO451" s="16">
        <f t="shared" ca="1" si="265"/>
        <v>0</v>
      </c>
      <c r="AP451" s="16">
        <f t="shared" ca="1" si="266"/>
        <v>-5.3521305105002154E-5</v>
      </c>
      <c r="AQ451" s="16">
        <f t="shared" ca="1" si="267"/>
        <v>0</v>
      </c>
      <c r="AR451" s="16">
        <f t="shared" ca="1" si="268"/>
        <v>0</v>
      </c>
      <c r="AS451" s="16">
        <f t="shared" ca="1" si="269"/>
        <v>-4.7163669677206045E-5</v>
      </c>
    </row>
    <row r="452" spans="1:45" x14ac:dyDescent="0.25">
      <c r="A452" s="69">
        <f t="shared" ca="1" si="270"/>
        <v>2450.698196199497</v>
      </c>
      <c r="B452" s="69">
        <f t="shared" ca="1" si="271"/>
        <v>2140.5390706736202</v>
      </c>
      <c r="C452" s="69">
        <f t="shared" ca="1" si="272"/>
        <v>2228.4202365155811</v>
      </c>
      <c r="D452" s="69">
        <f t="shared" ca="1" si="273"/>
        <v>2909.3631097485863</v>
      </c>
      <c r="E452" s="69">
        <f t="shared" ca="1" si="274"/>
        <v>1932.307624551808</v>
      </c>
      <c r="F452" s="69">
        <f t="shared" ca="1" si="275"/>
        <v>1220.9587155168135</v>
      </c>
      <c r="G452" s="69">
        <f t="shared" ca="1" si="276"/>
        <v>961.20145425131659</v>
      </c>
      <c r="H452" s="69">
        <f t="shared" ca="1" si="277"/>
        <v>1189.1663605613378</v>
      </c>
      <c r="I452" s="69">
        <f t="shared" ca="1" si="278"/>
        <v>1050.1726849006823</v>
      </c>
      <c r="J452" s="69">
        <f t="shared" ca="1" si="279"/>
        <v>1143.9130874035177</v>
      </c>
      <c r="K452" s="69">
        <f t="shared" ca="1" si="280"/>
        <v>1175.4871341629023</v>
      </c>
      <c r="L452" s="69">
        <f t="shared" ca="1" si="281"/>
        <v>953.22554623063263</v>
      </c>
      <c r="M452" s="69">
        <f t="shared" ca="1" si="282"/>
        <v>990.61234020763561</v>
      </c>
      <c r="N452" s="69">
        <f t="shared" ca="1" si="283"/>
        <v>569.9683920908725</v>
      </c>
      <c r="O452" s="69">
        <f t="shared" ca="1" si="284"/>
        <v>631.03428100382143</v>
      </c>
      <c r="P452" s="69">
        <f t="shared" ca="1" si="285"/>
        <v>723.12105921228999</v>
      </c>
      <c r="Q452" s="69">
        <f t="shared" ca="1" si="286"/>
        <v>956.30043235539836</v>
      </c>
      <c r="R452" s="69">
        <f t="shared" ca="1" si="287"/>
        <v>780.58109602881268</v>
      </c>
      <c r="S452" s="69">
        <f t="shared" ca="1" si="288"/>
        <v>698.68998138677364</v>
      </c>
      <c r="T452" s="69">
        <f t="shared" ca="1" si="289"/>
        <v>799.16502650170128</v>
      </c>
      <c r="U452" s="69">
        <f t="shared" ca="1" si="290"/>
        <v>1693.3781002230508</v>
      </c>
      <c r="V452" s="69">
        <f t="shared" ca="1" si="291"/>
        <v>1913.9549348748683</v>
      </c>
      <c r="W452" s="69">
        <f t="shared" ca="1" si="292"/>
        <v>1179.4383255723233</v>
      </c>
      <c r="X452" s="69">
        <f t="shared" ca="1" si="293"/>
        <v>1499.5622243696239</v>
      </c>
      <c r="Y452" s="69">
        <f t="shared" ca="1" si="294"/>
        <v>1207.0752648396151</v>
      </c>
      <c r="AA452" s="20">
        <f t="shared" ca="1" si="295"/>
        <v>6.5717991122035312E+16</v>
      </c>
      <c r="AB452" s="20">
        <f t="shared" ca="1" si="296"/>
        <v>1676531665542682.8</v>
      </c>
      <c r="AC452" s="20">
        <f t="shared" ca="1" si="297"/>
        <v>399228017336714.81</v>
      </c>
      <c r="AD452" s="20">
        <f t="shared" ca="1" si="298"/>
        <v>301400783370761</v>
      </c>
      <c r="AE452" s="20">
        <f t="shared" ca="1" si="299"/>
        <v>6919261190561142</v>
      </c>
      <c r="AG452" s="16">
        <f t="shared" ref="AG452:AG515" ca="1" si="300">LN(AA453/AA452)</f>
        <v>1.0112440088119182E-4</v>
      </c>
      <c r="AH452" s="16">
        <f t="shared" ref="AH452:AH515" ca="1" si="301">LN(AB453/AB452)</f>
        <v>-5.9720466284494988E-4</v>
      </c>
      <c r="AI452" s="16">
        <f t="shared" ref="AI452:AI515" ca="1" si="302">LN(AC453/AC452)</f>
        <v>6.6535300343825482E-4</v>
      </c>
      <c r="AJ452" s="16">
        <f t="shared" ref="AJ452:AJ515" ca="1" si="303">LN(AD453/AD452)</f>
        <v>-6.5095780571276058E-4</v>
      </c>
      <c r="AK452" s="16">
        <f t="shared" ref="AK452:AK515" ca="1" si="304">LN(AE453/AE452)</f>
        <v>-4.7444531706894894E-4</v>
      </c>
      <c r="AM452" s="16">
        <f t="shared" ref="AM452:AM515" ca="1" si="305">AG452+AH452+AI452+AJ452</f>
        <v>-4.8168506423826383E-4</v>
      </c>
      <c r="AO452" s="16">
        <f t="shared" ref="AO452:AO515" ca="1" si="306">MIN(AG452,0)</f>
        <v>0</v>
      </c>
      <c r="AP452" s="16">
        <f t="shared" ref="AP452:AP515" ca="1" si="307">MIN(AH452,0)</f>
        <v>-5.9720466284494988E-4</v>
      </c>
      <c r="AQ452" s="16">
        <f t="shared" ref="AQ452:AQ515" ca="1" si="308">MIN(AI452,0)</f>
        <v>0</v>
      </c>
      <c r="AR452" s="16">
        <f t="shared" ref="AR452:AR515" ca="1" si="309">MIN(AJ452,0)</f>
        <v>-6.5095780571276058E-4</v>
      </c>
      <c r="AS452" s="16">
        <f t="shared" ref="AS452:AS515" ca="1" si="310">MIN(AK452,0)</f>
        <v>-4.7444531706894894E-4</v>
      </c>
    </row>
    <row r="453" spans="1:45" x14ac:dyDescent="0.25">
      <c r="A453" s="69">
        <f t="shared" ref="A453:A516" ca="1" si="311">A452+ $A$1 * RAND()  * RANDBETWEEN(-1,1)</f>
        <v>2450.4981921708618</v>
      </c>
      <c r="B453" s="69">
        <f t="shared" ref="B453:B516" ca="1" si="312">B452+ $A$1 * RAND()  * RANDBETWEEN(-1,1)</f>
        <v>2140.7192624774748</v>
      </c>
      <c r="C453" s="69">
        <f t="shared" ref="C453:C516" ca="1" si="313">C452+ $A$1 * RAND()  * RANDBETWEEN(-1,1)</f>
        <v>2228.2067091702243</v>
      </c>
      <c r="D453" s="69">
        <f t="shared" ref="D453:D516" ca="1" si="314">D452+ $A$1 * RAND()  * RANDBETWEEN(-1,1)</f>
        <v>2909.3631097485863</v>
      </c>
      <c r="E453" s="69">
        <f t="shared" ref="E453:E516" ca="1" si="315">E452+ $A$1 * RAND()  * RANDBETWEEN(-1,1)</f>
        <v>1932.6832753574192</v>
      </c>
      <c r="F453" s="69">
        <f t="shared" ref="F453:F516" ca="1" si="316">F452+ $A$1 * RAND()  * RANDBETWEEN(-1,1)</f>
        <v>1220.6812097589961</v>
      </c>
      <c r="G453" s="69">
        <f t="shared" ref="G453:G516" ca="1" si="317">G452+ $A$1 * RAND()  * RANDBETWEEN(-1,1)</f>
        <v>960.83263054483928</v>
      </c>
      <c r="H453" s="69">
        <f t="shared" ref="H453:H516" ca="1" si="318">H452+ $A$1 * RAND()  * RANDBETWEEN(-1,1)</f>
        <v>1189.1663605613378</v>
      </c>
      <c r="I453" s="69">
        <f t="shared" ref="I453:I516" ca="1" si="319">I452+ $A$1 * RAND()  * RANDBETWEEN(-1,1)</f>
        <v>1050.1726849006823</v>
      </c>
      <c r="J453" s="69">
        <f t="shared" ref="J453:J516" ca="1" si="320">J452+ $A$1 * RAND()  * RANDBETWEEN(-1,1)</f>
        <v>1143.9289776962789</v>
      </c>
      <c r="K453" s="69">
        <f t="shared" ref="K453:K516" ca="1" si="321">K452+ $A$1 * RAND()  * RANDBETWEEN(-1,1)</f>
        <v>1175.294324642291</v>
      </c>
      <c r="L453" s="69">
        <f t="shared" ref="L453:L516" ca="1" si="322">L452+ $A$1 * RAND()  * RANDBETWEEN(-1,1)</f>
        <v>953.65599153018491</v>
      </c>
      <c r="M453" s="69">
        <f t="shared" ref="M453:M516" ca="1" si="323">M452+ $A$1 * RAND()  * RANDBETWEEN(-1,1)</f>
        <v>990.75673974444817</v>
      </c>
      <c r="N453" s="69">
        <f t="shared" ref="N453:N516" ca="1" si="324">N452+ $A$1 * RAND()  * RANDBETWEEN(-1,1)</f>
        <v>570.1007365316849</v>
      </c>
      <c r="O453" s="69">
        <f t="shared" ref="O453:O516" ca="1" si="325">O452+ $A$1 * RAND()  * RANDBETWEEN(-1,1)</f>
        <v>631.03428100382143</v>
      </c>
      <c r="P453" s="69">
        <f t="shared" ref="P453:P516" ca="1" si="326">P452+ $A$1 * RAND()  * RANDBETWEEN(-1,1)</f>
        <v>723.01371262068869</v>
      </c>
      <c r="Q453" s="69">
        <f t="shared" ref="Q453:Q516" ca="1" si="327">Q452+ $A$1 * RAND()  * RANDBETWEEN(-1,1)</f>
        <v>955.82001421133998</v>
      </c>
      <c r="R453" s="69">
        <f t="shared" ref="R453:R516" ca="1" si="328">R452+ $A$1 * RAND()  * RANDBETWEEN(-1,1)</f>
        <v>780.58109602881268</v>
      </c>
      <c r="S453" s="69">
        <f t="shared" ref="S453:S516" ca="1" si="329">S452+ $A$1 * RAND()  * RANDBETWEEN(-1,1)</f>
        <v>698.68998138677364</v>
      </c>
      <c r="T453" s="69">
        <f t="shared" ref="T453:T516" ca="1" si="330">T452+ $A$1 * RAND()  * RANDBETWEEN(-1,1)</f>
        <v>799.16502650170128</v>
      </c>
      <c r="U453" s="69">
        <f t="shared" ref="U453:U516" ca="1" si="331">U452+ $A$1 * RAND()  * RANDBETWEEN(-1,1)</f>
        <v>1692.8859671817349</v>
      </c>
      <c r="V453" s="69">
        <f t="shared" ref="V453:V516" ca="1" si="332">V452+ $A$1 * RAND()  * RANDBETWEEN(-1,1)</f>
        <v>1913.9549348748683</v>
      </c>
      <c r="W453" s="69">
        <f t="shared" ref="W453:W516" ca="1" si="333">W452+ $A$1 * RAND()  * RANDBETWEEN(-1,1)</f>
        <v>1179.6170643828668</v>
      </c>
      <c r="X453" s="69">
        <f t="shared" ref="X453:X516" ca="1" si="334">X452+ $A$1 * RAND()  * RANDBETWEEN(-1,1)</f>
        <v>1499.5622243696239</v>
      </c>
      <c r="Y453" s="69">
        <f t="shared" ref="Y453:Y516" ca="1" si="335">Y452+ $A$1 * RAND()  * RANDBETWEEN(-1,1)</f>
        <v>1206.670581966559</v>
      </c>
      <c r="AA453" s="20">
        <f t="shared" ca="1" si="295"/>
        <v>6.5724637150546808E+16</v>
      </c>
      <c r="AB453" s="20">
        <f t="shared" ca="1" si="296"/>
        <v>1675530731925474</v>
      </c>
      <c r="AC453" s="20">
        <f t="shared" ca="1" si="297"/>
        <v>399493733284756</v>
      </c>
      <c r="AD453" s="20">
        <f t="shared" ca="1" si="298"/>
        <v>301204648023021.63</v>
      </c>
      <c r="AE453" s="20">
        <f t="shared" ca="1" si="299"/>
        <v>6915979158125728</v>
      </c>
      <c r="AG453" s="16">
        <f t="shared" ca="1" si="300"/>
        <v>-2.3229431396415442E-4</v>
      </c>
      <c r="AH453" s="16">
        <f t="shared" ca="1" si="301"/>
        <v>2.788743548234534E-5</v>
      </c>
      <c r="AI453" s="16">
        <f t="shared" ca="1" si="302"/>
        <v>2.6910029731878394E-4</v>
      </c>
      <c r="AJ453" s="16">
        <f t="shared" ca="1" si="303"/>
        <v>-1.3829761206744627E-4</v>
      </c>
      <c r="AK453" s="16">
        <f t="shared" ca="1" si="304"/>
        <v>7.5573539049094817E-4</v>
      </c>
      <c r="AM453" s="16">
        <f t="shared" ca="1" si="305"/>
        <v>-7.36041932304714E-5</v>
      </c>
      <c r="AO453" s="16">
        <f t="shared" ca="1" si="306"/>
        <v>-2.3229431396415442E-4</v>
      </c>
      <c r="AP453" s="16">
        <f t="shared" ca="1" si="307"/>
        <v>0</v>
      </c>
      <c r="AQ453" s="16">
        <f t="shared" ca="1" si="308"/>
        <v>0</v>
      </c>
      <c r="AR453" s="16">
        <f t="shared" ca="1" si="309"/>
        <v>-1.3829761206744627E-4</v>
      </c>
      <c r="AS453" s="16">
        <f t="shared" ca="1" si="310"/>
        <v>0</v>
      </c>
    </row>
    <row r="454" spans="1:45" x14ac:dyDescent="0.25">
      <c r="A454" s="69">
        <f t="shared" ca="1" si="311"/>
        <v>2450.4210711210167</v>
      </c>
      <c r="B454" s="69">
        <f t="shared" ca="1" si="312"/>
        <v>2140.7192624774748</v>
      </c>
      <c r="C454" s="69">
        <f t="shared" ca="1" si="313"/>
        <v>2227.7586887850489</v>
      </c>
      <c r="D454" s="69">
        <f t="shared" ca="1" si="314"/>
        <v>2909.3631097485863</v>
      </c>
      <c r="E454" s="69">
        <f t="shared" ca="1" si="315"/>
        <v>1932.6837888178165</v>
      </c>
      <c r="F454" s="69">
        <f t="shared" ca="1" si="316"/>
        <v>1220.2323792920859</v>
      </c>
      <c r="G454" s="69">
        <f t="shared" ca="1" si="317"/>
        <v>961.23003759401615</v>
      </c>
      <c r="H454" s="69">
        <f t="shared" ca="1" si="318"/>
        <v>1189.1663605613378</v>
      </c>
      <c r="I454" s="69">
        <f t="shared" ca="1" si="319"/>
        <v>1050.1539102236914</v>
      </c>
      <c r="J454" s="69">
        <f t="shared" ca="1" si="320"/>
        <v>1143.9289776962789</v>
      </c>
      <c r="K454" s="69">
        <f t="shared" ca="1" si="321"/>
        <v>1175.4501303788461</v>
      </c>
      <c r="L454" s="69">
        <f t="shared" ca="1" si="322"/>
        <v>953.94474513304954</v>
      </c>
      <c r="M454" s="69">
        <f t="shared" ca="1" si="323"/>
        <v>990.75673974444817</v>
      </c>
      <c r="N454" s="69">
        <f t="shared" ca="1" si="324"/>
        <v>570.31164764492075</v>
      </c>
      <c r="O454" s="69">
        <f t="shared" ca="1" si="325"/>
        <v>630.69608420531199</v>
      </c>
      <c r="P454" s="69">
        <f t="shared" ca="1" si="326"/>
        <v>723.01371262068869</v>
      </c>
      <c r="Q454" s="69">
        <f t="shared" ca="1" si="327"/>
        <v>956.09760575094924</v>
      </c>
      <c r="R454" s="69">
        <f t="shared" ca="1" si="328"/>
        <v>780.69211944653682</v>
      </c>
      <c r="S454" s="69">
        <f t="shared" ca="1" si="329"/>
        <v>698.60595975162209</v>
      </c>
      <c r="T454" s="69">
        <f t="shared" ca="1" si="330"/>
        <v>798.80497487018226</v>
      </c>
      <c r="U454" s="69">
        <f t="shared" ca="1" si="331"/>
        <v>1692.748197556652</v>
      </c>
      <c r="V454" s="69">
        <f t="shared" ca="1" si="332"/>
        <v>1914.3148471573286</v>
      </c>
      <c r="W454" s="69">
        <f t="shared" ca="1" si="333"/>
        <v>1180.0396708116975</v>
      </c>
      <c r="X454" s="69">
        <f t="shared" ca="1" si="334"/>
        <v>1499.4162139802092</v>
      </c>
      <c r="Y454" s="69">
        <f t="shared" ca="1" si="335"/>
        <v>1207.1391890881198</v>
      </c>
      <c r="AA454" s="20">
        <f t="shared" ca="1" si="295"/>
        <v>6.5709371464184096E+16</v>
      </c>
      <c r="AB454" s="20">
        <f t="shared" ca="1" si="296"/>
        <v>1675577458832203</v>
      </c>
      <c r="AC454" s="20">
        <f t="shared" ca="1" si="297"/>
        <v>399601251633120.88</v>
      </c>
      <c r="AD454" s="20">
        <f t="shared" ca="1" si="298"/>
        <v>301162995019778.25</v>
      </c>
      <c r="AE454" s="20">
        <f t="shared" ca="1" si="299"/>
        <v>6921207783815305</v>
      </c>
      <c r="AG454" s="16">
        <f t="shared" ca="1" si="300"/>
        <v>-8.6789591888931177E-5</v>
      </c>
      <c r="AH454" s="16">
        <f t="shared" ca="1" si="301"/>
        <v>2.3816639742333965E-4</v>
      </c>
      <c r="AI454" s="16">
        <f t="shared" ca="1" si="302"/>
        <v>1.8060686749199781E-3</v>
      </c>
      <c r="AJ454" s="16">
        <f t="shared" ca="1" si="303"/>
        <v>-1.6967882461300186E-3</v>
      </c>
      <c r="AK454" s="16">
        <f t="shared" ca="1" si="304"/>
        <v>4.4740981056465236E-6</v>
      </c>
      <c r="AM454" s="16">
        <f t="shared" ca="1" si="305"/>
        <v>2.6065723432436814E-4</v>
      </c>
      <c r="AO454" s="16">
        <f t="shared" ca="1" si="306"/>
        <v>-8.6789591888931177E-5</v>
      </c>
      <c r="AP454" s="16">
        <f t="shared" ca="1" si="307"/>
        <v>0</v>
      </c>
      <c r="AQ454" s="16">
        <f t="shared" ca="1" si="308"/>
        <v>0</v>
      </c>
      <c r="AR454" s="16">
        <f t="shared" ca="1" si="309"/>
        <v>-1.6967882461300186E-3</v>
      </c>
      <c r="AS454" s="16">
        <f t="shared" ca="1" si="310"/>
        <v>0</v>
      </c>
    </row>
    <row r="455" spans="1:45" x14ac:dyDescent="0.25">
      <c r="A455" s="69">
        <f t="shared" ca="1" si="311"/>
        <v>2450.4210711210167</v>
      </c>
      <c r="B455" s="69">
        <f t="shared" ca="1" si="312"/>
        <v>2140.7192624774748</v>
      </c>
      <c r="C455" s="69">
        <f t="shared" ca="1" si="313"/>
        <v>2227.7586887850489</v>
      </c>
      <c r="D455" s="69">
        <f t="shared" ca="1" si="314"/>
        <v>2909.4995966403849</v>
      </c>
      <c r="E455" s="69">
        <f t="shared" ca="1" si="315"/>
        <v>1932.4254034259782</v>
      </c>
      <c r="F455" s="69">
        <f t="shared" ca="1" si="316"/>
        <v>1219.7393427343659</v>
      </c>
      <c r="G455" s="69">
        <f t="shared" ca="1" si="317"/>
        <v>961.53942501857523</v>
      </c>
      <c r="H455" s="69">
        <f t="shared" ca="1" si="318"/>
        <v>1189.1663605613378</v>
      </c>
      <c r="I455" s="69">
        <f t="shared" ca="1" si="319"/>
        <v>1050.26862672173</v>
      </c>
      <c r="J455" s="69">
        <f t="shared" ca="1" si="320"/>
        <v>1144.1706618891176</v>
      </c>
      <c r="K455" s="69">
        <f t="shared" ca="1" si="321"/>
        <v>1175.9263934851465</v>
      </c>
      <c r="L455" s="69">
        <f t="shared" ca="1" si="322"/>
        <v>953.94474513304954</v>
      </c>
      <c r="M455" s="69">
        <f t="shared" ca="1" si="323"/>
        <v>990.71340244092005</v>
      </c>
      <c r="N455" s="69">
        <f t="shared" ca="1" si="324"/>
        <v>570.74705402292784</v>
      </c>
      <c r="O455" s="69">
        <f t="shared" ca="1" si="325"/>
        <v>631.12608548002447</v>
      </c>
      <c r="P455" s="69">
        <f t="shared" ca="1" si="326"/>
        <v>722.58376440400343</v>
      </c>
      <c r="Q455" s="69">
        <f t="shared" ca="1" si="327"/>
        <v>955.65318961416938</v>
      </c>
      <c r="R455" s="69">
        <f t="shared" ca="1" si="328"/>
        <v>780.47030239313301</v>
      </c>
      <c r="S455" s="69">
        <f t="shared" ca="1" si="329"/>
        <v>698.60595975162209</v>
      </c>
      <c r="T455" s="69">
        <f t="shared" ca="1" si="330"/>
        <v>798.52316624837522</v>
      </c>
      <c r="U455" s="69">
        <f t="shared" ca="1" si="331"/>
        <v>1692.6342663294299</v>
      </c>
      <c r="V455" s="69">
        <f t="shared" ca="1" si="332"/>
        <v>1914.6118202205298</v>
      </c>
      <c r="W455" s="69">
        <f t="shared" ca="1" si="333"/>
        <v>1179.9916141549772</v>
      </c>
      <c r="X455" s="69">
        <f t="shared" ca="1" si="334"/>
        <v>1499.4159236400703</v>
      </c>
      <c r="Y455" s="69">
        <f t="shared" ca="1" si="335"/>
        <v>1207.087983484286</v>
      </c>
      <c r="AA455" s="20">
        <f t="shared" ca="1" si="295"/>
        <v>6.5703668822120008E+16</v>
      </c>
      <c r="AB455" s="20">
        <f t="shared" ca="1" si="296"/>
        <v>1675976572605035</v>
      </c>
      <c r="AC455" s="20">
        <f t="shared" ca="1" si="297"/>
        <v>400323611055161.94</v>
      </c>
      <c r="AD455" s="20">
        <f t="shared" ca="1" si="298"/>
        <v>300652418482292.81</v>
      </c>
      <c r="AE455" s="20">
        <f t="shared" ca="1" si="299"/>
        <v>6921238750047212</v>
      </c>
      <c r="AG455" s="16">
        <f t="shared" ca="1" si="300"/>
        <v>-6.5459057031992137E-5</v>
      </c>
      <c r="AH455" s="16">
        <f t="shared" ca="1" si="301"/>
        <v>7.1857232952214005E-4</v>
      </c>
      <c r="AI455" s="16">
        <f t="shared" ca="1" si="302"/>
        <v>1.1294224276129792E-3</v>
      </c>
      <c r="AJ455" s="16">
        <f t="shared" ca="1" si="303"/>
        <v>-5.9514754761173252E-4</v>
      </c>
      <c r="AK455" s="16">
        <f t="shared" ca="1" si="304"/>
        <v>-2.5745112965379498E-4</v>
      </c>
      <c r="AM455" s="16">
        <f t="shared" ca="1" si="305"/>
        <v>1.1873881524913947E-3</v>
      </c>
      <c r="AO455" s="16">
        <f t="shared" ca="1" si="306"/>
        <v>-6.5459057031992137E-5</v>
      </c>
      <c r="AP455" s="16">
        <f t="shared" ca="1" si="307"/>
        <v>0</v>
      </c>
      <c r="AQ455" s="16">
        <f t="shared" ca="1" si="308"/>
        <v>0</v>
      </c>
      <c r="AR455" s="16">
        <f t="shared" ca="1" si="309"/>
        <v>-5.9514754761173252E-4</v>
      </c>
      <c r="AS455" s="16">
        <f t="shared" ca="1" si="310"/>
        <v>-2.5745112965379498E-4</v>
      </c>
    </row>
    <row r="456" spans="1:45" x14ac:dyDescent="0.25">
      <c r="A456" s="69">
        <f t="shared" ca="1" si="311"/>
        <v>2450.4210711210167</v>
      </c>
      <c r="B456" s="69">
        <f t="shared" ca="1" si="312"/>
        <v>2141.1143154199208</v>
      </c>
      <c r="C456" s="69">
        <f t="shared" ca="1" si="313"/>
        <v>2227.4785159503808</v>
      </c>
      <c r="D456" s="69">
        <f t="shared" ca="1" si="314"/>
        <v>2909.2512751361164</v>
      </c>
      <c r="E456" s="69">
        <f t="shared" ca="1" si="315"/>
        <v>1932.3503114877992</v>
      </c>
      <c r="F456" s="69">
        <f t="shared" ca="1" si="316"/>
        <v>1219.7393427343659</v>
      </c>
      <c r="G456" s="69">
        <f t="shared" ca="1" si="317"/>
        <v>962.01956456191044</v>
      </c>
      <c r="H456" s="69">
        <f t="shared" ca="1" si="318"/>
        <v>1188.7753697544001</v>
      </c>
      <c r="I456" s="69">
        <f t="shared" ca="1" si="319"/>
        <v>1050.4254768434714</v>
      </c>
      <c r="J456" s="69">
        <f t="shared" ca="1" si="320"/>
        <v>1144.6271268116359</v>
      </c>
      <c r="K456" s="69">
        <f t="shared" ca="1" si="321"/>
        <v>1175.6923481524275</v>
      </c>
      <c r="L456" s="69">
        <f t="shared" ca="1" si="322"/>
        <v>954.39225257198552</v>
      </c>
      <c r="M456" s="69">
        <f t="shared" ca="1" si="323"/>
        <v>991.03167495314437</v>
      </c>
      <c r="N456" s="69">
        <f t="shared" ca="1" si="324"/>
        <v>570.99346748127687</v>
      </c>
      <c r="O456" s="69">
        <f t="shared" ca="1" si="325"/>
        <v>631.19338017691587</v>
      </c>
      <c r="P456" s="69">
        <f t="shared" ca="1" si="326"/>
        <v>722.37117673448131</v>
      </c>
      <c r="Q456" s="69">
        <f t="shared" ca="1" si="327"/>
        <v>955.49452498394203</v>
      </c>
      <c r="R456" s="69">
        <f t="shared" ca="1" si="328"/>
        <v>780.31456036821442</v>
      </c>
      <c r="S456" s="69">
        <f t="shared" ca="1" si="329"/>
        <v>698.60595975162209</v>
      </c>
      <c r="T456" s="69">
        <f t="shared" ca="1" si="330"/>
        <v>798.57484089453567</v>
      </c>
      <c r="U456" s="69">
        <f t="shared" ca="1" si="331"/>
        <v>1692.400012769232</v>
      </c>
      <c r="V456" s="69">
        <f t="shared" ca="1" si="332"/>
        <v>1914.3606638802621</v>
      </c>
      <c r="W456" s="69">
        <f t="shared" ca="1" si="333"/>
        <v>1179.9828085217755</v>
      </c>
      <c r="X456" s="69">
        <f t="shared" ca="1" si="334"/>
        <v>1499.7664692367173</v>
      </c>
      <c r="Y456" s="69">
        <f t="shared" ca="1" si="335"/>
        <v>1206.8295052301535</v>
      </c>
      <c r="AA456" s="20">
        <f t="shared" ca="1" si="295"/>
        <v>6.5699368062678736E+16</v>
      </c>
      <c r="AB456" s="20">
        <f t="shared" ca="1" si="296"/>
        <v>1677181315790756.5</v>
      </c>
      <c r="AC456" s="20">
        <f t="shared" ca="1" si="297"/>
        <v>400776000941343.56</v>
      </c>
      <c r="AD456" s="20">
        <f t="shared" ca="1" si="298"/>
        <v>300473539167822.13</v>
      </c>
      <c r="AE456" s="20">
        <f t="shared" ca="1" si="299"/>
        <v>6919457098666330</v>
      </c>
      <c r="AG456" s="16">
        <f t="shared" ca="1" si="300"/>
        <v>-8.4674913496371844E-5</v>
      </c>
      <c r="AH456" s="16">
        <f t="shared" ca="1" si="301"/>
        <v>-2.4850288539829922E-4</v>
      </c>
      <c r="AI456" s="16">
        <f t="shared" ca="1" si="302"/>
        <v>-9.6197046675429418E-5</v>
      </c>
      <c r="AJ456" s="16">
        <f t="shared" ca="1" si="303"/>
        <v>1.8531366574220769E-4</v>
      </c>
      <c r="AK456" s="16">
        <f t="shared" ca="1" si="304"/>
        <v>4.0660920608527335E-4</v>
      </c>
      <c r="AM456" s="16">
        <f t="shared" ca="1" si="305"/>
        <v>-2.4406117982789279E-4</v>
      </c>
      <c r="AO456" s="16">
        <f t="shared" ca="1" si="306"/>
        <v>-8.4674913496371844E-5</v>
      </c>
      <c r="AP456" s="16">
        <f t="shared" ca="1" si="307"/>
        <v>-2.4850288539829922E-4</v>
      </c>
      <c r="AQ456" s="16">
        <f t="shared" ca="1" si="308"/>
        <v>-9.6197046675429418E-5</v>
      </c>
      <c r="AR456" s="16">
        <f t="shared" ca="1" si="309"/>
        <v>0</v>
      </c>
      <c r="AS456" s="16">
        <f t="shared" ca="1" si="310"/>
        <v>0</v>
      </c>
    </row>
    <row r="457" spans="1:45" x14ac:dyDescent="0.25">
      <c r="A457" s="69">
        <f t="shared" ca="1" si="311"/>
        <v>2450.4210711210167</v>
      </c>
      <c r="B457" s="69">
        <f t="shared" ca="1" si="312"/>
        <v>2141.1369022897588</v>
      </c>
      <c r="C457" s="69">
        <f t="shared" ca="1" si="313"/>
        <v>2227.4785159503808</v>
      </c>
      <c r="D457" s="69">
        <f t="shared" ca="1" si="314"/>
        <v>2908.974257849402</v>
      </c>
      <c r="E457" s="69">
        <f t="shared" ca="1" si="315"/>
        <v>1932.3503114877992</v>
      </c>
      <c r="F457" s="69">
        <f t="shared" ca="1" si="316"/>
        <v>1219.7393427343659</v>
      </c>
      <c r="G457" s="69">
        <f t="shared" ca="1" si="317"/>
        <v>961.74660514787843</v>
      </c>
      <c r="H457" s="69">
        <f t="shared" ca="1" si="318"/>
        <v>1188.8173024046166</v>
      </c>
      <c r="I457" s="69">
        <f t="shared" ca="1" si="319"/>
        <v>1050.4254768434714</v>
      </c>
      <c r="J457" s="69">
        <f t="shared" ca="1" si="320"/>
        <v>1144.6271268116359</v>
      </c>
      <c r="K457" s="69">
        <f t="shared" ca="1" si="321"/>
        <v>1175.6923481524275</v>
      </c>
      <c r="L457" s="69">
        <f t="shared" ca="1" si="322"/>
        <v>953.92447820885025</v>
      </c>
      <c r="M457" s="69">
        <f t="shared" ca="1" si="323"/>
        <v>991.19729843762354</v>
      </c>
      <c r="N457" s="69">
        <f t="shared" ca="1" si="324"/>
        <v>570.99346748127687</v>
      </c>
      <c r="O457" s="69">
        <f t="shared" ca="1" si="325"/>
        <v>631.33664120908725</v>
      </c>
      <c r="P457" s="69">
        <f t="shared" ca="1" si="326"/>
        <v>722.01228874608069</v>
      </c>
      <c r="Q457" s="69">
        <f t="shared" ca="1" si="327"/>
        <v>955.68228702900137</v>
      </c>
      <c r="R457" s="69">
        <f t="shared" ca="1" si="328"/>
        <v>780.5675455376155</v>
      </c>
      <c r="S457" s="69">
        <f t="shared" ca="1" si="329"/>
        <v>698.71887156779258</v>
      </c>
      <c r="T457" s="69">
        <f t="shared" ca="1" si="330"/>
        <v>798.57484089453567</v>
      </c>
      <c r="U457" s="69">
        <f t="shared" ca="1" si="331"/>
        <v>1692.6424181366406</v>
      </c>
      <c r="V457" s="69">
        <f t="shared" ca="1" si="332"/>
        <v>1914.3606638802621</v>
      </c>
      <c r="W457" s="69">
        <f t="shared" ca="1" si="333"/>
        <v>1179.9828085217755</v>
      </c>
      <c r="X457" s="69">
        <f t="shared" ca="1" si="334"/>
        <v>1500.0471790017605</v>
      </c>
      <c r="Y457" s="69">
        <f t="shared" ca="1" si="335"/>
        <v>1206.9215129196386</v>
      </c>
      <c r="AA457" s="20">
        <f t="shared" ca="1" si="295"/>
        <v>6.5693805209891624E+16</v>
      </c>
      <c r="AB457" s="20">
        <f t="shared" ca="1" si="296"/>
        <v>1676764583176219.5</v>
      </c>
      <c r="AC457" s="20">
        <f t="shared" ca="1" si="297"/>
        <v>400737449327980</v>
      </c>
      <c r="AD457" s="20">
        <f t="shared" ca="1" si="298"/>
        <v>300529226180446.69</v>
      </c>
      <c r="AE457" s="20">
        <f t="shared" ca="1" si="299"/>
        <v>6922271185701836</v>
      </c>
      <c r="AG457" s="16">
        <f t="shared" ca="1" si="300"/>
        <v>-2.9665007219625578E-4</v>
      </c>
      <c r="AH457" s="16">
        <f t="shared" ca="1" si="301"/>
        <v>-1.5032625165484645E-4</v>
      </c>
      <c r="AI457" s="16">
        <f t="shared" ca="1" si="302"/>
        <v>3.4876979014403177E-4</v>
      </c>
      <c r="AJ457" s="16">
        <f t="shared" ca="1" si="303"/>
        <v>4.0398660603209929E-4</v>
      </c>
      <c r="AK457" s="16">
        <f t="shared" ca="1" si="304"/>
        <v>-8.3415816562464821E-4</v>
      </c>
      <c r="AM457" s="16">
        <f t="shared" ca="1" si="305"/>
        <v>3.057800723250288E-4</v>
      </c>
      <c r="AO457" s="16">
        <f t="shared" ca="1" si="306"/>
        <v>-2.9665007219625578E-4</v>
      </c>
      <c r="AP457" s="16">
        <f t="shared" ca="1" si="307"/>
        <v>-1.5032625165484645E-4</v>
      </c>
      <c r="AQ457" s="16">
        <f t="shared" ca="1" si="308"/>
        <v>0</v>
      </c>
      <c r="AR457" s="16">
        <f t="shared" ca="1" si="309"/>
        <v>0</v>
      </c>
      <c r="AS457" s="16">
        <f t="shared" ca="1" si="310"/>
        <v>-8.3415816562464821E-4</v>
      </c>
    </row>
    <row r="458" spans="1:45" x14ac:dyDescent="0.25">
      <c r="A458" s="69">
        <f t="shared" ca="1" si="311"/>
        <v>2450.4210711210167</v>
      </c>
      <c r="B458" s="69">
        <f t="shared" ca="1" si="312"/>
        <v>2141.4516475137284</v>
      </c>
      <c r="C458" s="69">
        <f t="shared" ca="1" si="313"/>
        <v>2227.0690977893873</v>
      </c>
      <c r="D458" s="69">
        <f t="shared" ca="1" si="314"/>
        <v>2908.5211425384414</v>
      </c>
      <c r="E458" s="69">
        <f t="shared" ca="1" si="315"/>
        <v>1932.1492776991824</v>
      </c>
      <c r="F458" s="69">
        <f t="shared" ca="1" si="316"/>
        <v>1219.7393427343659</v>
      </c>
      <c r="G458" s="69">
        <f t="shared" ca="1" si="317"/>
        <v>962.18458654381243</v>
      </c>
      <c r="H458" s="69">
        <f t="shared" ca="1" si="318"/>
        <v>1188.4542536597025</v>
      </c>
      <c r="I458" s="69">
        <f t="shared" ca="1" si="319"/>
        <v>1050.0019350530276</v>
      </c>
      <c r="J458" s="69">
        <f t="shared" ca="1" si="320"/>
        <v>1144.7451434142747</v>
      </c>
      <c r="K458" s="69">
        <f t="shared" ca="1" si="321"/>
        <v>1175.6158967632125</v>
      </c>
      <c r="L458" s="69">
        <f t="shared" ca="1" si="322"/>
        <v>953.93820296303466</v>
      </c>
      <c r="M458" s="69">
        <f t="shared" ca="1" si="323"/>
        <v>991.59327264495994</v>
      </c>
      <c r="N458" s="69">
        <f t="shared" ca="1" si="324"/>
        <v>570.99346748127687</v>
      </c>
      <c r="O458" s="69">
        <f t="shared" ca="1" si="325"/>
        <v>631.33664120908725</v>
      </c>
      <c r="P458" s="69">
        <f t="shared" ca="1" si="326"/>
        <v>722.02416785938624</v>
      </c>
      <c r="Q458" s="69">
        <f t="shared" ca="1" si="327"/>
        <v>955.74124336689977</v>
      </c>
      <c r="R458" s="69">
        <f t="shared" ca="1" si="328"/>
        <v>780.5675455376155</v>
      </c>
      <c r="S458" s="69">
        <f t="shared" ca="1" si="329"/>
        <v>698.64422277310621</v>
      </c>
      <c r="T458" s="69">
        <f t="shared" ca="1" si="330"/>
        <v>798.92044934684077</v>
      </c>
      <c r="U458" s="69">
        <f t="shared" ca="1" si="331"/>
        <v>1692.6424181366406</v>
      </c>
      <c r="V458" s="69">
        <f t="shared" ca="1" si="332"/>
        <v>1914.0124605132314</v>
      </c>
      <c r="W458" s="69">
        <f t="shared" ca="1" si="333"/>
        <v>1179.6982555410418</v>
      </c>
      <c r="X458" s="69">
        <f t="shared" ca="1" si="334"/>
        <v>1500.0471790017605</v>
      </c>
      <c r="Y458" s="69">
        <f t="shared" ca="1" si="335"/>
        <v>1206.4254829087167</v>
      </c>
      <c r="AA458" s="20">
        <f t="shared" ca="1" si="295"/>
        <v>6.5674320028116448E+16</v>
      </c>
      <c r="AB458" s="20">
        <f t="shared" ca="1" si="296"/>
        <v>1676512540386321.5</v>
      </c>
      <c r="AC458" s="20">
        <f t="shared" ca="1" si="297"/>
        <v>400877238819843.81</v>
      </c>
      <c r="AD458" s="20">
        <f t="shared" ca="1" si="298"/>
        <v>300650660489810.5</v>
      </c>
      <c r="AE458" s="20">
        <f t="shared" ca="1" si="299"/>
        <v>6916499324324945</v>
      </c>
      <c r="AG458" s="16">
        <f t="shared" ca="1" si="300"/>
        <v>-1.7555815491159801E-4</v>
      </c>
      <c r="AH458" s="16">
        <f t="shared" ca="1" si="301"/>
        <v>5.7648073262291967E-4</v>
      </c>
      <c r="AI458" s="16">
        <f t="shared" ca="1" si="302"/>
        <v>5.7593783026697954E-5</v>
      </c>
      <c r="AJ458" s="16">
        <f t="shared" ca="1" si="303"/>
        <v>-1.2188901865712027E-3</v>
      </c>
      <c r="AK458" s="16">
        <f t="shared" ca="1" si="304"/>
        <v>-3.3608620676268996E-4</v>
      </c>
      <c r="AM458" s="16">
        <f t="shared" ca="1" si="305"/>
        <v>-7.6037382583318315E-4</v>
      </c>
      <c r="AO458" s="16">
        <f t="shared" ca="1" si="306"/>
        <v>-1.7555815491159801E-4</v>
      </c>
      <c r="AP458" s="16">
        <f t="shared" ca="1" si="307"/>
        <v>0</v>
      </c>
      <c r="AQ458" s="16">
        <f t="shared" ca="1" si="308"/>
        <v>0</v>
      </c>
      <c r="AR458" s="16">
        <f t="shared" ca="1" si="309"/>
        <v>-1.2188901865712027E-3</v>
      </c>
      <c r="AS458" s="16">
        <f t="shared" ca="1" si="310"/>
        <v>-3.3608620676268996E-4</v>
      </c>
    </row>
    <row r="459" spans="1:45" x14ac:dyDescent="0.25">
      <c r="A459" s="69">
        <f t="shared" ca="1" si="311"/>
        <v>2450.6029179330772</v>
      </c>
      <c r="B459" s="69">
        <f t="shared" ca="1" si="312"/>
        <v>2141.4095017061445</v>
      </c>
      <c r="C459" s="69">
        <f t="shared" ca="1" si="313"/>
        <v>2227.2242995715537</v>
      </c>
      <c r="D459" s="69">
        <f t="shared" ca="1" si="314"/>
        <v>2908.0224068058064</v>
      </c>
      <c r="E459" s="69">
        <f t="shared" ca="1" si="315"/>
        <v>1931.9014329079721</v>
      </c>
      <c r="F459" s="69">
        <f t="shared" ca="1" si="316"/>
        <v>1220.1773168965842</v>
      </c>
      <c r="G459" s="69">
        <f t="shared" ca="1" si="317"/>
        <v>961.98028638904623</v>
      </c>
      <c r="H459" s="69">
        <f t="shared" ca="1" si="318"/>
        <v>1188.4542536597025</v>
      </c>
      <c r="I459" s="69">
        <f t="shared" ca="1" si="319"/>
        <v>1050.0019350530276</v>
      </c>
      <c r="J459" s="69">
        <f t="shared" ca="1" si="320"/>
        <v>1145.2372895753495</v>
      </c>
      <c r="K459" s="69">
        <f t="shared" ca="1" si="321"/>
        <v>1176.0372684445845</v>
      </c>
      <c r="L459" s="69">
        <f t="shared" ca="1" si="322"/>
        <v>954.16999533681621</v>
      </c>
      <c r="M459" s="69">
        <f t="shared" ca="1" si="323"/>
        <v>991.2054355275402</v>
      </c>
      <c r="N459" s="69">
        <f t="shared" ca="1" si="324"/>
        <v>571.21747801743095</v>
      </c>
      <c r="O459" s="69">
        <f t="shared" ca="1" si="325"/>
        <v>630.99280665823278</v>
      </c>
      <c r="P459" s="69">
        <f t="shared" ca="1" si="326"/>
        <v>722.02416785938624</v>
      </c>
      <c r="Q459" s="69">
        <f t="shared" ca="1" si="327"/>
        <v>955.63617389462217</v>
      </c>
      <c r="R459" s="69">
        <f t="shared" ca="1" si="328"/>
        <v>780.5675455376155</v>
      </c>
      <c r="S459" s="69">
        <f t="shared" ca="1" si="329"/>
        <v>698.18562366686865</v>
      </c>
      <c r="T459" s="69">
        <f t="shared" ca="1" si="330"/>
        <v>798.55916287547325</v>
      </c>
      <c r="U459" s="69">
        <f t="shared" ca="1" si="331"/>
        <v>1692.5619215745794</v>
      </c>
      <c r="V459" s="69">
        <f t="shared" ca="1" si="332"/>
        <v>1914.0124605132314</v>
      </c>
      <c r="W459" s="69">
        <f t="shared" ca="1" si="333"/>
        <v>1179.3579282705393</v>
      </c>
      <c r="X459" s="69">
        <f t="shared" ca="1" si="334"/>
        <v>1500.0471790017605</v>
      </c>
      <c r="Y459" s="69">
        <f t="shared" ca="1" si="335"/>
        <v>1206.4254829087167</v>
      </c>
      <c r="AA459" s="20">
        <f t="shared" ca="1" si="295"/>
        <v>6.5662791377671152E+16</v>
      </c>
      <c r="AB459" s="20">
        <f t="shared" ca="1" si="296"/>
        <v>1677479296195129.8</v>
      </c>
      <c r="AC459" s="20">
        <f t="shared" ca="1" si="297"/>
        <v>400900327521433.19</v>
      </c>
      <c r="AD459" s="20">
        <f t="shared" ca="1" si="298"/>
        <v>300284423596773.75</v>
      </c>
      <c r="AE459" s="20">
        <f t="shared" ca="1" si="299"/>
        <v>6914175174882118</v>
      </c>
      <c r="AG459" s="16">
        <f t="shared" ca="1" si="300"/>
        <v>2.3008636562988071E-4</v>
      </c>
      <c r="AH459" s="16">
        <f t="shared" ca="1" si="301"/>
        <v>4.5703317098688424E-4</v>
      </c>
      <c r="AI459" s="16">
        <f t="shared" ca="1" si="302"/>
        <v>-3.827247899322196E-4</v>
      </c>
      <c r="AJ459" s="16">
        <f t="shared" ca="1" si="303"/>
        <v>2.6034374754399498E-4</v>
      </c>
      <c r="AK459" s="16">
        <f t="shared" ca="1" si="304"/>
        <v>-1.9434157468314171E-4</v>
      </c>
      <c r="AM459" s="16">
        <f t="shared" ca="1" si="305"/>
        <v>5.6473849422854032E-4</v>
      </c>
      <c r="AO459" s="16">
        <f t="shared" ca="1" si="306"/>
        <v>0</v>
      </c>
      <c r="AP459" s="16">
        <f t="shared" ca="1" si="307"/>
        <v>0</v>
      </c>
      <c r="AQ459" s="16">
        <f t="shared" ca="1" si="308"/>
        <v>-3.827247899322196E-4</v>
      </c>
      <c r="AR459" s="16">
        <f t="shared" ca="1" si="309"/>
        <v>0</v>
      </c>
      <c r="AS459" s="16">
        <f t="shared" ca="1" si="310"/>
        <v>-1.9434157468314171E-4</v>
      </c>
    </row>
    <row r="460" spans="1:45" x14ac:dyDescent="0.25">
      <c r="A460" s="69">
        <f t="shared" ca="1" si="311"/>
        <v>2450.9521564874985</v>
      </c>
      <c r="B460" s="69">
        <f t="shared" ca="1" si="312"/>
        <v>2141.561805871685</v>
      </c>
      <c r="C460" s="69">
        <f t="shared" ca="1" si="313"/>
        <v>2227.0244226988107</v>
      </c>
      <c r="D460" s="69">
        <f t="shared" ca="1" si="314"/>
        <v>2908.3312873500404</v>
      </c>
      <c r="E460" s="69">
        <f t="shared" ca="1" si="315"/>
        <v>1931.9014329079721</v>
      </c>
      <c r="F460" s="69">
        <f t="shared" ca="1" si="316"/>
        <v>1220.1773168965842</v>
      </c>
      <c r="G460" s="69">
        <f t="shared" ca="1" si="317"/>
        <v>961.98028638904623</v>
      </c>
      <c r="H460" s="69">
        <f t="shared" ca="1" si="318"/>
        <v>1188.4542536597025</v>
      </c>
      <c r="I460" s="69">
        <f t="shared" ca="1" si="319"/>
        <v>1050.1119805946882</v>
      </c>
      <c r="J460" s="69">
        <f t="shared" ca="1" si="320"/>
        <v>1145.6407516558247</v>
      </c>
      <c r="K460" s="69">
        <f t="shared" ca="1" si="321"/>
        <v>1175.6895155707857</v>
      </c>
      <c r="L460" s="69">
        <f t="shared" ca="1" si="322"/>
        <v>954.07289057735557</v>
      </c>
      <c r="M460" s="69">
        <f t="shared" ca="1" si="323"/>
        <v>991.36167936027073</v>
      </c>
      <c r="N460" s="69">
        <f t="shared" ca="1" si="324"/>
        <v>571.21747801743095</v>
      </c>
      <c r="O460" s="69">
        <f t="shared" ca="1" si="325"/>
        <v>630.90269097703765</v>
      </c>
      <c r="P460" s="69">
        <f t="shared" ca="1" si="326"/>
        <v>722.02416785938624</v>
      </c>
      <c r="Q460" s="69">
        <f t="shared" ca="1" si="327"/>
        <v>955.86236176037642</v>
      </c>
      <c r="R460" s="69">
        <f t="shared" ca="1" si="328"/>
        <v>780.5675455376155</v>
      </c>
      <c r="S460" s="69">
        <f t="shared" ca="1" si="329"/>
        <v>698.18562366686865</v>
      </c>
      <c r="T460" s="69">
        <f t="shared" ca="1" si="330"/>
        <v>798.5780757682694</v>
      </c>
      <c r="U460" s="69">
        <f t="shared" ca="1" si="331"/>
        <v>1692.5619215745794</v>
      </c>
      <c r="V460" s="69">
        <f t="shared" ca="1" si="332"/>
        <v>1913.7296154501178</v>
      </c>
      <c r="W460" s="69">
        <f t="shared" ca="1" si="333"/>
        <v>1179.5759788090802</v>
      </c>
      <c r="X460" s="69">
        <f t="shared" ca="1" si="334"/>
        <v>1499.7000680766207</v>
      </c>
      <c r="Y460" s="69">
        <f t="shared" ca="1" si="335"/>
        <v>1206.4254829087167</v>
      </c>
      <c r="AA460" s="20">
        <f t="shared" ca="1" si="295"/>
        <v>6.5677901228915072E+16</v>
      </c>
      <c r="AB460" s="20">
        <f t="shared" ca="1" si="296"/>
        <v>1678246135099194.5</v>
      </c>
      <c r="AC460" s="20">
        <f t="shared" ca="1" si="297"/>
        <v>400746922385645.5</v>
      </c>
      <c r="AD460" s="20">
        <f t="shared" ca="1" si="298"/>
        <v>300362610946294.19</v>
      </c>
      <c r="AE460" s="20">
        <f t="shared" ca="1" si="299"/>
        <v>6912831593752061</v>
      </c>
      <c r="AG460" s="16">
        <f t="shared" ca="1" si="300"/>
        <v>2.6331185146615812E-4</v>
      </c>
      <c r="AH460" s="16">
        <f t="shared" ca="1" si="301"/>
        <v>5.6859693393249958E-4</v>
      </c>
      <c r="AI460" s="16">
        <f t="shared" ca="1" si="302"/>
        <v>4.727010562785542E-4</v>
      </c>
      <c r="AJ460" s="16">
        <f t="shared" ca="1" si="303"/>
        <v>7.4370342883350556E-4</v>
      </c>
      <c r="AK460" s="16">
        <f t="shared" ca="1" si="304"/>
        <v>-1.4141356927782934E-4</v>
      </c>
      <c r="AM460" s="16">
        <f t="shared" ca="1" si="305"/>
        <v>2.0483132705107175E-3</v>
      </c>
      <c r="AO460" s="16">
        <f t="shared" ca="1" si="306"/>
        <v>0</v>
      </c>
      <c r="AP460" s="16">
        <f t="shared" ca="1" si="307"/>
        <v>0</v>
      </c>
      <c r="AQ460" s="16">
        <f t="shared" ca="1" si="308"/>
        <v>0</v>
      </c>
      <c r="AR460" s="16">
        <f t="shared" ca="1" si="309"/>
        <v>0</v>
      </c>
      <c r="AS460" s="16">
        <f t="shared" ca="1" si="310"/>
        <v>-1.4141356927782934E-4</v>
      </c>
    </row>
    <row r="461" spans="1:45" x14ac:dyDescent="0.25">
      <c r="A461" s="69">
        <f t="shared" ca="1" si="311"/>
        <v>2450.9521564874985</v>
      </c>
      <c r="B461" s="69">
        <f t="shared" ca="1" si="312"/>
        <v>2141.561805871685</v>
      </c>
      <c r="C461" s="69">
        <f t="shared" ca="1" si="313"/>
        <v>2227.2797009584965</v>
      </c>
      <c r="D461" s="69">
        <f t="shared" ca="1" si="314"/>
        <v>2908.7637619354923</v>
      </c>
      <c r="E461" s="69">
        <f t="shared" ca="1" si="315"/>
        <v>1931.9014329079721</v>
      </c>
      <c r="F461" s="69">
        <f t="shared" ca="1" si="316"/>
        <v>1220.3204011801752</v>
      </c>
      <c r="G461" s="69">
        <f t="shared" ca="1" si="317"/>
        <v>961.56423416890345</v>
      </c>
      <c r="H461" s="69">
        <f t="shared" ca="1" si="318"/>
        <v>1188.7774232422626</v>
      </c>
      <c r="I461" s="69">
        <f t="shared" ca="1" si="319"/>
        <v>1050.3867763803621</v>
      </c>
      <c r="J461" s="69">
        <f t="shared" ca="1" si="320"/>
        <v>1146.0422457181953</v>
      </c>
      <c r="K461" s="69">
        <f t="shared" ca="1" si="321"/>
        <v>1176.1798900856188</v>
      </c>
      <c r="L461" s="69">
        <f t="shared" ca="1" si="322"/>
        <v>954.48952317103465</v>
      </c>
      <c r="M461" s="69">
        <f t="shared" ca="1" si="323"/>
        <v>990.98414126023272</v>
      </c>
      <c r="N461" s="69">
        <f t="shared" ca="1" si="324"/>
        <v>571.21747801743095</v>
      </c>
      <c r="O461" s="69">
        <f t="shared" ca="1" si="325"/>
        <v>630.90269097703765</v>
      </c>
      <c r="P461" s="69">
        <f t="shared" ca="1" si="326"/>
        <v>721.53116080920631</v>
      </c>
      <c r="Q461" s="69">
        <f t="shared" ca="1" si="327"/>
        <v>956.26426863867118</v>
      </c>
      <c r="R461" s="69">
        <f t="shared" ca="1" si="328"/>
        <v>781.01229407025789</v>
      </c>
      <c r="S461" s="69">
        <f t="shared" ca="1" si="329"/>
        <v>698.18562366686865</v>
      </c>
      <c r="T461" s="69">
        <f t="shared" ca="1" si="330"/>
        <v>798.9269377984109</v>
      </c>
      <c r="U461" s="69">
        <f t="shared" ca="1" si="331"/>
        <v>1692.37414939986</v>
      </c>
      <c r="V461" s="69">
        <f t="shared" ca="1" si="332"/>
        <v>1913.7972241558416</v>
      </c>
      <c r="W461" s="69">
        <f t="shared" ca="1" si="333"/>
        <v>1179.7980240635954</v>
      </c>
      <c r="X461" s="69">
        <f t="shared" ca="1" si="334"/>
        <v>1499.7000680766207</v>
      </c>
      <c r="Y461" s="69">
        <f t="shared" ca="1" si="335"/>
        <v>1206.1190664866897</v>
      </c>
      <c r="AA461" s="20">
        <f t="shared" ca="1" si="295"/>
        <v>6.5695197275715184E+16</v>
      </c>
      <c r="AB461" s="20">
        <f t="shared" ca="1" si="296"/>
        <v>1679200652047984.8</v>
      </c>
      <c r="AC461" s="20">
        <f t="shared" ca="1" si="297"/>
        <v>400936400658919.38</v>
      </c>
      <c r="AD461" s="20">
        <f t="shared" ca="1" si="298"/>
        <v>300586074735041.56</v>
      </c>
      <c r="AE461" s="20">
        <f t="shared" ca="1" si="299"/>
        <v>6911854094680017</v>
      </c>
      <c r="AG461" s="16">
        <f t="shared" ca="1" si="300"/>
        <v>8.4361606309990658E-7</v>
      </c>
      <c r="AH461" s="16">
        <f t="shared" ca="1" si="301"/>
        <v>-1.2581910184700302E-4</v>
      </c>
      <c r="AI461" s="16">
        <f t="shared" ca="1" si="302"/>
        <v>2.1610715895552337E-3</v>
      </c>
      <c r="AJ461" s="16">
        <f t="shared" ca="1" si="303"/>
        <v>-3.4629023649038003E-4</v>
      </c>
      <c r="AK461" s="16">
        <f t="shared" ca="1" si="304"/>
        <v>2.5005573996146933E-4</v>
      </c>
      <c r="AM461" s="16">
        <f t="shared" ca="1" si="305"/>
        <v>1.6898058672809508E-3</v>
      </c>
      <c r="AO461" s="16">
        <f t="shared" ca="1" si="306"/>
        <v>0</v>
      </c>
      <c r="AP461" s="16">
        <f t="shared" ca="1" si="307"/>
        <v>-1.2581910184700302E-4</v>
      </c>
      <c r="AQ461" s="16">
        <f t="shared" ca="1" si="308"/>
        <v>0</v>
      </c>
      <c r="AR461" s="16">
        <f t="shared" ca="1" si="309"/>
        <v>-3.4629023649038003E-4</v>
      </c>
      <c r="AS461" s="16">
        <f t="shared" ca="1" si="310"/>
        <v>0</v>
      </c>
    </row>
    <row r="462" spans="1:45" x14ac:dyDescent="0.25">
      <c r="A462" s="69">
        <f t="shared" ca="1" si="311"/>
        <v>2450.9521564874985</v>
      </c>
      <c r="B462" s="69">
        <f t="shared" ca="1" si="312"/>
        <v>2141.561805871685</v>
      </c>
      <c r="C462" s="69">
        <f t="shared" ca="1" si="313"/>
        <v>2227.2797009584965</v>
      </c>
      <c r="D462" s="69">
        <f t="shared" ca="1" si="314"/>
        <v>2909.1072487138144</v>
      </c>
      <c r="E462" s="69">
        <f t="shared" ca="1" si="315"/>
        <v>1931.6749572620326</v>
      </c>
      <c r="F462" s="69">
        <f t="shared" ca="1" si="316"/>
        <v>1220.3430991100272</v>
      </c>
      <c r="G462" s="69">
        <f t="shared" ca="1" si="317"/>
        <v>961.56791528377926</v>
      </c>
      <c r="H462" s="69">
        <f t="shared" ca="1" si="318"/>
        <v>1188.4485267912005</v>
      </c>
      <c r="I462" s="69">
        <f t="shared" ca="1" si="319"/>
        <v>1050.3111553976903</v>
      </c>
      <c r="J462" s="69">
        <f t="shared" ca="1" si="320"/>
        <v>1146.2719986379038</v>
      </c>
      <c r="K462" s="69">
        <f t="shared" ca="1" si="321"/>
        <v>1176.3607725143738</v>
      </c>
      <c r="L462" s="69">
        <f t="shared" ca="1" si="322"/>
        <v>954.95312140980752</v>
      </c>
      <c r="M462" s="69">
        <f t="shared" ca="1" si="323"/>
        <v>991.14378009190659</v>
      </c>
      <c r="N462" s="69">
        <f t="shared" ca="1" si="324"/>
        <v>571.66726139604873</v>
      </c>
      <c r="O462" s="69">
        <f t="shared" ca="1" si="325"/>
        <v>631.26463655695795</v>
      </c>
      <c r="P462" s="69">
        <f t="shared" ca="1" si="326"/>
        <v>721.16563823373383</v>
      </c>
      <c r="Q462" s="69">
        <f t="shared" ca="1" si="327"/>
        <v>956.26426863867118</v>
      </c>
      <c r="R462" s="69">
        <f t="shared" ca="1" si="328"/>
        <v>781.13760273789717</v>
      </c>
      <c r="S462" s="69">
        <f t="shared" ca="1" si="329"/>
        <v>698.18562366686865</v>
      </c>
      <c r="T462" s="69">
        <f t="shared" ca="1" si="330"/>
        <v>798.9269377984109</v>
      </c>
      <c r="U462" s="69">
        <f t="shared" ca="1" si="331"/>
        <v>1692.37414939986</v>
      </c>
      <c r="V462" s="69">
        <f t="shared" ca="1" si="332"/>
        <v>1914.2579632932002</v>
      </c>
      <c r="W462" s="69">
        <f t="shared" ca="1" si="333"/>
        <v>1179.8090418437998</v>
      </c>
      <c r="X462" s="69">
        <f t="shared" ca="1" si="334"/>
        <v>1499.7000680766207</v>
      </c>
      <c r="Y462" s="69">
        <f t="shared" ca="1" si="335"/>
        <v>1206.1190664866897</v>
      </c>
      <c r="AA462" s="20">
        <f t="shared" ca="1" si="295"/>
        <v>6.5695252697262256E+16</v>
      </c>
      <c r="AB462" s="20">
        <f t="shared" ca="1" si="296"/>
        <v>1678989389820813.8</v>
      </c>
      <c r="AC462" s="20">
        <f t="shared" ca="1" si="297"/>
        <v>401803789831074.81</v>
      </c>
      <c r="AD462" s="20">
        <f t="shared" ca="1" si="298"/>
        <v>300482002732735</v>
      </c>
      <c r="AE462" s="20">
        <f t="shared" ca="1" si="299"/>
        <v>6913582659579948</v>
      </c>
      <c r="AG462" s="16">
        <f t="shared" ca="1" si="300"/>
        <v>-3.2673168388959952E-5</v>
      </c>
      <c r="AH462" s="16">
        <f t="shared" ca="1" si="301"/>
        <v>-7.1689481309928339E-5</v>
      </c>
      <c r="AI462" s="16">
        <f t="shared" ca="1" si="302"/>
        <v>1.7281162410388211E-4</v>
      </c>
      <c r="AJ462" s="16">
        <f t="shared" ca="1" si="303"/>
        <v>-1.1860772744149998E-4</v>
      </c>
      <c r="AK462" s="16">
        <f t="shared" ca="1" si="304"/>
        <v>5.8340237671404273E-5</v>
      </c>
      <c r="AM462" s="16">
        <f t="shared" ca="1" si="305"/>
        <v>-5.0158753036506161E-5</v>
      </c>
      <c r="AO462" s="16">
        <f t="shared" ca="1" si="306"/>
        <v>-3.2673168388959952E-5</v>
      </c>
      <c r="AP462" s="16">
        <f t="shared" ca="1" si="307"/>
        <v>-7.1689481309928339E-5</v>
      </c>
      <c r="AQ462" s="16">
        <f t="shared" ca="1" si="308"/>
        <v>0</v>
      </c>
      <c r="AR462" s="16">
        <f t="shared" ca="1" si="309"/>
        <v>-1.1860772744149998E-4</v>
      </c>
      <c r="AS462" s="16">
        <f t="shared" ca="1" si="310"/>
        <v>0</v>
      </c>
    </row>
    <row r="463" spans="1:45" x14ac:dyDescent="0.25">
      <c r="A463" s="69">
        <f t="shared" ca="1" si="311"/>
        <v>2450.9521564874985</v>
      </c>
      <c r="B463" s="69">
        <f t="shared" ca="1" si="312"/>
        <v>2141.5625683176422</v>
      </c>
      <c r="C463" s="69">
        <f t="shared" ca="1" si="313"/>
        <v>2227.7778875896356</v>
      </c>
      <c r="D463" s="69">
        <f t="shared" ca="1" si="314"/>
        <v>2909.1072487138144</v>
      </c>
      <c r="E463" s="69">
        <f t="shared" ca="1" si="315"/>
        <v>1931.1792002809218</v>
      </c>
      <c r="F463" s="69">
        <f t="shared" ca="1" si="316"/>
        <v>1220.6977472542244</v>
      </c>
      <c r="G463" s="69">
        <f t="shared" ca="1" si="317"/>
        <v>961.53924447220288</v>
      </c>
      <c r="H463" s="69">
        <f t="shared" ca="1" si="318"/>
        <v>1188.5756246152976</v>
      </c>
      <c r="I463" s="69">
        <f t="shared" ca="1" si="319"/>
        <v>1050.1207029732154</v>
      </c>
      <c r="J463" s="69">
        <f t="shared" ca="1" si="320"/>
        <v>1145.9762571311928</v>
      </c>
      <c r="K463" s="69">
        <f t="shared" ca="1" si="321"/>
        <v>1176.1980036796451</v>
      </c>
      <c r="L463" s="69">
        <f t="shared" ca="1" si="322"/>
        <v>954.99253156003488</v>
      </c>
      <c r="M463" s="69">
        <f t="shared" ca="1" si="323"/>
        <v>991.42892795873411</v>
      </c>
      <c r="N463" s="69">
        <f t="shared" ca="1" si="324"/>
        <v>571.65712290314468</v>
      </c>
      <c r="O463" s="69">
        <f t="shared" ca="1" si="325"/>
        <v>631.26463655695795</v>
      </c>
      <c r="P463" s="69">
        <f t="shared" ca="1" si="326"/>
        <v>721.16563823373383</v>
      </c>
      <c r="Q463" s="69">
        <f t="shared" ca="1" si="327"/>
        <v>955.87764993894871</v>
      </c>
      <c r="R463" s="69">
        <f t="shared" ca="1" si="328"/>
        <v>781.41198870969004</v>
      </c>
      <c r="S463" s="69">
        <f t="shared" ca="1" si="329"/>
        <v>698.13869591666025</v>
      </c>
      <c r="T463" s="69">
        <f t="shared" ca="1" si="330"/>
        <v>798.92836655732719</v>
      </c>
      <c r="U463" s="69">
        <f t="shared" ca="1" si="331"/>
        <v>1692.4805544463438</v>
      </c>
      <c r="V463" s="69">
        <f t="shared" ca="1" si="332"/>
        <v>1914.3164293424659</v>
      </c>
      <c r="W463" s="69">
        <f t="shared" ca="1" si="333"/>
        <v>1179.7676631640472</v>
      </c>
      <c r="X463" s="69">
        <f t="shared" ca="1" si="334"/>
        <v>1499.7000680766207</v>
      </c>
      <c r="Y463" s="69">
        <f t="shared" ca="1" si="335"/>
        <v>1206.1190664866897</v>
      </c>
      <c r="AA463" s="20">
        <f t="shared" ca="1" si="295"/>
        <v>6.569310626027416E+16</v>
      </c>
      <c r="AB463" s="20">
        <f t="shared" ca="1" si="296"/>
        <v>1678869028256713.3</v>
      </c>
      <c r="AC463" s="20">
        <f t="shared" ca="1" si="297"/>
        <v>401873232196617.81</v>
      </c>
      <c r="AD463" s="20">
        <f t="shared" ca="1" si="298"/>
        <v>300446365358729.56</v>
      </c>
      <c r="AE463" s="20">
        <f t="shared" ca="1" si="299"/>
        <v>6913986011401175</v>
      </c>
      <c r="AG463" s="16">
        <f t="shared" ca="1" si="300"/>
        <v>2.263874163387847E-4</v>
      </c>
      <c r="AH463" s="16">
        <f t="shared" ca="1" si="301"/>
        <v>-1.3091425418910042E-4</v>
      </c>
      <c r="AI463" s="16">
        <f t="shared" ca="1" si="302"/>
        <v>-4.2134319875649956E-4</v>
      </c>
      <c r="AJ463" s="16">
        <f t="shared" ca="1" si="303"/>
        <v>7.0357623578857316E-4</v>
      </c>
      <c r="AK463" s="16">
        <f t="shared" ca="1" si="304"/>
        <v>2.353378730155194E-4</v>
      </c>
      <c r="AM463" s="16">
        <f t="shared" ca="1" si="305"/>
        <v>3.777061991817579E-4</v>
      </c>
      <c r="AO463" s="16">
        <f t="shared" ca="1" si="306"/>
        <v>0</v>
      </c>
      <c r="AP463" s="16">
        <f t="shared" ca="1" si="307"/>
        <v>-1.3091425418910042E-4</v>
      </c>
      <c r="AQ463" s="16">
        <f t="shared" ca="1" si="308"/>
        <v>-4.2134319875649956E-4</v>
      </c>
      <c r="AR463" s="16">
        <f t="shared" ca="1" si="309"/>
        <v>0</v>
      </c>
      <c r="AS463" s="16">
        <f t="shared" ca="1" si="310"/>
        <v>0</v>
      </c>
    </row>
    <row r="464" spans="1:45" x14ac:dyDescent="0.25">
      <c r="A464" s="69">
        <f t="shared" ca="1" si="311"/>
        <v>2450.9196765688566</v>
      </c>
      <c r="B464" s="69">
        <f t="shared" ca="1" si="312"/>
        <v>2141.5625683176422</v>
      </c>
      <c r="C464" s="69">
        <f t="shared" ca="1" si="313"/>
        <v>2227.7778875896356</v>
      </c>
      <c r="D464" s="69">
        <f t="shared" ca="1" si="314"/>
        <v>2909.1294723344367</v>
      </c>
      <c r="E464" s="69">
        <f t="shared" ca="1" si="315"/>
        <v>1931.6272861521754</v>
      </c>
      <c r="F464" s="69">
        <f t="shared" ca="1" si="316"/>
        <v>1221.1943308693235</v>
      </c>
      <c r="G464" s="69">
        <f t="shared" ca="1" si="317"/>
        <v>961.14729205959213</v>
      </c>
      <c r="H464" s="69">
        <f t="shared" ca="1" si="318"/>
        <v>1188.5756246152976</v>
      </c>
      <c r="I464" s="69">
        <f t="shared" ca="1" si="319"/>
        <v>1050.1207029732154</v>
      </c>
      <c r="J464" s="69">
        <f t="shared" ca="1" si="320"/>
        <v>1145.8273800305712</v>
      </c>
      <c r="K464" s="69">
        <f t="shared" ca="1" si="321"/>
        <v>1176.1035174739268</v>
      </c>
      <c r="L464" s="69">
        <f t="shared" ca="1" si="322"/>
        <v>955.35965736028163</v>
      </c>
      <c r="M464" s="69">
        <f t="shared" ca="1" si="323"/>
        <v>991.37128318853672</v>
      </c>
      <c r="N464" s="69">
        <f t="shared" ca="1" si="324"/>
        <v>571.65712290314468</v>
      </c>
      <c r="O464" s="69">
        <f t="shared" ca="1" si="325"/>
        <v>630.84358633348302</v>
      </c>
      <c r="P464" s="69">
        <f t="shared" ca="1" si="326"/>
        <v>721.16563823373383</v>
      </c>
      <c r="Q464" s="69">
        <f t="shared" ca="1" si="327"/>
        <v>956.09169810453875</v>
      </c>
      <c r="R464" s="69">
        <f t="shared" ca="1" si="328"/>
        <v>781.53785238148566</v>
      </c>
      <c r="S464" s="69">
        <f t="shared" ca="1" si="329"/>
        <v>698.13869591666025</v>
      </c>
      <c r="T464" s="69">
        <f t="shared" ca="1" si="330"/>
        <v>799.18295668315727</v>
      </c>
      <c r="U464" s="69">
        <f t="shared" ca="1" si="331"/>
        <v>1692.4805544463438</v>
      </c>
      <c r="V464" s="69">
        <f t="shared" ca="1" si="332"/>
        <v>1914.766993514553</v>
      </c>
      <c r="W464" s="69">
        <f t="shared" ca="1" si="333"/>
        <v>1179.7676631640472</v>
      </c>
      <c r="X464" s="69">
        <f t="shared" ca="1" si="334"/>
        <v>1499.7000680766207</v>
      </c>
      <c r="Y464" s="69">
        <f t="shared" ca="1" si="335"/>
        <v>1206.1190664866897</v>
      </c>
      <c r="AA464" s="20">
        <f t="shared" ca="1" si="295"/>
        <v>6.5707980036426048E+16</v>
      </c>
      <c r="AB464" s="20">
        <f t="shared" ca="1" si="296"/>
        <v>1678649254756053.8</v>
      </c>
      <c r="AC464" s="20">
        <f t="shared" ca="1" si="297"/>
        <v>401703941310755.69</v>
      </c>
      <c r="AD464" s="20">
        <f t="shared" ca="1" si="298"/>
        <v>300657826662375.94</v>
      </c>
      <c r="AE464" s="20">
        <f t="shared" ca="1" si="299"/>
        <v>6915613325639982</v>
      </c>
      <c r="AG464" s="16">
        <f t="shared" ca="1" si="300"/>
        <v>-3.7644094338611996E-5</v>
      </c>
      <c r="AH464" s="16">
        <f t="shared" ca="1" si="301"/>
        <v>6.7582195703569327E-4</v>
      </c>
      <c r="AI464" s="16">
        <f t="shared" ca="1" si="302"/>
        <v>7.7106363744075459E-4</v>
      </c>
      <c r="AJ464" s="16">
        <f t="shared" ca="1" si="303"/>
        <v>8.8709150891751372E-5</v>
      </c>
      <c r="AK464" s="16">
        <f t="shared" ca="1" si="304"/>
        <v>-3.2231974853934227E-4</v>
      </c>
      <c r="AM464" s="16">
        <f t="shared" ca="1" si="305"/>
        <v>1.4979506510295873E-3</v>
      </c>
      <c r="AO464" s="16">
        <f t="shared" ca="1" si="306"/>
        <v>-3.7644094338611996E-5</v>
      </c>
      <c r="AP464" s="16">
        <f t="shared" ca="1" si="307"/>
        <v>0</v>
      </c>
      <c r="AQ464" s="16">
        <f t="shared" ca="1" si="308"/>
        <v>0</v>
      </c>
      <c r="AR464" s="16">
        <f t="shared" ca="1" si="309"/>
        <v>0</v>
      </c>
      <c r="AS464" s="16">
        <f t="shared" ca="1" si="310"/>
        <v>-3.2231974853934227E-4</v>
      </c>
    </row>
    <row r="465" spans="1:45" x14ac:dyDescent="0.25">
      <c r="A465" s="69">
        <f t="shared" ca="1" si="311"/>
        <v>2450.9196765688566</v>
      </c>
      <c r="B465" s="69">
        <f t="shared" ca="1" si="312"/>
        <v>2141.5625683176422</v>
      </c>
      <c r="C465" s="69">
        <f t="shared" ca="1" si="313"/>
        <v>2227.7778875896356</v>
      </c>
      <c r="D465" s="69">
        <f t="shared" ca="1" si="314"/>
        <v>2908.6412450930166</v>
      </c>
      <c r="E465" s="69">
        <f t="shared" ca="1" si="315"/>
        <v>1931.878792437788</v>
      </c>
      <c r="F465" s="69">
        <f t="shared" ca="1" si="316"/>
        <v>1221.1943308693235</v>
      </c>
      <c r="G465" s="69">
        <f t="shared" ca="1" si="317"/>
        <v>961.14729205959213</v>
      </c>
      <c r="H465" s="69">
        <f t="shared" ca="1" si="318"/>
        <v>1189.0293768550152</v>
      </c>
      <c r="I465" s="69">
        <f t="shared" ca="1" si="319"/>
        <v>1050.155842191894</v>
      </c>
      <c r="J465" s="69">
        <f t="shared" ca="1" si="320"/>
        <v>1146.1261040086704</v>
      </c>
      <c r="K465" s="69">
        <f t="shared" ca="1" si="321"/>
        <v>1176.401124000507</v>
      </c>
      <c r="L465" s="69">
        <f t="shared" ca="1" si="322"/>
        <v>955.35965736028163</v>
      </c>
      <c r="M465" s="69">
        <f t="shared" ca="1" si="323"/>
        <v>991.60825458407965</v>
      </c>
      <c r="N465" s="69">
        <f t="shared" ca="1" si="324"/>
        <v>571.38854016302571</v>
      </c>
      <c r="O465" s="69">
        <f t="shared" ca="1" si="325"/>
        <v>631.31625762803606</v>
      </c>
      <c r="P465" s="69">
        <f t="shared" ca="1" si="326"/>
        <v>721.04080710679216</v>
      </c>
      <c r="Q465" s="69">
        <f t="shared" ca="1" si="327"/>
        <v>955.62718923057287</v>
      </c>
      <c r="R465" s="69">
        <f t="shared" ca="1" si="328"/>
        <v>781.9787650358254</v>
      </c>
      <c r="S465" s="69">
        <f t="shared" ca="1" si="329"/>
        <v>698.13869591666025</v>
      </c>
      <c r="T465" s="69">
        <f t="shared" ca="1" si="330"/>
        <v>799.32984291615503</v>
      </c>
      <c r="U465" s="69">
        <f t="shared" ca="1" si="331"/>
        <v>1692.4805544463438</v>
      </c>
      <c r="V465" s="69">
        <f t="shared" ca="1" si="332"/>
        <v>1914.766993514553</v>
      </c>
      <c r="W465" s="69">
        <f t="shared" ca="1" si="333"/>
        <v>1179.7676631640472</v>
      </c>
      <c r="X465" s="69">
        <f t="shared" ca="1" si="334"/>
        <v>1499.7000680766207</v>
      </c>
      <c r="Y465" s="69">
        <f t="shared" ca="1" si="335"/>
        <v>1205.7303731376076</v>
      </c>
      <c r="AA465" s="20">
        <f t="shared" ca="1" si="295"/>
        <v>6.5705506565582832E+16</v>
      </c>
      <c r="AB465" s="20">
        <f t="shared" ca="1" si="296"/>
        <v>1679784106216153</v>
      </c>
      <c r="AC465" s="20">
        <f t="shared" ca="1" si="297"/>
        <v>402013800057971.5</v>
      </c>
      <c r="AD465" s="20">
        <f t="shared" ca="1" si="298"/>
        <v>300684498945908.44</v>
      </c>
      <c r="AE465" s="20">
        <f t="shared" ca="1" si="299"/>
        <v>6913384646084878</v>
      </c>
      <c r="AG465" s="16">
        <f t="shared" ca="1" si="300"/>
        <v>-8.4248002824741211E-5</v>
      </c>
      <c r="AH465" s="16">
        <f t="shared" ca="1" si="301"/>
        <v>4.6501233353586489E-4</v>
      </c>
      <c r="AI465" s="16">
        <f t="shared" ca="1" si="302"/>
        <v>6.7436208150159049E-4</v>
      </c>
      <c r="AJ465" s="16">
        <f t="shared" ca="1" si="303"/>
        <v>6.5672531537082736E-4</v>
      </c>
      <c r="AK465" s="16">
        <f t="shared" ca="1" si="304"/>
        <v>6.1068092660292449E-5</v>
      </c>
      <c r="AM465" s="16">
        <f t="shared" ca="1" si="305"/>
        <v>1.7118517275835415E-3</v>
      </c>
      <c r="AO465" s="16">
        <f t="shared" ca="1" si="306"/>
        <v>-8.4248002824741211E-5</v>
      </c>
      <c r="AP465" s="16">
        <f t="shared" ca="1" si="307"/>
        <v>0</v>
      </c>
      <c r="AQ465" s="16">
        <f t="shared" ca="1" si="308"/>
        <v>0</v>
      </c>
      <c r="AR465" s="16">
        <f t="shared" ca="1" si="309"/>
        <v>0</v>
      </c>
      <c r="AS465" s="16">
        <f t="shared" ca="1" si="310"/>
        <v>0</v>
      </c>
    </row>
    <row r="466" spans="1:45" x14ac:dyDescent="0.25">
      <c r="A466" s="69">
        <f t="shared" ca="1" si="311"/>
        <v>2450.9196765688566</v>
      </c>
      <c r="B466" s="69">
        <f t="shared" ca="1" si="312"/>
        <v>2141.5889098941857</v>
      </c>
      <c r="C466" s="69">
        <f t="shared" ca="1" si="313"/>
        <v>2227.5396102335594</v>
      </c>
      <c r="D466" s="69">
        <f t="shared" ca="1" si="314"/>
        <v>2909.0657927759812</v>
      </c>
      <c r="E466" s="69">
        <f t="shared" ca="1" si="315"/>
        <v>1931.6169727217321</v>
      </c>
      <c r="F466" s="69">
        <f t="shared" ca="1" si="316"/>
        <v>1221.4982214966594</v>
      </c>
      <c r="G466" s="69">
        <f t="shared" ca="1" si="317"/>
        <v>961.33035269640141</v>
      </c>
      <c r="H466" s="69">
        <f t="shared" ca="1" si="318"/>
        <v>1189.1817920783951</v>
      </c>
      <c r="I466" s="69">
        <f t="shared" ca="1" si="319"/>
        <v>1050.155842191894</v>
      </c>
      <c r="J466" s="69">
        <f t="shared" ca="1" si="320"/>
        <v>1146.0087208689195</v>
      </c>
      <c r="K466" s="69">
        <f t="shared" ca="1" si="321"/>
        <v>1176.0572985048179</v>
      </c>
      <c r="L466" s="69">
        <f t="shared" ca="1" si="322"/>
        <v>955.35965736028163</v>
      </c>
      <c r="M466" s="69">
        <f t="shared" ca="1" si="323"/>
        <v>991.9369110503992</v>
      </c>
      <c r="N466" s="69">
        <f t="shared" ca="1" si="324"/>
        <v>571.73959640235444</v>
      </c>
      <c r="O466" s="69">
        <f t="shared" ca="1" si="325"/>
        <v>631.32957098793577</v>
      </c>
      <c r="P466" s="69">
        <f t="shared" ca="1" si="326"/>
        <v>721.04080710679216</v>
      </c>
      <c r="Q466" s="69">
        <f t="shared" ca="1" si="327"/>
        <v>956.1140071248758</v>
      </c>
      <c r="R466" s="69">
        <f t="shared" ca="1" si="328"/>
        <v>781.98008672826109</v>
      </c>
      <c r="S466" s="69">
        <f t="shared" ca="1" si="329"/>
        <v>697.98964494734355</v>
      </c>
      <c r="T466" s="69">
        <f t="shared" ca="1" si="330"/>
        <v>799.61706405022039</v>
      </c>
      <c r="U466" s="69">
        <f t="shared" ca="1" si="331"/>
        <v>1692.7313983500951</v>
      </c>
      <c r="V466" s="69">
        <f t="shared" ca="1" si="332"/>
        <v>1914.766993514553</v>
      </c>
      <c r="W466" s="69">
        <f t="shared" ca="1" si="333"/>
        <v>1179.5605569762902</v>
      </c>
      <c r="X466" s="69">
        <f t="shared" ca="1" si="334"/>
        <v>1499.7000680766207</v>
      </c>
      <c r="Y466" s="69">
        <f t="shared" ca="1" si="335"/>
        <v>1205.8370029576095</v>
      </c>
      <c r="AA466" s="20">
        <f t="shared" ca="1" si="295"/>
        <v>6.5699971241053384E+16</v>
      </c>
      <c r="AB466" s="20">
        <f t="shared" ca="1" si="296"/>
        <v>1680565408186668.5</v>
      </c>
      <c r="AC466" s="20">
        <f t="shared" ca="1" si="297"/>
        <v>402284994352267.94</v>
      </c>
      <c r="AD466" s="20">
        <f t="shared" ca="1" si="298"/>
        <v>300882030923331.44</v>
      </c>
      <c r="AE466" s="20">
        <f t="shared" ca="1" si="299"/>
        <v>6913806846190388</v>
      </c>
      <c r="AG466" s="16">
        <f t="shared" ca="1" si="300"/>
        <v>-2.1356021015026704E-4</v>
      </c>
      <c r="AH466" s="16">
        <f t="shared" ca="1" si="301"/>
        <v>-2.2734918190956232E-4</v>
      </c>
      <c r="AI466" s="16">
        <f t="shared" ca="1" si="302"/>
        <v>-1.3426515012220457E-3</v>
      </c>
      <c r="AJ466" s="16">
        <f t="shared" ca="1" si="303"/>
        <v>-8.9498906772890019E-4</v>
      </c>
      <c r="AK466" s="16">
        <f t="shared" ca="1" si="304"/>
        <v>1.4055401026426802E-4</v>
      </c>
      <c r="AM466" s="16">
        <f t="shared" ca="1" si="305"/>
        <v>-2.6785499610107754E-3</v>
      </c>
      <c r="AO466" s="16">
        <f t="shared" ca="1" si="306"/>
        <v>-2.1356021015026704E-4</v>
      </c>
      <c r="AP466" s="16">
        <f t="shared" ca="1" si="307"/>
        <v>-2.2734918190956232E-4</v>
      </c>
      <c r="AQ466" s="16">
        <f t="shared" ca="1" si="308"/>
        <v>-1.3426515012220457E-3</v>
      </c>
      <c r="AR466" s="16">
        <f t="shared" ca="1" si="309"/>
        <v>-8.9498906772890019E-4</v>
      </c>
      <c r="AS466" s="16">
        <f t="shared" ca="1" si="310"/>
        <v>0</v>
      </c>
    </row>
    <row r="467" spans="1:45" x14ac:dyDescent="0.25">
      <c r="A467" s="69">
        <f t="shared" ca="1" si="311"/>
        <v>2450.9196765688566</v>
      </c>
      <c r="B467" s="69">
        <f t="shared" ca="1" si="312"/>
        <v>2141.5889098941857</v>
      </c>
      <c r="C467" s="69">
        <f t="shared" ca="1" si="313"/>
        <v>2227.5396102335594</v>
      </c>
      <c r="D467" s="69">
        <f t="shared" ca="1" si="314"/>
        <v>2909.0657927759812</v>
      </c>
      <c r="E467" s="69">
        <f t="shared" ca="1" si="315"/>
        <v>1931.2045002405303</v>
      </c>
      <c r="F467" s="69">
        <f t="shared" ca="1" si="316"/>
        <v>1221.4982214966594</v>
      </c>
      <c r="G467" s="69">
        <f t="shared" ca="1" si="317"/>
        <v>961.21695570496274</v>
      </c>
      <c r="H467" s="69">
        <f t="shared" ca="1" si="318"/>
        <v>1188.7632005585813</v>
      </c>
      <c r="I467" s="69">
        <f t="shared" ca="1" si="319"/>
        <v>1050.6398741556138</v>
      </c>
      <c r="J467" s="69">
        <f t="shared" ca="1" si="320"/>
        <v>1145.7587687015512</v>
      </c>
      <c r="K467" s="69">
        <f t="shared" ca="1" si="321"/>
        <v>1176.0440633359881</v>
      </c>
      <c r="L467" s="69">
        <f t="shared" ca="1" si="322"/>
        <v>954.89787568593511</v>
      </c>
      <c r="M467" s="69">
        <f t="shared" ca="1" si="323"/>
        <v>991.69503167371261</v>
      </c>
      <c r="N467" s="69">
        <f t="shared" ca="1" si="324"/>
        <v>571.25340492216048</v>
      </c>
      <c r="O467" s="69">
        <f t="shared" ca="1" si="325"/>
        <v>631.48533132498517</v>
      </c>
      <c r="P467" s="69">
        <f t="shared" ca="1" si="326"/>
        <v>721.20610087227385</v>
      </c>
      <c r="Q467" s="69">
        <f t="shared" ca="1" si="327"/>
        <v>955.95211607674776</v>
      </c>
      <c r="R467" s="69">
        <f t="shared" ca="1" si="328"/>
        <v>781.98008672826109</v>
      </c>
      <c r="S467" s="69">
        <f t="shared" ca="1" si="329"/>
        <v>697.62333686645923</v>
      </c>
      <c r="T467" s="69">
        <f t="shared" ca="1" si="330"/>
        <v>799.27336047995141</v>
      </c>
      <c r="U467" s="69">
        <f t="shared" ca="1" si="331"/>
        <v>1693.0034304344133</v>
      </c>
      <c r="V467" s="69">
        <f t="shared" ca="1" si="332"/>
        <v>1914.7223662366396</v>
      </c>
      <c r="W467" s="69">
        <f t="shared" ca="1" si="333"/>
        <v>1179.6015462732737</v>
      </c>
      <c r="X467" s="69">
        <f t="shared" ca="1" si="334"/>
        <v>1499.7000680766207</v>
      </c>
      <c r="Y467" s="69">
        <f t="shared" ca="1" si="335"/>
        <v>1205.7989221001608</v>
      </c>
      <c r="AA467" s="20">
        <f t="shared" ca="1" si="295"/>
        <v>6.5685941839502568E+16</v>
      </c>
      <c r="AB467" s="20">
        <f t="shared" ca="1" si="296"/>
        <v>1680183376444919.3</v>
      </c>
      <c r="AC467" s="20">
        <f t="shared" ca="1" si="297"/>
        <v>401745228240658.75</v>
      </c>
      <c r="AD467" s="20">
        <f t="shared" ca="1" si="298"/>
        <v>300612865263107.56</v>
      </c>
      <c r="AE467" s="20">
        <f t="shared" ca="1" si="299"/>
        <v>6914778677764625</v>
      </c>
      <c r="AG467" s="16">
        <f t="shared" ca="1" si="300"/>
        <v>-1.6654408361785E-5</v>
      </c>
      <c r="AH467" s="16">
        <f t="shared" ca="1" si="301"/>
        <v>-3.7311341136850187E-4</v>
      </c>
      <c r="AI467" s="16">
        <f t="shared" ca="1" si="302"/>
        <v>-1.2244657751825704E-3</v>
      </c>
      <c r="AJ467" s="16">
        <f t="shared" ca="1" si="303"/>
        <v>1.4126119758904861E-4</v>
      </c>
      <c r="AK467" s="16">
        <f t="shared" ca="1" si="304"/>
        <v>-1.2090905063021485E-4</v>
      </c>
      <c r="AM467" s="16">
        <f t="shared" ca="1" si="305"/>
        <v>-1.4729723973238087E-3</v>
      </c>
      <c r="AO467" s="16">
        <f t="shared" ca="1" si="306"/>
        <v>-1.6654408361785E-5</v>
      </c>
      <c r="AP467" s="16">
        <f t="shared" ca="1" si="307"/>
        <v>-3.7311341136850187E-4</v>
      </c>
      <c r="AQ467" s="16">
        <f t="shared" ca="1" si="308"/>
        <v>-1.2244657751825704E-3</v>
      </c>
      <c r="AR467" s="16">
        <f t="shared" ca="1" si="309"/>
        <v>0</v>
      </c>
      <c r="AS467" s="16">
        <f t="shared" ca="1" si="310"/>
        <v>-1.2090905063021485E-4</v>
      </c>
    </row>
    <row r="468" spans="1:45" x14ac:dyDescent="0.25">
      <c r="A468" s="69">
        <f t="shared" ca="1" si="311"/>
        <v>2450.9196765688566</v>
      </c>
      <c r="B468" s="69">
        <f t="shared" ca="1" si="312"/>
        <v>2141.1339990372685</v>
      </c>
      <c r="C468" s="69">
        <f t="shared" ca="1" si="313"/>
        <v>2227.8283721951739</v>
      </c>
      <c r="D468" s="69">
        <f t="shared" ca="1" si="314"/>
        <v>2909.2088541238909</v>
      </c>
      <c r="E468" s="69">
        <f t="shared" ca="1" si="315"/>
        <v>1931.2373015633593</v>
      </c>
      <c r="F468" s="69">
        <f t="shared" ca="1" si="316"/>
        <v>1221.1325300385322</v>
      </c>
      <c r="G468" s="69">
        <f t="shared" ca="1" si="317"/>
        <v>960.9763932993701</v>
      </c>
      <c r="H468" s="69">
        <f t="shared" ca="1" si="318"/>
        <v>1188.6592300666625</v>
      </c>
      <c r="I468" s="69">
        <f t="shared" ca="1" si="319"/>
        <v>1051.0258311405948</v>
      </c>
      <c r="J468" s="69">
        <f t="shared" ca="1" si="320"/>
        <v>1145.640519771971</v>
      </c>
      <c r="K468" s="69">
        <f t="shared" ca="1" si="321"/>
        <v>1175.5969138238609</v>
      </c>
      <c r="L468" s="69">
        <f t="shared" ca="1" si="322"/>
        <v>954.89787568593511</v>
      </c>
      <c r="M468" s="69">
        <f t="shared" ca="1" si="323"/>
        <v>991.69503167371261</v>
      </c>
      <c r="N468" s="69">
        <f t="shared" ca="1" si="324"/>
        <v>570.77136854532773</v>
      </c>
      <c r="O468" s="69">
        <f t="shared" ca="1" si="325"/>
        <v>631.48533132498517</v>
      </c>
      <c r="P468" s="69">
        <f t="shared" ca="1" si="326"/>
        <v>721.38574244784252</v>
      </c>
      <c r="Q468" s="69">
        <f t="shared" ca="1" si="327"/>
        <v>955.71857052702046</v>
      </c>
      <c r="R468" s="69">
        <f t="shared" ca="1" si="328"/>
        <v>781.51903808638474</v>
      </c>
      <c r="S468" s="69">
        <f t="shared" ca="1" si="329"/>
        <v>698.01291707262044</v>
      </c>
      <c r="T468" s="69">
        <f t="shared" ca="1" si="330"/>
        <v>799.4076702422467</v>
      </c>
      <c r="U468" s="69">
        <f t="shared" ca="1" si="331"/>
        <v>1693.2268782415349</v>
      </c>
      <c r="V468" s="69">
        <f t="shared" ca="1" si="332"/>
        <v>1914.7223662366396</v>
      </c>
      <c r="W468" s="69">
        <f t="shared" ca="1" si="333"/>
        <v>1179.6015462732737</v>
      </c>
      <c r="X468" s="69">
        <f t="shared" ca="1" si="334"/>
        <v>1499.6211186756668</v>
      </c>
      <c r="Y468" s="69">
        <f t="shared" ca="1" si="335"/>
        <v>1205.5574988134783</v>
      </c>
      <c r="AA468" s="20">
        <f t="shared" ca="1" si="295"/>
        <v>6.5684847888113128E+16</v>
      </c>
      <c r="AB468" s="20">
        <f t="shared" ca="1" si="296"/>
        <v>1679556594431268.3</v>
      </c>
      <c r="AC468" s="20">
        <f t="shared" ca="1" si="297"/>
        <v>401253606007059.63</v>
      </c>
      <c r="AD468" s="20">
        <f t="shared" ca="1" si="298"/>
        <v>300655333195930.19</v>
      </c>
      <c r="AE468" s="20">
        <f t="shared" ca="1" si="299"/>
        <v>6913942668980911</v>
      </c>
      <c r="AG468" s="16">
        <f t="shared" ca="1" si="300"/>
        <v>2.2682540740907482E-4</v>
      </c>
      <c r="AH468" s="16">
        <f t="shared" ca="1" si="301"/>
        <v>1.5271925516812177E-4</v>
      </c>
      <c r="AI468" s="16">
        <f t="shared" ca="1" si="302"/>
        <v>5.8232711367188451E-4</v>
      </c>
      <c r="AJ468" s="16">
        <f t="shared" ca="1" si="303"/>
        <v>-7.8522506287438871E-4</v>
      </c>
      <c r="AK468" s="16">
        <f t="shared" ca="1" si="304"/>
        <v>1.937439168766111E-5</v>
      </c>
      <c r="AM468" s="16">
        <f t="shared" ca="1" si="305"/>
        <v>1.7664671337469236E-4</v>
      </c>
      <c r="AO468" s="16">
        <f t="shared" ca="1" si="306"/>
        <v>0</v>
      </c>
      <c r="AP468" s="16">
        <f t="shared" ca="1" si="307"/>
        <v>0</v>
      </c>
      <c r="AQ468" s="16">
        <f t="shared" ca="1" si="308"/>
        <v>0</v>
      </c>
      <c r="AR468" s="16">
        <f t="shared" ca="1" si="309"/>
        <v>-7.8522506287438871E-4</v>
      </c>
      <c r="AS468" s="16">
        <f t="shared" ca="1" si="310"/>
        <v>0</v>
      </c>
    </row>
    <row r="469" spans="1:45" x14ac:dyDescent="0.25">
      <c r="A469" s="69">
        <f t="shared" ca="1" si="311"/>
        <v>2451.2685144794405</v>
      </c>
      <c r="B469" s="69">
        <f t="shared" ca="1" si="312"/>
        <v>2141.3971239591192</v>
      </c>
      <c r="C469" s="69">
        <f t="shared" ca="1" si="313"/>
        <v>2228.161865790571</v>
      </c>
      <c r="D469" s="69">
        <f t="shared" ca="1" si="314"/>
        <v>2909.2088541238909</v>
      </c>
      <c r="E469" s="69">
        <f t="shared" ca="1" si="315"/>
        <v>1930.8741471695903</v>
      </c>
      <c r="F469" s="69">
        <f t="shared" ca="1" si="316"/>
        <v>1221.2168693896979</v>
      </c>
      <c r="G469" s="69">
        <f t="shared" ca="1" si="317"/>
        <v>961.41937013589711</v>
      </c>
      <c r="H469" s="69">
        <f t="shared" ca="1" si="318"/>
        <v>1188.2109475828354</v>
      </c>
      <c r="I469" s="69">
        <f t="shared" ca="1" si="319"/>
        <v>1051.0258311405948</v>
      </c>
      <c r="J469" s="69">
        <f t="shared" ca="1" si="320"/>
        <v>1145.640519771971</v>
      </c>
      <c r="K469" s="69">
        <f t="shared" ca="1" si="321"/>
        <v>1175.5466253161933</v>
      </c>
      <c r="L469" s="69">
        <f t="shared" ca="1" si="322"/>
        <v>954.78819261034118</v>
      </c>
      <c r="M469" s="69">
        <f t="shared" ca="1" si="323"/>
        <v>991.8041414080127</v>
      </c>
      <c r="N469" s="69">
        <f t="shared" ca="1" si="324"/>
        <v>570.95734933438632</v>
      </c>
      <c r="O469" s="69">
        <f t="shared" ca="1" si="325"/>
        <v>631.67743931633061</v>
      </c>
      <c r="P469" s="69">
        <f t="shared" ca="1" si="326"/>
        <v>721.33416018717298</v>
      </c>
      <c r="Q469" s="69">
        <f t="shared" ca="1" si="327"/>
        <v>955.84233258241215</v>
      </c>
      <c r="R469" s="69">
        <f t="shared" ca="1" si="328"/>
        <v>781.37446909865434</v>
      </c>
      <c r="S469" s="69">
        <f t="shared" ca="1" si="329"/>
        <v>697.83343617610274</v>
      </c>
      <c r="T469" s="69">
        <f t="shared" ca="1" si="330"/>
        <v>799.08714000409304</v>
      </c>
      <c r="U469" s="69">
        <f t="shared" ca="1" si="331"/>
        <v>1693.309304371249</v>
      </c>
      <c r="V469" s="69">
        <f t="shared" ca="1" si="332"/>
        <v>1914.666257398643</v>
      </c>
      <c r="W469" s="69">
        <f t="shared" ca="1" si="333"/>
        <v>1179.6015462732737</v>
      </c>
      <c r="X469" s="69">
        <f t="shared" ca="1" si="334"/>
        <v>1499.6211186756668</v>
      </c>
      <c r="Y469" s="69">
        <f t="shared" ca="1" si="335"/>
        <v>1205.5574988134783</v>
      </c>
      <c r="AA469" s="20">
        <f t="shared" ca="1" si="295"/>
        <v>6.5699748570358728E+16</v>
      </c>
      <c r="AB469" s="20">
        <f t="shared" ca="1" si="296"/>
        <v>1679813114650672.5</v>
      </c>
      <c r="AC469" s="20">
        <f t="shared" ca="1" si="297"/>
        <v>401487334908029.44</v>
      </c>
      <c r="AD469" s="20">
        <f t="shared" ca="1" si="298"/>
        <v>300419343757554.19</v>
      </c>
      <c r="AE469" s="20">
        <f t="shared" ca="1" si="299"/>
        <v>6914076623711928</v>
      </c>
      <c r="AG469" s="16">
        <f t="shared" ca="1" si="300"/>
        <v>1.4549095267892334E-4</v>
      </c>
      <c r="AH469" s="16">
        <f t="shared" ca="1" si="301"/>
        <v>-1.003566055446469E-3</v>
      </c>
      <c r="AI469" s="16">
        <f t="shared" ca="1" si="302"/>
        <v>2.8038657131434044E-4</v>
      </c>
      <c r="AJ469" s="16">
        <f t="shared" ca="1" si="303"/>
        <v>1.2283163479250671E-3</v>
      </c>
      <c r="AK469" s="16">
        <f t="shared" ca="1" si="304"/>
        <v>-1.9788856356700403E-4</v>
      </c>
      <c r="AM469" s="16">
        <f t="shared" ca="1" si="305"/>
        <v>6.5062781647186188E-4</v>
      </c>
      <c r="AO469" s="16">
        <f t="shared" ca="1" si="306"/>
        <v>0</v>
      </c>
      <c r="AP469" s="16">
        <f t="shared" ca="1" si="307"/>
        <v>-1.003566055446469E-3</v>
      </c>
      <c r="AQ469" s="16">
        <f t="shared" ca="1" si="308"/>
        <v>0</v>
      </c>
      <c r="AR469" s="16">
        <f t="shared" ca="1" si="309"/>
        <v>0</v>
      </c>
      <c r="AS469" s="16">
        <f t="shared" ca="1" si="310"/>
        <v>-1.9788856356700403E-4</v>
      </c>
    </row>
    <row r="470" spans="1:45" x14ac:dyDescent="0.25">
      <c r="A470" s="69">
        <f t="shared" ca="1" si="311"/>
        <v>2451.5207134660159</v>
      </c>
      <c r="B470" s="69">
        <f t="shared" ca="1" si="312"/>
        <v>2141.3971239591192</v>
      </c>
      <c r="C470" s="69">
        <f t="shared" ca="1" si="313"/>
        <v>2228.161865790571</v>
      </c>
      <c r="D470" s="69">
        <f t="shared" ca="1" si="314"/>
        <v>2908.816269057198</v>
      </c>
      <c r="E470" s="69">
        <f t="shared" ca="1" si="315"/>
        <v>1931.2170350256733</v>
      </c>
      <c r="F470" s="69">
        <f t="shared" ca="1" si="316"/>
        <v>1221.5912001384052</v>
      </c>
      <c r="G470" s="69">
        <f t="shared" ca="1" si="317"/>
        <v>960.98090980305665</v>
      </c>
      <c r="H470" s="69">
        <f t="shared" ca="1" si="318"/>
        <v>1187.7766443515575</v>
      </c>
      <c r="I470" s="69">
        <f t="shared" ca="1" si="319"/>
        <v>1050.6726042868092</v>
      </c>
      <c r="J470" s="69">
        <f t="shared" ca="1" si="320"/>
        <v>1145.4661999072912</v>
      </c>
      <c r="K470" s="69">
        <f t="shared" ca="1" si="321"/>
        <v>1175.5405208987172</v>
      </c>
      <c r="L470" s="69">
        <f t="shared" ca="1" si="322"/>
        <v>954.67706822449793</v>
      </c>
      <c r="M470" s="69">
        <f t="shared" ca="1" si="323"/>
        <v>992.13894588484482</v>
      </c>
      <c r="N470" s="69">
        <f t="shared" ca="1" si="324"/>
        <v>570.95734933438632</v>
      </c>
      <c r="O470" s="69">
        <f t="shared" ca="1" si="325"/>
        <v>631.71815755825173</v>
      </c>
      <c r="P470" s="69">
        <f t="shared" ca="1" si="326"/>
        <v>721.33416018717298</v>
      </c>
      <c r="Q470" s="69">
        <f t="shared" ca="1" si="327"/>
        <v>956.27146184988351</v>
      </c>
      <c r="R470" s="69">
        <f t="shared" ca="1" si="328"/>
        <v>781.37446909865434</v>
      </c>
      <c r="S470" s="69">
        <f t="shared" ca="1" si="329"/>
        <v>698.26873303040634</v>
      </c>
      <c r="T470" s="69">
        <f t="shared" ca="1" si="330"/>
        <v>799.21170680016337</v>
      </c>
      <c r="U470" s="69">
        <f t="shared" ca="1" si="331"/>
        <v>1693.1189684831827</v>
      </c>
      <c r="V470" s="69">
        <f t="shared" ca="1" si="332"/>
        <v>1914.666257398643</v>
      </c>
      <c r="W470" s="69">
        <f t="shared" ca="1" si="333"/>
        <v>1179.6015462732737</v>
      </c>
      <c r="X470" s="69">
        <f t="shared" ca="1" si="334"/>
        <v>1499.795759120492</v>
      </c>
      <c r="Y470" s="69">
        <f t="shared" ca="1" si="335"/>
        <v>1205.3140885815876</v>
      </c>
      <c r="AA470" s="20">
        <f t="shared" ca="1" si="295"/>
        <v>6.5709307984756288E+16</v>
      </c>
      <c r="AB470" s="20">
        <f t="shared" ca="1" si="296"/>
        <v>1678128156853956.5</v>
      </c>
      <c r="AC470" s="20">
        <f t="shared" ca="1" si="297"/>
        <v>401599922348556</v>
      </c>
      <c r="AD470" s="20">
        <f t="shared" ca="1" si="298"/>
        <v>300788580472046.69</v>
      </c>
      <c r="AE470" s="20">
        <f t="shared" ca="1" si="299"/>
        <v>6912708542388758</v>
      </c>
      <c r="AG470" s="16">
        <f t="shared" ca="1" si="300"/>
        <v>1.5428404478451483E-4</v>
      </c>
      <c r="AH470" s="16">
        <f t="shared" ca="1" si="301"/>
        <v>2.639301034352693E-4</v>
      </c>
      <c r="AI470" s="16">
        <f t="shared" ca="1" si="302"/>
        <v>7.1657408516897147E-4</v>
      </c>
      <c r="AJ470" s="16">
        <f t="shared" ca="1" si="303"/>
        <v>-9.0957138049140257E-4</v>
      </c>
      <c r="AK470" s="16">
        <f t="shared" ca="1" si="304"/>
        <v>9.4643075569440213E-5</v>
      </c>
      <c r="AM470" s="16">
        <f t="shared" ca="1" si="305"/>
        <v>2.2521685289735309E-4</v>
      </c>
      <c r="AO470" s="16">
        <f t="shared" ca="1" si="306"/>
        <v>0</v>
      </c>
      <c r="AP470" s="16">
        <f t="shared" ca="1" si="307"/>
        <v>0</v>
      </c>
      <c r="AQ470" s="16">
        <f t="shared" ca="1" si="308"/>
        <v>0</v>
      </c>
      <c r="AR470" s="16">
        <f t="shared" ca="1" si="309"/>
        <v>-9.0957138049140257E-4</v>
      </c>
      <c r="AS470" s="16">
        <f t="shared" ca="1" si="310"/>
        <v>0</v>
      </c>
    </row>
    <row r="471" spans="1:45" x14ac:dyDescent="0.25">
      <c r="A471" s="69">
        <f t="shared" ca="1" si="311"/>
        <v>2451.9752119341415</v>
      </c>
      <c r="B471" s="69">
        <f t="shared" ca="1" si="312"/>
        <v>2141.719201665403</v>
      </c>
      <c r="C471" s="69">
        <f t="shared" ca="1" si="313"/>
        <v>2228.161865790571</v>
      </c>
      <c r="D471" s="69">
        <f t="shared" ca="1" si="314"/>
        <v>2908.816269057198</v>
      </c>
      <c r="E471" s="69">
        <f t="shared" ca="1" si="315"/>
        <v>1930.8665753208406</v>
      </c>
      <c r="F471" s="69">
        <f t="shared" ca="1" si="316"/>
        <v>1222.0608479534887</v>
      </c>
      <c r="G471" s="69">
        <f t="shared" ca="1" si="317"/>
        <v>961.25502300726771</v>
      </c>
      <c r="H471" s="69">
        <f t="shared" ca="1" si="318"/>
        <v>1187.6993619161558</v>
      </c>
      <c r="I471" s="69">
        <f t="shared" ca="1" si="319"/>
        <v>1050.3148194107337</v>
      </c>
      <c r="J471" s="69">
        <f t="shared" ca="1" si="320"/>
        <v>1145.4661999072912</v>
      </c>
      <c r="K471" s="69">
        <f t="shared" ca="1" si="321"/>
        <v>1175.0520641139067</v>
      </c>
      <c r="L471" s="69">
        <f t="shared" ca="1" si="322"/>
        <v>954.31062421229205</v>
      </c>
      <c r="M471" s="69">
        <f t="shared" ca="1" si="323"/>
        <v>992.13894588484482</v>
      </c>
      <c r="N471" s="69">
        <f t="shared" ca="1" si="324"/>
        <v>571.42663079570957</v>
      </c>
      <c r="O471" s="69">
        <f t="shared" ca="1" si="325"/>
        <v>632.15704384652088</v>
      </c>
      <c r="P471" s="69">
        <f t="shared" ca="1" si="326"/>
        <v>721.10798584154429</v>
      </c>
      <c r="Q471" s="69">
        <f t="shared" ca="1" si="327"/>
        <v>956.27146184988351</v>
      </c>
      <c r="R471" s="69">
        <f t="shared" ca="1" si="328"/>
        <v>781.28115641300258</v>
      </c>
      <c r="S471" s="69">
        <f t="shared" ca="1" si="329"/>
        <v>697.93605663836956</v>
      </c>
      <c r="T471" s="69">
        <f t="shared" ca="1" si="330"/>
        <v>799.21170680016337</v>
      </c>
      <c r="U471" s="69">
        <f t="shared" ca="1" si="331"/>
        <v>1692.8958431920528</v>
      </c>
      <c r="V471" s="69">
        <f t="shared" ca="1" si="332"/>
        <v>1914.666257398643</v>
      </c>
      <c r="W471" s="69">
        <f t="shared" ca="1" si="333"/>
        <v>1179.6015462732737</v>
      </c>
      <c r="X471" s="69">
        <f t="shared" ca="1" si="334"/>
        <v>1499.795759120492</v>
      </c>
      <c r="Y471" s="69">
        <f t="shared" ca="1" si="335"/>
        <v>1205.5870451977471</v>
      </c>
      <c r="AA471" s="20">
        <f t="shared" ca="1" si="295"/>
        <v>6.5719446664670328E+16</v>
      </c>
      <c r="AB471" s="20">
        <f t="shared" ca="1" si="296"/>
        <v>1678571123845563.3</v>
      </c>
      <c r="AC471" s="20">
        <f t="shared" ca="1" si="297"/>
        <v>401887801576595.81</v>
      </c>
      <c r="AD471" s="20">
        <f t="shared" ca="1" si="298"/>
        <v>300515116174173.69</v>
      </c>
      <c r="AE471" s="20">
        <f t="shared" ca="1" si="299"/>
        <v>6913362813346344</v>
      </c>
      <c r="AG471" s="16">
        <f t="shared" ca="1" si="300"/>
        <v>1.3826616813951133E-4</v>
      </c>
      <c r="AH471" s="16">
        <f t="shared" ca="1" si="301"/>
        <v>4.0110978678222577E-4</v>
      </c>
      <c r="AI471" s="16">
        <f t="shared" ca="1" si="302"/>
        <v>-9.2487692645703754E-4</v>
      </c>
      <c r="AJ471" s="16">
        <f t="shared" ca="1" si="303"/>
        <v>-1.0482544935982183E-4</v>
      </c>
      <c r="AK471" s="16">
        <f t="shared" ca="1" si="304"/>
        <v>1.6248467643784705E-4</v>
      </c>
      <c r="AM471" s="16">
        <f t="shared" ca="1" si="305"/>
        <v>-4.9032642089512227E-4</v>
      </c>
      <c r="AO471" s="16">
        <f t="shared" ca="1" si="306"/>
        <v>0</v>
      </c>
      <c r="AP471" s="16">
        <f t="shared" ca="1" si="307"/>
        <v>0</v>
      </c>
      <c r="AQ471" s="16">
        <f t="shared" ca="1" si="308"/>
        <v>-9.2487692645703754E-4</v>
      </c>
      <c r="AR471" s="16">
        <f t="shared" ca="1" si="309"/>
        <v>-1.0482544935982183E-4</v>
      </c>
      <c r="AS471" s="16">
        <f t="shared" ca="1" si="310"/>
        <v>0</v>
      </c>
    </row>
    <row r="472" spans="1:45" x14ac:dyDescent="0.25">
      <c r="A472" s="69">
        <f t="shared" ca="1" si="311"/>
        <v>2451.9752119341415</v>
      </c>
      <c r="B472" s="69">
        <f t="shared" ca="1" si="312"/>
        <v>2141.5825824202061</v>
      </c>
      <c r="C472" s="69">
        <f t="shared" ca="1" si="313"/>
        <v>2228.3529362743234</v>
      </c>
      <c r="D472" s="69">
        <f t="shared" ca="1" si="314"/>
        <v>2908.816269057198</v>
      </c>
      <c r="E472" s="69">
        <f t="shared" ca="1" si="315"/>
        <v>1931.091165323508</v>
      </c>
      <c r="F472" s="69">
        <f t="shared" ca="1" si="316"/>
        <v>1222.1235160880481</v>
      </c>
      <c r="G472" s="69">
        <f t="shared" ca="1" si="317"/>
        <v>960.86995412138151</v>
      </c>
      <c r="H472" s="69">
        <f t="shared" ca="1" si="318"/>
        <v>1187.9236530622097</v>
      </c>
      <c r="I472" s="69">
        <f t="shared" ca="1" si="319"/>
        <v>1050.5337994746017</v>
      </c>
      <c r="J472" s="69">
        <f t="shared" ca="1" si="320"/>
        <v>1145.8708557146633</v>
      </c>
      <c r="K472" s="69">
        <f t="shared" ca="1" si="321"/>
        <v>1175.0520641139067</v>
      </c>
      <c r="L472" s="69">
        <f t="shared" ca="1" si="322"/>
        <v>954.06043303242222</v>
      </c>
      <c r="M472" s="69">
        <f t="shared" ca="1" si="323"/>
        <v>992.13894588484482</v>
      </c>
      <c r="N472" s="69">
        <f t="shared" ca="1" si="324"/>
        <v>571.42663079570957</v>
      </c>
      <c r="O472" s="69">
        <f t="shared" ca="1" si="325"/>
        <v>631.73826920525346</v>
      </c>
      <c r="P472" s="69">
        <f t="shared" ca="1" si="326"/>
        <v>721.10798584154429</v>
      </c>
      <c r="Q472" s="69">
        <f t="shared" ca="1" si="327"/>
        <v>956.61244866524817</v>
      </c>
      <c r="R472" s="69">
        <f t="shared" ca="1" si="328"/>
        <v>781.28115641300258</v>
      </c>
      <c r="S472" s="69">
        <f t="shared" ca="1" si="329"/>
        <v>697.81411984792533</v>
      </c>
      <c r="T472" s="69">
        <f t="shared" ca="1" si="330"/>
        <v>798.98267308488209</v>
      </c>
      <c r="U472" s="69">
        <f t="shared" ca="1" si="331"/>
        <v>1693.034226798733</v>
      </c>
      <c r="V472" s="69">
        <f t="shared" ca="1" si="332"/>
        <v>1914.5217596302516</v>
      </c>
      <c r="W472" s="69">
        <f t="shared" ca="1" si="333"/>
        <v>1179.8719362050281</v>
      </c>
      <c r="X472" s="69">
        <f t="shared" ca="1" si="334"/>
        <v>1499.6863093775021</v>
      </c>
      <c r="Y472" s="69">
        <f t="shared" ca="1" si="335"/>
        <v>1205.5870451977471</v>
      </c>
      <c r="AA472" s="20">
        <f t="shared" ca="1" si="295"/>
        <v>6.5728534068958704E+16</v>
      </c>
      <c r="AB472" s="20">
        <f t="shared" ca="1" si="296"/>
        <v>1679244550201069.8</v>
      </c>
      <c r="AC472" s="20">
        <f t="shared" ca="1" si="297"/>
        <v>401516276655789.94</v>
      </c>
      <c r="AD472" s="20">
        <f t="shared" ca="1" si="298"/>
        <v>300483616193110</v>
      </c>
      <c r="AE472" s="20">
        <f t="shared" ca="1" si="299"/>
        <v>6914486220131891</v>
      </c>
      <c r="AG472" s="16">
        <f t="shared" ca="1" si="300"/>
        <v>3.7711974203838638E-5</v>
      </c>
      <c r="AH472" s="16">
        <f t="shared" ca="1" si="301"/>
        <v>-1.0012693426510709E-4</v>
      </c>
      <c r="AI472" s="16">
        <f t="shared" ca="1" si="302"/>
        <v>3.3676906552631381E-4</v>
      </c>
      <c r="AJ472" s="16">
        <f t="shared" ca="1" si="303"/>
        <v>-2.7834113435484949E-4</v>
      </c>
      <c r="AK472" s="16">
        <f t="shared" ca="1" si="304"/>
        <v>-2.3689500720591963E-4</v>
      </c>
      <c r="AM472" s="16">
        <f t="shared" ca="1" si="305"/>
        <v>-3.9870288898041241E-6</v>
      </c>
      <c r="AO472" s="16">
        <f t="shared" ca="1" si="306"/>
        <v>0</v>
      </c>
      <c r="AP472" s="16">
        <f t="shared" ca="1" si="307"/>
        <v>-1.0012693426510709E-4</v>
      </c>
      <c r="AQ472" s="16">
        <f t="shared" ca="1" si="308"/>
        <v>0</v>
      </c>
      <c r="AR472" s="16">
        <f t="shared" ca="1" si="309"/>
        <v>-2.7834113435484949E-4</v>
      </c>
      <c r="AS472" s="16">
        <f t="shared" ca="1" si="310"/>
        <v>-2.3689500720591963E-4</v>
      </c>
    </row>
    <row r="473" spans="1:45" x14ac:dyDescent="0.25">
      <c r="A473" s="69">
        <f t="shared" ca="1" si="311"/>
        <v>2452.2650684083283</v>
      </c>
      <c r="B473" s="69">
        <f t="shared" ca="1" si="312"/>
        <v>2141.7508587142679</v>
      </c>
      <c r="C473" s="69">
        <f t="shared" ca="1" si="313"/>
        <v>2227.9464366515849</v>
      </c>
      <c r="D473" s="69">
        <f t="shared" ca="1" si="314"/>
        <v>2908.8842521354727</v>
      </c>
      <c r="E473" s="69">
        <f t="shared" ca="1" si="315"/>
        <v>1931.091165323508</v>
      </c>
      <c r="F473" s="69">
        <f t="shared" ca="1" si="316"/>
        <v>1222.1235160880481</v>
      </c>
      <c r="G473" s="69">
        <f t="shared" ca="1" si="317"/>
        <v>960.86995412138151</v>
      </c>
      <c r="H473" s="69">
        <f t="shared" ca="1" si="318"/>
        <v>1187.8887059798476</v>
      </c>
      <c r="I473" s="69">
        <f t="shared" ca="1" si="319"/>
        <v>1050.1900427096077</v>
      </c>
      <c r="J473" s="69">
        <f t="shared" ca="1" si="320"/>
        <v>1146.1648857546165</v>
      </c>
      <c r="K473" s="69">
        <f t="shared" ca="1" si="321"/>
        <v>1175.0520641139067</v>
      </c>
      <c r="L473" s="69">
        <f t="shared" ca="1" si="322"/>
        <v>954.42138030360616</v>
      </c>
      <c r="M473" s="69">
        <f t="shared" ca="1" si="323"/>
        <v>992.06385831994044</v>
      </c>
      <c r="N473" s="69">
        <f t="shared" ca="1" si="324"/>
        <v>571.42663079570957</v>
      </c>
      <c r="O473" s="69">
        <f t="shared" ca="1" si="325"/>
        <v>631.7598740854794</v>
      </c>
      <c r="P473" s="69">
        <f t="shared" ca="1" si="326"/>
        <v>721.35953852224714</v>
      </c>
      <c r="Q473" s="69">
        <f t="shared" ca="1" si="327"/>
        <v>956.61244866524817</v>
      </c>
      <c r="R473" s="69">
        <f t="shared" ca="1" si="328"/>
        <v>781.13465756525807</v>
      </c>
      <c r="S473" s="69">
        <f t="shared" ca="1" si="329"/>
        <v>697.83494051959667</v>
      </c>
      <c r="T473" s="69">
        <f t="shared" ca="1" si="330"/>
        <v>798.60769457446656</v>
      </c>
      <c r="U473" s="69">
        <f t="shared" ca="1" si="331"/>
        <v>1693.3900267759229</v>
      </c>
      <c r="V473" s="69">
        <f t="shared" ca="1" si="332"/>
        <v>1914.4025610854796</v>
      </c>
      <c r="W473" s="69">
        <f t="shared" ca="1" si="333"/>
        <v>1179.4538182363819</v>
      </c>
      <c r="X473" s="69">
        <f t="shared" ca="1" si="334"/>
        <v>1499.6863093775021</v>
      </c>
      <c r="Y473" s="69">
        <f t="shared" ca="1" si="335"/>
        <v>1205.5504833583475</v>
      </c>
      <c r="AA473" s="20">
        <f t="shared" ca="1" si="295"/>
        <v>6.573101286847988E+16</v>
      </c>
      <c r="AB473" s="20">
        <f t="shared" ca="1" si="296"/>
        <v>1679076421009647.5</v>
      </c>
      <c r="AC473" s="20">
        <f t="shared" ca="1" si="297"/>
        <v>401651517688292.81</v>
      </c>
      <c r="AD473" s="20">
        <f t="shared" ca="1" si="298"/>
        <v>300399990881245.75</v>
      </c>
      <c r="AE473" s="20">
        <f t="shared" ca="1" si="299"/>
        <v>6912848406871499</v>
      </c>
      <c r="AG473" s="16">
        <f t="shared" ca="1" si="300"/>
        <v>1.0946217815525994E-4</v>
      </c>
      <c r="AH473" s="16">
        <f t="shared" ca="1" si="301"/>
        <v>-2.5848963522564324E-6</v>
      </c>
      <c r="AI473" s="16">
        <f t="shared" ca="1" si="302"/>
        <v>-1.4304943977945727E-3</v>
      </c>
      <c r="AJ473" s="16">
        <f t="shared" ca="1" si="303"/>
        <v>-4.1978412556067306E-4</v>
      </c>
      <c r="AK473" s="16">
        <f t="shared" ca="1" si="304"/>
        <v>-2.8606415065518898E-5</v>
      </c>
      <c r="AM473" s="16">
        <f t="shared" ca="1" si="305"/>
        <v>-1.7434012415522423E-3</v>
      </c>
      <c r="AO473" s="16">
        <f t="shared" ca="1" si="306"/>
        <v>0</v>
      </c>
      <c r="AP473" s="16">
        <f t="shared" ca="1" si="307"/>
        <v>-2.5848963522564324E-6</v>
      </c>
      <c r="AQ473" s="16">
        <f t="shared" ca="1" si="308"/>
        <v>-1.4304943977945727E-3</v>
      </c>
      <c r="AR473" s="16">
        <f t="shared" ca="1" si="309"/>
        <v>-4.1978412556067306E-4</v>
      </c>
      <c r="AS473" s="16">
        <f t="shared" ca="1" si="310"/>
        <v>-2.8606415065518898E-5</v>
      </c>
    </row>
    <row r="474" spans="1:45" x14ac:dyDescent="0.25">
      <c r="A474" s="69">
        <f t="shared" ca="1" si="311"/>
        <v>2452.5178470073233</v>
      </c>
      <c r="B474" s="69">
        <f t="shared" ca="1" si="312"/>
        <v>2141.7508587142679</v>
      </c>
      <c r="C474" s="69">
        <f t="shared" ca="1" si="313"/>
        <v>2227.5904249646433</v>
      </c>
      <c r="D474" s="69">
        <f t="shared" ca="1" si="314"/>
        <v>2908.8842521354727</v>
      </c>
      <c r="E474" s="69">
        <f t="shared" ca="1" si="315"/>
        <v>1931.4121282739779</v>
      </c>
      <c r="F474" s="69">
        <f t="shared" ca="1" si="316"/>
        <v>1222.1235160880481</v>
      </c>
      <c r="G474" s="69">
        <f t="shared" ca="1" si="317"/>
        <v>960.86995412138151</v>
      </c>
      <c r="H474" s="69">
        <f t="shared" ca="1" si="318"/>
        <v>1187.8887059798476</v>
      </c>
      <c r="I474" s="69">
        <f t="shared" ca="1" si="319"/>
        <v>1050.1873280807058</v>
      </c>
      <c r="J474" s="69">
        <f t="shared" ca="1" si="320"/>
        <v>1146.1648857546165</v>
      </c>
      <c r="K474" s="69">
        <f t="shared" ca="1" si="321"/>
        <v>1175.213160038295</v>
      </c>
      <c r="L474" s="69">
        <f t="shared" ca="1" si="322"/>
        <v>954.18979083387228</v>
      </c>
      <c r="M474" s="69">
        <f t="shared" ca="1" si="323"/>
        <v>992.06385831994044</v>
      </c>
      <c r="N474" s="69">
        <f t="shared" ca="1" si="324"/>
        <v>571.02521788286288</v>
      </c>
      <c r="O474" s="69">
        <f t="shared" ca="1" si="325"/>
        <v>631.36692704544464</v>
      </c>
      <c r="P474" s="69">
        <f t="shared" ca="1" si="326"/>
        <v>721.01562955529016</v>
      </c>
      <c r="Q474" s="69">
        <f t="shared" ca="1" si="327"/>
        <v>956.89654696001139</v>
      </c>
      <c r="R474" s="69">
        <f t="shared" ca="1" si="328"/>
        <v>780.7394903458636</v>
      </c>
      <c r="S474" s="69">
        <f t="shared" ca="1" si="329"/>
        <v>698.0940324236675</v>
      </c>
      <c r="T474" s="69">
        <f t="shared" ca="1" si="330"/>
        <v>798.52380291056159</v>
      </c>
      <c r="U474" s="69">
        <f t="shared" ca="1" si="331"/>
        <v>1693.2995668401643</v>
      </c>
      <c r="V474" s="69">
        <f t="shared" ca="1" si="332"/>
        <v>1914.4025610854796</v>
      </c>
      <c r="W474" s="69">
        <f t="shared" ca="1" si="333"/>
        <v>1179.775979478776</v>
      </c>
      <c r="X474" s="69">
        <f t="shared" ca="1" si="334"/>
        <v>1499.6863093775021</v>
      </c>
      <c r="Y474" s="69">
        <f t="shared" ca="1" si="335"/>
        <v>1205.2511911447793</v>
      </c>
      <c r="AA474" s="20">
        <f t="shared" ca="1" si="295"/>
        <v>6.5738208322128648E+16</v>
      </c>
      <c r="AB474" s="20">
        <f t="shared" ca="1" si="296"/>
        <v>1679072080776741.3</v>
      </c>
      <c r="AC474" s="20">
        <f t="shared" ca="1" si="297"/>
        <v>401077368199095.44</v>
      </c>
      <c r="AD474" s="20">
        <f t="shared" ca="1" si="298"/>
        <v>300273914198101.75</v>
      </c>
      <c r="AE474" s="20">
        <f t="shared" ca="1" si="299"/>
        <v>6912650657889145</v>
      </c>
      <c r="AG474" s="16">
        <f t="shared" ca="1" si="300"/>
        <v>4.1896804649714616E-5</v>
      </c>
      <c r="AH474" s="16">
        <f t="shared" ca="1" si="301"/>
        <v>7.2563062561920304E-4</v>
      </c>
      <c r="AI474" s="16">
        <f t="shared" ca="1" si="302"/>
        <v>3.801579938628933E-4</v>
      </c>
      <c r="AJ474" s="16">
        <f t="shared" ca="1" si="303"/>
        <v>-1.137377124556201E-3</v>
      </c>
      <c r="AK474" s="16">
        <f t="shared" ca="1" si="304"/>
        <v>1.9721434362139287E-5</v>
      </c>
      <c r="AM474" s="16">
        <f t="shared" ca="1" si="305"/>
        <v>1.0308299575609867E-5</v>
      </c>
      <c r="AO474" s="16">
        <f t="shared" ca="1" si="306"/>
        <v>0</v>
      </c>
      <c r="AP474" s="16">
        <f t="shared" ca="1" si="307"/>
        <v>0</v>
      </c>
      <c r="AQ474" s="16">
        <f t="shared" ca="1" si="308"/>
        <v>0</v>
      </c>
      <c r="AR474" s="16">
        <f t="shared" ca="1" si="309"/>
        <v>-1.137377124556201E-3</v>
      </c>
      <c r="AS474" s="16">
        <f t="shared" ca="1" si="310"/>
        <v>0</v>
      </c>
    </row>
    <row r="475" spans="1:45" x14ac:dyDescent="0.25">
      <c r="A475" s="69">
        <f t="shared" ca="1" si="311"/>
        <v>2452.8429870451691</v>
      </c>
      <c r="B475" s="69">
        <f t="shared" ca="1" si="312"/>
        <v>2142.0533015786818</v>
      </c>
      <c r="C475" s="69">
        <f t="shared" ca="1" si="313"/>
        <v>2227.5904249646433</v>
      </c>
      <c r="D475" s="69">
        <f t="shared" ca="1" si="314"/>
        <v>2908.4491540347922</v>
      </c>
      <c r="E475" s="69">
        <f t="shared" ca="1" si="315"/>
        <v>1931.2532094646876</v>
      </c>
      <c r="F475" s="69">
        <f t="shared" ca="1" si="316"/>
        <v>1222.1636330092247</v>
      </c>
      <c r="G475" s="69">
        <f t="shared" ca="1" si="317"/>
        <v>960.93196979844129</v>
      </c>
      <c r="H475" s="69">
        <f t="shared" ca="1" si="318"/>
        <v>1187.8406556998718</v>
      </c>
      <c r="I475" s="69">
        <f t="shared" ca="1" si="319"/>
        <v>1050.6647065965228</v>
      </c>
      <c r="J475" s="69">
        <f t="shared" ca="1" si="320"/>
        <v>1146.4104843452972</v>
      </c>
      <c r="K475" s="69">
        <f t="shared" ca="1" si="321"/>
        <v>1174.7606156082031</v>
      </c>
      <c r="L475" s="69">
        <f t="shared" ca="1" si="322"/>
        <v>954.18979083387228</v>
      </c>
      <c r="M475" s="69">
        <f t="shared" ca="1" si="323"/>
        <v>991.82152529431482</v>
      </c>
      <c r="N475" s="69">
        <f t="shared" ca="1" si="324"/>
        <v>571.36791639223054</v>
      </c>
      <c r="O475" s="69">
        <f t="shared" ca="1" si="325"/>
        <v>631.62561439368835</v>
      </c>
      <c r="P475" s="69">
        <f t="shared" ca="1" si="326"/>
        <v>720.65839798920547</v>
      </c>
      <c r="Q475" s="69">
        <f t="shared" ca="1" si="327"/>
        <v>956.49775322190089</v>
      </c>
      <c r="R475" s="69">
        <f t="shared" ca="1" si="328"/>
        <v>781.02475536233828</v>
      </c>
      <c r="S475" s="69">
        <f t="shared" ca="1" si="329"/>
        <v>698.0940324236675</v>
      </c>
      <c r="T475" s="69">
        <f t="shared" ca="1" si="330"/>
        <v>798.05260115050783</v>
      </c>
      <c r="U475" s="69">
        <f t="shared" ca="1" si="331"/>
        <v>1693.1754155434458</v>
      </c>
      <c r="V475" s="69">
        <f t="shared" ca="1" si="332"/>
        <v>1914.4025610854796</v>
      </c>
      <c r="W475" s="69">
        <f t="shared" ca="1" si="333"/>
        <v>1179.8857548115968</v>
      </c>
      <c r="X475" s="69">
        <f t="shared" ca="1" si="334"/>
        <v>1499.6863093775021</v>
      </c>
      <c r="Y475" s="69">
        <f t="shared" ca="1" si="335"/>
        <v>1205.2511911447793</v>
      </c>
      <c r="AA475" s="20">
        <f t="shared" ca="1" si="295"/>
        <v>6.5740962600698072E+16</v>
      </c>
      <c r="AB475" s="20">
        <f t="shared" ca="1" si="296"/>
        <v>1680290909057258.8</v>
      </c>
      <c r="AC475" s="20">
        <f t="shared" ca="1" si="297"/>
        <v>401229869952317.5</v>
      </c>
      <c r="AD475" s="20">
        <f t="shared" ca="1" si="298"/>
        <v>299932583664558.44</v>
      </c>
      <c r="AE475" s="20">
        <f t="shared" ca="1" si="299"/>
        <v>6912786986619658</v>
      </c>
      <c r="AG475" s="16">
        <f t="shared" ca="1" si="300"/>
        <v>7.6656955576963199E-5</v>
      </c>
      <c r="AH475" s="16">
        <f t="shared" ca="1" si="301"/>
        <v>5.0600127368149637E-4</v>
      </c>
      <c r="AI475" s="16">
        <f t="shared" ca="1" si="302"/>
        <v>2.6275557435128126E-4</v>
      </c>
      <c r="AJ475" s="16">
        <f t="shared" ca="1" si="303"/>
        <v>1.4986786785148122E-4</v>
      </c>
      <c r="AK475" s="16">
        <f t="shared" ca="1" si="304"/>
        <v>5.9280568187017953E-4</v>
      </c>
      <c r="AM475" s="16">
        <f t="shared" ca="1" si="305"/>
        <v>9.952816714612219E-4</v>
      </c>
      <c r="AO475" s="16">
        <f t="shared" ca="1" si="306"/>
        <v>0</v>
      </c>
      <c r="AP475" s="16">
        <f t="shared" ca="1" si="307"/>
        <v>0</v>
      </c>
      <c r="AQ475" s="16">
        <f t="shared" ca="1" si="308"/>
        <v>0</v>
      </c>
      <c r="AR475" s="16">
        <f t="shared" ca="1" si="309"/>
        <v>0</v>
      </c>
      <c r="AS475" s="16">
        <f t="shared" ca="1" si="310"/>
        <v>0</v>
      </c>
    </row>
    <row r="476" spans="1:45" x14ac:dyDescent="0.25">
      <c r="A476" s="69">
        <f t="shared" ca="1" si="311"/>
        <v>2452.8429870451691</v>
      </c>
      <c r="B476" s="69">
        <f t="shared" ca="1" si="312"/>
        <v>2142.3628877584024</v>
      </c>
      <c r="C476" s="69">
        <f t="shared" ca="1" si="313"/>
        <v>2227.5904249646433</v>
      </c>
      <c r="D476" s="69">
        <f t="shared" ca="1" si="314"/>
        <v>2908.2051682495244</v>
      </c>
      <c r="E476" s="69">
        <f t="shared" ca="1" si="315"/>
        <v>1931.2841711214869</v>
      </c>
      <c r="F476" s="69">
        <f t="shared" ca="1" si="316"/>
        <v>1222.4214785950292</v>
      </c>
      <c r="G476" s="69">
        <f t="shared" ca="1" si="317"/>
        <v>961.20672155928264</v>
      </c>
      <c r="H476" s="69">
        <f t="shared" ca="1" si="318"/>
        <v>1187.6703592006586</v>
      </c>
      <c r="I476" s="69">
        <f t="shared" ca="1" si="319"/>
        <v>1050.8249916937248</v>
      </c>
      <c r="J476" s="69">
        <f t="shared" ca="1" si="320"/>
        <v>1146.4104843452972</v>
      </c>
      <c r="K476" s="69">
        <f t="shared" ca="1" si="321"/>
        <v>1174.8585065100326</v>
      </c>
      <c r="L476" s="69">
        <f t="shared" ca="1" si="322"/>
        <v>953.95541052415797</v>
      </c>
      <c r="M476" s="69">
        <f t="shared" ca="1" si="323"/>
        <v>992.2778912927422</v>
      </c>
      <c r="N476" s="69">
        <f t="shared" ca="1" si="324"/>
        <v>571.41215441250461</v>
      </c>
      <c r="O476" s="69">
        <f t="shared" ca="1" si="325"/>
        <v>631.55465432830033</v>
      </c>
      <c r="P476" s="69">
        <f t="shared" ca="1" si="326"/>
        <v>720.33993261501223</v>
      </c>
      <c r="Q476" s="69">
        <f t="shared" ca="1" si="327"/>
        <v>956.49775322190089</v>
      </c>
      <c r="R476" s="69">
        <f t="shared" ca="1" si="328"/>
        <v>781.02475536233828</v>
      </c>
      <c r="S476" s="69">
        <f t="shared" ca="1" si="329"/>
        <v>698.4201885528995</v>
      </c>
      <c r="T476" s="69">
        <f t="shared" ca="1" si="330"/>
        <v>798.15218367094371</v>
      </c>
      <c r="U476" s="69">
        <f t="shared" ca="1" si="331"/>
        <v>1693.4037086137812</v>
      </c>
      <c r="V476" s="69">
        <f t="shared" ca="1" si="332"/>
        <v>1914.4025610854796</v>
      </c>
      <c r="W476" s="69">
        <f t="shared" ca="1" si="333"/>
        <v>1179.971543307206</v>
      </c>
      <c r="X476" s="69">
        <f t="shared" ca="1" si="334"/>
        <v>1499.6863093775021</v>
      </c>
      <c r="Y476" s="69">
        <f t="shared" ca="1" si="335"/>
        <v>1205.7156361034815</v>
      </c>
      <c r="AA476" s="20">
        <f t="shared" ca="1" si="295"/>
        <v>6.574600229590912E+16</v>
      </c>
      <c r="AB476" s="20">
        <f t="shared" ca="1" si="296"/>
        <v>1681141353542248</v>
      </c>
      <c r="AC476" s="20">
        <f t="shared" ca="1" si="297"/>
        <v>401335309189010.69</v>
      </c>
      <c r="AD476" s="20">
        <f t="shared" ca="1" si="298"/>
        <v>299977537289839.25</v>
      </c>
      <c r="AE476" s="20">
        <f t="shared" ca="1" si="299"/>
        <v>6916886140903817</v>
      </c>
      <c r="AG476" s="16">
        <f t="shared" ca="1" si="300"/>
        <v>-1.6387959103116929E-4</v>
      </c>
      <c r="AH476" s="16">
        <f t="shared" ca="1" si="301"/>
        <v>-9.7002670651834052E-5</v>
      </c>
      <c r="AI476" s="16">
        <f t="shared" ca="1" si="302"/>
        <v>-1.6154589929942564E-4</v>
      </c>
      <c r="AJ476" s="16">
        <f t="shared" ca="1" si="303"/>
        <v>9.2555144040892736E-5</v>
      </c>
      <c r="AK476" s="16">
        <f t="shared" ca="1" si="304"/>
        <v>7.8372903965405417E-4</v>
      </c>
      <c r="AM476" s="16">
        <f t="shared" ca="1" si="305"/>
        <v>-3.2987301694153623E-4</v>
      </c>
      <c r="AO476" s="16">
        <f t="shared" ca="1" si="306"/>
        <v>-1.6387959103116929E-4</v>
      </c>
      <c r="AP476" s="16">
        <f t="shared" ca="1" si="307"/>
        <v>-9.7002670651834052E-5</v>
      </c>
      <c r="AQ476" s="16">
        <f t="shared" ca="1" si="308"/>
        <v>-1.6154589929942564E-4</v>
      </c>
      <c r="AR476" s="16">
        <f t="shared" ca="1" si="309"/>
        <v>0</v>
      </c>
      <c r="AS476" s="16">
        <f t="shared" ca="1" si="310"/>
        <v>0</v>
      </c>
    </row>
    <row r="477" spans="1:45" x14ac:dyDescent="0.25">
      <c r="A477" s="69">
        <f t="shared" ca="1" si="311"/>
        <v>2452.8429870451691</v>
      </c>
      <c r="B477" s="69">
        <f t="shared" ca="1" si="312"/>
        <v>2141.9166218080495</v>
      </c>
      <c r="C477" s="69">
        <f t="shared" ca="1" si="313"/>
        <v>2227.7458459526592</v>
      </c>
      <c r="D477" s="69">
        <f t="shared" ca="1" si="314"/>
        <v>2908.2051682495244</v>
      </c>
      <c r="E477" s="69">
        <f t="shared" ca="1" si="315"/>
        <v>1931.2352699479602</v>
      </c>
      <c r="F477" s="69">
        <f t="shared" ca="1" si="316"/>
        <v>1222.2248979225269</v>
      </c>
      <c r="G477" s="69">
        <f t="shared" ca="1" si="317"/>
        <v>961.31216064233115</v>
      </c>
      <c r="H477" s="69">
        <f t="shared" ca="1" si="318"/>
        <v>1187.6703592006586</v>
      </c>
      <c r="I477" s="69">
        <f t="shared" ca="1" si="319"/>
        <v>1051.130488360453</v>
      </c>
      <c r="J477" s="69">
        <f t="shared" ca="1" si="320"/>
        <v>1146.0247314221258</v>
      </c>
      <c r="K477" s="69">
        <f t="shared" ca="1" si="321"/>
        <v>1174.8585065100326</v>
      </c>
      <c r="L477" s="69">
        <f t="shared" ca="1" si="322"/>
        <v>953.95541052415797</v>
      </c>
      <c r="M477" s="69">
        <f t="shared" ca="1" si="323"/>
        <v>992.2778912927422</v>
      </c>
      <c r="N477" s="69">
        <f t="shared" ca="1" si="324"/>
        <v>570.98222513059943</v>
      </c>
      <c r="O477" s="69">
        <f t="shared" ca="1" si="325"/>
        <v>631.92809885310317</v>
      </c>
      <c r="P477" s="69">
        <f t="shared" ca="1" si="326"/>
        <v>720.77348030669111</v>
      </c>
      <c r="Q477" s="69">
        <f t="shared" ca="1" si="327"/>
        <v>956.49775322190089</v>
      </c>
      <c r="R477" s="69">
        <f t="shared" ca="1" si="328"/>
        <v>780.6272140452113</v>
      </c>
      <c r="S477" s="69">
        <f t="shared" ca="1" si="329"/>
        <v>698.4201885528995</v>
      </c>
      <c r="T477" s="69">
        <f t="shared" ca="1" si="330"/>
        <v>798.15218367094371</v>
      </c>
      <c r="U477" s="69">
        <f t="shared" ca="1" si="331"/>
        <v>1693.8100406949193</v>
      </c>
      <c r="V477" s="69">
        <f t="shared" ca="1" si="332"/>
        <v>1914.4025610854796</v>
      </c>
      <c r="W477" s="69">
        <f t="shared" ca="1" si="333"/>
        <v>1180.396559883694</v>
      </c>
      <c r="X477" s="69">
        <f t="shared" ca="1" si="334"/>
        <v>1499.5194145010119</v>
      </c>
      <c r="Y477" s="69">
        <f t="shared" ca="1" si="335"/>
        <v>1206.0713424222213</v>
      </c>
      <c r="AA477" s="20">
        <f t="shared" ca="1" si="295"/>
        <v>6.5735228750747128E+16</v>
      </c>
      <c r="AB477" s="20">
        <f t="shared" ca="1" si="296"/>
        <v>1680978286250320.5</v>
      </c>
      <c r="AC477" s="20">
        <f t="shared" ca="1" si="297"/>
        <v>401270480352124.5</v>
      </c>
      <c r="AD477" s="20">
        <f t="shared" ca="1" si="298"/>
        <v>300005303038923.75</v>
      </c>
      <c r="AE477" s="20">
        <f t="shared" ca="1" si="299"/>
        <v>6922309230275150</v>
      </c>
      <c r="AG477" s="16">
        <f t="shared" ca="1" si="300"/>
        <v>-1.2538699056974646E-4</v>
      </c>
      <c r="AH477" s="16">
        <f t="shared" ca="1" si="301"/>
        <v>2.5890947751128641E-4</v>
      </c>
      <c r="AI477" s="16">
        <f t="shared" ca="1" si="302"/>
        <v>-1.496769534836303E-5</v>
      </c>
      <c r="AJ477" s="16">
        <f t="shared" ca="1" si="303"/>
        <v>3.0120759420444444E-4</v>
      </c>
      <c r="AK477" s="16">
        <f t="shared" ca="1" si="304"/>
        <v>-3.6411129435647889E-4</v>
      </c>
      <c r="AM477" s="16">
        <f t="shared" ca="1" si="305"/>
        <v>4.1976238579762134E-4</v>
      </c>
      <c r="AO477" s="16">
        <f t="shared" ca="1" si="306"/>
        <v>-1.2538699056974646E-4</v>
      </c>
      <c r="AP477" s="16">
        <f t="shared" ca="1" si="307"/>
        <v>0</v>
      </c>
      <c r="AQ477" s="16">
        <f t="shared" ca="1" si="308"/>
        <v>-1.496769534836303E-5</v>
      </c>
      <c r="AR477" s="16">
        <f t="shared" ca="1" si="309"/>
        <v>0</v>
      </c>
      <c r="AS477" s="16">
        <f t="shared" ca="1" si="310"/>
        <v>-3.6411129435647889E-4</v>
      </c>
    </row>
    <row r="478" spans="1:45" x14ac:dyDescent="0.25">
      <c r="A478" s="69">
        <f t="shared" ca="1" si="311"/>
        <v>2453.0202817528534</v>
      </c>
      <c r="B478" s="69">
        <f t="shared" ca="1" si="312"/>
        <v>2141.9166218080495</v>
      </c>
      <c r="C478" s="69">
        <f t="shared" ca="1" si="313"/>
        <v>2227.7458459526592</v>
      </c>
      <c r="D478" s="69">
        <f t="shared" ca="1" si="314"/>
        <v>2908.2051682495244</v>
      </c>
      <c r="E478" s="69">
        <f t="shared" ca="1" si="315"/>
        <v>1930.8535687220788</v>
      </c>
      <c r="F478" s="69">
        <f t="shared" ca="1" si="316"/>
        <v>1222.2248979225269</v>
      </c>
      <c r="G478" s="69">
        <f t="shared" ca="1" si="317"/>
        <v>961.31216064233115</v>
      </c>
      <c r="H478" s="69">
        <f t="shared" ca="1" si="318"/>
        <v>1187.6703592006586</v>
      </c>
      <c r="I478" s="69">
        <f t="shared" ca="1" si="319"/>
        <v>1051.130488360453</v>
      </c>
      <c r="J478" s="69">
        <f t="shared" ca="1" si="320"/>
        <v>1146.3214865012467</v>
      </c>
      <c r="K478" s="69">
        <f t="shared" ca="1" si="321"/>
        <v>1174.5506691451997</v>
      </c>
      <c r="L478" s="69">
        <f t="shared" ca="1" si="322"/>
        <v>953.73076755896739</v>
      </c>
      <c r="M478" s="69">
        <f t="shared" ca="1" si="323"/>
        <v>992.26005362180024</v>
      </c>
      <c r="N478" s="69">
        <f t="shared" ca="1" si="324"/>
        <v>571.04935474870831</v>
      </c>
      <c r="O478" s="69">
        <f t="shared" ca="1" si="325"/>
        <v>632.17018370534549</v>
      </c>
      <c r="P478" s="69">
        <f t="shared" ca="1" si="326"/>
        <v>720.6621938828896</v>
      </c>
      <c r="Q478" s="69">
        <f t="shared" ca="1" si="327"/>
        <v>956.93365022886121</v>
      </c>
      <c r="R478" s="69">
        <f t="shared" ca="1" si="328"/>
        <v>780.6272140452113</v>
      </c>
      <c r="S478" s="69">
        <f t="shared" ca="1" si="329"/>
        <v>698.4201885528995</v>
      </c>
      <c r="T478" s="69">
        <f t="shared" ca="1" si="330"/>
        <v>798.15218367094371</v>
      </c>
      <c r="U478" s="69">
        <f t="shared" ca="1" si="331"/>
        <v>1693.8351296802389</v>
      </c>
      <c r="V478" s="69">
        <f t="shared" ca="1" si="332"/>
        <v>1914.4025610854796</v>
      </c>
      <c r="W478" s="69">
        <f t="shared" ca="1" si="333"/>
        <v>1180.3301237505518</v>
      </c>
      <c r="X478" s="69">
        <f t="shared" ca="1" si="334"/>
        <v>1499.0356892933114</v>
      </c>
      <c r="Y478" s="69">
        <f t="shared" ca="1" si="335"/>
        <v>1206.0713424222213</v>
      </c>
      <c r="AA478" s="20">
        <f t="shared" ca="1" si="295"/>
        <v>6.572698692495932E+16</v>
      </c>
      <c r="AB478" s="20">
        <f t="shared" ca="1" si="296"/>
        <v>1681413563806432</v>
      </c>
      <c r="AC478" s="20">
        <f t="shared" ca="1" si="297"/>
        <v>401264474302770.75</v>
      </c>
      <c r="AD478" s="20">
        <f t="shared" ca="1" si="298"/>
        <v>300095680525009.94</v>
      </c>
      <c r="AE478" s="20">
        <f t="shared" ca="1" si="299"/>
        <v>6919789198115306</v>
      </c>
      <c r="AG478" s="16">
        <f t="shared" ca="1" si="300"/>
        <v>-2.2327172102377143E-4</v>
      </c>
      <c r="AH478" s="16">
        <f t="shared" ca="1" si="301"/>
        <v>4.6548814922361406E-4</v>
      </c>
      <c r="AI478" s="16">
        <f t="shared" ca="1" si="302"/>
        <v>-1.5175284430717347E-4</v>
      </c>
      <c r="AJ478" s="16">
        <f t="shared" ca="1" si="303"/>
        <v>5.6332680866949937E-4</v>
      </c>
      <c r="AK478" s="16">
        <f t="shared" ca="1" si="304"/>
        <v>5.6930485843236292E-4</v>
      </c>
      <c r="AM478" s="16">
        <f t="shared" ca="1" si="305"/>
        <v>6.5379039256216855E-4</v>
      </c>
      <c r="AO478" s="16">
        <f t="shared" ca="1" si="306"/>
        <v>-2.2327172102377143E-4</v>
      </c>
      <c r="AP478" s="16">
        <f t="shared" ca="1" si="307"/>
        <v>0</v>
      </c>
      <c r="AQ478" s="16">
        <f t="shared" ca="1" si="308"/>
        <v>-1.5175284430717347E-4</v>
      </c>
      <c r="AR478" s="16">
        <f t="shared" ca="1" si="309"/>
        <v>0</v>
      </c>
      <c r="AS478" s="16">
        <f t="shared" ca="1" si="310"/>
        <v>0</v>
      </c>
    </row>
    <row r="479" spans="1:45" x14ac:dyDescent="0.25">
      <c r="A479" s="69">
        <f t="shared" ca="1" si="311"/>
        <v>2453.0202817528534</v>
      </c>
      <c r="B479" s="69">
        <f t="shared" ca="1" si="312"/>
        <v>2141.7442943567266</v>
      </c>
      <c r="C479" s="69">
        <f t="shared" ca="1" si="313"/>
        <v>2227.5940929773142</v>
      </c>
      <c r="D479" s="69">
        <f t="shared" ca="1" si="314"/>
        <v>2908.2051682495244</v>
      </c>
      <c r="E479" s="69">
        <f t="shared" ca="1" si="315"/>
        <v>1930.7093550721856</v>
      </c>
      <c r="F479" s="69">
        <f t="shared" ca="1" si="316"/>
        <v>1222.3672172343965</v>
      </c>
      <c r="G479" s="69">
        <f t="shared" ca="1" si="317"/>
        <v>961.71964680494227</v>
      </c>
      <c r="H479" s="69">
        <f t="shared" ca="1" si="318"/>
        <v>1187.6703592006586</v>
      </c>
      <c r="I479" s="69">
        <f t="shared" ca="1" si="319"/>
        <v>1051.130488360453</v>
      </c>
      <c r="J479" s="69">
        <f t="shared" ca="1" si="320"/>
        <v>1146.2358096827322</v>
      </c>
      <c r="K479" s="69">
        <f t="shared" ca="1" si="321"/>
        <v>1174.3042594722551</v>
      </c>
      <c r="L479" s="69">
        <f t="shared" ca="1" si="322"/>
        <v>953.40941547376417</v>
      </c>
      <c r="M479" s="69">
        <f t="shared" ca="1" si="323"/>
        <v>991.97749814729218</v>
      </c>
      <c r="N479" s="69">
        <f t="shared" ca="1" si="324"/>
        <v>571.06123567577595</v>
      </c>
      <c r="O479" s="69">
        <f t="shared" ca="1" si="325"/>
        <v>632.58695500234819</v>
      </c>
      <c r="P479" s="69">
        <f t="shared" ca="1" si="326"/>
        <v>720.6621938828896</v>
      </c>
      <c r="Q479" s="69">
        <f t="shared" ca="1" si="327"/>
        <v>956.93365022886121</v>
      </c>
      <c r="R479" s="69">
        <f t="shared" ca="1" si="328"/>
        <v>780.61926735666384</v>
      </c>
      <c r="S479" s="69">
        <f t="shared" ca="1" si="329"/>
        <v>698.60240434653701</v>
      </c>
      <c r="T479" s="69">
        <f t="shared" ca="1" si="330"/>
        <v>798.40175991604212</v>
      </c>
      <c r="U479" s="69">
        <f t="shared" ca="1" si="331"/>
        <v>1693.8817602361985</v>
      </c>
      <c r="V479" s="69">
        <f t="shared" ca="1" si="332"/>
        <v>1914.2302219911096</v>
      </c>
      <c r="W479" s="69">
        <f t="shared" ca="1" si="333"/>
        <v>1180.6242562678076</v>
      </c>
      <c r="X479" s="69">
        <f t="shared" ca="1" si="334"/>
        <v>1499.0356892933114</v>
      </c>
      <c r="Y479" s="69">
        <f t="shared" ca="1" si="335"/>
        <v>1206.5329194791927</v>
      </c>
      <c r="AA479" s="20">
        <f t="shared" ca="1" si="295"/>
        <v>6.5712313585602696E+16</v>
      </c>
      <c r="AB479" s="20">
        <f t="shared" ca="1" si="296"/>
        <v>1682196424086283.5</v>
      </c>
      <c r="AC479" s="20">
        <f t="shared" ca="1" si="297"/>
        <v>401203585897587.06</v>
      </c>
      <c r="AD479" s="20">
        <f t="shared" ca="1" si="298"/>
        <v>300264780091703.44</v>
      </c>
      <c r="AE479" s="20">
        <f t="shared" ca="1" si="299"/>
        <v>6923729789317548</v>
      </c>
      <c r="AG479" s="16">
        <f t="shared" ca="1" si="300"/>
        <v>-1.8337508454742012E-4</v>
      </c>
      <c r="AH479" s="16">
        <f t="shared" ca="1" si="301"/>
        <v>-7.175455453827279E-4</v>
      </c>
      <c r="AI479" s="16">
        <f t="shared" ca="1" si="302"/>
        <v>-7.5129781237740965E-4</v>
      </c>
      <c r="AJ479" s="16">
        <f t="shared" ca="1" si="303"/>
        <v>-5.0168483977756809E-4</v>
      </c>
      <c r="AK479" s="16">
        <f t="shared" ca="1" si="304"/>
        <v>-7.0069533726965652E-4</v>
      </c>
      <c r="AM479" s="16">
        <f t="shared" ca="1" si="305"/>
        <v>-2.1539032820851256E-3</v>
      </c>
      <c r="AO479" s="16">
        <f t="shared" ca="1" si="306"/>
        <v>-1.8337508454742012E-4</v>
      </c>
      <c r="AP479" s="16">
        <f t="shared" ca="1" si="307"/>
        <v>-7.175455453827279E-4</v>
      </c>
      <c r="AQ479" s="16">
        <f t="shared" ca="1" si="308"/>
        <v>-7.5129781237740965E-4</v>
      </c>
      <c r="AR479" s="16">
        <f t="shared" ca="1" si="309"/>
        <v>-5.0168483977756809E-4</v>
      </c>
      <c r="AS479" s="16">
        <f t="shared" ca="1" si="310"/>
        <v>-7.0069533726965652E-4</v>
      </c>
    </row>
    <row r="480" spans="1:45" x14ac:dyDescent="0.25">
      <c r="A480" s="69">
        <f t="shared" ca="1" si="311"/>
        <v>2453.0202817528534</v>
      </c>
      <c r="B480" s="69">
        <f t="shared" ca="1" si="312"/>
        <v>2141.4882802252064</v>
      </c>
      <c r="C480" s="69">
        <f t="shared" ca="1" si="313"/>
        <v>2227.5940929773142</v>
      </c>
      <c r="D480" s="69">
        <f t="shared" ca="1" si="314"/>
        <v>2907.8213419079279</v>
      </c>
      <c r="E480" s="69">
        <f t="shared" ca="1" si="315"/>
        <v>1930.8409501411602</v>
      </c>
      <c r="F480" s="69">
        <f t="shared" ca="1" si="316"/>
        <v>1222.5466710419021</v>
      </c>
      <c r="G480" s="69">
        <f t="shared" ca="1" si="317"/>
        <v>961.71964680494227</v>
      </c>
      <c r="H480" s="69">
        <f t="shared" ca="1" si="318"/>
        <v>1187.5396576882765</v>
      </c>
      <c r="I480" s="69">
        <f t="shared" ca="1" si="319"/>
        <v>1050.7410213096355</v>
      </c>
      <c r="J480" s="69">
        <f t="shared" ca="1" si="320"/>
        <v>1145.7960859356524</v>
      </c>
      <c r="K480" s="69">
        <f t="shared" ca="1" si="321"/>
        <v>1173.8052871839284</v>
      </c>
      <c r="L480" s="69">
        <f t="shared" ca="1" si="322"/>
        <v>953.63263750917952</v>
      </c>
      <c r="M480" s="69">
        <f t="shared" ca="1" si="323"/>
        <v>991.8078081218689</v>
      </c>
      <c r="N480" s="69">
        <f t="shared" ca="1" si="324"/>
        <v>570.7959869409741</v>
      </c>
      <c r="O480" s="69">
        <f t="shared" ca="1" si="325"/>
        <v>632.63456986697622</v>
      </c>
      <c r="P480" s="69">
        <f t="shared" ca="1" si="326"/>
        <v>720.6621938828896</v>
      </c>
      <c r="Q480" s="69">
        <f t="shared" ca="1" si="327"/>
        <v>956.77143679042024</v>
      </c>
      <c r="R480" s="69">
        <f t="shared" ca="1" si="328"/>
        <v>780.59922511312675</v>
      </c>
      <c r="S480" s="69">
        <f t="shared" ca="1" si="329"/>
        <v>698.62238849883499</v>
      </c>
      <c r="T480" s="69">
        <f t="shared" ca="1" si="330"/>
        <v>798.13427063906101</v>
      </c>
      <c r="U480" s="69">
        <f t="shared" ca="1" si="331"/>
        <v>1693.6669928997555</v>
      </c>
      <c r="V480" s="69">
        <f t="shared" ca="1" si="332"/>
        <v>1913.7422174390381</v>
      </c>
      <c r="W480" s="69">
        <f t="shared" ca="1" si="333"/>
        <v>1180.6835937905171</v>
      </c>
      <c r="X480" s="69">
        <f t="shared" ca="1" si="334"/>
        <v>1499.0356892933114</v>
      </c>
      <c r="Y480" s="69">
        <f t="shared" ca="1" si="335"/>
        <v>1206.0875644596233</v>
      </c>
      <c r="AA480" s="20">
        <f t="shared" ca="1" si="295"/>
        <v>6.5700264689310584E+16</v>
      </c>
      <c r="AB480" s="20">
        <f t="shared" ca="1" si="296"/>
        <v>1680989804489751</v>
      </c>
      <c r="AC480" s="20">
        <f t="shared" ca="1" si="297"/>
        <v>400902275722194.88</v>
      </c>
      <c r="AD480" s="20">
        <f t="shared" ca="1" si="298"/>
        <v>300114179583766.81</v>
      </c>
      <c r="AE480" s="20">
        <f t="shared" ca="1" si="299"/>
        <v>6918880063426242</v>
      </c>
      <c r="AG480" s="16">
        <f t="shared" ca="1" si="300"/>
        <v>-7.5647734702060355E-5</v>
      </c>
      <c r="AH480" s="16">
        <f t="shared" ca="1" si="301"/>
        <v>3.9483833459689647E-4</v>
      </c>
      <c r="AI480" s="16">
        <f t="shared" ca="1" si="302"/>
        <v>5.216139342538276E-4</v>
      </c>
      <c r="AJ480" s="16">
        <f t="shared" ca="1" si="303"/>
        <v>-9.7584282713099779E-4</v>
      </c>
      <c r="AK480" s="16">
        <f t="shared" ca="1" si="304"/>
        <v>3.1818761353799297E-4</v>
      </c>
      <c r="AM480" s="16">
        <f t="shared" ca="1" si="305"/>
        <v>-1.3503829298233401E-4</v>
      </c>
      <c r="AO480" s="16">
        <f t="shared" ca="1" si="306"/>
        <v>-7.5647734702060355E-5</v>
      </c>
      <c r="AP480" s="16">
        <f t="shared" ca="1" si="307"/>
        <v>0</v>
      </c>
      <c r="AQ480" s="16">
        <f t="shared" ca="1" si="308"/>
        <v>0</v>
      </c>
      <c r="AR480" s="16">
        <f t="shared" ca="1" si="309"/>
        <v>-9.7584282713099779E-4</v>
      </c>
      <c r="AS480" s="16">
        <f t="shared" ca="1" si="310"/>
        <v>0</v>
      </c>
    </row>
    <row r="481" spans="1:45" x14ac:dyDescent="0.25">
      <c r="A481" s="69">
        <f t="shared" ca="1" si="311"/>
        <v>2452.7002400265428</v>
      </c>
      <c r="B481" s="69">
        <f t="shared" ca="1" si="312"/>
        <v>2141.4882802252064</v>
      </c>
      <c r="C481" s="69">
        <f t="shared" ca="1" si="313"/>
        <v>2228.048516503221</v>
      </c>
      <c r="D481" s="69">
        <f t="shared" ca="1" si="314"/>
        <v>2907.3876801549127</v>
      </c>
      <c r="E481" s="69">
        <f t="shared" ca="1" si="315"/>
        <v>1930.8409501411602</v>
      </c>
      <c r="F481" s="69">
        <f t="shared" ca="1" si="316"/>
        <v>1222.9750100843341</v>
      </c>
      <c r="G481" s="69">
        <f t="shared" ca="1" si="317"/>
        <v>962.03974034164469</v>
      </c>
      <c r="H481" s="69">
        <f t="shared" ca="1" si="318"/>
        <v>1187.5396576882765</v>
      </c>
      <c r="I481" s="69">
        <f t="shared" ca="1" si="319"/>
        <v>1050.7410213096355</v>
      </c>
      <c r="J481" s="69">
        <f t="shared" ca="1" si="320"/>
        <v>1145.4658627419831</v>
      </c>
      <c r="K481" s="69">
        <f t="shared" ca="1" si="321"/>
        <v>1174.0197314959719</v>
      </c>
      <c r="L481" s="69">
        <f t="shared" ca="1" si="322"/>
        <v>953.23109835137473</v>
      </c>
      <c r="M481" s="69">
        <f t="shared" ca="1" si="323"/>
        <v>991.8078081218689</v>
      </c>
      <c r="N481" s="69">
        <f t="shared" ca="1" si="324"/>
        <v>570.93408631883347</v>
      </c>
      <c r="O481" s="69">
        <f t="shared" ca="1" si="325"/>
        <v>632.96247211951913</v>
      </c>
      <c r="P481" s="69">
        <f t="shared" ca="1" si="326"/>
        <v>720.55976900991664</v>
      </c>
      <c r="Q481" s="69">
        <f t="shared" ca="1" si="327"/>
        <v>956.56289026351953</v>
      </c>
      <c r="R481" s="69">
        <f t="shared" ca="1" si="328"/>
        <v>780.59922511312675</v>
      </c>
      <c r="S481" s="69">
        <f t="shared" ca="1" si="329"/>
        <v>698.19236938090944</v>
      </c>
      <c r="T481" s="69">
        <f t="shared" ca="1" si="330"/>
        <v>798.13427063906101</v>
      </c>
      <c r="U481" s="69">
        <f t="shared" ca="1" si="331"/>
        <v>1693.6560662953736</v>
      </c>
      <c r="V481" s="69">
        <f t="shared" ca="1" si="332"/>
        <v>1914.1029600666845</v>
      </c>
      <c r="W481" s="69">
        <f t="shared" ca="1" si="333"/>
        <v>1180.7480097604057</v>
      </c>
      <c r="X481" s="69">
        <f t="shared" ca="1" si="334"/>
        <v>1499.1580140616411</v>
      </c>
      <c r="Y481" s="69">
        <f t="shared" ca="1" si="335"/>
        <v>1206.0875644596233</v>
      </c>
      <c r="AA481" s="20">
        <f t="shared" ca="1" si="295"/>
        <v>6.5695294801100272E+16</v>
      </c>
      <c r="AB481" s="20">
        <f t="shared" ca="1" si="296"/>
        <v>1681653654752772</v>
      </c>
      <c r="AC481" s="20">
        <f t="shared" ca="1" si="297"/>
        <v>401111446483935</v>
      </c>
      <c r="AD481" s="20">
        <f t="shared" ca="1" si="298"/>
        <v>299821458162578.44</v>
      </c>
      <c r="AE481" s="20">
        <f t="shared" ca="1" si="299"/>
        <v>6921081915644454</v>
      </c>
      <c r="AG481" s="16">
        <f t="shared" ca="1" si="300"/>
        <v>-2.9851122550649716E-4</v>
      </c>
      <c r="AH481" s="16">
        <f t="shared" ca="1" si="301"/>
        <v>-6.6921755752653064E-4</v>
      </c>
      <c r="AI481" s="16">
        <f t="shared" ca="1" si="302"/>
        <v>-4.9855824529100373E-4</v>
      </c>
      <c r="AJ481" s="16">
        <f t="shared" ca="1" si="303"/>
        <v>-3.4489019292280557E-5</v>
      </c>
      <c r="AK481" s="16">
        <f t="shared" ca="1" si="304"/>
        <v>-5.8525907458311592E-4</v>
      </c>
      <c r="AM481" s="16">
        <f t="shared" ca="1" si="305"/>
        <v>-1.5007760476163123E-3</v>
      </c>
      <c r="AO481" s="16">
        <f t="shared" ca="1" si="306"/>
        <v>-2.9851122550649716E-4</v>
      </c>
      <c r="AP481" s="16">
        <f t="shared" ca="1" si="307"/>
        <v>-6.6921755752653064E-4</v>
      </c>
      <c r="AQ481" s="16">
        <f t="shared" ca="1" si="308"/>
        <v>-4.9855824529100373E-4</v>
      </c>
      <c r="AR481" s="16">
        <f t="shared" ca="1" si="309"/>
        <v>-3.4489019292280557E-5</v>
      </c>
      <c r="AS481" s="16">
        <f t="shared" ca="1" si="310"/>
        <v>-5.8525907458311592E-4</v>
      </c>
    </row>
    <row r="482" spans="1:45" x14ac:dyDescent="0.25">
      <c r="A482" s="69">
        <f t="shared" ca="1" si="311"/>
        <v>2452.5141069293913</v>
      </c>
      <c r="B482" s="69">
        <f t="shared" ca="1" si="312"/>
        <v>2141.6228929352669</v>
      </c>
      <c r="C482" s="69">
        <f t="shared" ca="1" si="313"/>
        <v>2227.7809131703461</v>
      </c>
      <c r="D482" s="69">
        <f t="shared" ca="1" si="314"/>
        <v>2906.9069457774854</v>
      </c>
      <c r="E482" s="69">
        <f t="shared" ca="1" si="315"/>
        <v>1930.8409501411602</v>
      </c>
      <c r="F482" s="69">
        <f t="shared" ca="1" si="316"/>
        <v>1222.9750100843341</v>
      </c>
      <c r="G482" s="69">
        <f t="shared" ca="1" si="317"/>
        <v>961.9750127649686</v>
      </c>
      <c r="H482" s="69">
        <f t="shared" ca="1" si="318"/>
        <v>1187.1311589033689</v>
      </c>
      <c r="I482" s="69">
        <f t="shared" ca="1" si="319"/>
        <v>1050.7410213096355</v>
      </c>
      <c r="J482" s="69">
        <f t="shared" ca="1" si="320"/>
        <v>1145.1705000463483</v>
      </c>
      <c r="K482" s="69">
        <f t="shared" ca="1" si="321"/>
        <v>1174.0197314959719</v>
      </c>
      <c r="L482" s="69">
        <f t="shared" ca="1" si="322"/>
        <v>953.23109835137473</v>
      </c>
      <c r="M482" s="69">
        <f t="shared" ca="1" si="323"/>
        <v>991.92529638680332</v>
      </c>
      <c r="N482" s="69">
        <f t="shared" ca="1" si="324"/>
        <v>570.51316836893227</v>
      </c>
      <c r="O482" s="69">
        <f t="shared" ca="1" si="325"/>
        <v>633.03875271486936</v>
      </c>
      <c r="P482" s="69">
        <f t="shared" ca="1" si="326"/>
        <v>720.35393805127057</v>
      </c>
      <c r="Q482" s="69">
        <f t="shared" ca="1" si="327"/>
        <v>956.56289026351953</v>
      </c>
      <c r="R482" s="69">
        <f t="shared" ca="1" si="328"/>
        <v>780.59922511312675</v>
      </c>
      <c r="S482" s="69">
        <f t="shared" ca="1" si="329"/>
        <v>698.67069114479091</v>
      </c>
      <c r="T482" s="69">
        <f t="shared" ca="1" si="330"/>
        <v>797.78823847799526</v>
      </c>
      <c r="U482" s="69">
        <f t="shared" ca="1" si="331"/>
        <v>1693.572766407038</v>
      </c>
      <c r="V482" s="69">
        <f t="shared" ca="1" si="332"/>
        <v>1914.1029600666845</v>
      </c>
      <c r="W482" s="69">
        <f t="shared" ca="1" si="333"/>
        <v>1180.7480097604057</v>
      </c>
      <c r="X482" s="69">
        <f t="shared" ca="1" si="334"/>
        <v>1498.9396188601986</v>
      </c>
      <c r="Y482" s="69">
        <f t="shared" ca="1" si="335"/>
        <v>1205.616817610203</v>
      </c>
      <c r="AA482" s="20">
        <f t="shared" ca="1" si="295"/>
        <v>6.5675686944867384E+16</v>
      </c>
      <c r="AB482" s="20">
        <f t="shared" ca="1" si="296"/>
        <v>1680528639083438.8</v>
      </c>
      <c r="AC482" s="20">
        <f t="shared" ca="1" si="297"/>
        <v>400911518906922</v>
      </c>
      <c r="AD482" s="20">
        <f t="shared" ca="1" si="298"/>
        <v>299811117792839.25</v>
      </c>
      <c r="AE482" s="20">
        <f t="shared" ca="1" si="299"/>
        <v>6917032474748993</v>
      </c>
      <c r="AG482" s="16">
        <f t="shared" ca="1" si="300"/>
        <v>1.2534714766664805E-4</v>
      </c>
      <c r="AH482" s="16">
        <f t="shared" ca="1" si="301"/>
        <v>-4.8041175049688635E-4</v>
      </c>
      <c r="AI482" s="16">
        <f t="shared" ca="1" si="302"/>
        <v>9.7794055005111799E-4</v>
      </c>
      <c r="AJ482" s="16">
        <f t="shared" ca="1" si="303"/>
        <v>-1.5237292867826351E-5</v>
      </c>
      <c r="AK482" s="16">
        <f t="shared" ca="1" si="304"/>
        <v>-2.3623197701475387E-4</v>
      </c>
      <c r="AM482" s="16">
        <f t="shared" ca="1" si="305"/>
        <v>6.0763865435305338E-4</v>
      </c>
      <c r="AO482" s="16">
        <f t="shared" ca="1" si="306"/>
        <v>0</v>
      </c>
      <c r="AP482" s="16">
        <f t="shared" ca="1" si="307"/>
        <v>-4.8041175049688635E-4</v>
      </c>
      <c r="AQ482" s="16">
        <f t="shared" ca="1" si="308"/>
        <v>0</v>
      </c>
      <c r="AR482" s="16">
        <f t="shared" ca="1" si="309"/>
        <v>-1.5237292867826351E-5</v>
      </c>
      <c r="AS482" s="16">
        <f t="shared" ca="1" si="310"/>
        <v>-2.3623197701475387E-4</v>
      </c>
    </row>
    <row r="483" spans="1:45" x14ac:dyDescent="0.25">
      <c r="A483" s="69">
        <f t="shared" ca="1" si="311"/>
        <v>2452.026171449113</v>
      </c>
      <c r="B483" s="69">
        <f t="shared" ca="1" si="312"/>
        <v>2141.6228929352669</v>
      </c>
      <c r="C483" s="69">
        <f t="shared" ca="1" si="313"/>
        <v>2228.1450638474585</v>
      </c>
      <c r="D483" s="69">
        <f t="shared" ca="1" si="314"/>
        <v>2907.3746307500101</v>
      </c>
      <c r="E483" s="69">
        <f t="shared" ca="1" si="315"/>
        <v>1930.8409501411602</v>
      </c>
      <c r="F483" s="69">
        <f t="shared" ca="1" si="316"/>
        <v>1222.8469959453721</v>
      </c>
      <c r="G483" s="69">
        <f t="shared" ca="1" si="317"/>
        <v>962.15360089682792</v>
      </c>
      <c r="H483" s="69">
        <f t="shared" ca="1" si="318"/>
        <v>1186.7831654498432</v>
      </c>
      <c r="I483" s="69">
        <f t="shared" ca="1" si="319"/>
        <v>1050.8481923948605</v>
      </c>
      <c r="J483" s="69">
        <f t="shared" ca="1" si="320"/>
        <v>1144.7466691091709</v>
      </c>
      <c r="K483" s="69">
        <f t="shared" ca="1" si="321"/>
        <v>1174.1736063590502</v>
      </c>
      <c r="L483" s="69">
        <f t="shared" ca="1" si="322"/>
        <v>953.6702432178472</v>
      </c>
      <c r="M483" s="69">
        <f t="shared" ca="1" si="323"/>
        <v>991.92529638680332</v>
      </c>
      <c r="N483" s="69">
        <f t="shared" ca="1" si="324"/>
        <v>570.8194200151429</v>
      </c>
      <c r="O483" s="69">
        <f t="shared" ca="1" si="325"/>
        <v>632.9435770438273</v>
      </c>
      <c r="P483" s="69">
        <f t="shared" ca="1" si="326"/>
        <v>720.35393805127057</v>
      </c>
      <c r="Q483" s="69">
        <f t="shared" ca="1" si="327"/>
        <v>956.56289026351953</v>
      </c>
      <c r="R483" s="69">
        <f t="shared" ca="1" si="328"/>
        <v>780.32457401826639</v>
      </c>
      <c r="S483" s="69">
        <f t="shared" ca="1" si="329"/>
        <v>698.90595298003325</v>
      </c>
      <c r="T483" s="69">
        <f t="shared" ca="1" si="330"/>
        <v>797.78823847799526</v>
      </c>
      <c r="U483" s="69">
        <f t="shared" ca="1" si="331"/>
        <v>1693.4430086005884</v>
      </c>
      <c r="V483" s="69">
        <f t="shared" ca="1" si="332"/>
        <v>1914.1029600666845</v>
      </c>
      <c r="W483" s="69">
        <f t="shared" ca="1" si="333"/>
        <v>1180.3522585247049</v>
      </c>
      <c r="X483" s="69">
        <f t="shared" ca="1" si="334"/>
        <v>1498.9706772832621</v>
      </c>
      <c r="Y483" s="69">
        <f t="shared" ca="1" si="335"/>
        <v>1205.8035758749074</v>
      </c>
      <c r="AA483" s="20">
        <f t="shared" ca="1" si="295"/>
        <v>6.5683919720863688E+16</v>
      </c>
      <c r="AB483" s="20">
        <f t="shared" ca="1" si="296"/>
        <v>1679721487276306.8</v>
      </c>
      <c r="AC483" s="20">
        <f t="shared" ca="1" si="297"/>
        <v>401303778310169.94</v>
      </c>
      <c r="AD483" s="20">
        <f t="shared" ca="1" si="298"/>
        <v>299806549517836.56</v>
      </c>
      <c r="AE483" s="20">
        <f t="shared" ca="1" si="299"/>
        <v>6915398643481601</v>
      </c>
      <c r="AG483" s="16">
        <f t="shared" ca="1" si="300"/>
        <v>-1.4648809960379622E-4</v>
      </c>
      <c r="AH483" s="16">
        <f t="shared" ca="1" si="301"/>
        <v>3.340412883805996E-4</v>
      </c>
      <c r="AI483" s="16">
        <f t="shared" ca="1" si="302"/>
        <v>-5.6459367294737117E-4</v>
      </c>
      <c r="AJ483" s="16">
        <f t="shared" ca="1" si="303"/>
        <v>3.0288176277202611E-4</v>
      </c>
      <c r="AK483" s="16">
        <f t="shared" ca="1" si="304"/>
        <v>2.3160265164321808E-6</v>
      </c>
      <c r="AM483" s="16">
        <f t="shared" ca="1" si="305"/>
        <v>-7.415872139854171E-5</v>
      </c>
      <c r="AO483" s="16">
        <f t="shared" ca="1" si="306"/>
        <v>-1.4648809960379622E-4</v>
      </c>
      <c r="AP483" s="16">
        <f t="shared" ca="1" si="307"/>
        <v>0</v>
      </c>
      <c r="AQ483" s="16">
        <f t="shared" ca="1" si="308"/>
        <v>-5.6459367294737117E-4</v>
      </c>
      <c r="AR483" s="16">
        <f t="shared" ca="1" si="309"/>
        <v>0</v>
      </c>
      <c r="AS483" s="16">
        <f t="shared" ca="1" si="310"/>
        <v>0</v>
      </c>
    </row>
    <row r="484" spans="1:45" x14ac:dyDescent="0.25">
      <c r="A484" s="69">
        <f t="shared" ca="1" si="311"/>
        <v>2452.026171449113</v>
      </c>
      <c r="B484" s="69">
        <f t="shared" ca="1" si="312"/>
        <v>2141.2677212412423</v>
      </c>
      <c r="C484" s="69">
        <f t="shared" ca="1" si="313"/>
        <v>2228.1450638474585</v>
      </c>
      <c r="D484" s="69">
        <f t="shared" ca="1" si="314"/>
        <v>2906.9087071341078</v>
      </c>
      <c r="E484" s="69">
        <f t="shared" ca="1" si="315"/>
        <v>1931.1878309964522</v>
      </c>
      <c r="F484" s="69">
        <f t="shared" ca="1" si="316"/>
        <v>1222.7776535545579</v>
      </c>
      <c r="G484" s="69">
        <f t="shared" ca="1" si="317"/>
        <v>962.15360089682792</v>
      </c>
      <c r="H484" s="69">
        <f t="shared" ca="1" si="318"/>
        <v>1186.6831244119023</v>
      </c>
      <c r="I484" s="69">
        <f t="shared" ca="1" si="319"/>
        <v>1051.3475144402905</v>
      </c>
      <c r="J484" s="69">
        <f t="shared" ca="1" si="320"/>
        <v>1144.7466691091709</v>
      </c>
      <c r="K484" s="69">
        <f t="shared" ca="1" si="321"/>
        <v>1173.9749334954047</v>
      </c>
      <c r="L484" s="69">
        <f t="shared" ca="1" si="322"/>
        <v>953.70472235187583</v>
      </c>
      <c r="M484" s="69">
        <f t="shared" ca="1" si="323"/>
        <v>991.6238449028823</v>
      </c>
      <c r="N484" s="69">
        <f t="shared" ca="1" si="324"/>
        <v>570.45860564310999</v>
      </c>
      <c r="O484" s="69">
        <f t="shared" ca="1" si="325"/>
        <v>633.26311689260444</v>
      </c>
      <c r="P484" s="69">
        <f t="shared" ca="1" si="326"/>
        <v>720.77297423973948</v>
      </c>
      <c r="Q484" s="69">
        <f t="shared" ca="1" si="327"/>
        <v>956.98300960776839</v>
      </c>
      <c r="R484" s="69">
        <f t="shared" ca="1" si="328"/>
        <v>780.15458918432398</v>
      </c>
      <c r="S484" s="69">
        <f t="shared" ca="1" si="329"/>
        <v>698.96759333649265</v>
      </c>
      <c r="T484" s="69">
        <f t="shared" ca="1" si="330"/>
        <v>797.31920713832017</v>
      </c>
      <c r="U484" s="69">
        <f t="shared" ca="1" si="331"/>
        <v>1693.4123756149374</v>
      </c>
      <c r="V484" s="69">
        <f t="shared" ca="1" si="332"/>
        <v>1913.6947164188127</v>
      </c>
      <c r="W484" s="69">
        <f t="shared" ca="1" si="333"/>
        <v>1180.3892147436216</v>
      </c>
      <c r="X484" s="69">
        <f t="shared" ca="1" si="334"/>
        <v>1498.9706772832621</v>
      </c>
      <c r="Y484" s="69">
        <f t="shared" ca="1" si="335"/>
        <v>1206.0476565310994</v>
      </c>
      <c r="AA484" s="20">
        <f t="shared" ca="1" si="295"/>
        <v>6.567429851300268E+16</v>
      </c>
      <c r="AB484" s="20">
        <f t="shared" ca="1" si="296"/>
        <v>1680282677331143.3</v>
      </c>
      <c r="AC484" s="20">
        <f t="shared" ca="1" si="297"/>
        <v>401077268684973.75</v>
      </c>
      <c r="AD484" s="20">
        <f t="shared" ca="1" si="298"/>
        <v>299897369207164.63</v>
      </c>
      <c r="AE484" s="20">
        <f t="shared" ca="1" si="299"/>
        <v>6915414659746778</v>
      </c>
      <c r="AG484" s="16">
        <f t="shared" ca="1" si="300"/>
        <v>-1.2980493759754249E-4</v>
      </c>
      <c r="AH484" s="16">
        <f t="shared" ca="1" si="301"/>
        <v>-9.3023709638834722E-5</v>
      </c>
      <c r="AI484" s="16">
        <f t="shared" ca="1" si="302"/>
        <v>-2.957778025805812E-4</v>
      </c>
      <c r="AJ484" s="16">
        <f t="shared" ca="1" si="303"/>
        <v>1.2514870188411165E-3</v>
      </c>
      <c r="AK484" s="16">
        <f t="shared" ca="1" si="304"/>
        <v>-3.1949170314861359E-4</v>
      </c>
      <c r="AM484" s="16">
        <f t="shared" ca="1" si="305"/>
        <v>7.3288056902415808E-4</v>
      </c>
      <c r="AO484" s="16">
        <f t="shared" ca="1" si="306"/>
        <v>-1.2980493759754249E-4</v>
      </c>
      <c r="AP484" s="16">
        <f t="shared" ca="1" si="307"/>
        <v>-9.3023709638834722E-5</v>
      </c>
      <c r="AQ484" s="16">
        <f t="shared" ca="1" si="308"/>
        <v>-2.957778025805812E-4</v>
      </c>
      <c r="AR484" s="16">
        <f t="shared" ca="1" si="309"/>
        <v>0</v>
      </c>
      <c r="AS484" s="16">
        <f t="shared" ca="1" si="310"/>
        <v>-3.1949170314861359E-4</v>
      </c>
    </row>
    <row r="485" spans="1:45" x14ac:dyDescent="0.25">
      <c r="A485" s="69">
        <f t="shared" ca="1" si="311"/>
        <v>2451.6791006155968</v>
      </c>
      <c r="B485" s="69">
        <f t="shared" ca="1" si="312"/>
        <v>2140.7856056561209</v>
      </c>
      <c r="C485" s="69">
        <f t="shared" ca="1" si="313"/>
        <v>2228.5177396311296</v>
      </c>
      <c r="D485" s="69">
        <f t="shared" ca="1" si="314"/>
        <v>2907.1112818004776</v>
      </c>
      <c r="E485" s="69">
        <f t="shared" ca="1" si="315"/>
        <v>1931.1878309964522</v>
      </c>
      <c r="F485" s="69">
        <f t="shared" ca="1" si="316"/>
        <v>1222.6858161032612</v>
      </c>
      <c r="G485" s="69">
        <f t="shared" ca="1" si="317"/>
        <v>962.15360089682792</v>
      </c>
      <c r="H485" s="69">
        <f t="shared" ca="1" si="318"/>
        <v>1186.6831244119023</v>
      </c>
      <c r="I485" s="69">
        <f t="shared" ca="1" si="319"/>
        <v>1051.2305326014414</v>
      </c>
      <c r="J485" s="69">
        <f t="shared" ca="1" si="320"/>
        <v>1144.8535469400852</v>
      </c>
      <c r="K485" s="69">
        <f t="shared" ca="1" si="321"/>
        <v>1173.9749334954047</v>
      </c>
      <c r="L485" s="69">
        <f t="shared" ca="1" si="322"/>
        <v>953.59111722962336</v>
      </c>
      <c r="M485" s="69">
        <f t="shared" ca="1" si="323"/>
        <v>991.6238449028823</v>
      </c>
      <c r="N485" s="69">
        <f t="shared" ca="1" si="324"/>
        <v>570.69394890025342</v>
      </c>
      <c r="O485" s="69">
        <f t="shared" ca="1" si="325"/>
        <v>632.89016081639704</v>
      </c>
      <c r="P485" s="69">
        <f t="shared" ca="1" si="326"/>
        <v>721.21328581315458</v>
      </c>
      <c r="Q485" s="69">
        <f t="shared" ca="1" si="327"/>
        <v>957.09522659744073</v>
      </c>
      <c r="R485" s="69">
        <f t="shared" ca="1" si="328"/>
        <v>780.15458918432398</v>
      </c>
      <c r="S485" s="69">
        <f t="shared" ca="1" si="329"/>
        <v>698.96759333649265</v>
      </c>
      <c r="T485" s="69">
        <f t="shared" ca="1" si="330"/>
        <v>797.73673788746078</v>
      </c>
      <c r="U485" s="69">
        <f t="shared" ca="1" si="331"/>
        <v>1693.4123756149374</v>
      </c>
      <c r="V485" s="69">
        <f t="shared" ca="1" si="332"/>
        <v>1913.80211580542</v>
      </c>
      <c r="W485" s="69">
        <f t="shared" ca="1" si="333"/>
        <v>1180.6723051208196</v>
      </c>
      <c r="X485" s="69">
        <f t="shared" ca="1" si="334"/>
        <v>1498.4974476412995</v>
      </c>
      <c r="Y485" s="69">
        <f t="shared" ca="1" si="335"/>
        <v>1205.6863089194487</v>
      </c>
      <c r="AA485" s="20">
        <f t="shared" ca="1" si="295"/>
        <v>6.5665774218042192E+16</v>
      </c>
      <c r="AB485" s="20">
        <f t="shared" ca="1" si="296"/>
        <v>1680126378473118.5</v>
      </c>
      <c r="AC485" s="20">
        <f t="shared" ca="1" si="297"/>
        <v>400958656474071.38</v>
      </c>
      <c r="AD485" s="20">
        <f t="shared" ca="1" si="298"/>
        <v>300272921822306.88</v>
      </c>
      <c r="AE485" s="20">
        <f t="shared" ca="1" si="299"/>
        <v>6913205595046869</v>
      </c>
      <c r="AG485" s="16">
        <f t="shared" ca="1" si="300"/>
        <v>-4.2079182921119408E-5</v>
      </c>
      <c r="AH485" s="16">
        <f t="shared" ca="1" si="301"/>
        <v>9.0687084490389787E-4</v>
      </c>
      <c r="AI485" s="16">
        <f t="shared" ca="1" si="302"/>
        <v>-6.3681523570277576E-4</v>
      </c>
      <c r="AJ485" s="16">
        <f t="shared" ca="1" si="303"/>
        <v>2.9483179961364224E-4</v>
      </c>
      <c r="AK485" s="16">
        <f t="shared" ca="1" si="304"/>
        <v>-4.0954332056044717E-4</v>
      </c>
      <c r="AM485" s="16">
        <f t="shared" ca="1" si="305"/>
        <v>5.2280822589364498E-4</v>
      </c>
      <c r="AO485" s="16">
        <f t="shared" ca="1" si="306"/>
        <v>-4.2079182921119408E-5</v>
      </c>
      <c r="AP485" s="16">
        <f t="shared" ca="1" si="307"/>
        <v>0</v>
      </c>
      <c r="AQ485" s="16">
        <f t="shared" ca="1" si="308"/>
        <v>-6.3681523570277576E-4</v>
      </c>
      <c r="AR485" s="16">
        <f t="shared" ca="1" si="309"/>
        <v>0</v>
      </c>
      <c r="AS485" s="16">
        <f t="shared" ca="1" si="310"/>
        <v>-4.0954332056044717E-4</v>
      </c>
    </row>
    <row r="486" spans="1:45" x14ac:dyDescent="0.25">
      <c r="A486" s="69">
        <f t="shared" ca="1" si="311"/>
        <v>2451.6791006155968</v>
      </c>
      <c r="B486" s="69">
        <f t="shared" ca="1" si="312"/>
        <v>2140.7856056561209</v>
      </c>
      <c r="C486" s="69">
        <f t="shared" ca="1" si="313"/>
        <v>2228.2327506182737</v>
      </c>
      <c r="D486" s="69">
        <f t="shared" ca="1" si="314"/>
        <v>2907.3607568424395</v>
      </c>
      <c r="E486" s="69">
        <f t="shared" ca="1" si="315"/>
        <v>1931.1878309964522</v>
      </c>
      <c r="F486" s="69">
        <f t="shared" ca="1" si="316"/>
        <v>1222.6858161032612</v>
      </c>
      <c r="G486" s="69">
        <f t="shared" ca="1" si="317"/>
        <v>962.64161595037592</v>
      </c>
      <c r="H486" s="69">
        <f t="shared" ca="1" si="318"/>
        <v>1186.6831244119023</v>
      </c>
      <c r="I486" s="69">
        <f t="shared" ca="1" si="319"/>
        <v>1051.6508862508126</v>
      </c>
      <c r="J486" s="69">
        <f t="shared" ca="1" si="320"/>
        <v>1144.8535469400852</v>
      </c>
      <c r="K486" s="69">
        <f t="shared" ca="1" si="321"/>
        <v>1173.9749334954047</v>
      </c>
      <c r="L486" s="69">
        <f t="shared" ca="1" si="322"/>
        <v>953.64556340949537</v>
      </c>
      <c r="M486" s="69">
        <f t="shared" ca="1" si="323"/>
        <v>991.6238449028823</v>
      </c>
      <c r="N486" s="69">
        <f t="shared" ca="1" si="324"/>
        <v>570.69394890025342</v>
      </c>
      <c r="O486" s="69">
        <f t="shared" ca="1" si="325"/>
        <v>632.45114462963636</v>
      </c>
      <c r="P486" s="69">
        <f t="shared" ca="1" si="326"/>
        <v>721.21328581315458</v>
      </c>
      <c r="Q486" s="69">
        <f t="shared" ca="1" si="327"/>
        <v>957.21587089752381</v>
      </c>
      <c r="R486" s="69">
        <f t="shared" ca="1" si="328"/>
        <v>780.63046701346821</v>
      </c>
      <c r="S486" s="69">
        <f t="shared" ca="1" si="329"/>
        <v>698.87968540027225</v>
      </c>
      <c r="T486" s="69">
        <f t="shared" ca="1" si="330"/>
        <v>797.48530730753362</v>
      </c>
      <c r="U486" s="69">
        <f t="shared" ca="1" si="331"/>
        <v>1693.1430708506189</v>
      </c>
      <c r="V486" s="69">
        <f t="shared" ca="1" si="332"/>
        <v>1913.8573470356375</v>
      </c>
      <c r="W486" s="69">
        <f t="shared" ca="1" si="333"/>
        <v>1180.3425199180967</v>
      </c>
      <c r="X486" s="69">
        <f t="shared" ca="1" si="334"/>
        <v>1498.4974476412995</v>
      </c>
      <c r="Y486" s="69">
        <f t="shared" ca="1" si="335"/>
        <v>1205.6863089194487</v>
      </c>
      <c r="AA486" s="20">
        <f t="shared" ca="1" si="295"/>
        <v>6.56630111140522E+16</v>
      </c>
      <c r="AB486" s="20">
        <f t="shared" ca="1" si="296"/>
        <v>1681650727190744</v>
      </c>
      <c r="AC486" s="20">
        <f t="shared" ca="1" si="297"/>
        <v>400703401176599.19</v>
      </c>
      <c r="AD486" s="20">
        <f t="shared" ca="1" si="298"/>
        <v>300361464880236.19</v>
      </c>
      <c r="AE486" s="20">
        <f t="shared" ca="1" si="299"/>
        <v>6910374917553851</v>
      </c>
      <c r="AG486" s="16">
        <f t="shared" ca="1" si="300"/>
        <v>1.5563204950400702E-4</v>
      </c>
      <c r="AH486" s="16">
        <f t="shared" ca="1" si="301"/>
        <v>1.1251537737747975E-3</v>
      </c>
      <c r="AI486" s="16">
        <f t="shared" ca="1" si="302"/>
        <v>1.4128177528568924E-4</v>
      </c>
      <c r="AJ486" s="16">
        <f t="shared" ca="1" si="303"/>
        <v>-2.7984526260227681E-4</v>
      </c>
      <c r="AK486" s="16">
        <f t="shared" ca="1" si="304"/>
        <v>2.8528339104198839E-4</v>
      </c>
      <c r="AM486" s="16">
        <f t="shared" ca="1" si="305"/>
        <v>1.1422223359622168E-3</v>
      </c>
      <c r="AO486" s="16">
        <f t="shared" ca="1" si="306"/>
        <v>0</v>
      </c>
      <c r="AP486" s="16">
        <f t="shared" ca="1" si="307"/>
        <v>0</v>
      </c>
      <c r="AQ486" s="16">
        <f t="shared" ca="1" si="308"/>
        <v>0</v>
      </c>
      <c r="AR486" s="16">
        <f t="shared" ca="1" si="309"/>
        <v>-2.7984526260227681E-4</v>
      </c>
      <c r="AS486" s="16">
        <f t="shared" ca="1" si="310"/>
        <v>0</v>
      </c>
    </row>
    <row r="487" spans="1:45" x14ac:dyDescent="0.25">
      <c r="A487" s="69">
        <f t="shared" ca="1" si="311"/>
        <v>2451.8995186345746</v>
      </c>
      <c r="B487" s="69">
        <f t="shared" ca="1" si="312"/>
        <v>2140.7856056561209</v>
      </c>
      <c r="C487" s="69">
        <f t="shared" ca="1" si="313"/>
        <v>2228.387592367113</v>
      </c>
      <c r="D487" s="69">
        <f t="shared" ca="1" si="314"/>
        <v>2907.3607568424395</v>
      </c>
      <c r="E487" s="69">
        <f t="shared" ca="1" si="315"/>
        <v>1931.1805750552137</v>
      </c>
      <c r="F487" s="69">
        <f t="shared" ca="1" si="316"/>
        <v>1222.9091571807664</v>
      </c>
      <c r="G487" s="69">
        <f t="shared" ca="1" si="317"/>
        <v>962.98637420211435</v>
      </c>
      <c r="H487" s="69">
        <f t="shared" ca="1" si="318"/>
        <v>1186.9190453117935</v>
      </c>
      <c r="I487" s="69">
        <f t="shared" ca="1" si="319"/>
        <v>1051.6508862508126</v>
      </c>
      <c r="J487" s="69">
        <f t="shared" ca="1" si="320"/>
        <v>1145.2951394956312</v>
      </c>
      <c r="K487" s="69">
        <f t="shared" ca="1" si="321"/>
        <v>1173.7409176891683</v>
      </c>
      <c r="L487" s="69">
        <f t="shared" ca="1" si="322"/>
        <v>953.64556340949537</v>
      </c>
      <c r="M487" s="69">
        <f t="shared" ca="1" si="323"/>
        <v>991.6238449028823</v>
      </c>
      <c r="N487" s="69">
        <f t="shared" ca="1" si="324"/>
        <v>570.88838202176476</v>
      </c>
      <c r="O487" s="69">
        <f t="shared" ca="1" si="325"/>
        <v>632.45114462963636</v>
      </c>
      <c r="P487" s="69">
        <f t="shared" ca="1" si="326"/>
        <v>721.26200131253256</v>
      </c>
      <c r="Q487" s="69">
        <f t="shared" ca="1" si="327"/>
        <v>956.95051321306971</v>
      </c>
      <c r="R487" s="69">
        <f t="shared" ca="1" si="328"/>
        <v>780.49422979115991</v>
      </c>
      <c r="S487" s="69">
        <f t="shared" ca="1" si="329"/>
        <v>698.87968540027225</v>
      </c>
      <c r="T487" s="69">
        <f t="shared" ca="1" si="330"/>
        <v>797.56857259348396</v>
      </c>
      <c r="U487" s="69">
        <f t="shared" ca="1" si="331"/>
        <v>1693.1077237489637</v>
      </c>
      <c r="V487" s="69">
        <f t="shared" ca="1" si="332"/>
        <v>1914.0840783578208</v>
      </c>
      <c r="W487" s="69">
        <f t="shared" ca="1" si="333"/>
        <v>1180.2760298211304</v>
      </c>
      <c r="X487" s="69">
        <f t="shared" ca="1" si="334"/>
        <v>1498.4974476412995</v>
      </c>
      <c r="Y487" s="69">
        <f t="shared" ca="1" si="335"/>
        <v>1205.9805705910348</v>
      </c>
      <c r="AA487" s="20">
        <f t="shared" ca="1" si="295"/>
        <v>6.5673231178312624E+16</v>
      </c>
      <c r="AB487" s="20">
        <f t="shared" ca="1" si="296"/>
        <v>1683543907712492.3</v>
      </c>
      <c r="AC487" s="20">
        <f t="shared" ca="1" si="297"/>
        <v>400760017263796.94</v>
      </c>
      <c r="AD487" s="20">
        <f t="shared" ca="1" si="298"/>
        <v>300277421907283.56</v>
      </c>
      <c r="AE487" s="20">
        <f t="shared" ca="1" si="299"/>
        <v>6912346613976450</v>
      </c>
      <c r="AG487" s="16">
        <f t="shared" ca="1" si="300"/>
        <v>2.071647024761126E-4</v>
      </c>
      <c r="AH487" s="16">
        <f t="shared" ca="1" si="301"/>
        <v>-5.2875141812287567E-4</v>
      </c>
      <c r="AI487" s="16">
        <f t="shared" ca="1" si="302"/>
        <v>-7.3408946104373156E-4</v>
      </c>
      <c r="AJ487" s="16">
        <f t="shared" ca="1" si="303"/>
        <v>-2.2526980048593736E-5</v>
      </c>
      <c r="AK487" s="16">
        <f t="shared" ca="1" si="304"/>
        <v>4.8367952684572838E-4</v>
      </c>
      <c r="AM487" s="16">
        <f t="shared" ca="1" si="305"/>
        <v>-1.0782031567390883E-3</v>
      </c>
      <c r="AO487" s="16">
        <f t="shared" ca="1" si="306"/>
        <v>0</v>
      </c>
      <c r="AP487" s="16">
        <f t="shared" ca="1" si="307"/>
        <v>-5.2875141812287567E-4</v>
      </c>
      <c r="AQ487" s="16">
        <f t="shared" ca="1" si="308"/>
        <v>-7.3408946104373156E-4</v>
      </c>
      <c r="AR487" s="16">
        <f t="shared" ca="1" si="309"/>
        <v>-2.2526980048593736E-5</v>
      </c>
      <c r="AS487" s="16">
        <f t="shared" ca="1" si="310"/>
        <v>0</v>
      </c>
    </row>
    <row r="488" spans="1:45" x14ac:dyDescent="0.25">
      <c r="A488" s="69">
        <f t="shared" ca="1" si="311"/>
        <v>2452.31796341466</v>
      </c>
      <c r="B488" s="69">
        <f t="shared" ca="1" si="312"/>
        <v>2140.8637838467675</v>
      </c>
      <c r="C488" s="69">
        <f t="shared" ca="1" si="313"/>
        <v>2228.387592367113</v>
      </c>
      <c r="D488" s="69">
        <f t="shared" ca="1" si="314"/>
        <v>2907.3607568424395</v>
      </c>
      <c r="E488" s="69">
        <f t="shared" ca="1" si="315"/>
        <v>1931.1805750552137</v>
      </c>
      <c r="F488" s="69">
        <f t="shared" ca="1" si="316"/>
        <v>1222.5394317721727</v>
      </c>
      <c r="G488" s="69">
        <f t="shared" ca="1" si="317"/>
        <v>962.63847564415369</v>
      </c>
      <c r="H488" s="69">
        <f t="shared" ca="1" si="318"/>
        <v>1187.2090003091084</v>
      </c>
      <c r="I488" s="69">
        <f t="shared" ca="1" si="319"/>
        <v>1051.5359475449084</v>
      </c>
      <c r="J488" s="69">
        <f t="shared" ca="1" si="320"/>
        <v>1145.2951394956312</v>
      </c>
      <c r="K488" s="69">
        <f t="shared" ca="1" si="321"/>
        <v>1173.7409176891683</v>
      </c>
      <c r="L488" s="69">
        <f t="shared" ca="1" si="322"/>
        <v>953.48756024457407</v>
      </c>
      <c r="M488" s="69">
        <f t="shared" ca="1" si="323"/>
        <v>991.24280444496776</v>
      </c>
      <c r="N488" s="69">
        <f t="shared" ca="1" si="324"/>
        <v>570.78331426460795</v>
      </c>
      <c r="O488" s="69">
        <f t="shared" ca="1" si="325"/>
        <v>632.45114462963636</v>
      </c>
      <c r="P488" s="69">
        <f t="shared" ca="1" si="326"/>
        <v>721.26200131253256</v>
      </c>
      <c r="Q488" s="69">
        <f t="shared" ca="1" si="327"/>
        <v>957.19051631413208</v>
      </c>
      <c r="R488" s="69">
        <f t="shared" ca="1" si="328"/>
        <v>780.1763182780154</v>
      </c>
      <c r="S488" s="69">
        <f t="shared" ca="1" si="329"/>
        <v>699.24011207483534</v>
      </c>
      <c r="T488" s="69">
        <f t="shared" ca="1" si="330"/>
        <v>797.26437464837352</v>
      </c>
      <c r="U488" s="69">
        <f t="shared" ca="1" si="331"/>
        <v>1693.1077237489637</v>
      </c>
      <c r="V488" s="69">
        <f t="shared" ca="1" si="332"/>
        <v>1914.0840783578208</v>
      </c>
      <c r="W488" s="69">
        <f t="shared" ca="1" si="333"/>
        <v>1180.6392686109511</v>
      </c>
      <c r="X488" s="69">
        <f t="shared" ca="1" si="334"/>
        <v>1498.4974476412995</v>
      </c>
      <c r="Y488" s="69">
        <f t="shared" ca="1" si="335"/>
        <v>1206.192804921141</v>
      </c>
      <c r="AA488" s="20">
        <f t="shared" ca="1" si="295"/>
        <v>6.5686837763063704E+16</v>
      </c>
      <c r="AB488" s="20">
        <f t="shared" ca="1" si="296"/>
        <v>1682653966783315.3</v>
      </c>
      <c r="AC488" s="20">
        <f t="shared" ca="1" si="297"/>
        <v>400465931514547.06</v>
      </c>
      <c r="AD488" s="20">
        <f t="shared" ca="1" si="298"/>
        <v>300270657639980.75</v>
      </c>
      <c r="AE488" s="20">
        <f t="shared" ca="1" si="299"/>
        <v>6915690783203991</v>
      </c>
      <c r="AG488" s="16">
        <f t="shared" ca="1" si="300"/>
        <v>-6.8873854066259639E-5</v>
      </c>
      <c r="AH488" s="16">
        <f t="shared" ca="1" si="301"/>
        <v>4.5795421111124453E-4</v>
      </c>
      <c r="AI488" s="16">
        <f t="shared" ca="1" si="302"/>
        <v>-9.6562659740251878E-5</v>
      </c>
      <c r="AJ488" s="16">
        <f t="shared" ca="1" si="303"/>
        <v>9.7053261659041075E-4</v>
      </c>
      <c r="AK488" s="16">
        <f t="shared" ca="1" si="304"/>
        <v>5.4575165640391565E-5</v>
      </c>
      <c r="AM488" s="16">
        <f t="shared" ca="1" si="305"/>
        <v>1.2630503138951438E-3</v>
      </c>
      <c r="AO488" s="16">
        <f t="shared" ca="1" si="306"/>
        <v>-6.8873854066259639E-5</v>
      </c>
      <c r="AP488" s="16">
        <f t="shared" ca="1" si="307"/>
        <v>0</v>
      </c>
      <c r="AQ488" s="16">
        <f t="shared" ca="1" si="308"/>
        <v>-9.6562659740251878E-5</v>
      </c>
      <c r="AR488" s="16">
        <f t="shared" ca="1" si="309"/>
        <v>0</v>
      </c>
      <c r="AS488" s="16">
        <f t="shared" ca="1" si="310"/>
        <v>0</v>
      </c>
    </row>
    <row r="489" spans="1:45" x14ac:dyDescent="0.25">
      <c r="A489" s="69">
        <f t="shared" ca="1" si="311"/>
        <v>2452.2280581339742</v>
      </c>
      <c r="B489" s="69">
        <f t="shared" ca="1" si="312"/>
        <v>2140.645785525805</v>
      </c>
      <c r="C489" s="69">
        <f t="shared" ca="1" si="313"/>
        <v>2228.387592367113</v>
      </c>
      <c r="D489" s="69">
        <f t="shared" ca="1" si="314"/>
        <v>2907.0318459541536</v>
      </c>
      <c r="E489" s="69">
        <f t="shared" ca="1" si="315"/>
        <v>1931.533544894967</v>
      </c>
      <c r="F489" s="69">
        <f t="shared" ca="1" si="316"/>
        <v>1222.5394317721727</v>
      </c>
      <c r="G489" s="69">
        <f t="shared" ca="1" si="317"/>
        <v>963.08756779350324</v>
      </c>
      <c r="H489" s="69">
        <f t="shared" ca="1" si="318"/>
        <v>1187.1989575981654</v>
      </c>
      <c r="I489" s="69">
        <f t="shared" ca="1" si="319"/>
        <v>1051.5359475449084</v>
      </c>
      <c r="J489" s="69">
        <f t="shared" ca="1" si="320"/>
        <v>1145.2951394956312</v>
      </c>
      <c r="K489" s="69">
        <f t="shared" ca="1" si="321"/>
        <v>1174.0534262301699</v>
      </c>
      <c r="L489" s="69">
        <f t="shared" ca="1" si="322"/>
        <v>953.94004125016852</v>
      </c>
      <c r="M489" s="69">
        <f t="shared" ca="1" si="323"/>
        <v>991.08111727602216</v>
      </c>
      <c r="N489" s="69">
        <f t="shared" ca="1" si="324"/>
        <v>570.78331426460795</v>
      </c>
      <c r="O489" s="69">
        <f t="shared" ca="1" si="325"/>
        <v>632.02495966401364</v>
      </c>
      <c r="P489" s="69">
        <f t="shared" ca="1" si="326"/>
        <v>721.26200131253256</v>
      </c>
      <c r="Q489" s="69">
        <f t="shared" ca="1" si="327"/>
        <v>957.05947223501528</v>
      </c>
      <c r="R489" s="69">
        <f t="shared" ca="1" si="328"/>
        <v>780.1763182780154</v>
      </c>
      <c r="S489" s="69">
        <f t="shared" ca="1" si="329"/>
        <v>699.70529707261085</v>
      </c>
      <c r="T489" s="69">
        <f t="shared" ca="1" si="330"/>
        <v>797.61715917322954</v>
      </c>
      <c r="U489" s="69">
        <f t="shared" ca="1" si="331"/>
        <v>1693.0822064977542</v>
      </c>
      <c r="V489" s="69">
        <f t="shared" ca="1" si="332"/>
        <v>1914.5066283006504</v>
      </c>
      <c r="W489" s="69">
        <f t="shared" ca="1" si="333"/>
        <v>1180.8527265614493</v>
      </c>
      <c r="X489" s="69">
        <f t="shared" ca="1" si="334"/>
        <v>1498.0002242810444</v>
      </c>
      <c r="Y489" s="69">
        <f t="shared" ca="1" si="335"/>
        <v>1206.192804921141</v>
      </c>
      <c r="AA489" s="20">
        <f t="shared" ca="1" si="295"/>
        <v>6.5682313813178256E+16</v>
      </c>
      <c r="AB489" s="20">
        <f t="shared" ca="1" si="296"/>
        <v>1683424721725012</v>
      </c>
      <c r="AC489" s="20">
        <f t="shared" ca="1" si="297"/>
        <v>400427263326046.25</v>
      </c>
      <c r="AD489" s="20">
        <f t="shared" ca="1" si="298"/>
        <v>300562221570291.38</v>
      </c>
      <c r="AE489" s="20">
        <f t="shared" ca="1" si="299"/>
        <v>6916068218473205</v>
      </c>
      <c r="AG489" s="16">
        <f t="shared" ca="1" si="300"/>
        <v>-5.8392273422502337E-5</v>
      </c>
      <c r="AH489" s="16">
        <f t="shared" ca="1" si="301"/>
        <v>-1.3875419212813512E-4</v>
      </c>
      <c r="AI489" s="16">
        <f t="shared" ca="1" si="302"/>
        <v>4.2722009942355459E-4</v>
      </c>
      <c r="AJ489" s="16">
        <f t="shared" ca="1" si="303"/>
        <v>3.7988126357926691E-4</v>
      </c>
      <c r="AK489" s="16">
        <f t="shared" ca="1" si="304"/>
        <v>-1.3093046342032254E-4</v>
      </c>
      <c r="AM489" s="16">
        <f t="shared" ca="1" si="305"/>
        <v>6.0995489745218397E-4</v>
      </c>
      <c r="AO489" s="16">
        <f t="shared" ca="1" si="306"/>
        <v>-5.8392273422502337E-5</v>
      </c>
      <c r="AP489" s="16">
        <f t="shared" ca="1" si="307"/>
        <v>-1.3875419212813512E-4</v>
      </c>
      <c r="AQ489" s="16">
        <f t="shared" ca="1" si="308"/>
        <v>0</v>
      </c>
      <c r="AR489" s="16">
        <f t="shared" ca="1" si="309"/>
        <v>0</v>
      </c>
      <c r="AS489" s="16">
        <f t="shared" ca="1" si="310"/>
        <v>-1.3093046342032254E-4</v>
      </c>
    </row>
    <row r="490" spans="1:45" x14ac:dyDescent="0.25">
      <c r="A490" s="69">
        <f t="shared" ca="1" si="311"/>
        <v>2452.5489381503035</v>
      </c>
      <c r="B490" s="69">
        <f t="shared" ca="1" si="312"/>
        <v>2140.2442567006738</v>
      </c>
      <c r="C490" s="69">
        <f t="shared" ca="1" si="313"/>
        <v>2228.1389718250898</v>
      </c>
      <c r="D490" s="69">
        <f t="shared" ca="1" si="314"/>
        <v>2907.3514366133722</v>
      </c>
      <c r="E490" s="69">
        <f t="shared" ca="1" si="315"/>
        <v>1931.533544894967</v>
      </c>
      <c r="F490" s="69">
        <f t="shared" ca="1" si="316"/>
        <v>1222.0743470055372</v>
      </c>
      <c r="G490" s="69">
        <f t="shared" ca="1" si="317"/>
        <v>963.13592601284836</v>
      </c>
      <c r="H490" s="69">
        <f t="shared" ca="1" si="318"/>
        <v>1187.0454418544382</v>
      </c>
      <c r="I490" s="69">
        <f t="shared" ca="1" si="319"/>
        <v>1051.8733875305941</v>
      </c>
      <c r="J490" s="69">
        <f t="shared" ca="1" si="320"/>
        <v>1145.2951394956312</v>
      </c>
      <c r="K490" s="69">
        <f t="shared" ca="1" si="321"/>
        <v>1174.0534262301699</v>
      </c>
      <c r="L490" s="69">
        <f t="shared" ca="1" si="322"/>
        <v>954.17937157081462</v>
      </c>
      <c r="M490" s="69">
        <f t="shared" ca="1" si="323"/>
        <v>990.9001003093706</v>
      </c>
      <c r="N490" s="69">
        <f t="shared" ca="1" si="324"/>
        <v>570.78331426460795</v>
      </c>
      <c r="O490" s="69">
        <f t="shared" ca="1" si="325"/>
        <v>632.25191511563207</v>
      </c>
      <c r="P490" s="69">
        <f t="shared" ca="1" si="326"/>
        <v>721.26200131253256</v>
      </c>
      <c r="Q490" s="69">
        <f t="shared" ca="1" si="327"/>
        <v>957.05947223501528</v>
      </c>
      <c r="R490" s="69">
        <f t="shared" ca="1" si="328"/>
        <v>780.13186675050895</v>
      </c>
      <c r="S490" s="69">
        <f t="shared" ca="1" si="329"/>
        <v>700.20036512817887</v>
      </c>
      <c r="T490" s="69">
        <f t="shared" ca="1" si="330"/>
        <v>797.40148982556377</v>
      </c>
      <c r="U490" s="69">
        <f t="shared" ca="1" si="331"/>
        <v>1693.3601616520161</v>
      </c>
      <c r="V490" s="69">
        <f t="shared" ca="1" si="332"/>
        <v>1914.3911825950513</v>
      </c>
      <c r="W490" s="69">
        <f t="shared" ca="1" si="333"/>
        <v>1180.8495559112134</v>
      </c>
      <c r="X490" s="69">
        <f t="shared" ca="1" si="334"/>
        <v>1498.1179392692375</v>
      </c>
      <c r="Y490" s="69">
        <f t="shared" ca="1" si="335"/>
        <v>1205.8181243004826</v>
      </c>
      <c r="AA490" s="20">
        <f t="shared" ca="1" si="295"/>
        <v>6.5678478585525976E+16</v>
      </c>
      <c r="AB490" s="20">
        <f t="shared" ca="1" si="296"/>
        <v>1683191155692248.3</v>
      </c>
      <c r="AC490" s="20">
        <f t="shared" ca="1" si="297"/>
        <v>400598370448894.81</v>
      </c>
      <c r="AD490" s="20">
        <f t="shared" ca="1" si="298"/>
        <v>300676421216585.31</v>
      </c>
      <c r="AE490" s="20">
        <f t="shared" ca="1" si="299"/>
        <v>6915162753734066</v>
      </c>
      <c r="AG490" s="16">
        <f t="shared" ca="1" si="300"/>
        <v>-2.1006224271087254E-4</v>
      </c>
      <c r="AH490" s="16">
        <f t="shared" ca="1" si="301"/>
        <v>-1.4830422649430403E-4</v>
      </c>
      <c r="AI490" s="16">
        <f t="shared" ca="1" si="302"/>
        <v>3.4544993906945572E-4</v>
      </c>
      <c r="AJ490" s="16">
        <f t="shared" ca="1" si="303"/>
        <v>8.0448241923319571E-4</v>
      </c>
      <c r="AK490" s="16">
        <f t="shared" ca="1" si="304"/>
        <v>7.5505942270662514E-5</v>
      </c>
      <c r="AM490" s="16">
        <f t="shared" ca="1" si="305"/>
        <v>7.9156588909747483E-4</v>
      </c>
      <c r="AO490" s="16">
        <f t="shared" ca="1" si="306"/>
        <v>-2.1006224271087254E-4</v>
      </c>
      <c r="AP490" s="16">
        <f t="shared" ca="1" si="307"/>
        <v>-1.4830422649430403E-4</v>
      </c>
      <c r="AQ490" s="16">
        <f t="shared" ca="1" si="308"/>
        <v>0</v>
      </c>
      <c r="AR490" s="16">
        <f t="shared" ca="1" si="309"/>
        <v>0</v>
      </c>
      <c r="AS490" s="16">
        <f t="shared" ca="1" si="310"/>
        <v>0</v>
      </c>
    </row>
    <row r="491" spans="1:45" x14ac:dyDescent="0.25">
      <c r="A491" s="69">
        <f t="shared" ca="1" si="311"/>
        <v>2452.2057214788806</v>
      </c>
      <c r="B491" s="69">
        <f t="shared" ca="1" si="312"/>
        <v>2140.0870333655748</v>
      </c>
      <c r="C491" s="69">
        <f t="shared" ca="1" si="313"/>
        <v>2228.1772914292692</v>
      </c>
      <c r="D491" s="69">
        <f t="shared" ca="1" si="314"/>
        <v>2907.3111865640153</v>
      </c>
      <c r="E491" s="69">
        <f t="shared" ca="1" si="315"/>
        <v>1931.533544894967</v>
      </c>
      <c r="F491" s="69">
        <f t="shared" ca="1" si="316"/>
        <v>1221.9011984357719</v>
      </c>
      <c r="G491" s="69">
        <f t="shared" ca="1" si="317"/>
        <v>963.13592601284836</v>
      </c>
      <c r="H491" s="69">
        <f t="shared" ca="1" si="318"/>
        <v>1187.0375954690198</v>
      </c>
      <c r="I491" s="69">
        <f t="shared" ca="1" si="319"/>
        <v>1051.8733875305941</v>
      </c>
      <c r="J491" s="69">
        <f t="shared" ca="1" si="320"/>
        <v>1145.2951394956312</v>
      </c>
      <c r="K491" s="69">
        <f t="shared" ca="1" si="321"/>
        <v>1174.5309533833795</v>
      </c>
      <c r="L491" s="69">
        <f t="shared" ca="1" si="322"/>
        <v>954.17937157081462</v>
      </c>
      <c r="M491" s="69">
        <f t="shared" ca="1" si="323"/>
        <v>990.9001003093706</v>
      </c>
      <c r="N491" s="69">
        <f t="shared" ca="1" si="324"/>
        <v>570.78331426460795</v>
      </c>
      <c r="O491" s="69">
        <f t="shared" ca="1" si="325"/>
        <v>632.21322177589002</v>
      </c>
      <c r="P491" s="69">
        <f t="shared" ca="1" si="326"/>
        <v>721.75454471261401</v>
      </c>
      <c r="Q491" s="69">
        <f t="shared" ca="1" si="327"/>
        <v>956.74278952154964</v>
      </c>
      <c r="R491" s="69">
        <f t="shared" ca="1" si="328"/>
        <v>780.18500022122703</v>
      </c>
      <c r="S491" s="69">
        <f t="shared" ca="1" si="329"/>
        <v>700.20036512817887</v>
      </c>
      <c r="T491" s="69">
        <f t="shared" ca="1" si="330"/>
        <v>797.70828087651864</v>
      </c>
      <c r="U491" s="69">
        <f t="shared" ca="1" si="331"/>
        <v>1693.5639317709499</v>
      </c>
      <c r="V491" s="69">
        <f t="shared" ca="1" si="332"/>
        <v>1914.3911825950513</v>
      </c>
      <c r="W491" s="69">
        <f t="shared" ca="1" si="333"/>
        <v>1180.4481017706823</v>
      </c>
      <c r="X491" s="69">
        <f t="shared" ca="1" si="334"/>
        <v>1498.5053595605489</v>
      </c>
      <c r="Y491" s="69">
        <f t="shared" ca="1" si="335"/>
        <v>1205.8623009553642</v>
      </c>
      <c r="AA491" s="20">
        <f t="shared" ca="1" si="295"/>
        <v>6.5664683465984064E+16</v>
      </c>
      <c r="AB491" s="20">
        <f t="shared" ca="1" si="296"/>
        <v>1682941549839120.3</v>
      </c>
      <c r="AC491" s="20">
        <f t="shared" ca="1" si="297"/>
        <v>400736781037145.88</v>
      </c>
      <c r="AD491" s="20">
        <f t="shared" ca="1" si="298"/>
        <v>300918407435110.31</v>
      </c>
      <c r="AE491" s="20">
        <f t="shared" ca="1" si="299"/>
        <v>6915684909326418</v>
      </c>
      <c r="AG491" s="16">
        <f t="shared" ca="1" si="300"/>
        <v>-2.090431406192474E-4</v>
      </c>
      <c r="AH491" s="16">
        <f t="shared" ca="1" si="301"/>
        <v>4.6597992608968778E-4</v>
      </c>
      <c r="AI491" s="16">
        <f t="shared" ca="1" si="302"/>
        <v>-9.2803334662325195E-5</v>
      </c>
      <c r="AJ491" s="16">
        <f t="shared" ca="1" si="303"/>
        <v>3.3178382623481542E-4</v>
      </c>
      <c r="AK491" s="16">
        <f t="shared" ca="1" si="304"/>
        <v>5.9199990902251975E-4</v>
      </c>
      <c r="AM491" s="16">
        <f t="shared" ca="1" si="305"/>
        <v>4.959172770429306E-4</v>
      </c>
      <c r="AO491" s="16">
        <f t="shared" ca="1" si="306"/>
        <v>-2.090431406192474E-4</v>
      </c>
      <c r="AP491" s="16">
        <f t="shared" ca="1" si="307"/>
        <v>0</v>
      </c>
      <c r="AQ491" s="16">
        <f t="shared" ca="1" si="308"/>
        <v>-9.2803334662325195E-5</v>
      </c>
      <c r="AR491" s="16">
        <f t="shared" ca="1" si="309"/>
        <v>0</v>
      </c>
      <c r="AS491" s="16">
        <f t="shared" ca="1" si="310"/>
        <v>0</v>
      </c>
    </row>
    <row r="492" spans="1:45" x14ac:dyDescent="0.25">
      <c r="A492" s="69">
        <f t="shared" ca="1" si="311"/>
        <v>2452.2057214788806</v>
      </c>
      <c r="B492" s="69">
        <f t="shared" ca="1" si="312"/>
        <v>2140.0870333655748</v>
      </c>
      <c r="C492" s="69">
        <f t="shared" ca="1" si="313"/>
        <v>2227.7115549316181</v>
      </c>
      <c r="D492" s="69">
        <f t="shared" ca="1" si="314"/>
        <v>2907.3111865640153</v>
      </c>
      <c r="E492" s="69">
        <f t="shared" ca="1" si="315"/>
        <v>1931.533544894967</v>
      </c>
      <c r="F492" s="69">
        <f t="shared" ca="1" si="316"/>
        <v>1221.9011984357719</v>
      </c>
      <c r="G492" s="69">
        <f t="shared" ca="1" si="317"/>
        <v>963.13592601284836</v>
      </c>
      <c r="H492" s="69">
        <f t="shared" ca="1" si="318"/>
        <v>1187.2632115214096</v>
      </c>
      <c r="I492" s="69">
        <f t="shared" ca="1" si="319"/>
        <v>1051.8733875305941</v>
      </c>
      <c r="J492" s="69">
        <f t="shared" ca="1" si="320"/>
        <v>1145.6112061179811</v>
      </c>
      <c r="K492" s="69">
        <f t="shared" ca="1" si="321"/>
        <v>1174.2417571502097</v>
      </c>
      <c r="L492" s="69">
        <f t="shared" ca="1" si="322"/>
        <v>954.19779924243312</v>
      </c>
      <c r="M492" s="69">
        <f t="shared" ca="1" si="323"/>
        <v>991.0330259143293</v>
      </c>
      <c r="N492" s="69">
        <f t="shared" ca="1" si="324"/>
        <v>570.78331426460795</v>
      </c>
      <c r="O492" s="69">
        <f t="shared" ca="1" si="325"/>
        <v>632.21322177589002</v>
      </c>
      <c r="P492" s="69">
        <f t="shared" ca="1" si="326"/>
        <v>721.31823987836287</v>
      </c>
      <c r="Q492" s="69">
        <f t="shared" ca="1" si="327"/>
        <v>956.74278952154964</v>
      </c>
      <c r="R492" s="69">
        <f t="shared" ca="1" si="328"/>
        <v>780.36617339742963</v>
      </c>
      <c r="S492" s="69">
        <f t="shared" ca="1" si="329"/>
        <v>700.36486081449004</v>
      </c>
      <c r="T492" s="69">
        <f t="shared" ca="1" si="330"/>
        <v>798.08279881769511</v>
      </c>
      <c r="U492" s="69">
        <f t="shared" ca="1" si="331"/>
        <v>1693.5033901414581</v>
      </c>
      <c r="V492" s="69">
        <f t="shared" ca="1" si="332"/>
        <v>1914.806067315553</v>
      </c>
      <c r="W492" s="69">
        <f t="shared" ca="1" si="333"/>
        <v>1180.4481017706823</v>
      </c>
      <c r="X492" s="69">
        <f t="shared" ca="1" si="334"/>
        <v>1498.9586119802082</v>
      </c>
      <c r="Y492" s="69">
        <f t="shared" ca="1" si="335"/>
        <v>1205.9933000153237</v>
      </c>
      <c r="AA492" s="20">
        <f t="shared" ca="1" si="295"/>
        <v>6.5650958148966232E+16</v>
      </c>
      <c r="AB492" s="20">
        <f t="shared" ca="1" si="296"/>
        <v>1683725949561196.3</v>
      </c>
      <c r="AC492" s="20">
        <f t="shared" ca="1" si="297"/>
        <v>400699593053154.94</v>
      </c>
      <c r="AD492" s="20">
        <f t="shared" ca="1" si="298"/>
        <v>301018263860171</v>
      </c>
      <c r="AE492" s="20">
        <f t="shared" ca="1" si="299"/>
        <v>6919780206251666</v>
      </c>
      <c r="AG492" s="16">
        <f t="shared" ca="1" si="300"/>
        <v>-2.2550510283225809E-5</v>
      </c>
      <c r="AH492" s="16">
        <f t="shared" ca="1" si="301"/>
        <v>-3.467029360818101E-4</v>
      </c>
      <c r="AI492" s="16">
        <f t="shared" ca="1" si="302"/>
        <v>2.9519639914961317E-4</v>
      </c>
      <c r="AJ492" s="16">
        <f t="shared" ca="1" si="303"/>
        <v>-4.3387878289447983E-4</v>
      </c>
      <c r="AK492" s="16">
        <f t="shared" ca="1" si="304"/>
        <v>6.6618519474958565E-5</v>
      </c>
      <c r="AM492" s="16">
        <f t="shared" ca="1" si="305"/>
        <v>-5.0793583010990263E-4</v>
      </c>
      <c r="AO492" s="16">
        <f t="shared" ca="1" si="306"/>
        <v>-2.2550510283225809E-5</v>
      </c>
      <c r="AP492" s="16">
        <f t="shared" ca="1" si="307"/>
        <v>-3.467029360818101E-4</v>
      </c>
      <c r="AQ492" s="16">
        <f t="shared" ca="1" si="308"/>
        <v>0</v>
      </c>
      <c r="AR492" s="16">
        <f t="shared" ca="1" si="309"/>
        <v>-4.3387878289447983E-4</v>
      </c>
      <c r="AS492" s="16">
        <f t="shared" ca="1" si="310"/>
        <v>0</v>
      </c>
    </row>
    <row r="493" spans="1:45" x14ac:dyDescent="0.25">
      <c r="A493" s="69">
        <f t="shared" ca="1" si="311"/>
        <v>2452.3181812835228</v>
      </c>
      <c r="B493" s="69">
        <f t="shared" ca="1" si="312"/>
        <v>2139.6009847852638</v>
      </c>
      <c r="C493" s="69">
        <f t="shared" ca="1" si="313"/>
        <v>2228.0651919548204</v>
      </c>
      <c r="D493" s="69">
        <f t="shared" ca="1" si="314"/>
        <v>2907.3111865640153</v>
      </c>
      <c r="E493" s="69">
        <f t="shared" ca="1" si="315"/>
        <v>1931.533544894967</v>
      </c>
      <c r="F493" s="69">
        <f t="shared" ca="1" si="316"/>
        <v>1221.4239294341824</v>
      </c>
      <c r="G493" s="69">
        <f t="shared" ca="1" si="317"/>
        <v>963.57864343757637</v>
      </c>
      <c r="H493" s="69">
        <f t="shared" ca="1" si="318"/>
        <v>1187.0087571615456</v>
      </c>
      <c r="I493" s="69">
        <f t="shared" ca="1" si="319"/>
        <v>1051.6818428222184</v>
      </c>
      <c r="J493" s="69">
        <f t="shared" ca="1" si="320"/>
        <v>1145.5892910293808</v>
      </c>
      <c r="K493" s="69">
        <f t="shared" ca="1" si="321"/>
        <v>1174.5682629225096</v>
      </c>
      <c r="L493" s="69">
        <f t="shared" ca="1" si="322"/>
        <v>954.19779924243312</v>
      </c>
      <c r="M493" s="69">
        <f t="shared" ca="1" si="323"/>
        <v>990.67118145391555</v>
      </c>
      <c r="N493" s="69">
        <f t="shared" ca="1" si="324"/>
        <v>570.99402604281329</v>
      </c>
      <c r="O493" s="69">
        <f t="shared" ca="1" si="325"/>
        <v>632.2216107679883</v>
      </c>
      <c r="P493" s="69">
        <f t="shared" ca="1" si="326"/>
        <v>721.31823987836287</v>
      </c>
      <c r="Q493" s="69">
        <f t="shared" ca="1" si="327"/>
        <v>956.66388349788508</v>
      </c>
      <c r="R493" s="69">
        <f t="shared" ca="1" si="328"/>
        <v>780.56182538813539</v>
      </c>
      <c r="S493" s="69">
        <f t="shared" ca="1" si="329"/>
        <v>700.30820135469048</v>
      </c>
      <c r="T493" s="69">
        <f t="shared" ca="1" si="330"/>
        <v>797.66695812920511</v>
      </c>
      <c r="U493" s="69">
        <f t="shared" ca="1" si="331"/>
        <v>1693.2986985063405</v>
      </c>
      <c r="V493" s="69">
        <f t="shared" ca="1" si="332"/>
        <v>1915.2958685424219</v>
      </c>
      <c r="W493" s="69">
        <f t="shared" ca="1" si="333"/>
        <v>1180.1536141386016</v>
      </c>
      <c r="X493" s="69">
        <f t="shared" ca="1" si="334"/>
        <v>1499.2302968853562</v>
      </c>
      <c r="Y493" s="69">
        <f t="shared" ca="1" si="335"/>
        <v>1205.9933000153237</v>
      </c>
      <c r="AA493" s="20">
        <f t="shared" ca="1" si="295"/>
        <v>6.5649477703051856E+16</v>
      </c>
      <c r="AB493" s="20">
        <f t="shared" ca="1" si="296"/>
        <v>1683142298013625.3</v>
      </c>
      <c r="AC493" s="20">
        <f t="shared" ca="1" si="297"/>
        <v>400817895590547.38</v>
      </c>
      <c r="AD493" s="20">
        <f t="shared" ca="1" si="298"/>
        <v>300887686751585.25</v>
      </c>
      <c r="AE493" s="20">
        <f t="shared" ca="1" si="299"/>
        <v>6920241207119525</v>
      </c>
      <c r="AG493" s="16">
        <f t="shared" ca="1" si="300"/>
        <v>3.6733927391195188E-4</v>
      </c>
      <c r="AH493" s="16">
        <f t="shared" ca="1" si="301"/>
        <v>7.1992161870824739E-4</v>
      </c>
      <c r="AI493" s="16">
        <f t="shared" ca="1" si="302"/>
        <v>-2.0743725739886024E-4</v>
      </c>
      <c r="AJ493" s="16">
        <f t="shared" ca="1" si="303"/>
        <v>-2.5319586211084187E-4</v>
      </c>
      <c r="AK493" s="16">
        <f t="shared" ca="1" si="304"/>
        <v>3.1608994287637493E-4</v>
      </c>
      <c r="AM493" s="16">
        <f t="shared" ca="1" si="305"/>
        <v>6.2662777311049711E-4</v>
      </c>
      <c r="AO493" s="16">
        <f t="shared" ca="1" si="306"/>
        <v>0</v>
      </c>
      <c r="AP493" s="16">
        <f t="shared" ca="1" si="307"/>
        <v>0</v>
      </c>
      <c r="AQ493" s="16">
        <f t="shared" ca="1" si="308"/>
        <v>-2.0743725739886024E-4</v>
      </c>
      <c r="AR493" s="16">
        <f t="shared" ca="1" si="309"/>
        <v>-2.5319586211084187E-4</v>
      </c>
      <c r="AS493" s="16">
        <f t="shared" ca="1" si="310"/>
        <v>0</v>
      </c>
    </row>
    <row r="494" spans="1:45" x14ac:dyDescent="0.25">
      <c r="A494" s="69">
        <f t="shared" ca="1" si="311"/>
        <v>2452.5319267956461</v>
      </c>
      <c r="B494" s="69">
        <f t="shared" ca="1" si="312"/>
        <v>2140.0256359620685</v>
      </c>
      <c r="C494" s="69">
        <f t="shared" ca="1" si="313"/>
        <v>2228.3203615638463</v>
      </c>
      <c r="D494" s="69">
        <f t="shared" ca="1" si="314"/>
        <v>2907.3111865640153</v>
      </c>
      <c r="E494" s="69">
        <f t="shared" ca="1" si="315"/>
        <v>1931.4702136392161</v>
      </c>
      <c r="F494" s="69">
        <f t="shared" ca="1" si="316"/>
        <v>1221.4239294341824</v>
      </c>
      <c r="G494" s="69">
        <f t="shared" ca="1" si="317"/>
        <v>963.57864343757637</v>
      </c>
      <c r="H494" s="69">
        <f t="shared" ca="1" si="318"/>
        <v>1187.4293494472215</v>
      </c>
      <c r="I494" s="69">
        <f t="shared" ca="1" si="319"/>
        <v>1052.0664656753956</v>
      </c>
      <c r="J494" s="69">
        <f t="shared" ca="1" si="320"/>
        <v>1145.5892910293808</v>
      </c>
      <c r="K494" s="69">
        <f t="shared" ca="1" si="321"/>
        <v>1174.4246958838867</v>
      </c>
      <c r="L494" s="69">
        <f t="shared" ca="1" si="322"/>
        <v>954.19779924243312</v>
      </c>
      <c r="M494" s="69">
        <f t="shared" ca="1" si="323"/>
        <v>990.67118145391555</v>
      </c>
      <c r="N494" s="69">
        <f t="shared" ca="1" si="324"/>
        <v>570.9685424163298</v>
      </c>
      <c r="O494" s="69">
        <f t="shared" ca="1" si="325"/>
        <v>632.19596276566153</v>
      </c>
      <c r="P494" s="69">
        <f t="shared" ca="1" si="326"/>
        <v>721.2899895465074</v>
      </c>
      <c r="Q494" s="69">
        <f t="shared" ca="1" si="327"/>
        <v>956.6005101770071</v>
      </c>
      <c r="R494" s="69">
        <f t="shared" ca="1" si="328"/>
        <v>780.69280201626918</v>
      </c>
      <c r="S494" s="69">
        <f t="shared" ca="1" si="329"/>
        <v>700.30820135469048</v>
      </c>
      <c r="T494" s="69">
        <f t="shared" ca="1" si="330"/>
        <v>797.4152798606284</v>
      </c>
      <c r="U494" s="69">
        <f t="shared" ca="1" si="331"/>
        <v>1693.695683942834</v>
      </c>
      <c r="V494" s="69">
        <f t="shared" ca="1" si="332"/>
        <v>1914.8561772880601</v>
      </c>
      <c r="W494" s="69">
        <f t="shared" ca="1" si="333"/>
        <v>1180.4521490355312</v>
      </c>
      <c r="X494" s="69">
        <f t="shared" ca="1" si="334"/>
        <v>1499.2302968853562</v>
      </c>
      <c r="Y494" s="69">
        <f t="shared" ca="1" si="335"/>
        <v>1206.0636552870999</v>
      </c>
      <c r="AA494" s="20">
        <f t="shared" ca="1" si="295"/>
        <v>6.567359776437568E+16</v>
      </c>
      <c r="AB494" s="20">
        <f t="shared" ca="1" si="296"/>
        <v>1684354464821518.5</v>
      </c>
      <c r="AC494" s="20">
        <f t="shared" ca="1" si="297"/>
        <v>400734759648613.69</v>
      </c>
      <c r="AD494" s="20">
        <f t="shared" ca="1" si="298"/>
        <v>300811512878201.38</v>
      </c>
      <c r="AE494" s="20">
        <f t="shared" ca="1" si="299"/>
        <v>6922428971514320</v>
      </c>
      <c r="AG494" s="16">
        <f t="shared" ca="1" si="300"/>
        <v>2.7561265370239273E-4</v>
      </c>
      <c r="AH494" s="16">
        <f t="shared" ca="1" si="301"/>
        <v>-3.6749399131629287E-4</v>
      </c>
      <c r="AI494" s="16">
        <f t="shared" ca="1" si="302"/>
        <v>-2.5763507587147852E-4</v>
      </c>
      <c r="AJ494" s="16">
        <f t="shared" ca="1" si="303"/>
        <v>1.4832988725676659E-4</v>
      </c>
      <c r="AK494" s="16">
        <f t="shared" ca="1" si="304"/>
        <v>-3.0038224192927286E-4</v>
      </c>
      <c r="AM494" s="16">
        <f t="shared" ca="1" si="305"/>
        <v>-2.0118652622861207E-4</v>
      </c>
      <c r="AO494" s="16">
        <f t="shared" ca="1" si="306"/>
        <v>0</v>
      </c>
      <c r="AP494" s="16">
        <f t="shared" ca="1" si="307"/>
        <v>-3.6749399131629287E-4</v>
      </c>
      <c r="AQ494" s="16">
        <f t="shared" ca="1" si="308"/>
        <v>-2.5763507587147852E-4</v>
      </c>
      <c r="AR494" s="16">
        <f t="shared" ca="1" si="309"/>
        <v>0</v>
      </c>
      <c r="AS494" s="16">
        <f t="shared" ca="1" si="310"/>
        <v>-3.0038224192927286E-4</v>
      </c>
    </row>
    <row r="495" spans="1:45" x14ac:dyDescent="0.25">
      <c r="A495" s="69">
        <f t="shared" ca="1" si="311"/>
        <v>2452.9023730467552</v>
      </c>
      <c r="B495" s="69">
        <f t="shared" ca="1" si="312"/>
        <v>2140.3712488895626</v>
      </c>
      <c r="C495" s="69">
        <f t="shared" ca="1" si="313"/>
        <v>2228.5296729642105</v>
      </c>
      <c r="D495" s="69">
        <f t="shared" ca="1" si="314"/>
        <v>2906.9308283267646</v>
      </c>
      <c r="E495" s="69">
        <f t="shared" ca="1" si="315"/>
        <v>1931.4702136392161</v>
      </c>
      <c r="F495" s="69">
        <f t="shared" ca="1" si="316"/>
        <v>1221.4239294341824</v>
      </c>
      <c r="G495" s="69">
        <f t="shared" ca="1" si="317"/>
        <v>963.30029080144004</v>
      </c>
      <c r="H495" s="69">
        <f t="shared" ca="1" si="318"/>
        <v>1187.8654485073957</v>
      </c>
      <c r="I495" s="69">
        <f t="shared" ca="1" si="319"/>
        <v>1051.5975861173711</v>
      </c>
      <c r="J495" s="69">
        <f t="shared" ca="1" si="320"/>
        <v>1145.5892910293808</v>
      </c>
      <c r="K495" s="69">
        <f t="shared" ca="1" si="321"/>
        <v>1174.5531828674657</v>
      </c>
      <c r="L495" s="69">
        <f t="shared" ca="1" si="322"/>
        <v>954.48369059378115</v>
      </c>
      <c r="M495" s="69">
        <f t="shared" ca="1" si="323"/>
        <v>990.67118145391555</v>
      </c>
      <c r="N495" s="69">
        <f t="shared" ca="1" si="324"/>
        <v>570.98845230894369</v>
      </c>
      <c r="O495" s="69">
        <f t="shared" ca="1" si="325"/>
        <v>631.7526501672279</v>
      </c>
      <c r="P495" s="69">
        <f t="shared" ca="1" si="326"/>
        <v>721.2899895465074</v>
      </c>
      <c r="Q495" s="69">
        <f t="shared" ca="1" si="327"/>
        <v>956.63435877083521</v>
      </c>
      <c r="R495" s="69">
        <f t="shared" ca="1" si="328"/>
        <v>780.78098332897889</v>
      </c>
      <c r="S495" s="69">
        <f t="shared" ca="1" si="329"/>
        <v>700.30820135469048</v>
      </c>
      <c r="T495" s="69">
        <f t="shared" ca="1" si="330"/>
        <v>797.4152798606284</v>
      </c>
      <c r="U495" s="69">
        <f t="shared" ca="1" si="331"/>
        <v>1693.2419819342972</v>
      </c>
      <c r="V495" s="69">
        <f t="shared" ca="1" si="332"/>
        <v>1914.956070804406</v>
      </c>
      <c r="W495" s="69">
        <f t="shared" ca="1" si="333"/>
        <v>1180.4521490355312</v>
      </c>
      <c r="X495" s="69">
        <f t="shared" ca="1" si="334"/>
        <v>1499.2302968853562</v>
      </c>
      <c r="Y495" s="69">
        <f t="shared" ca="1" si="335"/>
        <v>1205.9615835710135</v>
      </c>
      <c r="AA495" s="20">
        <f t="shared" ca="1" si="295"/>
        <v>6.5691700733522792E+16</v>
      </c>
      <c r="AB495" s="20">
        <f t="shared" ca="1" si="296"/>
        <v>1683735588400098</v>
      </c>
      <c r="AC495" s="20">
        <f t="shared" ca="1" si="297"/>
        <v>400631529616816.81</v>
      </c>
      <c r="AD495" s="20">
        <f t="shared" ca="1" si="298"/>
        <v>300856135525346.44</v>
      </c>
      <c r="AE495" s="20">
        <f t="shared" ca="1" si="299"/>
        <v>6920349909052615</v>
      </c>
      <c r="AG495" s="16">
        <f t="shared" ca="1" si="300"/>
        <v>1.9567803162879877E-4</v>
      </c>
      <c r="AH495" s="16">
        <f t="shared" ca="1" si="301"/>
        <v>-1.135641910466849E-3</v>
      </c>
      <c r="AI495" s="16">
        <f t="shared" ca="1" si="302"/>
        <v>1.0780725426987583E-3</v>
      </c>
      <c r="AJ495" s="16">
        <f t="shared" ca="1" si="303"/>
        <v>1.4583153932225371E-5</v>
      </c>
      <c r="AK495" s="16">
        <f t="shared" ca="1" si="304"/>
        <v>-1.937120882579466E-4</v>
      </c>
      <c r="AM495" s="16">
        <f t="shared" ca="1" si="305"/>
        <v>1.5269181779293349E-4</v>
      </c>
      <c r="AO495" s="16">
        <f t="shared" ca="1" si="306"/>
        <v>0</v>
      </c>
      <c r="AP495" s="16">
        <f t="shared" ca="1" si="307"/>
        <v>-1.135641910466849E-3</v>
      </c>
      <c r="AQ495" s="16">
        <f t="shared" ca="1" si="308"/>
        <v>0</v>
      </c>
      <c r="AR495" s="16">
        <f t="shared" ca="1" si="309"/>
        <v>0</v>
      </c>
      <c r="AS495" s="16">
        <f t="shared" ca="1" si="310"/>
        <v>-1.937120882579466E-4</v>
      </c>
    </row>
    <row r="496" spans="1:45" x14ac:dyDescent="0.25">
      <c r="A496" s="69">
        <f t="shared" ca="1" si="311"/>
        <v>2452.9023730467552</v>
      </c>
      <c r="B496" s="69">
        <f t="shared" ca="1" si="312"/>
        <v>2140.3712488895626</v>
      </c>
      <c r="C496" s="69">
        <f t="shared" ca="1" si="313"/>
        <v>2228.4692064421974</v>
      </c>
      <c r="D496" s="69">
        <f t="shared" ca="1" si="314"/>
        <v>2907.2840399948668</v>
      </c>
      <c r="E496" s="69">
        <f t="shared" ca="1" si="315"/>
        <v>1931.6659046045879</v>
      </c>
      <c r="F496" s="69">
        <f t="shared" ca="1" si="316"/>
        <v>1221.0435166139171</v>
      </c>
      <c r="G496" s="69">
        <f t="shared" ca="1" si="317"/>
        <v>963.30029080144004</v>
      </c>
      <c r="H496" s="69">
        <f t="shared" ca="1" si="318"/>
        <v>1187.4147803026058</v>
      </c>
      <c r="I496" s="69">
        <f t="shared" ca="1" si="319"/>
        <v>1051.130067944913</v>
      </c>
      <c r="J496" s="69">
        <f t="shared" ca="1" si="320"/>
        <v>1145.5892910293808</v>
      </c>
      <c r="K496" s="69">
        <f t="shared" ca="1" si="321"/>
        <v>1174.7730652848184</v>
      </c>
      <c r="L496" s="69">
        <f t="shared" ca="1" si="322"/>
        <v>954.48369059378115</v>
      </c>
      <c r="M496" s="69">
        <f t="shared" ca="1" si="323"/>
        <v>991.14412775293022</v>
      </c>
      <c r="N496" s="69">
        <f t="shared" ca="1" si="324"/>
        <v>571.22466137550043</v>
      </c>
      <c r="O496" s="69">
        <f t="shared" ca="1" si="325"/>
        <v>631.7526501672279</v>
      </c>
      <c r="P496" s="69">
        <f t="shared" ca="1" si="326"/>
        <v>721.38904202317588</v>
      </c>
      <c r="Q496" s="69">
        <f t="shared" ca="1" si="327"/>
        <v>957.04028839501723</v>
      </c>
      <c r="R496" s="69">
        <f t="shared" ca="1" si="328"/>
        <v>780.78098332897889</v>
      </c>
      <c r="S496" s="69">
        <f t="shared" ca="1" si="329"/>
        <v>700.35904267506226</v>
      </c>
      <c r="T496" s="69">
        <f t="shared" ca="1" si="330"/>
        <v>796.92137739757118</v>
      </c>
      <c r="U496" s="69">
        <f t="shared" ca="1" si="331"/>
        <v>1692.8059325628387</v>
      </c>
      <c r="V496" s="69">
        <f t="shared" ca="1" si="332"/>
        <v>1915.3587677811452</v>
      </c>
      <c r="W496" s="69">
        <f t="shared" ca="1" si="333"/>
        <v>1180.8506487096711</v>
      </c>
      <c r="X496" s="69">
        <f t="shared" ca="1" si="334"/>
        <v>1498.9269102023713</v>
      </c>
      <c r="Y496" s="69">
        <f t="shared" ca="1" si="335"/>
        <v>1205.6220723086956</v>
      </c>
      <c r="AA496" s="20">
        <f t="shared" ca="1" si="295"/>
        <v>6.5704556413962776E+16</v>
      </c>
      <c r="AB496" s="20">
        <f t="shared" ca="1" si="296"/>
        <v>1681824553031080.8</v>
      </c>
      <c r="AC496" s="20">
        <f t="shared" ca="1" si="297"/>
        <v>401063672367398.56</v>
      </c>
      <c r="AD496" s="20">
        <f t="shared" ca="1" si="298"/>
        <v>300860522988673.69</v>
      </c>
      <c r="AE496" s="20">
        <f t="shared" ca="1" si="299"/>
        <v>6919009483452769</v>
      </c>
      <c r="AG496" s="16">
        <f t="shared" ca="1" si="300"/>
        <v>-1.1959373681969017E-4</v>
      </c>
      <c r="AH496" s="16">
        <f t="shared" ca="1" si="301"/>
        <v>-2.7201105530063154E-4</v>
      </c>
      <c r="AI496" s="16">
        <f t="shared" ca="1" si="302"/>
        <v>4.1344494700827969E-4</v>
      </c>
      <c r="AJ496" s="16">
        <f t="shared" ca="1" si="303"/>
        <v>1.1105845897052359E-4</v>
      </c>
      <c r="AK496" s="16">
        <f t="shared" ca="1" si="304"/>
        <v>-5.6176088880725857E-5</v>
      </c>
      <c r="AM496" s="16">
        <f t="shared" ca="1" si="305"/>
        <v>1.3289861385848154E-4</v>
      </c>
      <c r="AO496" s="16">
        <f t="shared" ca="1" si="306"/>
        <v>-1.1959373681969017E-4</v>
      </c>
      <c r="AP496" s="16">
        <f t="shared" ca="1" si="307"/>
        <v>-2.7201105530063154E-4</v>
      </c>
      <c r="AQ496" s="16">
        <f t="shared" ca="1" si="308"/>
        <v>0</v>
      </c>
      <c r="AR496" s="16">
        <f t="shared" ca="1" si="309"/>
        <v>0</v>
      </c>
      <c r="AS496" s="16">
        <f t="shared" ca="1" si="310"/>
        <v>-5.6176088880725857E-5</v>
      </c>
    </row>
    <row r="497" spans="1:45" x14ac:dyDescent="0.25">
      <c r="A497" s="69">
        <f t="shared" ca="1" si="311"/>
        <v>2452.7972931678564</v>
      </c>
      <c r="B497" s="69">
        <f t="shared" ca="1" si="312"/>
        <v>2140.3610048395226</v>
      </c>
      <c r="C497" s="69">
        <f t="shared" ca="1" si="313"/>
        <v>2228.4692064421974</v>
      </c>
      <c r="D497" s="69">
        <f t="shared" ca="1" si="314"/>
        <v>2907.6623686143707</v>
      </c>
      <c r="E497" s="69">
        <f t="shared" ca="1" si="315"/>
        <v>1931.2755726726659</v>
      </c>
      <c r="F497" s="69">
        <f t="shared" ca="1" si="316"/>
        <v>1221.0435166139171</v>
      </c>
      <c r="G497" s="69">
        <f t="shared" ca="1" si="317"/>
        <v>963.63980331069286</v>
      </c>
      <c r="H497" s="69">
        <f t="shared" ca="1" si="318"/>
        <v>1187.0369227021076</v>
      </c>
      <c r="I497" s="69">
        <f t="shared" ca="1" si="319"/>
        <v>1050.8024073195031</v>
      </c>
      <c r="J497" s="69">
        <f t="shared" ca="1" si="320"/>
        <v>1145.5957567699011</v>
      </c>
      <c r="K497" s="69">
        <f t="shared" ca="1" si="321"/>
        <v>1174.7730652848184</v>
      </c>
      <c r="L497" s="69">
        <f t="shared" ca="1" si="322"/>
        <v>954.48369059378115</v>
      </c>
      <c r="M497" s="69">
        <f t="shared" ca="1" si="323"/>
        <v>991.55399600744749</v>
      </c>
      <c r="N497" s="69">
        <f t="shared" ca="1" si="324"/>
        <v>571.22466137550043</v>
      </c>
      <c r="O497" s="69">
        <f t="shared" ca="1" si="325"/>
        <v>631.7526501672279</v>
      </c>
      <c r="P497" s="69">
        <f t="shared" ca="1" si="326"/>
        <v>721.59012169400194</v>
      </c>
      <c r="Q497" s="69">
        <f t="shared" ca="1" si="327"/>
        <v>957.20530828811661</v>
      </c>
      <c r="R497" s="69">
        <f t="shared" ca="1" si="328"/>
        <v>780.78098332897889</v>
      </c>
      <c r="S497" s="69">
        <f t="shared" ca="1" si="329"/>
        <v>699.96788568374348</v>
      </c>
      <c r="T497" s="69">
        <f t="shared" ca="1" si="330"/>
        <v>797.09561184626045</v>
      </c>
      <c r="U497" s="69">
        <f t="shared" ca="1" si="331"/>
        <v>1692.6212123293196</v>
      </c>
      <c r="V497" s="69">
        <f t="shared" ca="1" si="332"/>
        <v>1915.1077447882305</v>
      </c>
      <c r="W497" s="69">
        <f t="shared" ca="1" si="333"/>
        <v>1181.1434772238113</v>
      </c>
      <c r="X497" s="69">
        <f t="shared" ca="1" si="334"/>
        <v>1498.5269085399871</v>
      </c>
      <c r="Y497" s="69">
        <f t="shared" ca="1" si="335"/>
        <v>1205.8667916329582</v>
      </c>
      <c r="AA497" s="20">
        <f t="shared" ca="1" si="295"/>
        <v>6.5696699030391448E+16</v>
      </c>
      <c r="AB497" s="20">
        <f t="shared" ca="1" si="296"/>
        <v>1681367140373050.5</v>
      </c>
      <c r="AC497" s="20">
        <f t="shared" ca="1" si="297"/>
        <v>401229524399147.19</v>
      </c>
      <c r="AD497" s="20">
        <f t="shared" ca="1" si="298"/>
        <v>300893937950194.63</v>
      </c>
      <c r="AE497" s="20">
        <f t="shared" ca="1" si="299"/>
        <v>6918620811478198</v>
      </c>
      <c r="AG497" s="16">
        <f t="shared" ca="1" si="300"/>
        <v>-2.1635250095029156E-4</v>
      </c>
      <c r="AH497" s="16">
        <f t="shared" ca="1" si="301"/>
        <v>1.2011593792227566E-4</v>
      </c>
      <c r="AI497" s="16">
        <f t="shared" ca="1" si="302"/>
        <v>-4.8936339626702227E-4</v>
      </c>
      <c r="AJ497" s="16">
        <f t="shared" ca="1" si="303"/>
        <v>7.8875152068697137E-4</v>
      </c>
      <c r="AK497" s="16">
        <f t="shared" ca="1" si="304"/>
        <v>4.5700391669495751E-4</v>
      </c>
      <c r="AM497" s="16">
        <f t="shared" ca="1" si="305"/>
        <v>2.0315156139193321E-4</v>
      </c>
      <c r="AO497" s="16">
        <f t="shared" ca="1" si="306"/>
        <v>-2.1635250095029156E-4</v>
      </c>
      <c r="AP497" s="16">
        <f t="shared" ca="1" si="307"/>
        <v>0</v>
      </c>
      <c r="AQ497" s="16">
        <f t="shared" ca="1" si="308"/>
        <v>-4.8936339626702227E-4</v>
      </c>
      <c r="AR497" s="16">
        <f t="shared" ca="1" si="309"/>
        <v>0</v>
      </c>
      <c r="AS497" s="16">
        <f t="shared" ca="1" si="310"/>
        <v>0</v>
      </c>
    </row>
    <row r="498" spans="1:45" x14ac:dyDescent="0.25">
      <c r="A498" s="69">
        <f t="shared" ca="1" si="311"/>
        <v>2452.4895341881474</v>
      </c>
      <c r="B498" s="69">
        <f t="shared" ca="1" si="312"/>
        <v>2140.3610048395226</v>
      </c>
      <c r="C498" s="69">
        <f t="shared" ca="1" si="313"/>
        <v>2228.346616825595</v>
      </c>
      <c r="D498" s="69">
        <f t="shared" ca="1" si="314"/>
        <v>2907.5581023525115</v>
      </c>
      <c r="E498" s="69">
        <f t="shared" ca="1" si="315"/>
        <v>1931.2755726726659</v>
      </c>
      <c r="F498" s="69">
        <f t="shared" ca="1" si="316"/>
        <v>1221.0962352488687</v>
      </c>
      <c r="G498" s="69">
        <f t="shared" ca="1" si="317"/>
        <v>963.43402719554319</v>
      </c>
      <c r="H498" s="69">
        <f t="shared" ca="1" si="318"/>
        <v>1187.4750285926689</v>
      </c>
      <c r="I498" s="69">
        <f t="shared" ca="1" si="319"/>
        <v>1050.8024073195031</v>
      </c>
      <c r="J498" s="69">
        <f t="shared" ca="1" si="320"/>
        <v>1145.5058287262598</v>
      </c>
      <c r="K498" s="69">
        <f t="shared" ca="1" si="321"/>
        <v>1174.6790002874591</v>
      </c>
      <c r="L498" s="69">
        <f t="shared" ca="1" si="322"/>
        <v>954.70673755477731</v>
      </c>
      <c r="M498" s="69">
        <f t="shared" ca="1" si="323"/>
        <v>991.72739788531214</v>
      </c>
      <c r="N498" s="69">
        <f t="shared" ca="1" si="324"/>
        <v>571.08428994849339</v>
      </c>
      <c r="O498" s="69">
        <f t="shared" ca="1" si="325"/>
        <v>631.39136496450169</v>
      </c>
      <c r="P498" s="69">
        <f t="shared" ca="1" si="326"/>
        <v>721.7242058675281</v>
      </c>
      <c r="Q498" s="69">
        <f t="shared" ca="1" si="327"/>
        <v>957.42818275898412</v>
      </c>
      <c r="R498" s="69">
        <f t="shared" ca="1" si="328"/>
        <v>780.8017797521627</v>
      </c>
      <c r="S498" s="69">
        <f t="shared" ca="1" si="329"/>
        <v>700.17855731416614</v>
      </c>
      <c r="T498" s="69">
        <f t="shared" ca="1" si="330"/>
        <v>797.12955007717596</v>
      </c>
      <c r="U498" s="69">
        <f t="shared" ca="1" si="331"/>
        <v>1693.0489891590228</v>
      </c>
      <c r="V498" s="69">
        <f t="shared" ca="1" si="332"/>
        <v>1914.9144122546397</v>
      </c>
      <c r="W498" s="69">
        <f t="shared" ca="1" si="333"/>
        <v>1180.9985966762817</v>
      </c>
      <c r="X498" s="69">
        <f t="shared" ca="1" si="334"/>
        <v>1498.8864788417752</v>
      </c>
      <c r="Y498" s="69">
        <f t="shared" ca="1" si="335"/>
        <v>1206.0935281934626</v>
      </c>
      <c r="AA498" s="20">
        <f t="shared" ca="1" si="295"/>
        <v>6.568248692272E+16</v>
      </c>
      <c r="AB498" s="20">
        <f t="shared" ca="1" si="296"/>
        <v>1681569111493840.5</v>
      </c>
      <c r="AC498" s="20">
        <f t="shared" ca="1" si="297"/>
        <v>401033225391096.69</v>
      </c>
      <c r="AD498" s="20">
        <f t="shared" ca="1" si="298"/>
        <v>301131362123348.13</v>
      </c>
      <c r="AE498" s="20">
        <f t="shared" ca="1" si="299"/>
        <v>6921783370883146</v>
      </c>
      <c r="AG498" s="16">
        <f t="shared" ca="1" si="300"/>
        <v>-1.472888751454917E-4</v>
      </c>
      <c r="AH498" s="16">
        <f t="shared" ca="1" si="301"/>
        <v>-6.8342134243900502E-4</v>
      </c>
      <c r="AI498" s="16">
        <f t="shared" ca="1" si="302"/>
        <v>1.1940276753166336E-3</v>
      </c>
      <c r="AJ498" s="16">
        <f t="shared" ca="1" si="303"/>
        <v>4.966282296026464E-4</v>
      </c>
      <c r="AK498" s="16">
        <f t="shared" ca="1" si="304"/>
        <v>-5.390498967035429E-4</v>
      </c>
      <c r="AM498" s="16">
        <f t="shared" ca="1" si="305"/>
        <v>8.5994568733478325E-4</v>
      </c>
      <c r="AO498" s="16">
        <f t="shared" ca="1" si="306"/>
        <v>-1.472888751454917E-4</v>
      </c>
      <c r="AP498" s="16">
        <f t="shared" ca="1" si="307"/>
        <v>-6.8342134243900502E-4</v>
      </c>
      <c r="AQ498" s="16">
        <f t="shared" ca="1" si="308"/>
        <v>0</v>
      </c>
      <c r="AR498" s="16">
        <f t="shared" ca="1" si="309"/>
        <v>0</v>
      </c>
      <c r="AS498" s="16">
        <f t="shared" ca="1" si="310"/>
        <v>-5.390498967035429E-4</v>
      </c>
    </row>
    <row r="499" spans="1:45" x14ac:dyDescent="0.25">
      <c r="A499" s="69">
        <f t="shared" ca="1" si="311"/>
        <v>2452.8681150719744</v>
      </c>
      <c r="B499" s="69">
        <f t="shared" ca="1" si="312"/>
        <v>2140.432202423106</v>
      </c>
      <c r="C499" s="69">
        <f t="shared" ca="1" si="313"/>
        <v>2228.346616825595</v>
      </c>
      <c r="D499" s="69">
        <f t="shared" ca="1" si="314"/>
        <v>2907.0958354264221</v>
      </c>
      <c r="E499" s="69">
        <f t="shared" ca="1" si="315"/>
        <v>1930.9358796244071</v>
      </c>
      <c r="F499" s="69">
        <f t="shared" ca="1" si="316"/>
        <v>1220.8589653870172</v>
      </c>
      <c r="G499" s="69">
        <f t="shared" ca="1" si="317"/>
        <v>963.43402719554319</v>
      </c>
      <c r="H499" s="69">
        <f t="shared" ca="1" si="318"/>
        <v>1187.8470356818918</v>
      </c>
      <c r="I499" s="69">
        <f t="shared" ca="1" si="319"/>
        <v>1050.3761463831379</v>
      </c>
      <c r="J499" s="69">
        <f t="shared" ca="1" si="320"/>
        <v>1145.0516282262545</v>
      </c>
      <c r="K499" s="69">
        <f t="shared" ca="1" si="321"/>
        <v>1174.7005078509171</v>
      </c>
      <c r="L499" s="69">
        <f t="shared" ca="1" si="322"/>
        <v>954.73956906029127</v>
      </c>
      <c r="M499" s="69">
        <f t="shared" ca="1" si="323"/>
        <v>991.72739788531214</v>
      </c>
      <c r="N499" s="69">
        <f t="shared" ca="1" si="324"/>
        <v>571.57726188590652</v>
      </c>
      <c r="O499" s="69">
        <f t="shared" ca="1" si="325"/>
        <v>631.56722020661027</v>
      </c>
      <c r="P499" s="69">
        <f t="shared" ca="1" si="326"/>
        <v>722.06932624359922</v>
      </c>
      <c r="Q499" s="69">
        <f t="shared" ca="1" si="327"/>
        <v>957.42818275898412</v>
      </c>
      <c r="R499" s="69">
        <f t="shared" ca="1" si="328"/>
        <v>780.81626672880213</v>
      </c>
      <c r="S499" s="69">
        <f t="shared" ca="1" si="329"/>
        <v>700.17855731416614</v>
      </c>
      <c r="T499" s="69">
        <f t="shared" ca="1" si="330"/>
        <v>797.12955007717596</v>
      </c>
      <c r="U499" s="69">
        <f t="shared" ca="1" si="331"/>
        <v>1693.0489891590228</v>
      </c>
      <c r="V499" s="69">
        <f t="shared" ca="1" si="332"/>
        <v>1914.9144122546397</v>
      </c>
      <c r="W499" s="69">
        <f t="shared" ca="1" si="333"/>
        <v>1180.9985966762817</v>
      </c>
      <c r="X499" s="69">
        <f t="shared" ca="1" si="334"/>
        <v>1498.4413486434892</v>
      </c>
      <c r="Y499" s="69">
        <f t="shared" ca="1" si="335"/>
        <v>1205.8016504473028</v>
      </c>
      <c r="AA499" s="20">
        <f t="shared" ca="1" si="295"/>
        <v>6.5672813335527768E+16</v>
      </c>
      <c r="AB499" s="20">
        <f t="shared" ca="1" si="296"/>
        <v>1680420283885627.3</v>
      </c>
      <c r="AC499" s="20">
        <f t="shared" ca="1" si="297"/>
        <v>401512356151704.5</v>
      </c>
      <c r="AD499" s="20">
        <f t="shared" ca="1" si="298"/>
        <v>301280949600204.69</v>
      </c>
      <c r="AE499" s="20">
        <f t="shared" ca="1" si="299"/>
        <v>6918053189739272</v>
      </c>
      <c r="AG499" s="16">
        <f t="shared" ca="1" si="300"/>
        <v>1.3611089518520501E-5</v>
      </c>
      <c r="AH499" s="16">
        <f t="shared" ca="1" si="301"/>
        <v>2.5561574386888115E-4</v>
      </c>
      <c r="AI499" s="16">
        <f t="shared" ca="1" si="302"/>
        <v>4.2874746186303902E-4</v>
      </c>
      <c r="AJ499" s="16">
        <f t="shared" ca="1" si="303"/>
        <v>2.2921310030577701E-4</v>
      </c>
      <c r="AK499" s="16">
        <f t="shared" ca="1" si="304"/>
        <v>4.2742416050381551E-4</v>
      </c>
      <c r="AM499" s="16">
        <f t="shared" ca="1" si="305"/>
        <v>9.2718739555621766E-4</v>
      </c>
      <c r="AO499" s="16">
        <f t="shared" ca="1" si="306"/>
        <v>0</v>
      </c>
      <c r="AP499" s="16">
        <f t="shared" ca="1" si="307"/>
        <v>0</v>
      </c>
      <c r="AQ499" s="16">
        <f t="shared" ca="1" si="308"/>
        <v>0</v>
      </c>
      <c r="AR499" s="16">
        <f t="shared" ca="1" si="309"/>
        <v>0</v>
      </c>
      <c r="AS499" s="16">
        <f t="shared" ca="1" si="310"/>
        <v>0</v>
      </c>
    </row>
    <row r="500" spans="1:45" x14ac:dyDescent="0.25">
      <c r="A500" s="69">
        <f t="shared" ca="1" si="311"/>
        <v>2453.0994318705621</v>
      </c>
      <c r="B500" s="69">
        <f t="shared" ca="1" si="312"/>
        <v>2140.432202423106</v>
      </c>
      <c r="C500" s="69">
        <f t="shared" ca="1" si="313"/>
        <v>2228.0942089610407</v>
      </c>
      <c r="D500" s="69">
        <f t="shared" ca="1" si="314"/>
        <v>2907.1905754327199</v>
      </c>
      <c r="E500" s="69">
        <f t="shared" ca="1" si="315"/>
        <v>1930.9358796244071</v>
      </c>
      <c r="F500" s="69">
        <f t="shared" ca="1" si="316"/>
        <v>1221.2204263769331</v>
      </c>
      <c r="G500" s="69">
        <f t="shared" ca="1" si="317"/>
        <v>963.43402719554319</v>
      </c>
      <c r="H500" s="69">
        <f t="shared" ca="1" si="318"/>
        <v>1187.8253486939138</v>
      </c>
      <c r="I500" s="69">
        <f t="shared" ca="1" si="319"/>
        <v>1050.1486393446191</v>
      </c>
      <c r="J500" s="69">
        <f t="shared" ca="1" si="320"/>
        <v>1145.2743227043632</v>
      </c>
      <c r="K500" s="69">
        <f t="shared" ca="1" si="321"/>
        <v>1174.9446103380451</v>
      </c>
      <c r="L500" s="69">
        <f t="shared" ca="1" si="322"/>
        <v>954.69567000445409</v>
      </c>
      <c r="M500" s="69">
        <f t="shared" ca="1" si="323"/>
        <v>991.72739788531214</v>
      </c>
      <c r="N500" s="69">
        <f t="shared" ca="1" si="324"/>
        <v>571.48008144912956</v>
      </c>
      <c r="O500" s="69">
        <f t="shared" ca="1" si="325"/>
        <v>631.84326683949121</v>
      </c>
      <c r="P500" s="69">
        <f t="shared" ca="1" si="326"/>
        <v>722.06932624359922</v>
      </c>
      <c r="Q500" s="69">
        <f t="shared" ca="1" si="327"/>
        <v>957.52448672706021</v>
      </c>
      <c r="R500" s="69">
        <f t="shared" ca="1" si="328"/>
        <v>780.98370776041475</v>
      </c>
      <c r="S500" s="69">
        <f t="shared" ca="1" si="329"/>
        <v>700.29537965656436</v>
      </c>
      <c r="T500" s="69">
        <f t="shared" ca="1" si="330"/>
        <v>796.92820375756298</v>
      </c>
      <c r="U500" s="69">
        <f t="shared" ca="1" si="331"/>
        <v>1693.2696729622858</v>
      </c>
      <c r="V500" s="69">
        <f t="shared" ca="1" si="332"/>
        <v>1914.9144122546397</v>
      </c>
      <c r="W500" s="69">
        <f t="shared" ca="1" si="333"/>
        <v>1181.3495065776208</v>
      </c>
      <c r="X500" s="69">
        <f t="shared" ca="1" si="334"/>
        <v>1498.4413486434892</v>
      </c>
      <c r="Y500" s="69">
        <f t="shared" ca="1" si="335"/>
        <v>1205.8016504473028</v>
      </c>
      <c r="AA500" s="20">
        <f t="shared" ca="1" si="295"/>
        <v>6.5673707220152376E+16</v>
      </c>
      <c r="AB500" s="20">
        <f t="shared" ca="1" si="296"/>
        <v>1680849880670016.8</v>
      </c>
      <c r="AC500" s="20">
        <f t="shared" ca="1" si="297"/>
        <v>401684540464467.13</v>
      </c>
      <c r="AD500" s="20">
        <f t="shared" ca="1" si="298"/>
        <v>301350015055776.81</v>
      </c>
      <c r="AE500" s="20">
        <f t="shared" ca="1" si="299"/>
        <v>6921010764840717</v>
      </c>
      <c r="AG500" s="16">
        <f t="shared" ca="1" si="300"/>
        <v>-5.751536241719535E-4</v>
      </c>
      <c r="AH500" s="16">
        <f t="shared" ca="1" si="301"/>
        <v>-3.5534911514686728E-4</v>
      </c>
      <c r="AI500" s="16">
        <f t="shared" ca="1" si="302"/>
        <v>7.9807201924537714E-4</v>
      </c>
      <c r="AJ500" s="16">
        <f t="shared" ca="1" si="303"/>
        <v>-4.5023790200157893E-4</v>
      </c>
      <c r="AK500" s="16">
        <f t="shared" ca="1" si="304"/>
        <v>-3.5756437225177134E-4</v>
      </c>
      <c r="AM500" s="16">
        <f t="shared" ca="1" si="305"/>
        <v>-5.8266862207502251E-4</v>
      </c>
      <c r="AO500" s="16">
        <f t="shared" ca="1" si="306"/>
        <v>-5.751536241719535E-4</v>
      </c>
      <c r="AP500" s="16">
        <f t="shared" ca="1" si="307"/>
        <v>-3.5534911514686728E-4</v>
      </c>
      <c r="AQ500" s="16">
        <f t="shared" ca="1" si="308"/>
        <v>0</v>
      </c>
      <c r="AR500" s="16">
        <f t="shared" ca="1" si="309"/>
        <v>-4.5023790200157893E-4</v>
      </c>
      <c r="AS500" s="16">
        <f t="shared" ca="1" si="310"/>
        <v>-3.5756437225177134E-4</v>
      </c>
    </row>
    <row r="501" spans="1:45" x14ac:dyDescent="0.25">
      <c r="A501" s="69">
        <f t="shared" ca="1" si="311"/>
        <v>2453.0994318705621</v>
      </c>
      <c r="B501" s="69">
        <f t="shared" ca="1" si="312"/>
        <v>2139.9364650024468</v>
      </c>
      <c r="C501" s="69">
        <f t="shared" ca="1" si="313"/>
        <v>2227.6161921679654</v>
      </c>
      <c r="D501" s="69">
        <f t="shared" ca="1" si="314"/>
        <v>2906.8156973147024</v>
      </c>
      <c r="E501" s="69">
        <f t="shared" ca="1" si="315"/>
        <v>1930.9358796244071</v>
      </c>
      <c r="F501" s="69">
        <f t="shared" ca="1" si="316"/>
        <v>1221.2204263769331</v>
      </c>
      <c r="G501" s="69">
        <f t="shared" ca="1" si="317"/>
        <v>963.35333330270032</v>
      </c>
      <c r="H501" s="69">
        <f t="shared" ca="1" si="318"/>
        <v>1187.8920175340795</v>
      </c>
      <c r="I501" s="69">
        <f t="shared" ca="1" si="319"/>
        <v>1050.1486393446191</v>
      </c>
      <c r="J501" s="69">
        <f t="shared" ca="1" si="320"/>
        <v>1144.8990614192949</v>
      </c>
      <c r="K501" s="69">
        <f t="shared" ca="1" si="321"/>
        <v>1174.9446103380451</v>
      </c>
      <c r="L501" s="69">
        <f t="shared" ca="1" si="322"/>
        <v>954.69567000445409</v>
      </c>
      <c r="M501" s="69">
        <f t="shared" ca="1" si="323"/>
        <v>991.61110321335821</v>
      </c>
      <c r="N501" s="69">
        <f t="shared" ca="1" si="324"/>
        <v>571.91157257104408</v>
      </c>
      <c r="O501" s="69">
        <f t="shared" ca="1" si="325"/>
        <v>631.94474089663288</v>
      </c>
      <c r="P501" s="69">
        <f t="shared" ca="1" si="326"/>
        <v>722.1143198898925</v>
      </c>
      <c r="Q501" s="69">
        <f t="shared" ca="1" si="327"/>
        <v>957.87354726885928</v>
      </c>
      <c r="R501" s="69">
        <f t="shared" ca="1" si="328"/>
        <v>780.66481125660653</v>
      </c>
      <c r="S501" s="69">
        <f t="shared" ca="1" si="329"/>
        <v>700.36912778188469</v>
      </c>
      <c r="T501" s="69">
        <f t="shared" ca="1" si="330"/>
        <v>796.4709613288162</v>
      </c>
      <c r="U501" s="69">
        <f t="shared" ca="1" si="331"/>
        <v>1693.2696729622858</v>
      </c>
      <c r="V501" s="69">
        <f t="shared" ca="1" si="332"/>
        <v>1915.1444160017645</v>
      </c>
      <c r="W501" s="69">
        <f t="shared" ca="1" si="333"/>
        <v>1181.174389247918</v>
      </c>
      <c r="X501" s="69">
        <f t="shared" ca="1" si="334"/>
        <v>1498.4413486434892</v>
      </c>
      <c r="Y501" s="69">
        <f t="shared" ca="1" si="335"/>
        <v>1205.4044971330834</v>
      </c>
      <c r="AA501" s="20">
        <f t="shared" ca="1" si="295"/>
        <v>6.5635945609836376E+16</v>
      </c>
      <c r="AB501" s="20">
        <f t="shared" ca="1" si="296"/>
        <v>1680252698262630</v>
      </c>
      <c r="AC501" s="20">
        <f t="shared" ca="1" si="297"/>
        <v>402005241611059.31</v>
      </c>
      <c r="AD501" s="20">
        <f t="shared" ca="1" si="298"/>
        <v>301214366396605.31</v>
      </c>
      <c r="AE501" s="20">
        <f t="shared" ca="1" si="299"/>
        <v>6918536500352015</v>
      </c>
      <c r="AG501" s="16">
        <f t="shared" ca="1" si="300"/>
        <v>2.5521807799658042E-4</v>
      </c>
      <c r="AH501" s="16">
        <f t="shared" ca="1" si="301"/>
        <v>-2.5273428360724102E-6</v>
      </c>
      <c r="AI501" s="16">
        <f t="shared" ca="1" si="302"/>
        <v>7.0585440657022194E-4</v>
      </c>
      <c r="AJ501" s="16">
        <f t="shared" ca="1" si="303"/>
        <v>2.5970017982558842E-4</v>
      </c>
      <c r="AK501" s="16">
        <f t="shared" ca="1" si="304"/>
        <v>-1.8194953512315899E-4</v>
      </c>
      <c r="AM501" s="16">
        <f t="shared" ca="1" si="305"/>
        <v>1.2182453215563182E-3</v>
      </c>
      <c r="AO501" s="16">
        <f t="shared" ca="1" si="306"/>
        <v>0</v>
      </c>
      <c r="AP501" s="16">
        <f t="shared" ca="1" si="307"/>
        <v>-2.5273428360724102E-6</v>
      </c>
      <c r="AQ501" s="16">
        <f t="shared" ca="1" si="308"/>
        <v>0</v>
      </c>
      <c r="AR501" s="16">
        <f t="shared" ca="1" si="309"/>
        <v>0</v>
      </c>
      <c r="AS501" s="16">
        <f t="shared" ca="1" si="310"/>
        <v>-1.8194953512315899E-4</v>
      </c>
    </row>
    <row r="502" spans="1:45" x14ac:dyDescent="0.25">
      <c r="A502" s="69">
        <f t="shared" ca="1" si="311"/>
        <v>2453.0994318705621</v>
      </c>
      <c r="B502" s="69">
        <f t="shared" ca="1" si="312"/>
        <v>2140.1905729886271</v>
      </c>
      <c r="C502" s="69">
        <f t="shared" ca="1" si="313"/>
        <v>2227.3967259856822</v>
      </c>
      <c r="D502" s="69">
        <f t="shared" ca="1" si="314"/>
        <v>2907.0574638839712</v>
      </c>
      <c r="E502" s="69">
        <f t="shared" ca="1" si="315"/>
        <v>1931.2290878526253</v>
      </c>
      <c r="F502" s="69">
        <f t="shared" ca="1" si="316"/>
        <v>1221.2204263769331</v>
      </c>
      <c r="G502" s="69">
        <f t="shared" ca="1" si="317"/>
        <v>963.28928927855543</v>
      </c>
      <c r="H502" s="69">
        <f t="shared" ca="1" si="318"/>
        <v>1187.5289714917585</v>
      </c>
      <c r="I502" s="69">
        <f t="shared" ca="1" si="319"/>
        <v>1050.5368712053689</v>
      </c>
      <c r="J502" s="69">
        <f t="shared" ca="1" si="320"/>
        <v>1144.8990614192949</v>
      </c>
      <c r="K502" s="69">
        <f t="shared" ca="1" si="321"/>
        <v>1175.2540731694555</v>
      </c>
      <c r="L502" s="69">
        <f t="shared" ca="1" si="322"/>
        <v>955.00122658439773</v>
      </c>
      <c r="M502" s="69">
        <f t="shared" ca="1" si="323"/>
        <v>991.61110321335821</v>
      </c>
      <c r="N502" s="69">
        <f t="shared" ca="1" si="324"/>
        <v>572.19445492397665</v>
      </c>
      <c r="O502" s="69">
        <f t="shared" ca="1" si="325"/>
        <v>631.70969800301737</v>
      </c>
      <c r="P502" s="69">
        <f t="shared" ca="1" si="326"/>
        <v>722.1143198898925</v>
      </c>
      <c r="Q502" s="69">
        <f t="shared" ca="1" si="327"/>
        <v>957.48813179906938</v>
      </c>
      <c r="R502" s="69">
        <f t="shared" ca="1" si="328"/>
        <v>780.66481125660653</v>
      </c>
      <c r="S502" s="69">
        <f t="shared" ca="1" si="329"/>
        <v>700.8330285692947</v>
      </c>
      <c r="T502" s="69">
        <f t="shared" ca="1" si="330"/>
        <v>796.4709613288162</v>
      </c>
      <c r="U502" s="69">
        <f t="shared" ca="1" si="331"/>
        <v>1693.2696729622858</v>
      </c>
      <c r="V502" s="69">
        <f t="shared" ca="1" si="332"/>
        <v>1915.4973327054222</v>
      </c>
      <c r="W502" s="69">
        <f t="shared" ca="1" si="333"/>
        <v>1181.001798410131</v>
      </c>
      <c r="X502" s="69">
        <f t="shared" ca="1" si="334"/>
        <v>1498.1116069187919</v>
      </c>
      <c r="Y502" s="69">
        <f t="shared" ca="1" si="335"/>
        <v>1205.4044971330834</v>
      </c>
      <c r="AA502" s="20">
        <f t="shared" ca="1" si="295"/>
        <v>6.5652699227544528E+16</v>
      </c>
      <c r="AB502" s="20">
        <f t="shared" ca="1" si="296"/>
        <v>1680248451693376.5</v>
      </c>
      <c r="AC502" s="20">
        <f t="shared" ca="1" si="297"/>
        <v>402289098951506.56</v>
      </c>
      <c r="AD502" s="20">
        <f t="shared" ca="1" si="298"/>
        <v>301292601980182.44</v>
      </c>
      <c r="AE502" s="20">
        <f t="shared" ca="1" si="299"/>
        <v>6917277790366364</v>
      </c>
      <c r="AG502" s="16">
        <f t="shared" ca="1" si="300"/>
        <v>-1.7189044474834363E-4</v>
      </c>
      <c r="AH502" s="16">
        <f t="shared" ca="1" si="301"/>
        <v>-2.7542754875650727E-4</v>
      </c>
      <c r="AI502" s="16">
        <f t="shared" ca="1" si="302"/>
        <v>-4.9260218758646846E-4</v>
      </c>
      <c r="AJ502" s="16">
        <f t="shared" ca="1" si="303"/>
        <v>-3.4317255179539392E-4</v>
      </c>
      <c r="AK502" s="16">
        <f t="shared" ca="1" si="304"/>
        <v>-2.7667064137626055E-4</v>
      </c>
      <c r="AM502" s="16">
        <f t="shared" ca="1" si="305"/>
        <v>-1.2830927328867133E-3</v>
      </c>
      <c r="AO502" s="16">
        <f t="shared" ca="1" si="306"/>
        <v>-1.7189044474834363E-4</v>
      </c>
      <c r="AP502" s="16">
        <f t="shared" ca="1" si="307"/>
        <v>-2.7542754875650727E-4</v>
      </c>
      <c r="AQ502" s="16">
        <f t="shared" ca="1" si="308"/>
        <v>-4.9260218758646846E-4</v>
      </c>
      <c r="AR502" s="16">
        <f t="shared" ca="1" si="309"/>
        <v>-3.4317255179539392E-4</v>
      </c>
      <c r="AS502" s="16">
        <f t="shared" ca="1" si="310"/>
        <v>-2.7667064137626055E-4</v>
      </c>
    </row>
    <row r="503" spans="1:45" x14ac:dyDescent="0.25">
      <c r="A503" s="69">
        <f t="shared" ca="1" si="311"/>
        <v>2452.9034323712744</v>
      </c>
      <c r="B503" s="69">
        <f t="shared" ca="1" si="312"/>
        <v>2139.7666950757257</v>
      </c>
      <c r="C503" s="69">
        <f t="shared" ca="1" si="313"/>
        <v>2227.8433568273481</v>
      </c>
      <c r="D503" s="69">
        <f t="shared" ca="1" si="314"/>
        <v>2906.8355283848132</v>
      </c>
      <c r="E503" s="69">
        <f t="shared" ca="1" si="315"/>
        <v>1931.1942043222796</v>
      </c>
      <c r="F503" s="69">
        <f t="shared" ca="1" si="316"/>
        <v>1221.1514213002094</v>
      </c>
      <c r="G503" s="69">
        <f t="shared" ca="1" si="317"/>
        <v>963.28928927855543</v>
      </c>
      <c r="H503" s="69">
        <f t="shared" ca="1" si="318"/>
        <v>1187.2690249894292</v>
      </c>
      <c r="I503" s="69">
        <f t="shared" ca="1" si="319"/>
        <v>1050.5368712053689</v>
      </c>
      <c r="J503" s="69">
        <f t="shared" ca="1" si="320"/>
        <v>1144.8990614192949</v>
      </c>
      <c r="K503" s="69">
        <f t="shared" ca="1" si="321"/>
        <v>1175.2540731694555</v>
      </c>
      <c r="L503" s="69">
        <f t="shared" ca="1" si="322"/>
        <v>954.73044845556183</v>
      </c>
      <c r="M503" s="69">
        <f t="shared" ca="1" si="323"/>
        <v>991.15190578112345</v>
      </c>
      <c r="N503" s="69">
        <f t="shared" ca="1" si="324"/>
        <v>572.33990486569087</v>
      </c>
      <c r="O503" s="69">
        <f t="shared" ca="1" si="325"/>
        <v>631.70969800301737</v>
      </c>
      <c r="P503" s="69">
        <f t="shared" ca="1" si="326"/>
        <v>722.2323929455174</v>
      </c>
      <c r="Q503" s="69">
        <f t="shared" ca="1" si="327"/>
        <v>957.19267088070694</v>
      </c>
      <c r="R503" s="69">
        <f t="shared" ca="1" si="328"/>
        <v>780.56242635162187</v>
      </c>
      <c r="S503" s="69">
        <f t="shared" ca="1" si="329"/>
        <v>700.7861562863128</v>
      </c>
      <c r="T503" s="69">
        <f t="shared" ca="1" si="330"/>
        <v>796.4709613288162</v>
      </c>
      <c r="U503" s="69">
        <f t="shared" ca="1" si="331"/>
        <v>1693.2696729622858</v>
      </c>
      <c r="V503" s="69">
        <f t="shared" ca="1" si="332"/>
        <v>1915.2374590984314</v>
      </c>
      <c r="W503" s="69">
        <f t="shared" ca="1" si="333"/>
        <v>1181.001798410131</v>
      </c>
      <c r="X503" s="69">
        <f t="shared" ca="1" si="334"/>
        <v>1498.1116069187919</v>
      </c>
      <c r="Y503" s="69">
        <f t="shared" ca="1" si="335"/>
        <v>1205.2345561949253</v>
      </c>
      <c r="AA503" s="20">
        <f t="shared" ca="1" si="295"/>
        <v>6.56414151257178E+16</v>
      </c>
      <c r="AB503" s="20">
        <f t="shared" ca="1" si="296"/>
        <v>1679785728707278.8</v>
      </c>
      <c r="AC503" s="20">
        <f t="shared" ca="1" si="297"/>
        <v>402090979262423.25</v>
      </c>
      <c r="AD503" s="20">
        <f t="shared" ca="1" si="298"/>
        <v>301189224368317.81</v>
      </c>
      <c r="AE503" s="20">
        <f t="shared" ca="1" si="299"/>
        <v>6915364247406311</v>
      </c>
      <c r="AG503" s="16">
        <f t="shared" ca="1" si="300"/>
        <v>1.6318575367320673E-4</v>
      </c>
      <c r="AH503" s="16">
        <f t="shared" ca="1" si="301"/>
        <v>1.0269831780925715E-4</v>
      </c>
      <c r="AI503" s="16">
        <f t="shared" ca="1" si="302"/>
        <v>-8.3885854776401269E-4</v>
      </c>
      <c r="AJ503" s="16">
        <f t="shared" ca="1" si="303"/>
        <v>-5.2766031789556729E-4</v>
      </c>
      <c r="AK503" s="16">
        <f t="shared" ca="1" si="304"/>
        <v>-7.9889293135777144E-6</v>
      </c>
      <c r="AM503" s="16">
        <f t="shared" ca="1" si="305"/>
        <v>-1.1006347941771161E-3</v>
      </c>
      <c r="AO503" s="16">
        <f t="shared" ca="1" si="306"/>
        <v>0</v>
      </c>
      <c r="AP503" s="16">
        <f t="shared" ca="1" si="307"/>
        <v>0</v>
      </c>
      <c r="AQ503" s="16">
        <f t="shared" ca="1" si="308"/>
        <v>-8.3885854776401269E-4</v>
      </c>
      <c r="AR503" s="16">
        <f t="shared" ca="1" si="309"/>
        <v>-5.2766031789556729E-4</v>
      </c>
      <c r="AS503" s="16">
        <f t="shared" ca="1" si="310"/>
        <v>-7.9889293135777144E-6</v>
      </c>
    </row>
    <row r="504" spans="1:45" x14ac:dyDescent="0.25">
      <c r="A504" s="69">
        <f t="shared" ca="1" si="311"/>
        <v>2453.1473422552249</v>
      </c>
      <c r="B504" s="69">
        <f t="shared" ca="1" si="312"/>
        <v>2139.4348678478641</v>
      </c>
      <c r="C504" s="69">
        <f t="shared" ca="1" si="313"/>
        <v>2228.0922161148865</v>
      </c>
      <c r="D504" s="69">
        <f t="shared" ca="1" si="314"/>
        <v>2907.1469950076894</v>
      </c>
      <c r="E504" s="69">
        <f t="shared" ca="1" si="315"/>
        <v>1931.1942043222796</v>
      </c>
      <c r="F504" s="69">
        <f t="shared" ca="1" si="316"/>
        <v>1220.8000810383355</v>
      </c>
      <c r="G504" s="69">
        <f t="shared" ca="1" si="317"/>
        <v>963.25128082890672</v>
      </c>
      <c r="H504" s="69">
        <f t="shared" ca="1" si="318"/>
        <v>1187.2690249894292</v>
      </c>
      <c r="I504" s="69">
        <f t="shared" ca="1" si="319"/>
        <v>1050.5846785737417</v>
      </c>
      <c r="J504" s="69">
        <f t="shared" ca="1" si="320"/>
        <v>1145.3392488745437</v>
      </c>
      <c r="K504" s="69">
        <f t="shared" ca="1" si="321"/>
        <v>1175.5355763495293</v>
      </c>
      <c r="L504" s="69">
        <f t="shared" ca="1" si="322"/>
        <v>954.53118093610124</v>
      </c>
      <c r="M504" s="69">
        <f t="shared" ca="1" si="323"/>
        <v>991.15190578112345</v>
      </c>
      <c r="N504" s="69">
        <f t="shared" ca="1" si="324"/>
        <v>572.01275798554684</v>
      </c>
      <c r="O504" s="69">
        <f t="shared" ca="1" si="325"/>
        <v>631.52156585622333</v>
      </c>
      <c r="P504" s="69">
        <f t="shared" ca="1" si="326"/>
        <v>722.67436462797491</v>
      </c>
      <c r="Q504" s="69">
        <f t="shared" ca="1" si="327"/>
        <v>957.19267088070694</v>
      </c>
      <c r="R504" s="69">
        <f t="shared" ca="1" si="328"/>
        <v>780.07648222016087</v>
      </c>
      <c r="S504" s="69">
        <f t="shared" ca="1" si="329"/>
        <v>700.7861562863128</v>
      </c>
      <c r="T504" s="69">
        <f t="shared" ca="1" si="330"/>
        <v>796.05955093938985</v>
      </c>
      <c r="U504" s="69">
        <f t="shared" ca="1" si="331"/>
        <v>1693.2803310037616</v>
      </c>
      <c r="V504" s="69">
        <f t="shared" ca="1" si="332"/>
        <v>1914.9732063751744</v>
      </c>
      <c r="W504" s="69">
        <f t="shared" ca="1" si="333"/>
        <v>1181.001798410131</v>
      </c>
      <c r="X504" s="69">
        <f t="shared" ca="1" si="334"/>
        <v>1498.2969349721347</v>
      </c>
      <c r="Y504" s="69">
        <f t="shared" ca="1" si="335"/>
        <v>1205.2345561949253</v>
      </c>
      <c r="AA504" s="20">
        <f t="shared" ca="1" si="295"/>
        <v>6.5652127743566808E+16</v>
      </c>
      <c r="AB504" s="20">
        <f t="shared" ca="1" si="296"/>
        <v>1679958248734503.5</v>
      </c>
      <c r="AC504" s="20">
        <f t="shared" ca="1" si="297"/>
        <v>401753823240366.63</v>
      </c>
      <c r="AD504" s="20">
        <f t="shared" ca="1" si="298"/>
        <v>301030340688433.88</v>
      </c>
      <c r="AE504" s="20">
        <f t="shared" ca="1" si="299"/>
        <v>6915309001270840</v>
      </c>
      <c r="AG504" s="16">
        <f t="shared" ca="1" si="300"/>
        <v>2.4456140798755536E-5</v>
      </c>
      <c r="AH504" s="16">
        <f t="shared" ca="1" si="301"/>
        <v>3.8635089459035577E-4</v>
      </c>
      <c r="AI504" s="16">
        <f t="shared" ca="1" si="302"/>
        <v>9.6052156127770594E-4</v>
      </c>
      <c r="AJ504" s="16">
        <f t="shared" ca="1" si="303"/>
        <v>1.8396410554760369E-3</v>
      </c>
      <c r="AK504" s="16">
        <f t="shared" ca="1" si="304"/>
        <v>-9.0148399551923615E-5</v>
      </c>
      <c r="AM504" s="16">
        <f t="shared" ca="1" si="305"/>
        <v>3.2109696521428542E-3</v>
      </c>
      <c r="AO504" s="16">
        <f t="shared" ca="1" si="306"/>
        <v>0</v>
      </c>
      <c r="AP504" s="16">
        <f t="shared" ca="1" si="307"/>
        <v>0</v>
      </c>
      <c r="AQ504" s="16">
        <f t="shared" ca="1" si="308"/>
        <v>0</v>
      </c>
      <c r="AR504" s="16">
        <f t="shared" ca="1" si="309"/>
        <v>0</v>
      </c>
      <c r="AS504" s="16">
        <f t="shared" ca="1" si="310"/>
        <v>-9.0148399551923615E-5</v>
      </c>
    </row>
    <row r="505" spans="1:45" x14ac:dyDescent="0.25">
      <c r="A505" s="69">
        <f t="shared" ca="1" si="311"/>
        <v>2453.3058668741946</v>
      </c>
      <c r="B505" s="69">
        <f t="shared" ca="1" si="312"/>
        <v>2139.4348678478641</v>
      </c>
      <c r="C505" s="69">
        <f t="shared" ca="1" si="313"/>
        <v>2228.0162664558993</v>
      </c>
      <c r="D505" s="69">
        <f t="shared" ca="1" si="314"/>
        <v>2907.1469950076894</v>
      </c>
      <c r="E505" s="69">
        <f t="shared" ca="1" si="315"/>
        <v>1931.1824727441244</v>
      </c>
      <c r="F505" s="69">
        <f t="shared" ca="1" si="316"/>
        <v>1220.7038329485499</v>
      </c>
      <c r="G505" s="69">
        <f t="shared" ca="1" si="317"/>
        <v>963.60493855651373</v>
      </c>
      <c r="H505" s="69">
        <f t="shared" ca="1" si="318"/>
        <v>1187.6333274439235</v>
      </c>
      <c r="I505" s="69">
        <f t="shared" ca="1" si="319"/>
        <v>1050.5846785737417</v>
      </c>
      <c r="J505" s="69">
        <f t="shared" ca="1" si="320"/>
        <v>1145.1002620208219</v>
      </c>
      <c r="K505" s="69">
        <f t="shared" ca="1" si="321"/>
        <v>1175.3346389529954</v>
      </c>
      <c r="L505" s="69">
        <f t="shared" ca="1" si="322"/>
        <v>954.90085080129279</v>
      </c>
      <c r="M505" s="69">
        <f t="shared" ca="1" si="323"/>
        <v>991.2788953111384</v>
      </c>
      <c r="N505" s="69">
        <f t="shared" ca="1" si="324"/>
        <v>572.36531215135824</v>
      </c>
      <c r="O505" s="69">
        <f t="shared" ca="1" si="325"/>
        <v>631.52156585622333</v>
      </c>
      <c r="P505" s="69">
        <f t="shared" ca="1" si="326"/>
        <v>723.02896787590373</v>
      </c>
      <c r="Q505" s="69">
        <f t="shared" ca="1" si="327"/>
        <v>957.56267612177976</v>
      </c>
      <c r="R505" s="69">
        <f t="shared" ca="1" si="328"/>
        <v>780.07519923150119</v>
      </c>
      <c r="S505" s="69">
        <f t="shared" ca="1" si="329"/>
        <v>701.06526403612929</v>
      </c>
      <c r="T505" s="69">
        <f t="shared" ca="1" si="330"/>
        <v>796.51028607574472</v>
      </c>
      <c r="U505" s="69">
        <f t="shared" ca="1" si="331"/>
        <v>1693.2803310037616</v>
      </c>
      <c r="V505" s="69">
        <f t="shared" ca="1" si="332"/>
        <v>1914.9732063751744</v>
      </c>
      <c r="W505" s="69">
        <f t="shared" ca="1" si="333"/>
        <v>1181.3184637363568</v>
      </c>
      <c r="X505" s="69">
        <f t="shared" ca="1" si="334"/>
        <v>1498.1011179445629</v>
      </c>
      <c r="Y505" s="69">
        <f t="shared" ca="1" si="335"/>
        <v>1204.9603439207206</v>
      </c>
      <c r="AA505" s="20">
        <f t="shared" ca="1" si="295"/>
        <v>6.5653733360880168E+16</v>
      </c>
      <c r="AB505" s="20">
        <f t="shared" ca="1" si="296"/>
        <v>1680607427504100.5</v>
      </c>
      <c r="AC505" s="20">
        <f t="shared" ca="1" si="297"/>
        <v>402139901838640.69</v>
      </c>
      <c r="AD505" s="20">
        <f t="shared" ca="1" si="298"/>
        <v>301584638159976.25</v>
      </c>
      <c r="AE505" s="20">
        <f t="shared" ca="1" si="299"/>
        <v>6914685625330562</v>
      </c>
      <c r="AG505" s="16">
        <f t="shared" ca="1" si="300"/>
        <v>5.4526264654689797E-4</v>
      </c>
      <c r="AH505" s="16">
        <f t="shared" ca="1" si="301"/>
        <v>2.1530011060979417E-4</v>
      </c>
      <c r="AI505" s="16">
        <f t="shared" ca="1" si="302"/>
        <v>-5.3389254308201361E-4</v>
      </c>
      <c r="AJ505" s="16">
        <f t="shared" ca="1" si="303"/>
        <v>-6.5759761580051897E-4</v>
      </c>
      <c r="AK505" s="16">
        <f t="shared" ca="1" si="304"/>
        <v>7.8023594238234263E-4</v>
      </c>
      <c r="AM505" s="16">
        <f t="shared" ca="1" si="305"/>
        <v>-4.3092740172584042E-4</v>
      </c>
      <c r="AO505" s="16">
        <f t="shared" ca="1" si="306"/>
        <v>0</v>
      </c>
      <c r="AP505" s="16">
        <f t="shared" ca="1" si="307"/>
        <v>0</v>
      </c>
      <c r="AQ505" s="16">
        <f t="shared" ca="1" si="308"/>
        <v>-5.3389254308201361E-4</v>
      </c>
      <c r="AR505" s="16">
        <f t="shared" ca="1" si="309"/>
        <v>-6.5759761580051897E-4</v>
      </c>
      <c r="AS505" s="16">
        <f t="shared" ca="1" si="310"/>
        <v>0</v>
      </c>
    </row>
    <row r="506" spans="1:45" x14ac:dyDescent="0.25">
      <c r="A506" s="69">
        <f t="shared" ca="1" si="311"/>
        <v>2453.7767533599476</v>
      </c>
      <c r="B506" s="69">
        <f t="shared" ca="1" si="312"/>
        <v>2139.6917836919433</v>
      </c>
      <c r="C506" s="69">
        <f t="shared" ca="1" si="313"/>
        <v>2228.270611222757</v>
      </c>
      <c r="D506" s="69">
        <f t="shared" ca="1" si="314"/>
        <v>2907.4932913451307</v>
      </c>
      <c r="E506" s="69">
        <f t="shared" ca="1" si="315"/>
        <v>1931.1824727441244</v>
      </c>
      <c r="F506" s="69">
        <f t="shared" ca="1" si="316"/>
        <v>1221.0698732327357</v>
      </c>
      <c r="G506" s="69">
        <f t="shared" ca="1" si="317"/>
        <v>963.60493855651373</v>
      </c>
      <c r="H506" s="69">
        <f t="shared" ca="1" si="318"/>
        <v>1187.6333274439235</v>
      </c>
      <c r="I506" s="69">
        <f t="shared" ca="1" si="319"/>
        <v>1050.5846785737417</v>
      </c>
      <c r="J506" s="69">
        <f t="shared" ca="1" si="320"/>
        <v>1145.0034879991535</v>
      </c>
      <c r="K506" s="69">
        <f t="shared" ca="1" si="321"/>
        <v>1175.547001243531</v>
      </c>
      <c r="L506" s="69">
        <f t="shared" ca="1" si="322"/>
        <v>954.90085080129279</v>
      </c>
      <c r="M506" s="69">
        <f t="shared" ca="1" si="323"/>
        <v>991.2788953111384</v>
      </c>
      <c r="N506" s="69">
        <f t="shared" ca="1" si="324"/>
        <v>572.36531215135824</v>
      </c>
      <c r="O506" s="69">
        <f t="shared" ca="1" si="325"/>
        <v>631.07046785969931</v>
      </c>
      <c r="P506" s="69">
        <f t="shared" ca="1" si="326"/>
        <v>722.68695348760286</v>
      </c>
      <c r="Q506" s="69">
        <f t="shared" ca="1" si="327"/>
        <v>957.94376411819155</v>
      </c>
      <c r="R506" s="69">
        <f t="shared" ca="1" si="328"/>
        <v>780.07519923150119</v>
      </c>
      <c r="S506" s="69">
        <f t="shared" ca="1" si="329"/>
        <v>700.657115000624</v>
      </c>
      <c r="T506" s="69">
        <f t="shared" ca="1" si="330"/>
        <v>796.51028607574472</v>
      </c>
      <c r="U506" s="69">
        <f t="shared" ca="1" si="331"/>
        <v>1693.6907740563745</v>
      </c>
      <c r="V506" s="69">
        <f t="shared" ca="1" si="332"/>
        <v>1915.4041078847331</v>
      </c>
      <c r="W506" s="69">
        <f t="shared" ca="1" si="333"/>
        <v>1181.2439291700507</v>
      </c>
      <c r="X506" s="69">
        <f t="shared" ca="1" si="334"/>
        <v>1498.3403776552909</v>
      </c>
      <c r="Y506" s="69">
        <f t="shared" ca="1" si="335"/>
        <v>1205.2209796008851</v>
      </c>
      <c r="AA506" s="20">
        <f t="shared" ca="1" si="295"/>
        <v>6.5689541650862504E+16</v>
      </c>
      <c r="AB506" s="20">
        <f t="shared" ca="1" si="296"/>
        <v>1680969301423483.3</v>
      </c>
      <c r="AC506" s="20">
        <f t="shared" ca="1" si="297"/>
        <v>401925259646804.63</v>
      </c>
      <c r="AD506" s="20">
        <f t="shared" ca="1" si="298"/>
        <v>301386382014488.88</v>
      </c>
      <c r="AE506" s="20">
        <f t="shared" ca="1" si="299"/>
        <v>6920082816853323</v>
      </c>
      <c r="AG506" s="16">
        <f t="shared" ca="1" si="300"/>
        <v>-1.5590283615003097E-4</v>
      </c>
      <c r="AH506" s="16">
        <f t="shared" ca="1" si="301"/>
        <v>7.0676148085382451E-4</v>
      </c>
      <c r="AI506" s="16">
        <f t="shared" ca="1" si="302"/>
        <v>7.671633001748153E-4</v>
      </c>
      <c r="AJ506" s="16">
        <f t="shared" ca="1" si="303"/>
        <v>-1.3457435454829696E-4</v>
      </c>
      <c r="AK506" s="16">
        <f t="shared" ca="1" si="304"/>
        <v>1.2717614005439845E-4</v>
      </c>
      <c r="AM506" s="16">
        <f t="shared" ca="1" si="305"/>
        <v>1.183447590330312E-3</v>
      </c>
      <c r="AO506" s="16">
        <f t="shared" ca="1" si="306"/>
        <v>-1.5590283615003097E-4</v>
      </c>
      <c r="AP506" s="16">
        <f t="shared" ca="1" si="307"/>
        <v>0</v>
      </c>
      <c r="AQ506" s="16">
        <f t="shared" ca="1" si="308"/>
        <v>0</v>
      </c>
      <c r="AR506" s="16">
        <f t="shared" ca="1" si="309"/>
        <v>-1.3457435454829696E-4</v>
      </c>
      <c r="AS506" s="16">
        <f t="shared" ca="1" si="310"/>
        <v>0</v>
      </c>
    </row>
    <row r="507" spans="1:45" x14ac:dyDescent="0.25">
      <c r="A507" s="69">
        <f t="shared" ca="1" si="311"/>
        <v>2453.7767533599476</v>
      </c>
      <c r="B507" s="69">
        <f t="shared" ca="1" si="312"/>
        <v>2139.5027402235828</v>
      </c>
      <c r="C507" s="69">
        <f t="shared" ca="1" si="313"/>
        <v>2228.2707036740385</v>
      </c>
      <c r="D507" s="69">
        <f t="shared" ca="1" si="314"/>
        <v>2907.7663285874683</v>
      </c>
      <c r="E507" s="69">
        <f t="shared" ca="1" si="315"/>
        <v>1930.8706248091221</v>
      </c>
      <c r="F507" s="69">
        <f t="shared" ca="1" si="316"/>
        <v>1221.4784017553598</v>
      </c>
      <c r="G507" s="69">
        <f t="shared" ca="1" si="317"/>
        <v>963.60493855651373</v>
      </c>
      <c r="H507" s="69">
        <f t="shared" ca="1" si="318"/>
        <v>1187.9670902393216</v>
      </c>
      <c r="I507" s="69">
        <f t="shared" ca="1" si="319"/>
        <v>1050.2506851712078</v>
      </c>
      <c r="J507" s="69">
        <f t="shared" ca="1" si="320"/>
        <v>1145.4721439179057</v>
      </c>
      <c r="K507" s="69">
        <f t="shared" ca="1" si="321"/>
        <v>1175.547001243531</v>
      </c>
      <c r="L507" s="69">
        <f t="shared" ca="1" si="322"/>
        <v>955.26778400168803</v>
      </c>
      <c r="M507" s="69">
        <f t="shared" ca="1" si="323"/>
        <v>991.54364935396268</v>
      </c>
      <c r="N507" s="69">
        <f t="shared" ca="1" si="324"/>
        <v>572.30710376517663</v>
      </c>
      <c r="O507" s="69">
        <f t="shared" ca="1" si="325"/>
        <v>631.20782233026807</v>
      </c>
      <c r="P507" s="69">
        <f t="shared" ca="1" si="326"/>
        <v>723.09247552851946</v>
      </c>
      <c r="Q507" s="69">
        <f t="shared" ca="1" si="327"/>
        <v>957.45336839737865</v>
      </c>
      <c r="R507" s="69">
        <f t="shared" ca="1" si="328"/>
        <v>780.07519923150119</v>
      </c>
      <c r="S507" s="69">
        <f t="shared" ca="1" si="329"/>
        <v>700.52856216371708</v>
      </c>
      <c r="T507" s="69">
        <f t="shared" ca="1" si="330"/>
        <v>796.51028607574472</v>
      </c>
      <c r="U507" s="69">
        <f t="shared" ca="1" si="331"/>
        <v>1693.6907740563745</v>
      </c>
      <c r="V507" s="69">
        <f t="shared" ca="1" si="332"/>
        <v>1915.7956439130994</v>
      </c>
      <c r="W507" s="69">
        <f t="shared" ca="1" si="333"/>
        <v>1181.2439291700507</v>
      </c>
      <c r="X507" s="69">
        <f t="shared" ca="1" si="334"/>
        <v>1498.3403776552909</v>
      </c>
      <c r="Y507" s="69">
        <f t="shared" ca="1" si="335"/>
        <v>1205.1279192956642</v>
      </c>
      <c r="AA507" s="20">
        <f t="shared" ca="1" si="295"/>
        <v>6.5679301263287216E+16</v>
      </c>
      <c r="AB507" s="20">
        <f t="shared" ca="1" si="296"/>
        <v>1682157765707144.5</v>
      </c>
      <c r="AC507" s="20">
        <f t="shared" ca="1" si="297"/>
        <v>402233720260121.5</v>
      </c>
      <c r="AD507" s="20">
        <f t="shared" ca="1" si="298"/>
        <v>301345825865629.63</v>
      </c>
      <c r="AE507" s="20">
        <f t="shared" ca="1" si="299"/>
        <v>6920962942239116</v>
      </c>
      <c r="AG507" s="16">
        <f t="shared" ca="1" si="300"/>
        <v>3.8253311672535205E-4</v>
      </c>
      <c r="AH507" s="16">
        <f t="shared" ca="1" si="301"/>
        <v>6.2795640220825069E-4</v>
      </c>
      <c r="AI507" s="16">
        <f t="shared" ca="1" si="302"/>
        <v>-1.065751484969543E-3</v>
      </c>
      <c r="AJ507" s="16">
        <f t="shared" ca="1" si="303"/>
        <v>5.4430975681974705E-4</v>
      </c>
      <c r="AK507" s="16">
        <f t="shared" ca="1" si="304"/>
        <v>2.0594360536164391E-4</v>
      </c>
      <c r="AM507" s="16">
        <f t="shared" ca="1" si="305"/>
        <v>4.8904779078380676E-4</v>
      </c>
      <c r="AO507" s="16">
        <f t="shared" ca="1" si="306"/>
        <v>0</v>
      </c>
      <c r="AP507" s="16">
        <f t="shared" ca="1" si="307"/>
        <v>0</v>
      </c>
      <c r="AQ507" s="16">
        <f t="shared" ca="1" si="308"/>
        <v>-1.065751484969543E-3</v>
      </c>
      <c r="AR507" s="16">
        <f t="shared" ca="1" si="309"/>
        <v>0</v>
      </c>
      <c r="AS507" s="16">
        <f t="shared" ca="1" si="310"/>
        <v>0</v>
      </c>
    </row>
    <row r="508" spans="1:45" x14ac:dyDescent="0.25">
      <c r="A508" s="69">
        <f t="shared" ca="1" si="311"/>
        <v>2454.0920759891042</v>
      </c>
      <c r="B508" s="69">
        <f t="shared" ca="1" si="312"/>
        <v>2139.5027402235828</v>
      </c>
      <c r="C508" s="69">
        <f t="shared" ca="1" si="313"/>
        <v>2228.2707036740385</v>
      </c>
      <c r="D508" s="69">
        <f t="shared" ca="1" si="314"/>
        <v>2908.075032356523</v>
      </c>
      <c r="E508" s="69">
        <f t="shared" ca="1" si="315"/>
        <v>1931.1561767526407</v>
      </c>
      <c r="F508" s="69">
        <f t="shared" ca="1" si="316"/>
        <v>1221.86507071233</v>
      </c>
      <c r="G508" s="69">
        <f t="shared" ca="1" si="317"/>
        <v>963.70887895623787</v>
      </c>
      <c r="H508" s="69">
        <f t="shared" ca="1" si="318"/>
        <v>1188.280782593175</v>
      </c>
      <c r="I508" s="69">
        <f t="shared" ca="1" si="319"/>
        <v>1050.2506851712078</v>
      </c>
      <c r="J508" s="69">
        <f t="shared" ca="1" si="320"/>
        <v>1145.4029190511376</v>
      </c>
      <c r="K508" s="69">
        <f t="shared" ca="1" si="321"/>
        <v>1175.6888221751315</v>
      </c>
      <c r="L508" s="69">
        <f t="shared" ca="1" si="322"/>
        <v>954.9154073404535</v>
      </c>
      <c r="M508" s="69">
        <f t="shared" ca="1" si="323"/>
        <v>991.52595648088175</v>
      </c>
      <c r="N508" s="69">
        <f t="shared" ca="1" si="324"/>
        <v>571.89478890947737</v>
      </c>
      <c r="O508" s="69">
        <f t="shared" ca="1" si="325"/>
        <v>631.15802555701134</v>
      </c>
      <c r="P508" s="69">
        <f t="shared" ca="1" si="326"/>
        <v>723.04892489118231</v>
      </c>
      <c r="Q508" s="69">
        <f t="shared" ca="1" si="327"/>
        <v>957.57139569632307</v>
      </c>
      <c r="R508" s="69">
        <f t="shared" ca="1" si="328"/>
        <v>780.07519923150119</v>
      </c>
      <c r="S508" s="69">
        <f t="shared" ca="1" si="329"/>
        <v>701.0122667412993</v>
      </c>
      <c r="T508" s="69">
        <f t="shared" ca="1" si="330"/>
        <v>796.3438554997831</v>
      </c>
      <c r="U508" s="69">
        <f t="shared" ca="1" si="331"/>
        <v>1694.0062630567638</v>
      </c>
      <c r="V508" s="69">
        <f t="shared" ca="1" si="332"/>
        <v>1915.8077406315697</v>
      </c>
      <c r="W508" s="69">
        <f t="shared" ca="1" si="333"/>
        <v>1181.142508960879</v>
      </c>
      <c r="X508" s="69">
        <f t="shared" ca="1" si="334"/>
        <v>1498.3214258157293</v>
      </c>
      <c r="Y508" s="69">
        <f t="shared" ca="1" si="335"/>
        <v>1205.2627623699984</v>
      </c>
      <c r="AA508" s="20">
        <f t="shared" ca="1" si="295"/>
        <v>6.5704430577194752E+16</v>
      </c>
      <c r="AB508" s="20">
        <f t="shared" ca="1" si="296"/>
        <v>1683214419177078</v>
      </c>
      <c r="AC508" s="20">
        <f t="shared" ca="1" si="297"/>
        <v>401805267428124.44</v>
      </c>
      <c r="AD508" s="20">
        <f t="shared" ca="1" si="298"/>
        <v>301509895987258.38</v>
      </c>
      <c r="AE508" s="20">
        <f t="shared" ca="1" si="299"/>
        <v>6922388417078690</v>
      </c>
      <c r="AG508" s="16">
        <f t="shared" ca="1" si="300"/>
        <v>1.2940052170247815E-4</v>
      </c>
      <c r="AH508" s="16">
        <f t="shared" ca="1" si="301"/>
        <v>2.8078957407140802E-4</v>
      </c>
      <c r="AI508" s="16">
        <f t="shared" ca="1" si="302"/>
        <v>-4.8887461045781031E-4</v>
      </c>
      <c r="AJ508" s="16">
        <f t="shared" ca="1" si="303"/>
        <v>2.4387049049403518E-4</v>
      </c>
      <c r="AK508" s="16">
        <f t="shared" ca="1" si="304"/>
        <v>-2.337190029742769E-5</v>
      </c>
      <c r="AM508" s="16">
        <f t="shared" ca="1" si="305"/>
        <v>1.6518597581011103E-4</v>
      </c>
      <c r="AO508" s="16">
        <f t="shared" ca="1" si="306"/>
        <v>0</v>
      </c>
      <c r="AP508" s="16">
        <f t="shared" ca="1" si="307"/>
        <v>0</v>
      </c>
      <c r="AQ508" s="16">
        <f t="shared" ca="1" si="308"/>
        <v>-4.8887461045781031E-4</v>
      </c>
      <c r="AR508" s="16">
        <f t="shared" ca="1" si="309"/>
        <v>0</v>
      </c>
      <c r="AS508" s="16">
        <f t="shared" ca="1" si="310"/>
        <v>-2.337190029742769E-5</v>
      </c>
    </row>
    <row r="509" spans="1:45" x14ac:dyDescent="0.25">
      <c r="A509" s="69">
        <f t="shared" ca="1" si="311"/>
        <v>2454.0920759891042</v>
      </c>
      <c r="B509" s="69">
        <f t="shared" ca="1" si="312"/>
        <v>2139.8384799072883</v>
      </c>
      <c r="C509" s="69">
        <f t="shared" ca="1" si="313"/>
        <v>2228.2094018194093</v>
      </c>
      <c r="D509" s="69">
        <f t="shared" ca="1" si="314"/>
        <v>2908.075032356523</v>
      </c>
      <c r="E509" s="69">
        <f t="shared" ca="1" si="315"/>
        <v>1931.1561767526407</v>
      </c>
      <c r="F509" s="69">
        <f t="shared" ca="1" si="316"/>
        <v>1221.86507071233</v>
      </c>
      <c r="G509" s="69">
        <f t="shared" ca="1" si="317"/>
        <v>963.70887895623787</v>
      </c>
      <c r="H509" s="69">
        <f t="shared" ca="1" si="318"/>
        <v>1188.6144862960641</v>
      </c>
      <c r="I509" s="69">
        <f t="shared" ca="1" si="319"/>
        <v>1050.2506851712078</v>
      </c>
      <c r="J509" s="69">
        <f t="shared" ca="1" si="320"/>
        <v>1145.4029190511376</v>
      </c>
      <c r="K509" s="69">
        <f t="shared" ca="1" si="321"/>
        <v>1175.8960812476778</v>
      </c>
      <c r="L509" s="69">
        <f t="shared" ca="1" si="322"/>
        <v>954.9154073404535</v>
      </c>
      <c r="M509" s="69">
        <f t="shared" ca="1" si="323"/>
        <v>991.52595648088175</v>
      </c>
      <c r="N509" s="69">
        <f t="shared" ca="1" si="324"/>
        <v>571.89478890947737</v>
      </c>
      <c r="O509" s="69">
        <f t="shared" ca="1" si="325"/>
        <v>630.7383526379482</v>
      </c>
      <c r="P509" s="69">
        <f t="shared" ca="1" si="326"/>
        <v>723.04892489118231</v>
      </c>
      <c r="Q509" s="69">
        <f t="shared" ca="1" si="327"/>
        <v>957.34449597199557</v>
      </c>
      <c r="R509" s="69">
        <f t="shared" ca="1" si="328"/>
        <v>780.48119361984891</v>
      </c>
      <c r="S509" s="69">
        <f t="shared" ca="1" si="329"/>
        <v>700.98459961743572</v>
      </c>
      <c r="T509" s="69">
        <f t="shared" ca="1" si="330"/>
        <v>796.3438554997831</v>
      </c>
      <c r="U509" s="69">
        <f t="shared" ca="1" si="331"/>
        <v>1693.6654671733654</v>
      </c>
      <c r="V509" s="69">
        <f t="shared" ca="1" si="332"/>
        <v>1916.1484509726452</v>
      </c>
      <c r="W509" s="69">
        <f t="shared" ca="1" si="333"/>
        <v>1181.142508960879</v>
      </c>
      <c r="X509" s="69">
        <f t="shared" ca="1" si="334"/>
        <v>1498.3214258157293</v>
      </c>
      <c r="Y509" s="69">
        <f t="shared" ca="1" si="335"/>
        <v>1205.2627623699984</v>
      </c>
      <c r="AA509" s="20">
        <f t="shared" ca="1" si="295"/>
        <v>6.5712933314907088E+16</v>
      </c>
      <c r="AB509" s="20">
        <f t="shared" ca="1" si="296"/>
        <v>1683687114597776.8</v>
      </c>
      <c r="AC509" s="20">
        <f t="shared" ca="1" si="297"/>
        <v>401608883042112</v>
      </c>
      <c r="AD509" s="20">
        <f t="shared" ca="1" si="298"/>
        <v>301583434320031.75</v>
      </c>
      <c r="AE509" s="20">
        <f t="shared" ca="1" si="299"/>
        <v>6922226629597434</v>
      </c>
      <c r="AG509" s="16">
        <f t="shared" ca="1" si="300"/>
        <v>1.8785771635912714E-4</v>
      </c>
      <c r="AH509" s="16">
        <f t="shared" ca="1" si="301"/>
        <v>-2.3646887115125667E-4</v>
      </c>
      <c r="AI509" s="16">
        <f t="shared" ca="1" si="302"/>
        <v>-8.1475345705730648E-4</v>
      </c>
      <c r="AJ509" s="16">
        <f t="shared" ca="1" si="303"/>
        <v>-5.2993086416986519E-4</v>
      </c>
      <c r="AK509" s="16">
        <f t="shared" ca="1" si="304"/>
        <v>7.9741989583123661E-4</v>
      </c>
      <c r="AM509" s="16">
        <f t="shared" ca="1" si="305"/>
        <v>-1.3932954760193014E-3</v>
      </c>
      <c r="AO509" s="16">
        <f t="shared" ca="1" si="306"/>
        <v>0</v>
      </c>
      <c r="AP509" s="16">
        <f t="shared" ca="1" si="307"/>
        <v>-2.3646887115125667E-4</v>
      </c>
      <c r="AQ509" s="16">
        <f t="shared" ca="1" si="308"/>
        <v>-8.1475345705730648E-4</v>
      </c>
      <c r="AR509" s="16">
        <f t="shared" ca="1" si="309"/>
        <v>-5.2993086416986519E-4</v>
      </c>
      <c r="AS509" s="16">
        <f t="shared" ca="1" si="310"/>
        <v>0</v>
      </c>
    </row>
    <row r="510" spans="1:45" x14ac:dyDescent="0.25">
      <c r="A510" s="69">
        <f t="shared" ca="1" si="311"/>
        <v>2454.0920759891042</v>
      </c>
      <c r="B510" s="69">
        <f t="shared" ca="1" si="312"/>
        <v>2139.8384799072883</v>
      </c>
      <c r="C510" s="69">
        <f t="shared" ca="1" si="313"/>
        <v>2228.2094018194093</v>
      </c>
      <c r="D510" s="69">
        <f t="shared" ca="1" si="314"/>
        <v>2908.1512457360072</v>
      </c>
      <c r="E510" s="69">
        <f t="shared" ca="1" si="315"/>
        <v>1931.4683744603612</v>
      </c>
      <c r="F510" s="69">
        <f t="shared" ca="1" si="316"/>
        <v>1221.86507071233</v>
      </c>
      <c r="G510" s="69">
        <f t="shared" ca="1" si="317"/>
        <v>963.3091519732701</v>
      </c>
      <c r="H510" s="69">
        <f t="shared" ca="1" si="318"/>
        <v>1188.6144862960641</v>
      </c>
      <c r="I510" s="69">
        <f t="shared" ca="1" si="319"/>
        <v>1050.5922841316246</v>
      </c>
      <c r="J510" s="69">
        <f t="shared" ca="1" si="320"/>
        <v>1145.2347807185299</v>
      </c>
      <c r="K510" s="69">
        <f t="shared" ca="1" si="321"/>
        <v>1175.8960812476778</v>
      </c>
      <c r="L510" s="69">
        <f t="shared" ca="1" si="322"/>
        <v>954.6367525268804</v>
      </c>
      <c r="M510" s="69">
        <f t="shared" ca="1" si="323"/>
        <v>991.52595648088175</v>
      </c>
      <c r="N510" s="69">
        <f t="shared" ca="1" si="324"/>
        <v>571.94392502852361</v>
      </c>
      <c r="O510" s="69">
        <f t="shared" ca="1" si="325"/>
        <v>630.35446698042347</v>
      </c>
      <c r="P510" s="69">
        <f t="shared" ca="1" si="326"/>
        <v>723.04173475622872</v>
      </c>
      <c r="Q510" s="69">
        <f t="shared" ca="1" si="327"/>
        <v>957.34449597199557</v>
      </c>
      <c r="R510" s="69">
        <f t="shared" ca="1" si="328"/>
        <v>780.18424079700526</v>
      </c>
      <c r="S510" s="69">
        <f t="shared" ca="1" si="329"/>
        <v>700.96908623517845</v>
      </c>
      <c r="T510" s="69">
        <f t="shared" ca="1" si="330"/>
        <v>796.25044259057256</v>
      </c>
      <c r="U510" s="69">
        <f t="shared" ca="1" si="331"/>
        <v>1693.9438728374648</v>
      </c>
      <c r="V510" s="69">
        <f t="shared" ca="1" si="332"/>
        <v>1916.198893208021</v>
      </c>
      <c r="W510" s="69">
        <f t="shared" ca="1" si="333"/>
        <v>1181.264056626512</v>
      </c>
      <c r="X510" s="69">
        <f t="shared" ca="1" si="334"/>
        <v>1498.6920139971305</v>
      </c>
      <c r="Y510" s="69">
        <f t="shared" ca="1" si="335"/>
        <v>1205.5719782543954</v>
      </c>
      <c r="AA510" s="20">
        <f t="shared" ca="1" si="295"/>
        <v>6.5725279156089344E+16</v>
      </c>
      <c r="AB510" s="20">
        <f t="shared" ca="1" si="296"/>
        <v>1683289022076515.5</v>
      </c>
      <c r="AC510" s="20">
        <f t="shared" ca="1" si="297"/>
        <v>401281804078720.13</v>
      </c>
      <c r="AD510" s="20">
        <f t="shared" ca="1" si="298"/>
        <v>301423658288927.44</v>
      </c>
      <c r="AE510" s="20">
        <f t="shared" ca="1" si="299"/>
        <v>6927748752267954</v>
      </c>
      <c r="AG510" s="16">
        <f t="shared" ca="1" si="300"/>
        <v>-1.0742991384709922E-4</v>
      </c>
      <c r="AH510" s="16">
        <f t="shared" ca="1" si="301"/>
        <v>-2.1325159115458689E-4</v>
      </c>
      <c r="AI510" s="16">
        <f t="shared" ca="1" si="302"/>
        <v>2.1072049711920449E-3</v>
      </c>
      <c r="AJ510" s="16">
        <f t="shared" ca="1" si="303"/>
        <v>-3.0450791666355152E-4</v>
      </c>
      <c r="AK510" s="16">
        <f t="shared" ca="1" si="304"/>
        <v>3.7473971024897147E-4</v>
      </c>
      <c r="AM510" s="16">
        <f t="shared" ca="1" si="305"/>
        <v>1.4820155495268072E-3</v>
      </c>
      <c r="AO510" s="16">
        <f t="shared" ca="1" si="306"/>
        <v>-1.0742991384709922E-4</v>
      </c>
      <c r="AP510" s="16">
        <f t="shared" ca="1" si="307"/>
        <v>-2.1325159115458689E-4</v>
      </c>
      <c r="AQ510" s="16">
        <f t="shared" ca="1" si="308"/>
        <v>0</v>
      </c>
      <c r="AR510" s="16">
        <f t="shared" ca="1" si="309"/>
        <v>-3.0450791666355152E-4</v>
      </c>
      <c r="AS510" s="16">
        <f t="shared" ca="1" si="310"/>
        <v>0</v>
      </c>
    </row>
    <row r="511" spans="1:45" x14ac:dyDescent="0.25">
      <c r="A511" s="69">
        <f t="shared" ca="1" si="311"/>
        <v>2453.9922924857042</v>
      </c>
      <c r="B511" s="69">
        <f t="shared" ca="1" si="312"/>
        <v>2139.3386633252362</v>
      </c>
      <c r="C511" s="69">
        <f t="shared" ca="1" si="313"/>
        <v>2228.2094018194093</v>
      </c>
      <c r="D511" s="69">
        <f t="shared" ca="1" si="314"/>
        <v>2908.1512457360072</v>
      </c>
      <c r="E511" s="69">
        <f t="shared" ca="1" si="315"/>
        <v>1931.790637916419</v>
      </c>
      <c r="F511" s="69">
        <f t="shared" ca="1" si="316"/>
        <v>1221.5385547299782</v>
      </c>
      <c r="G511" s="69">
        <f t="shared" ca="1" si="317"/>
        <v>963.6146022813607</v>
      </c>
      <c r="H511" s="69">
        <f t="shared" ca="1" si="318"/>
        <v>1188.6144862960641</v>
      </c>
      <c r="I511" s="69">
        <f t="shared" ca="1" si="319"/>
        <v>1050.3159910654015</v>
      </c>
      <c r="J511" s="69">
        <f t="shared" ca="1" si="320"/>
        <v>1145.2347807185299</v>
      </c>
      <c r="K511" s="69">
        <f t="shared" ca="1" si="321"/>
        <v>1175.9999971866434</v>
      </c>
      <c r="L511" s="69">
        <f t="shared" ca="1" si="322"/>
        <v>955.09884993754304</v>
      </c>
      <c r="M511" s="69">
        <f t="shared" ca="1" si="323"/>
        <v>991.61425331427415</v>
      </c>
      <c r="N511" s="69">
        <f t="shared" ca="1" si="324"/>
        <v>572.32513538905641</v>
      </c>
      <c r="O511" s="69">
        <f t="shared" ca="1" si="325"/>
        <v>630.84605520291416</v>
      </c>
      <c r="P511" s="69">
        <f t="shared" ca="1" si="326"/>
        <v>723.04173475622872</v>
      </c>
      <c r="Q511" s="69">
        <f t="shared" ca="1" si="327"/>
        <v>957.05302137441129</v>
      </c>
      <c r="R511" s="69">
        <f t="shared" ca="1" si="328"/>
        <v>780.18424079700526</v>
      </c>
      <c r="S511" s="69">
        <f t="shared" ca="1" si="329"/>
        <v>700.96908623517845</v>
      </c>
      <c r="T511" s="69">
        <f t="shared" ca="1" si="330"/>
        <v>796.25044259057256</v>
      </c>
      <c r="U511" s="69">
        <f t="shared" ca="1" si="331"/>
        <v>1694.0256072140817</v>
      </c>
      <c r="V511" s="69">
        <f t="shared" ca="1" si="332"/>
        <v>1916.5171457160202</v>
      </c>
      <c r="W511" s="69">
        <f t="shared" ca="1" si="333"/>
        <v>1181.264056626512</v>
      </c>
      <c r="X511" s="69">
        <f t="shared" ca="1" si="334"/>
        <v>1498.6920139971305</v>
      </c>
      <c r="Y511" s="69">
        <f t="shared" ca="1" si="335"/>
        <v>1205.7653897054834</v>
      </c>
      <c r="AA511" s="20">
        <f t="shared" ca="1" si="295"/>
        <v>6.5718218674272296E+16</v>
      </c>
      <c r="AB511" s="20">
        <f t="shared" ca="1" si="296"/>
        <v>1682930096286292.8</v>
      </c>
      <c r="AC511" s="20">
        <f t="shared" ca="1" si="297"/>
        <v>402128278625592.69</v>
      </c>
      <c r="AD511" s="20">
        <f t="shared" ca="1" si="298"/>
        <v>301331886372055.5</v>
      </c>
      <c r="AE511" s="20">
        <f t="shared" ca="1" si="299"/>
        <v>6930345341320185</v>
      </c>
      <c r="AG511" s="16">
        <f t="shared" ca="1" si="300"/>
        <v>-1.2720149114089753E-4</v>
      </c>
      <c r="AH511" s="16">
        <f t="shared" ca="1" si="301"/>
        <v>-4.6819633176772618E-4</v>
      </c>
      <c r="AI511" s="16">
        <f t="shared" ca="1" si="302"/>
        <v>-1.1717966154503513E-4</v>
      </c>
      <c r="AJ511" s="16">
        <f t="shared" ca="1" si="303"/>
        <v>-4.552645333763492E-4</v>
      </c>
      <c r="AK511" s="16">
        <f t="shared" ca="1" si="304"/>
        <v>-8.0041929223415118E-4</v>
      </c>
      <c r="AM511" s="16">
        <f t="shared" ca="1" si="305"/>
        <v>-1.167842017830008E-3</v>
      </c>
      <c r="AO511" s="16">
        <f t="shared" ca="1" si="306"/>
        <v>-1.2720149114089753E-4</v>
      </c>
      <c r="AP511" s="16">
        <f t="shared" ca="1" si="307"/>
        <v>-4.6819633176772618E-4</v>
      </c>
      <c r="AQ511" s="16">
        <f t="shared" ca="1" si="308"/>
        <v>-1.1717966154503513E-4</v>
      </c>
      <c r="AR511" s="16">
        <f t="shared" ca="1" si="309"/>
        <v>-4.552645333763492E-4</v>
      </c>
      <c r="AS511" s="16">
        <f t="shared" ca="1" si="310"/>
        <v>-8.0041929223415118E-4</v>
      </c>
    </row>
    <row r="512" spans="1:45" x14ac:dyDescent="0.25">
      <c r="A512" s="69">
        <f t="shared" ca="1" si="311"/>
        <v>2453.9922924857042</v>
      </c>
      <c r="B512" s="69">
        <f t="shared" ca="1" si="312"/>
        <v>2139.3386633252362</v>
      </c>
      <c r="C512" s="69">
        <f t="shared" ca="1" si="313"/>
        <v>2228.2961244566682</v>
      </c>
      <c r="D512" s="69">
        <f t="shared" ca="1" si="314"/>
        <v>2907.6681806926272</v>
      </c>
      <c r="E512" s="69">
        <f t="shared" ca="1" si="315"/>
        <v>1931.790637916419</v>
      </c>
      <c r="F512" s="69">
        <f t="shared" ca="1" si="316"/>
        <v>1221.0904917731398</v>
      </c>
      <c r="G512" s="69">
        <f t="shared" ca="1" si="317"/>
        <v>963.6146022813607</v>
      </c>
      <c r="H512" s="69">
        <f t="shared" ca="1" si="318"/>
        <v>1188.4940537732998</v>
      </c>
      <c r="I512" s="69">
        <f t="shared" ca="1" si="319"/>
        <v>1050.3159910654015</v>
      </c>
      <c r="J512" s="69">
        <f t="shared" ca="1" si="320"/>
        <v>1145.2347807185299</v>
      </c>
      <c r="K512" s="69">
        <f t="shared" ca="1" si="321"/>
        <v>1175.5514048796226</v>
      </c>
      <c r="L512" s="69">
        <f t="shared" ca="1" si="322"/>
        <v>955.41344376572943</v>
      </c>
      <c r="M512" s="69">
        <f t="shared" ca="1" si="323"/>
        <v>991.87141014084796</v>
      </c>
      <c r="N512" s="69">
        <f t="shared" ca="1" si="324"/>
        <v>572.32513538905641</v>
      </c>
      <c r="O512" s="69">
        <f t="shared" ca="1" si="325"/>
        <v>630.64151885120918</v>
      </c>
      <c r="P512" s="69">
        <f t="shared" ca="1" si="326"/>
        <v>723.04173475622872</v>
      </c>
      <c r="Q512" s="69">
        <f t="shared" ca="1" si="327"/>
        <v>957.04938947890719</v>
      </c>
      <c r="R512" s="69">
        <f t="shared" ca="1" si="328"/>
        <v>780.18424079700526</v>
      </c>
      <c r="S512" s="69">
        <f t="shared" ca="1" si="329"/>
        <v>700.96908623517845</v>
      </c>
      <c r="T512" s="69">
        <f t="shared" ca="1" si="330"/>
        <v>795.89104081571054</v>
      </c>
      <c r="U512" s="69">
        <f t="shared" ca="1" si="331"/>
        <v>1694.0256072140817</v>
      </c>
      <c r="V512" s="69">
        <f t="shared" ca="1" si="332"/>
        <v>1916.1294693989839</v>
      </c>
      <c r="W512" s="69">
        <f t="shared" ca="1" si="333"/>
        <v>1180.9471733869834</v>
      </c>
      <c r="X512" s="69">
        <f t="shared" ca="1" si="334"/>
        <v>1498.1977917985957</v>
      </c>
      <c r="Y512" s="69">
        <f t="shared" ca="1" si="335"/>
        <v>1205.7653897054834</v>
      </c>
      <c r="AA512" s="20">
        <f t="shared" ca="1" si="295"/>
        <v>6.5709859750506856E+16</v>
      </c>
      <c r="AB512" s="20">
        <f t="shared" ca="1" si="296"/>
        <v>1682142339015512.5</v>
      </c>
      <c r="AC512" s="20">
        <f t="shared" ca="1" si="297"/>
        <v>402081160130724.19</v>
      </c>
      <c r="AD512" s="20">
        <f t="shared" ca="1" si="298"/>
        <v>301194731874573</v>
      </c>
      <c r="AE512" s="20">
        <f t="shared" ca="1" si="299"/>
        <v>6924800378650736</v>
      </c>
      <c r="AG512" s="16">
        <f t="shared" ca="1" si="300"/>
        <v>7.187966576657778E-5</v>
      </c>
      <c r="AH512" s="16">
        <f t="shared" ca="1" si="301"/>
        <v>-3.3760269749338191E-5</v>
      </c>
      <c r="AI512" s="16">
        <f t="shared" ca="1" si="302"/>
        <v>1.3514071801088387E-5</v>
      </c>
      <c r="AJ512" s="16">
        <f t="shared" ca="1" si="303"/>
        <v>-2.5134319169471848E-4</v>
      </c>
      <c r="AK512" s="16">
        <f t="shared" ca="1" si="304"/>
        <v>-3.3011698788792509E-4</v>
      </c>
      <c r="AM512" s="16">
        <f t="shared" ca="1" si="305"/>
        <v>-1.9970972387639051E-4</v>
      </c>
      <c r="AO512" s="16">
        <f t="shared" ca="1" si="306"/>
        <v>0</v>
      </c>
      <c r="AP512" s="16">
        <f t="shared" ca="1" si="307"/>
        <v>-3.3760269749338191E-5</v>
      </c>
      <c r="AQ512" s="16">
        <f t="shared" ca="1" si="308"/>
        <v>0</v>
      </c>
      <c r="AR512" s="16">
        <f t="shared" ca="1" si="309"/>
        <v>-2.5134319169471848E-4</v>
      </c>
      <c r="AS512" s="16">
        <f t="shared" ca="1" si="310"/>
        <v>-3.3011698788792509E-4</v>
      </c>
    </row>
    <row r="513" spans="1:45" x14ac:dyDescent="0.25">
      <c r="A513" s="69">
        <f t="shared" ca="1" si="311"/>
        <v>2453.6557451051217</v>
      </c>
      <c r="B513" s="69">
        <f t="shared" ca="1" si="312"/>
        <v>2138.9738284693417</v>
      </c>
      <c r="C513" s="69">
        <f t="shared" ca="1" si="313"/>
        <v>2228.7309837339822</v>
      </c>
      <c r="D513" s="69">
        <f t="shared" ca="1" si="314"/>
        <v>2908.1414449675003</v>
      </c>
      <c r="E513" s="69">
        <f t="shared" ca="1" si="315"/>
        <v>1931.8325534233186</v>
      </c>
      <c r="F513" s="69">
        <f t="shared" ca="1" si="316"/>
        <v>1221.0904917731398</v>
      </c>
      <c r="G513" s="69">
        <f t="shared" ca="1" si="317"/>
        <v>963.6146022813607</v>
      </c>
      <c r="H513" s="69">
        <f t="shared" ca="1" si="318"/>
        <v>1188.4940537732998</v>
      </c>
      <c r="I513" s="69">
        <f t="shared" ca="1" si="319"/>
        <v>1050.3159910654015</v>
      </c>
      <c r="J513" s="69">
        <f t="shared" ca="1" si="320"/>
        <v>1145.1961179360433</v>
      </c>
      <c r="K513" s="69">
        <f t="shared" ca="1" si="321"/>
        <v>1175.9716781955685</v>
      </c>
      <c r="L513" s="69">
        <f t="shared" ca="1" si="322"/>
        <v>954.95201387032353</v>
      </c>
      <c r="M513" s="69">
        <f t="shared" ca="1" si="323"/>
        <v>992.25763166595436</v>
      </c>
      <c r="N513" s="69">
        <f t="shared" ca="1" si="324"/>
        <v>572.4784544528369</v>
      </c>
      <c r="O513" s="69">
        <f t="shared" ca="1" si="325"/>
        <v>630.3149207316726</v>
      </c>
      <c r="P513" s="69">
        <f t="shared" ca="1" si="326"/>
        <v>723.04173475622872</v>
      </c>
      <c r="Q513" s="69">
        <f t="shared" ca="1" si="327"/>
        <v>957.04938947890719</v>
      </c>
      <c r="R513" s="69">
        <f t="shared" ca="1" si="328"/>
        <v>780.09942089393576</v>
      </c>
      <c r="S513" s="69">
        <f t="shared" ca="1" si="329"/>
        <v>700.96908623517845</v>
      </c>
      <c r="T513" s="69">
        <f t="shared" ca="1" si="330"/>
        <v>795.77753933069312</v>
      </c>
      <c r="U513" s="69">
        <f t="shared" ca="1" si="331"/>
        <v>1694.2025948548339</v>
      </c>
      <c r="V513" s="69">
        <f t="shared" ca="1" si="332"/>
        <v>1915.7167749995551</v>
      </c>
      <c r="W513" s="69">
        <f t="shared" ca="1" si="333"/>
        <v>1181.0922523524112</v>
      </c>
      <c r="X513" s="69">
        <f t="shared" ca="1" si="334"/>
        <v>1497.9380629781992</v>
      </c>
      <c r="Y513" s="69">
        <f t="shared" ca="1" si="335"/>
        <v>1205.5620509579778</v>
      </c>
      <c r="AA513" s="20">
        <f t="shared" ca="1" si="295"/>
        <v>6.5714583123018472E+16</v>
      </c>
      <c r="AB513" s="20">
        <f t="shared" ca="1" si="296"/>
        <v>1682085550394995.5</v>
      </c>
      <c r="AC513" s="20">
        <f t="shared" ca="1" si="297"/>
        <v>402086593921108.25</v>
      </c>
      <c r="AD513" s="20">
        <f t="shared" ca="1" si="298"/>
        <v>301119038142292.63</v>
      </c>
      <c r="AE513" s="20">
        <f t="shared" ca="1" si="299"/>
        <v>6922514761689261</v>
      </c>
      <c r="AG513" s="16">
        <f t="shared" ca="1" si="300"/>
        <v>2.4956107591838549E-4</v>
      </c>
      <c r="AH513" s="16">
        <f t="shared" ca="1" si="301"/>
        <v>5.7536454000447579E-4</v>
      </c>
      <c r="AI513" s="16">
        <f t="shared" ca="1" si="302"/>
        <v>3.617243575142644E-4</v>
      </c>
      <c r="AJ513" s="16">
        <f t="shared" ca="1" si="303"/>
        <v>-5.7447546132182467E-4</v>
      </c>
      <c r="AK513" s="16">
        <f t="shared" ca="1" si="304"/>
        <v>-4.096193874786734E-4</v>
      </c>
      <c r="AM513" s="16">
        <f t="shared" ca="1" si="305"/>
        <v>6.1217451211530106E-4</v>
      </c>
      <c r="AO513" s="16">
        <f t="shared" ca="1" si="306"/>
        <v>0</v>
      </c>
      <c r="AP513" s="16">
        <f t="shared" ca="1" si="307"/>
        <v>0</v>
      </c>
      <c r="AQ513" s="16">
        <f t="shared" ca="1" si="308"/>
        <v>0</v>
      </c>
      <c r="AR513" s="16">
        <f t="shared" ca="1" si="309"/>
        <v>-5.7447546132182467E-4</v>
      </c>
      <c r="AS513" s="16">
        <f t="shared" ca="1" si="310"/>
        <v>-4.096193874786734E-4</v>
      </c>
    </row>
    <row r="514" spans="1:45" x14ac:dyDescent="0.25">
      <c r="A514" s="69">
        <f t="shared" ca="1" si="311"/>
        <v>2453.5726476735604</v>
      </c>
      <c r="B514" s="69">
        <f t="shared" ca="1" si="312"/>
        <v>2139.17736468771</v>
      </c>
      <c r="C514" s="69">
        <f t="shared" ca="1" si="313"/>
        <v>2228.8308908854287</v>
      </c>
      <c r="D514" s="69">
        <f t="shared" ca="1" si="314"/>
        <v>2908.5586507823118</v>
      </c>
      <c r="E514" s="69">
        <f t="shared" ca="1" si="315"/>
        <v>1931.8325534233186</v>
      </c>
      <c r="F514" s="69">
        <f t="shared" ca="1" si="316"/>
        <v>1221.3494476353326</v>
      </c>
      <c r="G514" s="69">
        <f t="shared" ca="1" si="317"/>
        <v>963.6146022813607</v>
      </c>
      <c r="H514" s="69">
        <f t="shared" ca="1" si="318"/>
        <v>1188.4940537732998</v>
      </c>
      <c r="I514" s="69">
        <f t="shared" ca="1" si="319"/>
        <v>1050.3159910654015</v>
      </c>
      <c r="J514" s="69">
        <f t="shared" ca="1" si="320"/>
        <v>1145.6122635216902</v>
      </c>
      <c r="K514" s="69">
        <f t="shared" ca="1" si="321"/>
        <v>1176.4517949002152</v>
      </c>
      <c r="L514" s="69">
        <f t="shared" ca="1" si="322"/>
        <v>955.00321826438687</v>
      </c>
      <c r="M514" s="69">
        <f t="shared" ca="1" si="323"/>
        <v>991.95915255053364</v>
      </c>
      <c r="N514" s="69">
        <f t="shared" ca="1" si="324"/>
        <v>572.95509807518783</v>
      </c>
      <c r="O514" s="69">
        <f t="shared" ca="1" si="325"/>
        <v>629.91701514840793</v>
      </c>
      <c r="P514" s="69">
        <f t="shared" ca="1" si="326"/>
        <v>722.68517115684813</v>
      </c>
      <c r="Q514" s="69">
        <f t="shared" ca="1" si="327"/>
        <v>957.04938947890719</v>
      </c>
      <c r="R514" s="69">
        <f t="shared" ca="1" si="328"/>
        <v>779.8214016328252</v>
      </c>
      <c r="S514" s="69">
        <f t="shared" ca="1" si="329"/>
        <v>700.96908623517845</v>
      </c>
      <c r="T514" s="69">
        <f t="shared" ca="1" si="330"/>
        <v>795.99660174582039</v>
      </c>
      <c r="U514" s="69">
        <f t="shared" ca="1" si="331"/>
        <v>1694.2025948548339</v>
      </c>
      <c r="V514" s="69">
        <f t="shared" ca="1" si="332"/>
        <v>1915.7167749995551</v>
      </c>
      <c r="W514" s="69">
        <f t="shared" ca="1" si="333"/>
        <v>1180.6085531404972</v>
      </c>
      <c r="X514" s="69">
        <f t="shared" ca="1" si="334"/>
        <v>1497.9380629781992</v>
      </c>
      <c r="Y514" s="69">
        <f t="shared" ca="1" si="335"/>
        <v>1205.5620509579778</v>
      </c>
      <c r="AA514" s="20">
        <f t="shared" ca="1" si="295"/>
        <v>6.5730984971632552E+16</v>
      </c>
      <c r="AB514" s="20">
        <f t="shared" ca="1" si="296"/>
        <v>1683053641249814.8</v>
      </c>
      <c r="AC514" s="20">
        <f t="shared" ca="1" si="297"/>
        <v>402232064744543.38</v>
      </c>
      <c r="AD514" s="20">
        <f t="shared" ca="1" si="298"/>
        <v>300946102322391.56</v>
      </c>
      <c r="AE514" s="20">
        <f t="shared" ca="1" si="299"/>
        <v>6919679746111078</v>
      </c>
      <c r="AG514" s="16">
        <f t="shared" ca="1" si="300"/>
        <v>-1.6975345093863E-4</v>
      </c>
      <c r="AH514" s="16">
        <f t="shared" ca="1" si="301"/>
        <v>-1.7328785233235898E-4</v>
      </c>
      <c r="AI514" s="16">
        <f t="shared" ca="1" si="302"/>
        <v>5.1017174489122023E-4</v>
      </c>
      <c r="AJ514" s="16">
        <f t="shared" ca="1" si="303"/>
        <v>6.8358329604051868E-4</v>
      </c>
      <c r="AK514" s="16">
        <f t="shared" ca="1" si="304"/>
        <v>-7.3463030606384506E-4</v>
      </c>
      <c r="AM514" s="16">
        <f t="shared" ca="1" si="305"/>
        <v>8.5071373766074988E-4</v>
      </c>
      <c r="AO514" s="16">
        <f t="shared" ca="1" si="306"/>
        <v>-1.6975345093863E-4</v>
      </c>
      <c r="AP514" s="16">
        <f t="shared" ca="1" si="307"/>
        <v>-1.7328785233235898E-4</v>
      </c>
      <c r="AQ514" s="16">
        <f t="shared" ca="1" si="308"/>
        <v>0</v>
      </c>
      <c r="AR514" s="16">
        <f t="shared" ca="1" si="309"/>
        <v>0</v>
      </c>
      <c r="AS514" s="16">
        <f t="shared" ca="1" si="310"/>
        <v>-7.3463030606384506E-4</v>
      </c>
    </row>
    <row r="515" spans="1:45" x14ac:dyDescent="0.25">
      <c r="A515" s="69">
        <f t="shared" ca="1" si="311"/>
        <v>2453.2398331392042</v>
      </c>
      <c r="B515" s="69">
        <f t="shared" ca="1" si="312"/>
        <v>2139.5643974367176</v>
      </c>
      <c r="C515" s="69">
        <f t="shared" ca="1" si="313"/>
        <v>2228.8308908854287</v>
      </c>
      <c r="D515" s="69">
        <f t="shared" ca="1" si="314"/>
        <v>2908.5586507823118</v>
      </c>
      <c r="E515" s="69">
        <f t="shared" ca="1" si="315"/>
        <v>1931.4172367013543</v>
      </c>
      <c r="F515" s="69">
        <f t="shared" ca="1" si="316"/>
        <v>1221.322150865258</v>
      </c>
      <c r="G515" s="69">
        <f t="shared" ca="1" si="317"/>
        <v>963.6146022813607</v>
      </c>
      <c r="H515" s="69">
        <f t="shared" ca="1" si="318"/>
        <v>1188.0413044660049</v>
      </c>
      <c r="I515" s="69">
        <f t="shared" ca="1" si="319"/>
        <v>1050.3159910654015</v>
      </c>
      <c r="J515" s="69">
        <f t="shared" ca="1" si="320"/>
        <v>1145.8758744173242</v>
      </c>
      <c r="K515" s="69">
        <f t="shared" ca="1" si="321"/>
        <v>1176.4517949002152</v>
      </c>
      <c r="L515" s="69">
        <f t="shared" ca="1" si="322"/>
        <v>955.46269192134787</v>
      </c>
      <c r="M515" s="69">
        <f t="shared" ca="1" si="323"/>
        <v>992.39696969341412</v>
      </c>
      <c r="N515" s="69">
        <f t="shared" ca="1" si="324"/>
        <v>572.84500996975839</v>
      </c>
      <c r="O515" s="69">
        <f t="shared" ca="1" si="325"/>
        <v>629.77848356921174</v>
      </c>
      <c r="P515" s="69">
        <f t="shared" ca="1" si="326"/>
        <v>723.07521740388654</v>
      </c>
      <c r="Q515" s="69">
        <f t="shared" ca="1" si="327"/>
        <v>957.04938947890719</v>
      </c>
      <c r="R515" s="69">
        <f t="shared" ca="1" si="328"/>
        <v>779.47896114792127</v>
      </c>
      <c r="S515" s="69">
        <f t="shared" ca="1" si="329"/>
        <v>700.96908623517845</v>
      </c>
      <c r="T515" s="69">
        <f t="shared" ca="1" si="330"/>
        <v>796.46098949752366</v>
      </c>
      <c r="U515" s="69">
        <f t="shared" ca="1" si="331"/>
        <v>1693.9669370578285</v>
      </c>
      <c r="V515" s="69">
        <f t="shared" ca="1" si="332"/>
        <v>1915.4450328157841</v>
      </c>
      <c r="W515" s="69">
        <f t="shared" ca="1" si="333"/>
        <v>1180.6085531404972</v>
      </c>
      <c r="X515" s="69">
        <f t="shared" ca="1" si="334"/>
        <v>1497.8163788655424</v>
      </c>
      <c r="Y515" s="69">
        <f t="shared" ca="1" si="335"/>
        <v>1205.1131501601258</v>
      </c>
      <c r="AA515" s="20">
        <f t="shared" ref="AA515:AA578" ca="1" si="336">A515*B515*C515*D515*E515</f>
        <v>6.571982785710616E+16</v>
      </c>
      <c r="AB515" s="20">
        <f t="shared" ref="AB515:AB578" ca="1" si="337">F515*G515*H515*I515*J515</f>
        <v>1682762013767442.3</v>
      </c>
      <c r="AC515" s="20">
        <f t="shared" ref="AC515:AC578" ca="1" si="338">K515*L515*M515*N515*O515</f>
        <v>402437324533285.63</v>
      </c>
      <c r="AD515" s="20">
        <f t="shared" ref="AD515:AD578" ca="1" si="339">P515*Q515*R515*S515*T515</f>
        <v>301151894380940.88</v>
      </c>
      <c r="AE515" s="20">
        <f t="shared" ref="AE515:AE578" ca="1" si="340">U515*V515*W515*X515*Y515</f>
        <v>6914598206416394</v>
      </c>
      <c r="AG515" s="16">
        <f t="shared" ca="1" si="300"/>
        <v>-5.4439913291197157E-4</v>
      </c>
      <c r="AH515" s="16">
        <f t="shared" ca="1" si="301"/>
        <v>6.2865293918726707E-5</v>
      </c>
      <c r="AI515" s="16">
        <f t="shared" ca="1" si="302"/>
        <v>-3.7752060558287758E-4</v>
      </c>
      <c r="AJ515" s="16">
        <f t="shared" ca="1" si="303"/>
        <v>1.8355522839936183E-4</v>
      </c>
      <c r="AK515" s="16">
        <f t="shared" ca="1" si="304"/>
        <v>-4.7873090898978852E-4</v>
      </c>
      <c r="AM515" s="16">
        <f t="shared" ca="1" si="305"/>
        <v>-6.754992161767605E-4</v>
      </c>
      <c r="AO515" s="16">
        <f t="shared" ca="1" si="306"/>
        <v>-5.4439913291197157E-4</v>
      </c>
      <c r="AP515" s="16">
        <f t="shared" ca="1" si="307"/>
        <v>0</v>
      </c>
      <c r="AQ515" s="16">
        <f t="shared" ca="1" si="308"/>
        <v>-3.7752060558287758E-4</v>
      </c>
      <c r="AR515" s="16">
        <f t="shared" ca="1" si="309"/>
        <v>0</v>
      </c>
      <c r="AS515" s="16">
        <f t="shared" ca="1" si="310"/>
        <v>-4.7873090898978852E-4</v>
      </c>
    </row>
    <row r="516" spans="1:45" x14ac:dyDescent="0.25">
      <c r="A516" s="69">
        <f t="shared" ca="1" si="311"/>
        <v>2452.9380988212124</v>
      </c>
      <c r="B516" s="69">
        <f t="shared" ca="1" si="312"/>
        <v>2139.5643974367176</v>
      </c>
      <c r="C516" s="69">
        <f t="shared" ca="1" si="313"/>
        <v>2228.7514380056232</v>
      </c>
      <c r="D516" s="69">
        <f t="shared" ca="1" si="314"/>
        <v>2908.1123586623212</v>
      </c>
      <c r="E516" s="69">
        <f t="shared" ca="1" si="315"/>
        <v>1930.9686279870302</v>
      </c>
      <c r="F516" s="69">
        <f t="shared" ca="1" si="316"/>
        <v>1221.322150865258</v>
      </c>
      <c r="G516" s="69">
        <f t="shared" ca="1" si="317"/>
        <v>964.08010073640912</v>
      </c>
      <c r="H516" s="69">
        <f t="shared" ca="1" si="318"/>
        <v>1188.0604952906856</v>
      </c>
      <c r="I516" s="69">
        <f t="shared" ca="1" si="319"/>
        <v>1049.8578942068366</v>
      </c>
      <c r="J516" s="69">
        <f t="shared" ca="1" si="320"/>
        <v>1145.8758744173242</v>
      </c>
      <c r="K516" s="69">
        <f t="shared" ca="1" si="321"/>
        <v>1176.8809527468345</v>
      </c>
      <c r="L516" s="69">
        <f t="shared" ca="1" si="322"/>
        <v>955.46269192134787</v>
      </c>
      <c r="M516" s="69">
        <f t="shared" ca="1" si="323"/>
        <v>992.16548490597643</v>
      </c>
      <c r="N516" s="69">
        <f t="shared" ca="1" si="324"/>
        <v>572.5535297478101</v>
      </c>
      <c r="O516" s="69">
        <f t="shared" ca="1" si="325"/>
        <v>629.77848356921174</v>
      </c>
      <c r="P516" s="69">
        <f t="shared" ca="1" si="326"/>
        <v>723.07521740388654</v>
      </c>
      <c r="Q516" s="69">
        <f t="shared" ca="1" si="327"/>
        <v>957.06132924185556</v>
      </c>
      <c r="R516" s="69">
        <f t="shared" ca="1" si="328"/>
        <v>779.96012241777976</v>
      </c>
      <c r="S516" s="69">
        <f t="shared" ca="1" si="329"/>
        <v>700.65651278673238</v>
      </c>
      <c r="T516" s="69">
        <f t="shared" ca="1" si="330"/>
        <v>796.46098949752366</v>
      </c>
      <c r="U516" s="69">
        <f t="shared" ca="1" si="331"/>
        <v>1693.5022284179581</v>
      </c>
      <c r="V516" s="69">
        <f t="shared" ca="1" si="332"/>
        <v>1915.4450328157841</v>
      </c>
      <c r="W516" s="69">
        <f t="shared" ca="1" si="333"/>
        <v>1180.3673066386359</v>
      </c>
      <c r="X516" s="69">
        <f t="shared" ca="1" si="334"/>
        <v>1497.8163788655424</v>
      </c>
      <c r="Y516" s="69">
        <f t="shared" ca="1" si="335"/>
        <v>1205.1131501601258</v>
      </c>
      <c r="AA516" s="20">
        <f t="shared" ca="1" si="336"/>
        <v>6.5684059776744976E+16</v>
      </c>
      <c r="AB516" s="20">
        <f t="shared" ca="1" si="337"/>
        <v>1682867804421278.5</v>
      </c>
      <c r="AC516" s="20">
        <f t="shared" ca="1" si="338"/>
        <v>402285424825257.63</v>
      </c>
      <c r="AD516" s="20">
        <f t="shared" ca="1" si="339"/>
        <v>301207177459290.69</v>
      </c>
      <c r="AE516" s="20">
        <f t="shared" ca="1" si="340"/>
        <v>6911288766760470</v>
      </c>
      <c r="AG516" s="16">
        <f t="shared" ref="AG516:AG579" ca="1" si="341">LN(AA517/AA516)</f>
        <v>3.45465524628687E-4</v>
      </c>
      <c r="AH516" s="16">
        <f t="shared" ref="AH516:AH579" ca="1" si="342">LN(AB517/AB516)</f>
        <v>2.1757888054876938E-4</v>
      </c>
      <c r="AI516" s="16">
        <f t="shared" ref="AI516:AI579" ca="1" si="343">LN(AC517/AC516)</f>
        <v>-4.3087095960654323E-4</v>
      </c>
      <c r="AJ516" s="16">
        <f t="shared" ref="AJ516:AJ579" ca="1" si="344">LN(AD517/AD516)</f>
        <v>1.1904647611040897E-3</v>
      </c>
      <c r="AK516" s="16">
        <f t="shared" ref="AK516:AK579" ca="1" si="345">LN(AE517/AE516)</f>
        <v>-2.3845320504571268E-4</v>
      </c>
      <c r="AM516" s="16">
        <f t="shared" ref="AM516:AM579" ca="1" si="346">AG516+AH516+AI516+AJ516</f>
        <v>1.322638206675003E-3</v>
      </c>
      <c r="AO516" s="16">
        <f t="shared" ref="AO516:AO579" ca="1" si="347">MIN(AG516,0)</f>
        <v>0</v>
      </c>
      <c r="AP516" s="16">
        <f t="shared" ref="AP516:AP579" ca="1" si="348">MIN(AH516,0)</f>
        <v>0</v>
      </c>
      <c r="AQ516" s="16">
        <f t="shared" ref="AQ516:AQ579" ca="1" si="349">MIN(AI516,0)</f>
        <v>-4.3087095960654323E-4</v>
      </c>
      <c r="AR516" s="16">
        <f t="shared" ref="AR516:AR579" ca="1" si="350">MIN(AJ516,0)</f>
        <v>0</v>
      </c>
      <c r="AS516" s="16">
        <f t="shared" ref="AS516:AS579" ca="1" si="351">MIN(AK516,0)</f>
        <v>-2.3845320504571268E-4</v>
      </c>
    </row>
    <row r="517" spans="1:45" x14ac:dyDescent="0.25">
      <c r="A517" s="69">
        <f t="shared" ref="A517:A580" ca="1" si="352">A516+ $A$1 * RAND()  * RANDBETWEEN(-1,1)</f>
        <v>2452.9380988212124</v>
      </c>
      <c r="B517" s="69">
        <f t="shared" ref="B517:B580" ca="1" si="353">B516+ $A$1 * RAND()  * RANDBETWEEN(-1,1)</f>
        <v>2139.7271787107607</v>
      </c>
      <c r="C517" s="69">
        <f t="shared" ref="C517:C580" ca="1" si="354">C516+ $A$1 * RAND()  * RANDBETWEEN(-1,1)</f>
        <v>2228.9130061577634</v>
      </c>
      <c r="D517" s="69">
        <f t="shared" ref="D517:D580" ca="1" si="355">D516+ $A$1 * RAND()  * RANDBETWEEN(-1,1)</f>
        <v>2908.5156665324412</v>
      </c>
      <c r="E517" s="69">
        <f t="shared" ref="E517:E580" ca="1" si="356">E516+ $A$1 * RAND()  * RANDBETWEEN(-1,1)</f>
        <v>1931.0810575727344</v>
      </c>
      <c r="F517" s="69">
        <f t="shared" ref="F517:F580" ca="1" si="357">F516+ $A$1 * RAND()  * RANDBETWEEN(-1,1)</f>
        <v>1221.4834724417701</v>
      </c>
      <c r="G517" s="69">
        <f t="shared" ref="G517:G580" ca="1" si="358">G516+ $A$1 * RAND()  * RANDBETWEEN(-1,1)</f>
        <v>964.16253306105227</v>
      </c>
      <c r="H517" s="69">
        <f t="shared" ref="H517:H580" ca="1" si="359">H516+ $A$1 * RAND()  * RANDBETWEEN(-1,1)</f>
        <v>1188.0604952906856</v>
      </c>
      <c r="I517" s="69">
        <f t="shared" ref="I517:I580" ca="1" si="360">I516+ $A$1 * RAND()  * RANDBETWEEN(-1,1)</f>
        <v>1049.8578942068366</v>
      </c>
      <c r="J517" s="69">
        <f t="shared" ref="J517:J580" ca="1" si="361">J516+ $A$1 * RAND()  * RANDBETWEEN(-1,1)</f>
        <v>1145.8758744173242</v>
      </c>
      <c r="K517" s="69">
        <f t="shared" ref="K517:K580" ca="1" si="362">K516+ $A$1 * RAND()  * RANDBETWEEN(-1,1)</f>
        <v>1176.8809527468345</v>
      </c>
      <c r="L517" s="69">
        <f t="shared" ref="L517:L580" ca="1" si="363">L516+ $A$1 * RAND()  * RANDBETWEEN(-1,1)</f>
        <v>955.52255314107549</v>
      </c>
      <c r="M517" s="69">
        <f t="shared" ref="M517:M580" ca="1" si="364">M516+ $A$1 * RAND()  * RANDBETWEEN(-1,1)</f>
        <v>991.67595165921148</v>
      </c>
      <c r="N517" s="69">
        <f t="shared" ref="N517:N580" ca="1" si="365">N516+ $A$1 * RAND()  * RANDBETWEEN(-1,1)</f>
        <v>572.5535297478101</v>
      </c>
      <c r="O517" s="69">
        <f t="shared" ref="O517:O580" ca="1" si="366">O516+ $A$1 * RAND()  * RANDBETWEEN(-1,1)</f>
        <v>629.77848356921174</v>
      </c>
      <c r="P517" s="69">
        <f t="shared" ref="P517:P580" ca="1" si="367">P516+ $A$1 * RAND()  * RANDBETWEEN(-1,1)</f>
        <v>723.39326823092313</v>
      </c>
      <c r="Q517" s="69">
        <f t="shared" ref="Q517:Q580" ca="1" si="368">Q516+ $A$1 * RAND()  * RANDBETWEEN(-1,1)</f>
        <v>957.54466700822036</v>
      </c>
      <c r="R517" s="69">
        <f t="shared" ref="R517:R580" ca="1" si="369">R516+ $A$1 * RAND()  * RANDBETWEEN(-1,1)</f>
        <v>779.96012241777976</v>
      </c>
      <c r="S517" s="69">
        <f t="shared" ref="S517:S580" ca="1" si="370">S516+ $A$1 * RAND()  * RANDBETWEEN(-1,1)</f>
        <v>700.58341166289824</v>
      </c>
      <c r="T517" s="69">
        <f t="shared" ref="T517:T580" ca="1" si="371">T516+ $A$1 * RAND()  * RANDBETWEEN(-1,1)</f>
        <v>796.73991546561081</v>
      </c>
      <c r="U517" s="69">
        <f t="shared" ref="U517:U580" ca="1" si="372">U516+ $A$1 * RAND()  * RANDBETWEEN(-1,1)</f>
        <v>1693.2053590996836</v>
      </c>
      <c r="V517" s="69">
        <f t="shared" ref="V517:V580" ca="1" si="373">V516+ $A$1 * RAND()  * RANDBETWEEN(-1,1)</f>
        <v>1915.8486208510012</v>
      </c>
      <c r="W517" s="69">
        <f t="shared" ref="W517:W580" ca="1" si="374">W516+ $A$1 * RAND()  * RANDBETWEEN(-1,1)</f>
        <v>1180.3673066386359</v>
      </c>
      <c r="X517" s="69">
        <f t="shared" ref="X517:X580" ca="1" si="375">X516+ $A$1 * RAND()  * RANDBETWEEN(-1,1)</f>
        <v>1497.4063050744744</v>
      </c>
      <c r="Y517" s="69">
        <f t="shared" ref="Y517:Y580" ca="1" si="376">Y516+ $A$1 * RAND()  * RANDBETWEEN(-1,1)</f>
        <v>1205.1131501601258</v>
      </c>
      <c r="AA517" s="20">
        <f t="shared" ca="1" si="336"/>
        <v>6.5706755274945872E+16</v>
      </c>
      <c r="AB517" s="20">
        <f t="shared" ca="1" si="337"/>
        <v>1683234000751125.3</v>
      </c>
      <c r="AC517" s="20">
        <f t="shared" ca="1" si="338"/>
        <v>402112129054965.88</v>
      </c>
      <c r="AD517" s="20">
        <f t="shared" ca="1" si="339"/>
        <v>301565967510930.88</v>
      </c>
      <c r="AE517" s="20">
        <f t="shared" ca="1" si="340"/>
        <v>6909640944275124</v>
      </c>
      <c r="AG517" s="16">
        <f t="shared" ca="1" si="341"/>
        <v>-6.8119677581572328E-5</v>
      </c>
      <c r="AH517" s="16">
        <f t="shared" ca="1" si="342"/>
        <v>7.2316527550215997E-6</v>
      </c>
      <c r="AI517" s="16">
        <f t="shared" ca="1" si="343"/>
        <v>-1.551292124775978E-4</v>
      </c>
      <c r="AJ517" s="16">
        <f t="shared" ca="1" si="344"/>
        <v>6.054484104806193E-4</v>
      </c>
      <c r="AK517" s="16">
        <f t="shared" ca="1" si="345"/>
        <v>-4.4602976852890574E-4</v>
      </c>
      <c r="AM517" s="16">
        <f t="shared" ca="1" si="346"/>
        <v>3.8943117317647075E-4</v>
      </c>
      <c r="AO517" s="16">
        <f t="shared" ca="1" si="347"/>
        <v>-6.8119677581572328E-5</v>
      </c>
      <c r="AP517" s="16">
        <f t="shared" ca="1" si="348"/>
        <v>0</v>
      </c>
      <c r="AQ517" s="16">
        <f t="shared" ca="1" si="349"/>
        <v>-1.551292124775978E-4</v>
      </c>
      <c r="AR517" s="16">
        <f t="shared" ca="1" si="350"/>
        <v>0</v>
      </c>
      <c r="AS517" s="16">
        <f t="shared" ca="1" si="351"/>
        <v>-4.4602976852890574E-4</v>
      </c>
    </row>
    <row r="518" spans="1:45" x14ac:dyDescent="0.25">
      <c r="A518" s="69">
        <f t="shared" ca="1" si="352"/>
        <v>2453.154252999313</v>
      </c>
      <c r="B518" s="69">
        <f t="shared" ca="1" si="353"/>
        <v>2140.0235912843741</v>
      </c>
      <c r="C518" s="69">
        <f t="shared" ca="1" si="354"/>
        <v>2228.9130061577634</v>
      </c>
      <c r="D518" s="69">
        <f t="shared" ca="1" si="355"/>
        <v>2908.2788410277049</v>
      </c>
      <c r="E518" s="69">
        <f t="shared" ca="1" si="356"/>
        <v>1930.669150272417</v>
      </c>
      <c r="F518" s="69">
        <f t="shared" ca="1" si="357"/>
        <v>1221.0030008895521</v>
      </c>
      <c r="G518" s="69">
        <f t="shared" ca="1" si="358"/>
        <v>964.63843739015351</v>
      </c>
      <c r="H518" s="69">
        <f t="shared" ca="1" si="359"/>
        <v>1187.9502343576121</v>
      </c>
      <c r="I518" s="69">
        <f t="shared" ca="1" si="360"/>
        <v>1049.8578942068366</v>
      </c>
      <c r="J518" s="69">
        <f t="shared" ca="1" si="361"/>
        <v>1145.8758744173242</v>
      </c>
      <c r="K518" s="69">
        <f t="shared" ca="1" si="362"/>
        <v>1176.5920278737037</v>
      </c>
      <c r="L518" s="69">
        <f t="shared" ca="1" si="363"/>
        <v>955.3238231451511</v>
      </c>
      <c r="M518" s="69">
        <f t="shared" ca="1" si="364"/>
        <v>992.16417607151425</v>
      </c>
      <c r="N518" s="69">
        <f t="shared" ca="1" si="365"/>
        <v>572.7240214893377</v>
      </c>
      <c r="O518" s="69">
        <f t="shared" ca="1" si="366"/>
        <v>629.46900595374507</v>
      </c>
      <c r="P518" s="69">
        <f t="shared" ca="1" si="367"/>
        <v>723.56356166307432</v>
      </c>
      <c r="Q518" s="69">
        <f t="shared" ca="1" si="368"/>
        <v>957.49889916400696</v>
      </c>
      <c r="R518" s="69">
        <f t="shared" ca="1" si="369"/>
        <v>780.28610866823078</v>
      </c>
      <c r="S518" s="69">
        <f t="shared" ca="1" si="370"/>
        <v>700.58341166289824</v>
      </c>
      <c r="T518" s="69">
        <f t="shared" ca="1" si="371"/>
        <v>796.73991546561081</v>
      </c>
      <c r="U518" s="69">
        <f t="shared" ca="1" si="372"/>
        <v>1693.6320257933703</v>
      </c>
      <c r="V518" s="69">
        <f t="shared" ca="1" si="373"/>
        <v>1915.7156274133511</v>
      </c>
      <c r="W518" s="69">
        <f t="shared" ca="1" si="374"/>
        <v>1180.0089617732294</v>
      </c>
      <c r="X518" s="69">
        <f t="shared" ca="1" si="375"/>
        <v>1497.118969002797</v>
      </c>
      <c r="Y518" s="69">
        <f t="shared" ca="1" si="376"/>
        <v>1204.9528513757548</v>
      </c>
      <c r="AA518" s="20">
        <f t="shared" ca="1" si="336"/>
        <v>6.5702279504407368E+16</v>
      </c>
      <c r="AB518" s="20">
        <f t="shared" ca="1" si="337"/>
        <v>1683246173358938</v>
      </c>
      <c r="AC518" s="20">
        <f t="shared" ca="1" si="338"/>
        <v>402049754555236.5</v>
      </c>
      <c r="AD518" s="20">
        <f t="shared" ca="1" si="339"/>
        <v>301748605429955.19</v>
      </c>
      <c r="AE518" s="20">
        <f t="shared" ca="1" si="340"/>
        <v>6906559725932765</v>
      </c>
      <c r="AG518" s="16">
        <f t="shared" ca="1" si="341"/>
        <v>-7.799915645113961E-5</v>
      </c>
      <c r="AH518" s="16">
        <f t="shared" ca="1" si="342"/>
        <v>-1.5729073767337207E-4</v>
      </c>
      <c r="AI518" s="16">
        <f t="shared" ca="1" si="343"/>
        <v>8.1424896289949598E-4</v>
      </c>
      <c r="AJ518" s="16">
        <f t="shared" ca="1" si="344"/>
        <v>-1.388202424720801E-4</v>
      </c>
      <c r="AK518" s="16">
        <f t="shared" ca="1" si="345"/>
        <v>-1.4036175961070163E-4</v>
      </c>
      <c r="AM518" s="16">
        <f t="shared" ca="1" si="346"/>
        <v>4.4013882630290421E-4</v>
      </c>
      <c r="AO518" s="16">
        <f t="shared" ca="1" si="347"/>
        <v>-7.799915645113961E-5</v>
      </c>
      <c r="AP518" s="16">
        <f t="shared" ca="1" si="348"/>
        <v>-1.5729073767337207E-4</v>
      </c>
      <c r="AQ518" s="16">
        <f t="shared" ca="1" si="349"/>
        <v>0</v>
      </c>
      <c r="AR518" s="16">
        <f t="shared" ca="1" si="350"/>
        <v>-1.388202424720801E-4</v>
      </c>
      <c r="AS518" s="16">
        <f t="shared" ca="1" si="351"/>
        <v>-1.4036175961070163E-4</v>
      </c>
    </row>
    <row r="519" spans="1:45" x14ac:dyDescent="0.25">
      <c r="A519" s="69">
        <f t="shared" ca="1" si="352"/>
        <v>2453.154252999313</v>
      </c>
      <c r="B519" s="69">
        <f t="shared" ca="1" si="353"/>
        <v>2140.1298376405894</v>
      </c>
      <c r="C519" s="69">
        <f t="shared" ca="1" si="354"/>
        <v>2228.9130061577634</v>
      </c>
      <c r="D519" s="69">
        <f t="shared" ca="1" si="355"/>
        <v>2907.9076368654373</v>
      </c>
      <c r="E519" s="69">
        <f t="shared" ca="1" si="356"/>
        <v>1930.669150272417</v>
      </c>
      <c r="F519" s="69">
        <f t="shared" ca="1" si="357"/>
        <v>1221.0030008895521</v>
      </c>
      <c r="G519" s="69">
        <f t="shared" ca="1" si="358"/>
        <v>964.57746229148847</v>
      </c>
      <c r="H519" s="69">
        <f t="shared" ca="1" si="359"/>
        <v>1187.9502343576121</v>
      </c>
      <c r="I519" s="69">
        <f t="shared" ca="1" si="360"/>
        <v>1049.7591298748407</v>
      </c>
      <c r="J519" s="69">
        <f t="shared" ca="1" si="361"/>
        <v>1145.8758744173242</v>
      </c>
      <c r="K519" s="69">
        <f t="shared" ca="1" si="362"/>
        <v>1177.0198673823261</v>
      </c>
      <c r="L519" s="69">
        <f t="shared" ca="1" si="363"/>
        <v>955.75447413204154</v>
      </c>
      <c r="M519" s="69">
        <f t="shared" ca="1" si="364"/>
        <v>992.16417607151425</v>
      </c>
      <c r="N519" s="69">
        <f t="shared" ca="1" si="365"/>
        <v>572.7240214893377</v>
      </c>
      <c r="O519" s="69">
        <f t="shared" ca="1" si="366"/>
        <v>629.46900595374507</v>
      </c>
      <c r="P519" s="69">
        <f t="shared" ca="1" si="367"/>
        <v>723.48889110495804</v>
      </c>
      <c r="Q519" s="69">
        <f t="shared" ca="1" si="368"/>
        <v>957.10250728752442</v>
      </c>
      <c r="R519" s="69">
        <f t="shared" ca="1" si="369"/>
        <v>780.58146844317844</v>
      </c>
      <c r="S519" s="69">
        <f t="shared" ca="1" si="370"/>
        <v>700.58341166289824</v>
      </c>
      <c r="T519" s="69">
        <f t="shared" ca="1" si="371"/>
        <v>796.73991546561081</v>
      </c>
      <c r="U519" s="69">
        <f t="shared" ca="1" si="372"/>
        <v>1693.6320257933703</v>
      </c>
      <c r="V519" s="69">
        <f t="shared" ca="1" si="373"/>
        <v>1915.2734996794727</v>
      </c>
      <c r="W519" s="69">
        <f t="shared" ca="1" si="374"/>
        <v>1180.0089617732294</v>
      </c>
      <c r="X519" s="69">
        <f t="shared" ca="1" si="375"/>
        <v>1496.804590660859</v>
      </c>
      <c r="Y519" s="69">
        <f t="shared" ca="1" si="376"/>
        <v>1205.3149527353971</v>
      </c>
      <c r="AA519" s="20">
        <f t="shared" ca="1" si="336"/>
        <v>6.569715498188592E+16</v>
      </c>
      <c r="AB519" s="20">
        <f t="shared" ca="1" si="337"/>
        <v>1682981435147624.5</v>
      </c>
      <c r="AC519" s="20">
        <f t="shared" ca="1" si="338"/>
        <v>402377256466868.5</v>
      </c>
      <c r="AD519" s="20">
        <f t="shared" ca="1" si="339"/>
        <v>301706719522756.94</v>
      </c>
      <c r="AE519" s="20">
        <f t="shared" ca="1" si="340"/>
        <v>6905590377088123</v>
      </c>
      <c r="AG519" s="16">
        <f t="shared" ca="1" si="341"/>
        <v>-1.1609034596998935E-5</v>
      </c>
      <c r="AH519" s="16">
        <f t="shared" ca="1" si="342"/>
        <v>7.7252385708115562E-4</v>
      </c>
      <c r="AI519" s="16">
        <f t="shared" ca="1" si="343"/>
        <v>5.9696077450936485E-4</v>
      </c>
      <c r="AJ519" s="16">
        <f t="shared" ca="1" si="344"/>
        <v>6.3543643121183422E-5</v>
      </c>
      <c r="AK519" s="16">
        <f t="shared" ca="1" si="345"/>
        <v>-1.021525415797808E-4</v>
      </c>
      <c r="AM519" s="16">
        <f t="shared" ca="1" si="346"/>
        <v>1.421419240114705E-3</v>
      </c>
      <c r="AO519" s="16">
        <f t="shared" ca="1" si="347"/>
        <v>-1.1609034596998935E-5</v>
      </c>
      <c r="AP519" s="16">
        <f t="shared" ca="1" si="348"/>
        <v>0</v>
      </c>
      <c r="AQ519" s="16">
        <f t="shared" ca="1" si="349"/>
        <v>0</v>
      </c>
      <c r="AR519" s="16">
        <f t="shared" ca="1" si="350"/>
        <v>0</v>
      </c>
      <c r="AS519" s="16">
        <f t="shared" ca="1" si="351"/>
        <v>-1.021525415797808E-4</v>
      </c>
    </row>
    <row r="520" spans="1:45" x14ac:dyDescent="0.25">
      <c r="A520" s="69">
        <f t="shared" ca="1" si="352"/>
        <v>2453.154252999313</v>
      </c>
      <c r="B520" s="69">
        <f t="shared" ca="1" si="353"/>
        <v>2140.1298376405894</v>
      </c>
      <c r="C520" s="69">
        <f t="shared" ca="1" si="354"/>
        <v>2229.3619775853913</v>
      </c>
      <c r="D520" s="69">
        <f t="shared" ca="1" si="355"/>
        <v>2907.9076368654373</v>
      </c>
      <c r="E520" s="69">
        <f t="shared" ca="1" si="356"/>
        <v>1930.2579240615262</v>
      </c>
      <c r="F520" s="69">
        <f t="shared" ca="1" si="357"/>
        <v>1221.0030008895521</v>
      </c>
      <c r="G520" s="69">
        <f t="shared" ca="1" si="358"/>
        <v>964.66327432441335</v>
      </c>
      <c r="H520" s="69">
        <f t="shared" ca="1" si="359"/>
        <v>1188.4369314687385</v>
      </c>
      <c r="I520" s="69">
        <f t="shared" ca="1" si="360"/>
        <v>1050.0679823470991</v>
      </c>
      <c r="J520" s="69">
        <f t="shared" ca="1" si="361"/>
        <v>1145.8527097149547</v>
      </c>
      <c r="K520" s="69">
        <f t="shared" ca="1" si="362"/>
        <v>1177.0793327435629</v>
      </c>
      <c r="L520" s="69">
        <f t="shared" ca="1" si="363"/>
        <v>955.75447413204154</v>
      </c>
      <c r="M520" s="69">
        <f t="shared" ca="1" si="364"/>
        <v>992.16417607151425</v>
      </c>
      <c r="N520" s="69">
        <f t="shared" ca="1" si="365"/>
        <v>572.7240214893377</v>
      </c>
      <c r="O520" s="69">
        <f t="shared" ca="1" si="366"/>
        <v>629.81306704461906</v>
      </c>
      <c r="P520" s="69">
        <f t="shared" ca="1" si="367"/>
        <v>723.48889110495804</v>
      </c>
      <c r="Q520" s="69">
        <f t="shared" ca="1" si="368"/>
        <v>957.16332700001033</v>
      </c>
      <c r="R520" s="69">
        <f t="shared" ca="1" si="369"/>
        <v>780.58146844317844</v>
      </c>
      <c r="S520" s="69">
        <f t="shared" ca="1" si="370"/>
        <v>700.58341166289824</v>
      </c>
      <c r="T520" s="69">
        <f t="shared" ca="1" si="371"/>
        <v>796.73991546561081</v>
      </c>
      <c r="U520" s="69">
        <f t="shared" ca="1" si="372"/>
        <v>1693.6320257933703</v>
      </c>
      <c r="V520" s="69">
        <f t="shared" ca="1" si="373"/>
        <v>1915.2734996794727</v>
      </c>
      <c r="W520" s="69">
        <f t="shared" ca="1" si="374"/>
        <v>1180.0089617732294</v>
      </c>
      <c r="X520" s="69">
        <f t="shared" ca="1" si="375"/>
        <v>1496.7790974933716</v>
      </c>
      <c r="Y520" s="69">
        <f t="shared" ca="1" si="376"/>
        <v>1205.212359886327</v>
      </c>
      <c r="AA520" s="20">
        <f t="shared" ca="1" si="336"/>
        <v>6.5696392305767784E+16</v>
      </c>
      <c r="AB520" s="20">
        <f t="shared" ca="1" si="337"/>
        <v>1684282080782507.3</v>
      </c>
      <c r="AC520" s="20">
        <f t="shared" ca="1" si="338"/>
        <v>402617531615818</v>
      </c>
      <c r="AD520" s="20">
        <f t="shared" ca="1" si="339"/>
        <v>301725891675997.31</v>
      </c>
      <c r="AE520" s="20">
        <f t="shared" ca="1" si="340"/>
        <v>6904884989509175</v>
      </c>
      <c r="AG520" s="16">
        <f t="shared" ca="1" si="341"/>
        <v>1.1807268732934564E-4</v>
      </c>
      <c r="AH520" s="16">
        <f t="shared" ca="1" si="342"/>
        <v>3.2743008734043282E-4</v>
      </c>
      <c r="AI520" s="16">
        <f t="shared" ca="1" si="343"/>
        <v>1.021702752999088E-4</v>
      </c>
      <c r="AJ520" s="16">
        <f t="shared" ca="1" si="344"/>
        <v>-9.6044854232496806E-4</v>
      </c>
      <c r="AK520" s="16">
        <f t="shared" ca="1" si="345"/>
        <v>-5.5427151747580155E-5</v>
      </c>
      <c r="AM520" s="16">
        <f t="shared" ca="1" si="346"/>
        <v>-4.1277549235528078E-4</v>
      </c>
      <c r="AO520" s="16">
        <f t="shared" ca="1" si="347"/>
        <v>0</v>
      </c>
      <c r="AP520" s="16">
        <f t="shared" ca="1" si="348"/>
        <v>0</v>
      </c>
      <c r="AQ520" s="16">
        <f t="shared" ca="1" si="349"/>
        <v>0</v>
      </c>
      <c r="AR520" s="16">
        <f t="shared" ca="1" si="350"/>
        <v>-9.6044854232496806E-4</v>
      </c>
      <c r="AS520" s="16">
        <f t="shared" ca="1" si="351"/>
        <v>-5.5427151747580155E-5</v>
      </c>
    </row>
    <row r="521" spans="1:45" x14ac:dyDescent="0.25">
      <c r="A521" s="69">
        <f t="shared" ca="1" si="352"/>
        <v>2453.4087440239982</v>
      </c>
      <c r="B521" s="69">
        <f t="shared" ca="1" si="353"/>
        <v>2140.3571365885209</v>
      </c>
      <c r="C521" s="69">
        <f t="shared" ca="1" si="354"/>
        <v>2229.4283384464811</v>
      </c>
      <c r="D521" s="69">
        <f t="shared" ca="1" si="355"/>
        <v>2908.2856206695969</v>
      </c>
      <c r="E521" s="69">
        <f t="shared" ca="1" si="356"/>
        <v>1929.7723181682952</v>
      </c>
      <c r="F521" s="69">
        <f t="shared" ca="1" si="357"/>
        <v>1220.8089234880465</v>
      </c>
      <c r="G521" s="69">
        <f t="shared" ca="1" si="358"/>
        <v>964.66327432441335</v>
      </c>
      <c r="H521" s="69">
        <f t="shared" ca="1" si="359"/>
        <v>1188.6567289426782</v>
      </c>
      <c r="I521" s="69">
        <f t="shared" ca="1" si="360"/>
        <v>1050.2379840583951</v>
      </c>
      <c r="J521" s="69">
        <f t="shared" ca="1" si="361"/>
        <v>1146.0126584121374</v>
      </c>
      <c r="K521" s="69">
        <f t="shared" ca="1" si="362"/>
        <v>1177.1703500087801</v>
      </c>
      <c r="L521" s="69">
        <f t="shared" ca="1" si="363"/>
        <v>955.74561716242567</v>
      </c>
      <c r="M521" s="69">
        <f t="shared" ca="1" si="364"/>
        <v>992.16417607151425</v>
      </c>
      <c r="N521" s="69">
        <f t="shared" ca="1" si="365"/>
        <v>572.6960787020306</v>
      </c>
      <c r="O521" s="69">
        <f t="shared" ca="1" si="366"/>
        <v>629.86528455176801</v>
      </c>
      <c r="P521" s="69">
        <f t="shared" ca="1" si="367"/>
        <v>723.01396419909463</v>
      </c>
      <c r="Q521" s="69">
        <f t="shared" ca="1" si="368"/>
        <v>956.79949634421496</v>
      </c>
      <c r="R521" s="69">
        <f t="shared" ca="1" si="369"/>
        <v>781.00984748095709</v>
      </c>
      <c r="S521" s="69">
        <f t="shared" ca="1" si="370"/>
        <v>700.25263804858196</v>
      </c>
      <c r="T521" s="69">
        <f t="shared" ca="1" si="371"/>
        <v>796.73991546561081</v>
      </c>
      <c r="U521" s="69">
        <f t="shared" ca="1" si="372"/>
        <v>1693.8528019074399</v>
      </c>
      <c r="V521" s="69">
        <f t="shared" ca="1" si="373"/>
        <v>1915.2734996794727</v>
      </c>
      <c r="W521" s="69">
        <f t="shared" ca="1" si="374"/>
        <v>1180.0089617732294</v>
      </c>
      <c r="X521" s="69">
        <f t="shared" ca="1" si="375"/>
        <v>1496.7544404732387</v>
      </c>
      <c r="Y521" s="69">
        <f t="shared" ca="1" si="376"/>
        <v>1205.0083326142301</v>
      </c>
      <c r="AA521" s="20">
        <f t="shared" ca="1" si="336"/>
        <v>6.5704149713315136E+16</v>
      </c>
      <c r="AB521" s="20">
        <f t="shared" ca="1" si="337"/>
        <v>1684833655707509</v>
      </c>
      <c r="AC521" s="20">
        <f t="shared" ca="1" si="338"/>
        <v>402658669261350.25</v>
      </c>
      <c r="AD521" s="20">
        <f t="shared" ca="1" si="339"/>
        <v>301436238603857</v>
      </c>
      <c r="AE521" s="20">
        <f t="shared" ca="1" si="340"/>
        <v>6904502282007353</v>
      </c>
      <c r="AG521" s="16">
        <f t="shared" ca="1" si="341"/>
        <v>4.0554723634384497E-4</v>
      </c>
      <c r="AH521" s="16">
        <f t="shared" ca="1" si="342"/>
        <v>-4.8065417320229605E-4</v>
      </c>
      <c r="AI521" s="16">
        <f t="shared" ca="1" si="343"/>
        <v>9.3140291856043129E-4</v>
      </c>
      <c r="AJ521" s="16">
        <f t="shared" ca="1" si="344"/>
        <v>-1.0461509757082683E-4</v>
      </c>
      <c r="AK521" s="16">
        <f t="shared" ca="1" si="345"/>
        <v>2.4530439049448105E-4</v>
      </c>
      <c r="AM521" s="16">
        <f t="shared" ca="1" si="346"/>
        <v>7.5168088413115339E-4</v>
      </c>
      <c r="AO521" s="16">
        <f t="shared" ca="1" si="347"/>
        <v>0</v>
      </c>
      <c r="AP521" s="16">
        <f t="shared" ca="1" si="348"/>
        <v>-4.8065417320229605E-4</v>
      </c>
      <c r="AQ521" s="16">
        <f t="shared" ca="1" si="349"/>
        <v>0</v>
      </c>
      <c r="AR521" s="16">
        <f t="shared" ca="1" si="350"/>
        <v>-1.0461509757082683E-4</v>
      </c>
      <c r="AS521" s="16">
        <f t="shared" ca="1" si="351"/>
        <v>0</v>
      </c>
    </row>
    <row r="522" spans="1:45" x14ac:dyDescent="0.25">
      <c r="A522" s="69">
        <f t="shared" ca="1" si="352"/>
        <v>2453.4087440239982</v>
      </c>
      <c r="B522" s="69">
        <f t="shared" ca="1" si="353"/>
        <v>2140.5359200114403</v>
      </c>
      <c r="C522" s="69">
        <f t="shared" ca="1" si="354"/>
        <v>2229.8643126836491</v>
      </c>
      <c r="D522" s="69">
        <f t="shared" ca="1" si="355"/>
        <v>2908.6535009274726</v>
      </c>
      <c r="E522" s="69">
        <f t="shared" ca="1" si="356"/>
        <v>1929.7723181682952</v>
      </c>
      <c r="F522" s="69">
        <f t="shared" ca="1" si="357"/>
        <v>1220.8089234880465</v>
      </c>
      <c r="G522" s="69">
        <f t="shared" ca="1" si="358"/>
        <v>964.18702884052107</v>
      </c>
      <c r="H522" s="69">
        <f t="shared" ca="1" si="359"/>
        <v>1188.6723701470605</v>
      </c>
      <c r="I522" s="69">
        <f t="shared" ca="1" si="360"/>
        <v>1050.2379840583951</v>
      </c>
      <c r="J522" s="69">
        <f t="shared" ca="1" si="361"/>
        <v>1146.0126584121374</v>
      </c>
      <c r="K522" s="69">
        <f t="shared" ca="1" si="362"/>
        <v>1177.018911195963</v>
      </c>
      <c r="L522" s="69">
        <f t="shared" ca="1" si="363"/>
        <v>955.71282517970212</v>
      </c>
      <c r="M522" s="69">
        <f t="shared" ca="1" si="364"/>
        <v>992.16417607151425</v>
      </c>
      <c r="N522" s="69">
        <f t="shared" ca="1" si="365"/>
        <v>572.88245198362051</v>
      </c>
      <c r="O522" s="69">
        <f t="shared" ca="1" si="366"/>
        <v>630.34983104723028</v>
      </c>
      <c r="P522" s="69">
        <f t="shared" ca="1" si="367"/>
        <v>722.89041938685114</v>
      </c>
      <c r="Q522" s="69">
        <f t="shared" ca="1" si="368"/>
        <v>956.8158952196186</v>
      </c>
      <c r="R522" s="69">
        <f t="shared" ca="1" si="369"/>
        <v>780.72639886693423</v>
      </c>
      <c r="S522" s="69">
        <f t="shared" ca="1" si="370"/>
        <v>700.58850214859126</v>
      </c>
      <c r="T522" s="69">
        <f t="shared" ca="1" si="371"/>
        <v>796.6862241504781</v>
      </c>
      <c r="U522" s="69">
        <f t="shared" ca="1" si="372"/>
        <v>1693.8528019074399</v>
      </c>
      <c r="V522" s="69">
        <f t="shared" ca="1" si="373"/>
        <v>1914.9485813075548</v>
      </c>
      <c r="W522" s="69">
        <f t="shared" ca="1" si="374"/>
        <v>1180.4987254735072</v>
      </c>
      <c r="X522" s="69">
        <f t="shared" ca="1" si="375"/>
        <v>1496.7544404732387</v>
      </c>
      <c r="Y522" s="69">
        <f t="shared" ca="1" si="376"/>
        <v>1205.0083326142301</v>
      </c>
      <c r="AA522" s="20">
        <f t="shared" ca="1" si="336"/>
        <v>6.5730801253511648E+16</v>
      </c>
      <c r="AB522" s="20">
        <f t="shared" ca="1" si="337"/>
        <v>1684024027970804</v>
      </c>
      <c r="AC522" s="20">
        <f t="shared" ca="1" si="338"/>
        <v>403033881430813.69</v>
      </c>
      <c r="AD522" s="20">
        <f t="shared" ca="1" si="339"/>
        <v>301404705471793.69</v>
      </c>
      <c r="AE522" s="20">
        <f t="shared" ca="1" si="340"/>
        <v>6906196194484899</v>
      </c>
      <c r="AG522" s="16">
        <f t="shared" ca="1" si="341"/>
        <v>-1.3364301622197211E-4</v>
      </c>
      <c r="AH522" s="16">
        <f t="shared" ca="1" si="342"/>
        <v>2.8288635319771108E-4</v>
      </c>
      <c r="AI522" s="16">
        <f t="shared" ca="1" si="343"/>
        <v>1.4570273821670068E-4</v>
      </c>
      <c r="AJ522" s="16">
        <f t="shared" ca="1" si="344"/>
        <v>-1.2118158281916645E-4</v>
      </c>
      <c r="AK522" s="16">
        <f t="shared" ca="1" si="345"/>
        <v>2.0335329017738527E-4</v>
      </c>
      <c r="AM522" s="16">
        <f t="shared" ca="1" si="346"/>
        <v>1.737644923732732E-4</v>
      </c>
      <c r="AO522" s="16">
        <f t="shared" ca="1" si="347"/>
        <v>-1.3364301622197211E-4</v>
      </c>
      <c r="AP522" s="16">
        <f t="shared" ca="1" si="348"/>
        <v>0</v>
      </c>
      <c r="AQ522" s="16">
        <f t="shared" ca="1" si="349"/>
        <v>0</v>
      </c>
      <c r="AR522" s="16">
        <f t="shared" ca="1" si="350"/>
        <v>-1.2118158281916645E-4</v>
      </c>
      <c r="AS522" s="16">
        <f t="shared" ca="1" si="351"/>
        <v>0</v>
      </c>
    </row>
    <row r="523" spans="1:45" x14ac:dyDescent="0.25">
      <c r="A523" s="69">
        <f t="shared" ca="1" si="352"/>
        <v>2453.2428626594301</v>
      </c>
      <c r="B523" s="69">
        <f t="shared" ca="1" si="353"/>
        <v>2140.2384803322279</v>
      </c>
      <c r="C523" s="69">
        <f t="shared" ca="1" si="354"/>
        <v>2229.6748363222077</v>
      </c>
      <c r="D523" s="69">
        <f t="shared" ca="1" si="355"/>
        <v>2908.6535009274726</v>
      </c>
      <c r="E523" s="69">
        <f t="shared" ca="1" si="356"/>
        <v>1930.0770783620274</v>
      </c>
      <c r="F523" s="69">
        <f t="shared" ca="1" si="357"/>
        <v>1220.8089234880465</v>
      </c>
      <c r="G523" s="69">
        <f t="shared" ca="1" si="358"/>
        <v>964.18702884052107</v>
      </c>
      <c r="H523" s="69">
        <f t="shared" ca="1" si="359"/>
        <v>1188.8895204329813</v>
      </c>
      <c r="I523" s="69">
        <f t="shared" ca="1" si="360"/>
        <v>1050.2379840583951</v>
      </c>
      <c r="J523" s="69">
        <f t="shared" ca="1" si="361"/>
        <v>1146.1275175499945</v>
      </c>
      <c r="K523" s="69">
        <f t="shared" ca="1" si="362"/>
        <v>1177.018911195963</v>
      </c>
      <c r="L523" s="69">
        <f t="shared" ca="1" si="363"/>
        <v>955.63177571438177</v>
      </c>
      <c r="M523" s="69">
        <f t="shared" ca="1" si="364"/>
        <v>992.53659805987422</v>
      </c>
      <c r="N523" s="69">
        <f t="shared" ca="1" si="365"/>
        <v>572.82973457148978</v>
      </c>
      <c r="O523" s="69">
        <f t="shared" ca="1" si="366"/>
        <v>630.31657739253797</v>
      </c>
      <c r="P523" s="69">
        <f t="shared" ca="1" si="367"/>
        <v>722.92657888118345</v>
      </c>
      <c r="Q523" s="69">
        <f t="shared" ca="1" si="368"/>
        <v>957.26428904712168</v>
      </c>
      <c r="R523" s="69">
        <f t="shared" ca="1" si="369"/>
        <v>780.68882584766436</v>
      </c>
      <c r="S523" s="69">
        <f t="shared" ca="1" si="370"/>
        <v>700.17415961684276</v>
      </c>
      <c r="T523" s="69">
        <f t="shared" ca="1" si="371"/>
        <v>796.6862241504781</v>
      </c>
      <c r="U523" s="69">
        <f t="shared" ca="1" si="372"/>
        <v>1693.9971663570821</v>
      </c>
      <c r="V523" s="69">
        <f t="shared" ca="1" si="373"/>
        <v>1914.9485813075548</v>
      </c>
      <c r="W523" s="69">
        <f t="shared" ca="1" si="374"/>
        <v>1180.7755787975543</v>
      </c>
      <c r="X523" s="69">
        <f t="shared" ca="1" si="375"/>
        <v>1496.7754556326352</v>
      </c>
      <c r="Y523" s="69">
        <f t="shared" ca="1" si="376"/>
        <v>1204.8512016272841</v>
      </c>
      <c r="AA523" s="20">
        <f t="shared" ca="1" si="336"/>
        <v>6.5722017377938328E+16</v>
      </c>
      <c r="AB523" s="20">
        <f t="shared" ca="1" si="337"/>
        <v>1684500482774877.8</v>
      </c>
      <c r="AC523" s="20">
        <f t="shared" ca="1" si="338"/>
        <v>403092608849201.19</v>
      </c>
      <c r="AD523" s="20">
        <f t="shared" ca="1" si="339"/>
        <v>301368182985486.5</v>
      </c>
      <c r="AE523" s="20">
        <f t="shared" ca="1" si="340"/>
        <v>6907600735007786</v>
      </c>
      <c r="AG523" s="16">
        <f t="shared" ca="1" si="341"/>
        <v>1.5333425606282226E-5</v>
      </c>
      <c r="AH523" s="16">
        <f t="shared" ca="1" si="342"/>
        <v>-3.1359130131800126E-4</v>
      </c>
      <c r="AI523" s="16">
        <f t="shared" ca="1" si="343"/>
        <v>5.922408136134603E-4</v>
      </c>
      <c r="AJ523" s="16">
        <f t="shared" ca="1" si="344"/>
        <v>4.983779648488385E-5</v>
      </c>
      <c r="AK523" s="16">
        <f t="shared" ca="1" si="345"/>
        <v>4.4099148840484679E-4</v>
      </c>
      <c r="AM523" s="16">
        <f t="shared" ca="1" si="346"/>
        <v>3.4382073438662513E-4</v>
      </c>
      <c r="AO523" s="16">
        <f t="shared" ca="1" si="347"/>
        <v>0</v>
      </c>
      <c r="AP523" s="16">
        <f t="shared" ca="1" si="348"/>
        <v>-3.1359130131800126E-4</v>
      </c>
      <c r="AQ523" s="16">
        <f t="shared" ca="1" si="349"/>
        <v>0</v>
      </c>
      <c r="AR523" s="16">
        <f t="shared" ca="1" si="350"/>
        <v>0</v>
      </c>
      <c r="AS523" s="16">
        <f t="shared" ca="1" si="351"/>
        <v>0</v>
      </c>
    </row>
    <row r="524" spans="1:45" x14ac:dyDescent="0.25">
      <c r="A524" s="69">
        <f t="shared" ca="1" si="352"/>
        <v>2453.3309287717989</v>
      </c>
      <c r="B524" s="69">
        <f t="shared" ca="1" si="353"/>
        <v>2140.4660256795073</v>
      </c>
      <c r="C524" s="69">
        <f t="shared" ca="1" si="354"/>
        <v>2229.6748363222077</v>
      </c>
      <c r="D524" s="69">
        <f t="shared" ca="1" si="355"/>
        <v>2908.6535009274726</v>
      </c>
      <c r="E524" s="69">
        <f t="shared" ca="1" si="356"/>
        <v>1929.8322136889701</v>
      </c>
      <c r="F524" s="69">
        <f t="shared" ca="1" si="357"/>
        <v>1220.5881056064313</v>
      </c>
      <c r="G524" s="69">
        <f t="shared" ca="1" si="358"/>
        <v>964.18413706524586</v>
      </c>
      <c r="H524" s="69">
        <f t="shared" ca="1" si="359"/>
        <v>1188.9151602324055</v>
      </c>
      <c r="I524" s="69">
        <f t="shared" ca="1" si="360"/>
        <v>1050.0791335445469</v>
      </c>
      <c r="J524" s="69">
        <f t="shared" ca="1" si="361"/>
        <v>1146.1275175499945</v>
      </c>
      <c r="K524" s="69">
        <f t="shared" ca="1" si="362"/>
        <v>1176.7108662559481</v>
      </c>
      <c r="L524" s="69">
        <f t="shared" ca="1" si="363"/>
        <v>955.63177571438177</v>
      </c>
      <c r="M524" s="69">
        <f t="shared" ca="1" si="364"/>
        <v>992.83306395930811</v>
      </c>
      <c r="N524" s="69">
        <f t="shared" ca="1" si="365"/>
        <v>572.82973457148978</v>
      </c>
      <c r="O524" s="69">
        <f t="shared" ca="1" si="366"/>
        <v>630.66671505943395</v>
      </c>
      <c r="P524" s="69">
        <f t="shared" ca="1" si="367"/>
        <v>723.18923262657302</v>
      </c>
      <c r="Q524" s="69">
        <f t="shared" ca="1" si="368"/>
        <v>957.26428904712168</v>
      </c>
      <c r="R524" s="69">
        <f t="shared" ca="1" si="369"/>
        <v>780.47153919943048</v>
      </c>
      <c r="S524" s="69">
        <f t="shared" ca="1" si="370"/>
        <v>700.17415961684276</v>
      </c>
      <c r="T524" s="69">
        <f t="shared" ca="1" si="371"/>
        <v>796.65830020614203</v>
      </c>
      <c r="U524" s="69">
        <f t="shared" ca="1" si="372"/>
        <v>1694.2519004284927</v>
      </c>
      <c r="V524" s="69">
        <f t="shared" ca="1" si="373"/>
        <v>1914.542583330893</v>
      </c>
      <c r="W524" s="69">
        <f t="shared" ca="1" si="374"/>
        <v>1180.7755787975543</v>
      </c>
      <c r="X524" s="69">
        <f t="shared" ca="1" si="375"/>
        <v>1497.1390720983022</v>
      </c>
      <c r="Y524" s="69">
        <f t="shared" ca="1" si="376"/>
        <v>1205.1642169464069</v>
      </c>
      <c r="AA524" s="20">
        <f t="shared" ca="1" si="336"/>
        <v>6.5723025129328608E+16</v>
      </c>
      <c r="AB524" s="20">
        <f t="shared" ca="1" si="337"/>
        <v>1683972320894227.5</v>
      </c>
      <c r="AC524" s="20">
        <f t="shared" ca="1" si="338"/>
        <v>403331407449986.56</v>
      </c>
      <c r="AD524" s="20">
        <f t="shared" ca="1" si="339"/>
        <v>301383202885933.44</v>
      </c>
      <c r="AE524" s="20">
        <f t="shared" ca="1" si="340"/>
        <v>6910647599908590</v>
      </c>
      <c r="AG524" s="16">
        <f t="shared" ca="1" si="341"/>
        <v>-6.7420669668401219E-5</v>
      </c>
      <c r="AH524" s="16">
        <f t="shared" ca="1" si="342"/>
        <v>-4.0625777397343887E-4</v>
      </c>
      <c r="AI524" s="16">
        <f t="shared" ca="1" si="343"/>
        <v>3.7224221281889196E-4</v>
      </c>
      <c r="AJ524" s="16">
        <f t="shared" ca="1" si="344"/>
        <v>5.9770039102163807E-5</v>
      </c>
      <c r="AK524" s="16">
        <f t="shared" ca="1" si="345"/>
        <v>-3.9110865026941799E-4</v>
      </c>
      <c r="AM524" s="16">
        <f t="shared" ca="1" si="346"/>
        <v>-4.1666191720784346E-5</v>
      </c>
      <c r="AO524" s="16">
        <f t="shared" ca="1" si="347"/>
        <v>-6.7420669668401219E-5</v>
      </c>
      <c r="AP524" s="16">
        <f t="shared" ca="1" si="348"/>
        <v>-4.0625777397343887E-4</v>
      </c>
      <c r="AQ524" s="16">
        <f t="shared" ca="1" si="349"/>
        <v>0</v>
      </c>
      <c r="AR524" s="16">
        <f t="shared" ca="1" si="350"/>
        <v>0</v>
      </c>
      <c r="AS524" s="16">
        <f t="shared" ca="1" si="351"/>
        <v>-3.9110865026941799E-4</v>
      </c>
    </row>
    <row r="525" spans="1:45" x14ac:dyDescent="0.25">
      <c r="A525" s="69">
        <f t="shared" ca="1" si="352"/>
        <v>2453.2834558113846</v>
      </c>
      <c r="B525" s="69">
        <f t="shared" ca="1" si="353"/>
        <v>2140.4660256795073</v>
      </c>
      <c r="C525" s="69">
        <f t="shared" ca="1" si="354"/>
        <v>2229.6519986302346</v>
      </c>
      <c r="D525" s="69">
        <f t="shared" ca="1" si="355"/>
        <v>2908.8708599059355</v>
      </c>
      <c r="E525" s="69">
        <f t="shared" ca="1" si="356"/>
        <v>1929.6150175042453</v>
      </c>
      <c r="F525" s="69">
        <f t="shared" ca="1" si="357"/>
        <v>1220.5881056064313</v>
      </c>
      <c r="G525" s="69">
        <f t="shared" ca="1" si="358"/>
        <v>964.18413706524586</v>
      </c>
      <c r="H525" s="69">
        <f t="shared" ca="1" si="359"/>
        <v>1189.3384556552505</v>
      </c>
      <c r="I525" s="69">
        <f t="shared" ca="1" si="360"/>
        <v>1049.649099928421</v>
      </c>
      <c r="J525" s="69">
        <f t="shared" ca="1" si="361"/>
        <v>1145.7234406459984</v>
      </c>
      <c r="K525" s="69">
        <f t="shared" ca="1" si="362"/>
        <v>1176.6306832562082</v>
      </c>
      <c r="L525" s="69">
        <f t="shared" ca="1" si="363"/>
        <v>955.63177571438177</v>
      </c>
      <c r="M525" s="69">
        <f t="shared" ca="1" si="364"/>
        <v>992.53904426920815</v>
      </c>
      <c r="N525" s="69">
        <f t="shared" ca="1" si="365"/>
        <v>573.2518204286846</v>
      </c>
      <c r="O525" s="69">
        <f t="shared" ca="1" si="366"/>
        <v>630.66671505943395</v>
      </c>
      <c r="P525" s="69">
        <f t="shared" ca="1" si="367"/>
        <v>723.65026956057352</v>
      </c>
      <c r="Q525" s="69">
        <f t="shared" ca="1" si="368"/>
        <v>957.26428904712168</v>
      </c>
      <c r="R525" s="69">
        <f t="shared" ca="1" si="369"/>
        <v>780.02092197353534</v>
      </c>
      <c r="S525" s="69">
        <f t="shared" ca="1" si="370"/>
        <v>700.17415961684276</v>
      </c>
      <c r="T525" s="69">
        <f t="shared" ca="1" si="371"/>
        <v>796.65830020614203</v>
      </c>
      <c r="U525" s="69">
        <f t="shared" ca="1" si="372"/>
        <v>1694.0105782412252</v>
      </c>
      <c r="V525" s="69">
        <f t="shared" ca="1" si="373"/>
        <v>1914.2353830076081</v>
      </c>
      <c r="W525" s="69">
        <f t="shared" ca="1" si="374"/>
        <v>1181.0068157861554</v>
      </c>
      <c r="X525" s="69">
        <f t="shared" ca="1" si="375"/>
        <v>1496.7139311967153</v>
      </c>
      <c r="Y525" s="69">
        <f t="shared" ca="1" si="376"/>
        <v>1205.1642169464069</v>
      </c>
      <c r="AA525" s="20">
        <f t="shared" ca="1" si="336"/>
        <v>6.5718594188331936E+16</v>
      </c>
      <c r="AB525" s="20">
        <f t="shared" ca="1" si="337"/>
        <v>1683288332994816.3</v>
      </c>
      <c r="AC525" s="20">
        <f t="shared" ca="1" si="338"/>
        <v>403481572372722.75</v>
      </c>
      <c r="AD525" s="20">
        <f t="shared" ca="1" si="339"/>
        <v>301401217110104.75</v>
      </c>
      <c r="AE525" s="20">
        <f t="shared" ca="1" si="340"/>
        <v>6907945314331381</v>
      </c>
      <c r="AG525" s="16">
        <f t="shared" ca="1" si="341"/>
        <v>-1.1167703243097207E-4</v>
      </c>
      <c r="AH525" s="16">
        <f t="shared" ca="1" si="342"/>
        <v>3.7707315978608661E-4</v>
      </c>
      <c r="AI525" s="16">
        <f t="shared" ca="1" si="343"/>
        <v>4.0137814063336095E-4</v>
      </c>
      <c r="AJ525" s="16">
        <f t="shared" ca="1" si="344"/>
        <v>-3.6558271294432281E-4</v>
      </c>
      <c r="AK525" s="16">
        <f t="shared" ca="1" si="345"/>
        <v>-7.0882154629161773E-5</v>
      </c>
      <c r="AM525" s="16">
        <f t="shared" ca="1" si="346"/>
        <v>3.0119155504415264E-4</v>
      </c>
      <c r="AO525" s="16">
        <f t="shared" ca="1" si="347"/>
        <v>-1.1167703243097207E-4</v>
      </c>
      <c r="AP525" s="16">
        <f t="shared" ca="1" si="348"/>
        <v>0</v>
      </c>
      <c r="AQ525" s="16">
        <f t="shared" ca="1" si="349"/>
        <v>0</v>
      </c>
      <c r="AR525" s="16">
        <f t="shared" ca="1" si="350"/>
        <v>-3.6558271294432281E-4</v>
      </c>
      <c r="AS525" s="16">
        <f t="shared" ca="1" si="351"/>
        <v>-7.0882154629161773E-5</v>
      </c>
    </row>
    <row r="526" spans="1:45" x14ac:dyDescent="0.25">
      <c r="A526" s="69">
        <f t="shared" ca="1" si="352"/>
        <v>2452.9500162940481</v>
      </c>
      <c r="B526" s="69">
        <f t="shared" ca="1" si="353"/>
        <v>2140.876261399173</v>
      </c>
      <c r="C526" s="69">
        <f t="shared" ca="1" si="354"/>
        <v>2229.6519986302346</v>
      </c>
      <c r="D526" s="69">
        <f t="shared" ca="1" si="355"/>
        <v>2908.8708599059355</v>
      </c>
      <c r="E526" s="69">
        <f t="shared" ca="1" si="356"/>
        <v>1929.2920443130731</v>
      </c>
      <c r="F526" s="69">
        <f t="shared" ca="1" si="357"/>
        <v>1220.5881056064313</v>
      </c>
      <c r="G526" s="69">
        <f t="shared" ca="1" si="358"/>
        <v>964.54777357890055</v>
      </c>
      <c r="H526" s="69">
        <f t="shared" ca="1" si="359"/>
        <v>1189.3384556552505</v>
      </c>
      <c r="I526" s="69">
        <f t="shared" ca="1" si="360"/>
        <v>1049.649099928421</v>
      </c>
      <c r="J526" s="69">
        <f t="shared" ca="1" si="361"/>
        <v>1145.7234406459984</v>
      </c>
      <c r="K526" s="69">
        <f t="shared" ca="1" si="362"/>
        <v>1176.3822465715991</v>
      </c>
      <c r="L526" s="69">
        <f t="shared" ca="1" si="363"/>
        <v>955.6355502606616</v>
      </c>
      <c r="M526" s="69">
        <f t="shared" ca="1" si="364"/>
        <v>992.53904426920815</v>
      </c>
      <c r="N526" s="69">
        <f t="shared" ca="1" si="365"/>
        <v>573.2518204286846</v>
      </c>
      <c r="O526" s="69">
        <f t="shared" ca="1" si="366"/>
        <v>631.05065128931085</v>
      </c>
      <c r="P526" s="69">
        <f t="shared" ca="1" si="367"/>
        <v>723.65026956057352</v>
      </c>
      <c r="Q526" s="69">
        <f t="shared" ca="1" si="368"/>
        <v>957.34253308805444</v>
      </c>
      <c r="R526" s="69">
        <f t="shared" ca="1" si="369"/>
        <v>779.95783781201669</v>
      </c>
      <c r="S526" s="69">
        <f t="shared" ca="1" si="370"/>
        <v>700.17415961684276</v>
      </c>
      <c r="T526" s="69">
        <f t="shared" ca="1" si="371"/>
        <v>796.3664275913452</v>
      </c>
      <c r="U526" s="69">
        <f t="shared" ca="1" si="372"/>
        <v>1694.0105782412252</v>
      </c>
      <c r="V526" s="69">
        <f t="shared" ca="1" si="373"/>
        <v>1914.2353830076081</v>
      </c>
      <c r="W526" s="69">
        <f t="shared" ca="1" si="374"/>
        <v>1181.0068157861554</v>
      </c>
      <c r="X526" s="69">
        <f t="shared" ca="1" si="375"/>
        <v>1496.6078446482745</v>
      </c>
      <c r="Y526" s="69">
        <f t="shared" ca="1" si="376"/>
        <v>1205.1642169464069</v>
      </c>
      <c r="AA526" s="20">
        <f t="shared" ca="1" si="336"/>
        <v>6.5711255340555448E+16</v>
      </c>
      <c r="AB526" s="20">
        <f t="shared" ca="1" si="337"/>
        <v>1683923175528887.8</v>
      </c>
      <c r="AC526" s="20">
        <f t="shared" ca="1" si="338"/>
        <v>403643553561701.13</v>
      </c>
      <c r="AD526" s="20">
        <f t="shared" ca="1" si="339"/>
        <v>301291050174259.56</v>
      </c>
      <c r="AE526" s="20">
        <f t="shared" ca="1" si="340"/>
        <v>6907455681636756</v>
      </c>
      <c r="AG526" s="16">
        <f t="shared" ca="1" si="341"/>
        <v>-1.5027316553917747E-4</v>
      </c>
      <c r="AH526" s="16">
        <f t="shared" ca="1" si="342"/>
        <v>-4.2061748782152637E-4</v>
      </c>
      <c r="AI526" s="16">
        <f t="shared" ca="1" si="343"/>
        <v>-1.4922537087246693E-5</v>
      </c>
      <c r="AJ526" s="16">
        <f t="shared" ca="1" si="344"/>
        <v>-9.4677349118311966E-5</v>
      </c>
      <c r="AK526" s="16">
        <f t="shared" ca="1" si="345"/>
        <v>8.8815329450869806E-5</v>
      </c>
      <c r="AM526" s="16">
        <f t="shared" ca="1" si="346"/>
        <v>-6.804905395662625E-4</v>
      </c>
      <c r="AO526" s="16">
        <f t="shared" ca="1" si="347"/>
        <v>-1.5027316553917747E-4</v>
      </c>
      <c r="AP526" s="16">
        <f t="shared" ca="1" si="348"/>
        <v>-4.2061748782152637E-4</v>
      </c>
      <c r="AQ526" s="16">
        <f t="shared" ca="1" si="349"/>
        <v>-1.4922537087246693E-5</v>
      </c>
      <c r="AR526" s="16">
        <f t="shared" ca="1" si="350"/>
        <v>-9.4677349118311966E-5</v>
      </c>
      <c r="AS526" s="16">
        <f t="shared" ca="1" si="351"/>
        <v>0</v>
      </c>
    </row>
    <row r="527" spans="1:45" x14ac:dyDescent="0.25">
      <c r="A527" s="69">
        <f t="shared" ca="1" si="352"/>
        <v>2452.9500162940481</v>
      </c>
      <c r="B527" s="69">
        <f t="shared" ca="1" si="353"/>
        <v>2140.894409466151</v>
      </c>
      <c r="C527" s="69">
        <f t="shared" ca="1" si="354"/>
        <v>2229.2980693272998</v>
      </c>
      <c r="D527" s="69">
        <f t="shared" ca="1" si="355"/>
        <v>2908.8708599059355</v>
      </c>
      <c r="E527" s="69">
        <f t="shared" ca="1" si="356"/>
        <v>1929.2920443130731</v>
      </c>
      <c r="F527" s="69">
        <f t="shared" ca="1" si="357"/>
        <v>1220.483236359554</v>
      </c>
      <c r="G527" s="69">
        <f t="shared" ca="1" si="358"/>
        <v>964.48992797912342</v>
      </c>
      <c r="H527" s="69">
        <f t="shared" ca="1" si="359"/>
        <v>1189.2821290894376</v>
      </c>
      <c r="I527" s="69">
        <f t="shared" ca="1" si="360"/>
        <v>1049.649099928421</v>
      </c>
      <c r="J527" s="69">
        <f t="shared" ca="1" si="361"/>
        <v>1145.4629756122133</v>
      </c>
      <c r="K527" s="69">
        <f t="shared" ca="1" si="362"/>
        <v>1176.6016662632032</v>
      </c>
      <c r="L527" s="69">
        <f t="shared" ca="1" si="363"/>
        <v>955.6355502606616</v>
      </c>
      <c r="M527" s="69">
        <f t="shared" ca="1" si="364"/>
        <v>992.33914134429051</v>
      </c>
      <c r="N527" s="69">
        <f t="shared" ca="1" si="365"/>
        <v>573.2518204286846</v>
      </c>
      <c r="O527" s="69">
        <f t="shared" ca="1" si="366"/>
        <v>631.05065128931085</v>
      </c>
      <c r="P527" s="69">
        <f t="shared" ca="1" si="367"/>
        <v>723.66623280469105</v>
      </c>
      <c r="Q527" s="69">
        <f t="shared" ca="1" si="368"/>
        <v>957.34253308805444</v>
      </c>
      <c r="R527" s="69">
        <f t="shared" ca="1" si="369"/>
        <v>779.95783781201669</v>
      </c>
      <c r="S527" s="69">
        <f t="shared" ca="1" si="370"/>
        <v>700.09242854770309</v>
      </c>
      <c r="T527" s="69">
        <f t="shared" ca="1" si="371"/>
        <v>796.3664275913452</v>
      </c>
      <c r="U527" s="69">
        <f t="shared" ca="1" si="372"/>
        <v>1694.2618889234391</v>
      </c>
      <c r="V527" s="69">
        <f t="shared" ca="1" si="373"/>
        <v>1914.5071603858091</v>
      </c>
      <c r="W527" s="69">
        <f t="shared" ca="1" si="374"/>
        <v>1181.0114708827434</v>
      </c>
      <c r="X527" s="69">
        <f t="shared" ca="1" si="375"/>
        <v>1496.3004210540089</v>
      </c>
      <c r="Y527" s="69">
        <f t="shared" ca="1" si="376"/>
        <v>1205.1642169464069</v>
      </c>
      <c r="AA527" s="20">
        <f t="shared" ca="1" si="336"/>
        <v>6.5701381444113288E+16</v>
      </c>
      <c r="AB527" s="20">
        <f t="shared" ca="1" si="337"/>
        <v>1683215036931291.5</v>
      </c>
      <c r="AC527" s="20">
        <f t="shared" ca="1" si="338"/>
        <v>403637530220744.94</v>
      </c>
      <c r="AD527" s="20">
        <f t="shared" ca="1" si="339"/>
        <v>301262526086629.81</v>
      </c>
      <c r="AE527" s="20">
        <f t="shared" ca="1" si="340"/>
        <v>6908069196833162</v>
      </c>
      <c r="AG527" s="16">
        <f t="shared" ca="1" si="341"/>
        <v>-2.006851713932182E-4</v>
      </c>
      <c r="AH527" s="16">
        <f t="shared" ca="1" si="342"/>
        <v>2.3827199580447398E-4</v>
      </c>
      <c r="AI527" s="16">
        <f t="shared" ca="1" si="343"/>
        <v>-7.5387331306491032E-4</v>
      </c>
      <c r="AJ527" s="16">
        <f t="shared" ca="1" si="344"/>
        <v>4.2984825627221139E-4</v>
      </c>
      <c r="AK527" s="16">
        <f t="shared" ca="1" si="345"/>
        <v>5.0774464865032851E-4</v>
      </c>
      <c r="AM527" s="16">
        <f t="shared" ca="1" si="346"/>
        <v>-2.8643823238144316E-4</v>
      </c>
      <c r="AO527" s="16">
        <f t="shared" ca="1" si="347"/>
        <v>-2.006851713932182E-4</v>
      </c>
      <c r="AP527" s="16">
        <f t="shared" ca="1" si="348"/>
        <v>0</v>
      </c>
      <c r="AQ527" s="16">
        <f t="shared" ca="1" si="349"/>
        <v>-7.5387331306491032E-4</v>
      </c>
      <c r="AR527" s="16">
        <f t="shared" ca="1" si="350"/>
        <v>0</v>
      </c>
      <c r="AS527" s="16">
        <f t="shared" ca="1" si="351"/>
        <v>0</v>
      </c>
    </row>
    <row r="528" spans="1:45" x14ac:dyDescent="0.25">
      <c r="A528" s="69">
        <f t="shared" ca="1" si="352"/>
        <v>2452.9500162940481</v>
      </c>
      <c r="B528" s="69">
        <f t="shared" ca="1" si="353"/>
        <v>2140.8199266545771</v>
      </c>
      <c r="C528" s="69">
        <f t="shared" ca="1" si="354"/>
        <v>2229.2702366239196</v>
      </c>
      <c r="D528" s="69">
        <f t="shared" ca="1" si="355"/>
        <v>2908.4246471229017</v>
      </c>
      <c r="E528" s="69">
        <f t="shared" ca="1" si="356"/>
        <v>1929.2920443130731</v>
      </c>
      <c r="F528" s="69">
        <f t="shared" ca="1" si="357"/>
        <v>1220.8697336257646</v>
      </c>
      <c r="G528" s="69">
        <f t="shared" ca="1" si="358"/>
        <v>964.55516609502331</v>
      </c>
      <c r="H528" s="69">
        <f t="shared" ca="1" si="359"/>
        <v>1189.7148056445983</v>
      </c>
      <c r="I528" s="69">
        <f t="shared" ca="1" si="360"/>
        <v>1049.1763950435861</v>
      </c>
      <c r="J528" s="69">
        <f t="shared" ca="1" si="361"/>
        <v>1145.3950617591975</v>
      </c>
      <c r="K528" s="69">
        <f t="shared" ca="1" si="362"/>
        <v>1176.2988593717</v>
      </c>
      <c r="L528" s="69">
        <f t="shared" ca="1" si="363"/>
        <v>955.6355502606616</v>
      </c>
      <c r="M528" s="69">
        <f t="shared" ca="1" si="364"/>
        <v>992.568551161767</v>
      </c>
      <c r="N528" s="69">
        <f t="shared" ca="1" si="365"/>
        <v>573.06515355206807</v>
      </c>
      <c r="O528" s="69">
        <f t="shared" ca="1" si="366"/>
        <v>630.79704762511449</v>
      </c>
      <c r="P528" s="69">
        <f t="shared" ca="1" si="367"/>
        <v>723.49069940675849</v>
      </c>
      <c r="Q528" s="69">
        <f t="shared" ca="1" si="368"/>
        <v>957.34253308805444</v>
      </c>
      <c r="R528" s="69">
        <f t="shared" ca="1" si="369"/>
        <v>779.95783781201669</v>
      </c>
      <c r="S528" s="69">
        <f t="shared" ca="1" si="370"/>
        <v>700.56335627942735</v>
      </c>
      <c r="T528" s="69">
        <f t="shared" ca="1" si="371"/>
        <v>796.3664275913452</v>
      </c>
      <c r="U528" s="69">
        <f t="shared" ca="1" si="372"/>
        <v>1694.5288065683344</v>
      </c>
      <c r="V528" s="69">
        <f t="shared" ca="1" si="373"/>
        <v>1914.8794798905499</v>
      </c>
      <c r="W528" s="69">
        <f t="shared" ca="1" si="374"/>
        <v>1181.4044761980808</v>
      </c>
      <c r="X528" s="69">
        <f t="shared" ca="1" si="375"/>
        <v>1496.0356685893948</v>
      </c>
      <c r="Y528" s="69">
        <f t="shared" ca="1" si="376"/>
        <v>1205.1642169464069</v>
      </c>
      <c r="AA528" s="20">
        <f t="shared" ca="1" si="336"/>
        <v>6.5688197474075296E+16</v>
      </c>
      <c r="AB528" s="20">
        <f t="shared" ca="1" si="337"/>
        <v>1683616147722345.8</v>
      </c>
      <c r="AC528" s="20">
        <f t="shared" ca="1" si="338"/>
        <v>403333353328386.81</v>
      </c>
      <c r="AD528" s="20">
        <f t="shared" ca="1" si="339"/>
        <v>301392051094203.25</v>
      </c>
      <c r="AE528" s="20">
        <f t="shared" ca="1" si="340"/>
        <v>6911577622617195</v>
      </c>
      <c r="AG528" s="16">
        <f t="shared" ca="1" si="341"/>
        <v>3.9213822674557702E-6</v>
      </c>
      <c r="AH528" s="16">
        <f t="shared" ca="1" si="342"/>
        <v>-3.2085321977482915E-4</v>
      </c>
      <c r="AI528" s="16">
        <f t="shared" ca="1" si="343"/>
        <v>6.8304050489944354E-4</v>
      </c>
      <c r="AJ528" s="16">
        <f t="shared" ca="1" si="344"/>
        <v>-1.0242732435538394E-3</v>
      </c>
      <c r="AK528" s="16">
        <f t="shared" ca="1" si="345"/>
        <v>-1.5418855264705654E-4</v>
      </c>
      <c r="AM528" s="16">
        <f t="shared" ca="1" si="346"/>
        <v>-6.5816457616176926E-4</v>
      </c>
      <c r="AO528" s="16">
        <f t="shared" ca="1" si="347"/>
        <v>0</v>
      </c>
      <c r="AP528" s="16">
        <f t="shared" ca="1" si="348"/>
        <v>-3.2085321977482915E-4</v>
      </c>
      <c r="AQ528" s="16">
        <f t="shared" ca="1" si="349"/>
        <v>0</v>
      </c>
      <c r="AR528" s="16">
        <f t="shared" ca="1" si="350"/>
        <v>-1.0242732435538394E-3</v>
      </c>
      <c r="AS528" s="16">
        <f t="shared" ca="1" si="351"/>
        <v>-1.5418855264705654E-4</v>
      </c>
    </row>
    <row r="529" spans="1:45" x14ac:dyDescent="0.25">
      <c r="A529" s="69">
        <f t="shared" ca="1" si="352"/>
        <v>2452.9596352676044</v>
      </c>
      <c r="B529" s="69">
        <f t="shared" ca="1" si="353"/>
        <v>2140.8199266545771</v>
      </c>
      <c r="C529" s="69">
        <f t="shared" ca="1" si="354"/>
        <v>2229.2702366239196</v>
      </c>
      <c r="D529" s="69">
        <f t="shared" ca="1" si="355"/>
        <v>2908.4246471229017</v>
      </c>
      <c r="E529" s="69">
        <f t="shared" ca="1" si="356"/>
        <v>1929.2920443130731</v>
      </c>
      <c r="F529" s="69">
        <f t="shared" ca="1" si="357"/>
        <v>1220.8697336257646</v>
      </c>
      <c r="G529" s="69">
        <f t="shared" ca="1" si="358"/>
        <v>964.18542176259064</v>
      </c>
      <c r="H529" s="69">
        <f t="shared" ca="1" si="359"/>
        <v>1189.4122020913333</v>
      </c>
      <c r="I529" s="69">
        <f t="shared" ca="1" si="360"/>
        <v>1049.5089671332742</v>
      </c>
      <c r="J529" s="69">
        <f t="shared" ca="1" si="361"/>
        <v>1145.3950617591975</v>
      </c>
      <c r="K529" s="69">
        <f t="shared" ca="1" si="362"/>
        <v>1175.9868967470397</v>
      </c>
      <c r="L529" s="69">
        <f t="shared" ca="1" si="363"/>
        <v>955.18722504982895</v>
      </c>
      <c r="M529" s="69">
        <f t="shared" ca="1" si="364"/>
        <v>992.568551161767</v>
      </c>
      <c r="N529" s="69">
        <f t="shared" ca="1" si="365"/>
        <v>573.44824940590308</v>
      </c>
      <c r="O529" s="69">
        <f t="shared" ca="1" si="366"/>
        <v>631.2698501613886</v>
      </c>
      <c r="P529" s="69">
        <f t="shared" ca="1" si="367"/>
        <v>723.19068191727763</v>
      </c>
      <c r="Q529" s="69">
        <f t="shared" ca="1" si="368"/>
        <v>957.34253308805444</v>
      </c>
      <c r="R529" s="69">
        <f t="shared" ca="1" si="369"/>
        <v>780.25710574767186</v>
      </c>
      <c r="S529" s="69">
        <f t="shared" ca="1" si="370"/>
        <v>700.26642119565577</v>
      </c>
      <c r="T529" s="69">
        <f t="shared" ca="1" si="371"/>
        <v>795.91327355194574</v>
      </c>
      <c r="U529" s="69">
        <f t="shared" ca="1" si="372"/>
        <v>1694.5288065683344</v>
      </c>
      <c r="V529" s="69">
        <f t="shared" ca="1" si="373"/>
        <v>1915.0881676158376</v>
      </c>
      <c r="W529" s="69">
        <f t="shared" ca="1" si="374"/>
        <v>1181.1386445658636</v>
      </c>
      <c r="X529" s="69">
        <f t="shared" ca="1" si="375"/>
        <v>1496.5276873115281</v>
      </c>
      <c r="Y529" s="69">
        <f t="shared" ca="1" si="376"/>
        <v>1204.722058427182</v>
      </c>
      <c r="AA529" s="20">
        <f t="shared" ca="1" si="336"/>
        <v>6.5688455063113104E+16</v>
      </c>
      <c r="AB529" s="20">
        <f t="shared" ca="1" si="337"/>
        <v>1683076040712654.3</v>
      </c>
      <c r="AC529" s="20">
        <f t="shared" ca="1" si="338"/>
        <v>403608940453557.13</v>
      </c>
      <c r="AD529" s="20">
        <f t="shared" ca="1" si="339"/>
        <v>301083501327058.94</v>
      </c>
      <c r="AE529" s="20">
        <f t="shared" ca="1" si="340"/>
        <v>6910512018621136</v>
      </c>
      <c r="AG529" s="16">
        <f t="shared" ca="1" si="341"/>
        <v>-6.9446530708771646E-5</v>
      </c>
      <c r="AH529" s="16">
        <f t="shared" ca="1" si="342"/>
        <v>-5.2945542735417328E-4</v>
      </c>
      <c r="AI529" s="16">
        <f t="shared" ca="1" si="343"/>
        <v>9.3875739114984583E-4</v>
      </c>
      <c r="AJ529" s="16">
        <f t="shared" ca="1" si="344"/>
        <v>-7.1727257811349547E-4</v>
      </c>
      <c r="AK529" s="16">
        <f t="shared" ca="1" si="345"/>
        <v>-1.2499241527934521E-4</v>
      </c>
      <c r="AM529" s="16">
        <f t="shared" ca="1" si="346"/>
        <v>-3.7741714502659458E-4</v>
      </c>
      <c r="AO529" s="16">
        <f t="shared" ca="1" si="347"/>
        <v>-6.9446530708771646E-5</v>
      </c>
      <c r="AP529" s="16">
        <f t="shared" ca="1" si="348"/>
        <v>-5.2945542735417328E-4</v>
      </c>
      <c r="AQ529" s="16">
        <f t="shared" ca="1" si="349"/>
        <v>0</v>
      </c>
      <c r="AR529" s="16">
        <f t="shared" ca="1" si="350"/>
        <v>-7.1727257811349547E-4</v>
      </c>
      <c r="AS529" s="16">
        <f t="shared" ca="1" si="351"/>
        <v>-1.2499241527934521E-4</v>
      </c>
    </row>
    <row r="530" spans="1:45" x14ac:dyDescent="0.25">
      <c r="A530" s="69">
        <f t="shared" ca="1" si="352"/>
        <v>2452.9596352676044</v>
      </c>
      <c r="B530" s="69">
        <f t="shared" ca="1" si="353"/>
        <v>2140.3980818949194</v>
      </c>
      <c r="C530" s="69">
        <f t="shared" ca="1" si="354"/>
        <v>2229.5841203694654</v>
      </c>
      <c r="D530" s="69">
        <f t="shared" ca="1" si="355"/>
        <v>2908.3863431299442</v>
      </c>
      <c r="E530" s="69">
        <f t="shared" ca="1" si="356"/>
        <v>1929.2920443130731</v>
      </c>
      <c r="F530" s="69">
        <f t="shared" ca="1" si="357"/>
        <v>1220.8207283175211</v>
      </c>
      <c r="G530" s="69">
        <f t="shared" ca="1" si="358"/>
        <v>963.90111641521764</v>
      </c>
      <c r="H530" s="69">
        <f t="shared" ca="1" si="359"/>
        <v>1189.3613095600613</v>
      </c>
      <c r="I530" s="69">
        <f t="shared" ca="1" si="360"/>
        <v>1049.3498560635571</v>
      </c>
      <c r="J530" s="69">
        <f t="shared" ca="1" si="361"/>
        <v>1145.3950617591975</v>
      </c>
      <c r="K530" s="69">
        <f t="shared" ca="1" si="362"/>
        <v>1175.673071279645</v>
      </c>
      <c r="L530" s="69">
        <f t="shared" ca="1" si="363"/>
        <v>955.63203076586728</v>
      </c>
      <c r="M530" s="69">
        <f t="shared" ca="1" si="364"/>
        <v>992.83730265564918</v>
      </c>
      <c r="N530" s="69">
        <f t="shared" ca="1" si="365"/>
        <v>573.71746733975317</v>
      </c>
      <c r="O530" s="69">
        <f t="shared" ca="1" si="366"/>
        <v>631.2698501613886</v>
      </c>
      <c r="P530" s="69">
        <f t="shared" ca="1" si="367"/>
        <v>723.19068191727763</v>
      </c>
      <c r="Q530" s="69">
        <f t="shared" ca="1" si="368"/>
        <v>957.34619007018966</v>
      </c>
      <c r="R530" s="69">
        <f t="shared" ca="1" si="369"/>
        <v>780.13048301238052</v>
      </c>
      <c r="S530" s="69">
        <f t="shared" ca="1" si="370"/>
        <v>699.97796863883946</v>
      </c>
      <c r="T530" s="69">
        <f t="shared" ca="1" si="371"/>
        <v>795.79644777418957</v>
      </c>
      <c r="U530" s="69">
        <f t="shared" ca="1" si="372"/>
        <v>1694.2569321235617</v>
      </c>
      <c r="V530" s="69">
        <f t="shared" ca="1" si="373"/>
        <v>1915.554668210932</v>
      </c>
      <c r="W530" s="69">
        <f t="shared" ca="1" si="374"/>
        <v>1181.1354023242634</v>
      </c>
      <c r="X530" s="69">
        <f t="shared" ca="1" si="375"/>
        <v>1496.5276873115281</v>
      </c>
      <c r="Y530" s="69">
        <f t="shared" ca="1" si="376"/>
        <v>1204.4746886268774</v>
      </c>
      <c r="AA530" s="20">
        <f t="shared" ca="1" si="336"/>
        <v>6.5683893386199504E+16</v>
      </c>
      <c r="AB530" s="20">
        <f t="shared" ca="1" si="337"/>
        <v>1682185162829125.5</v>
      </c>
      <c r="AC530" s="20">
        <f t="shared" ca="1" si="338"/>
        <v>403988009228510.88</v>
      </c>
      <c r="AD530" s="20">
        <f t="shared" ca="1" si="339"/>
        <v>300867619820032.75</v>
      </c>
      <c r="AE530" s="20">
        <f t="shared" ca="1" si="340"/>
        <v>6909648311012686</v>
      </c>
      <c r="AG530" s="16">
        <f t="shared" ca="1" si="341"/>
        <v>-7.5842828150236684E-5</v>
      </c>
      <c r="AH530" s="16">
        <f t="shared" ca="1" si="342"/>
        <v>6.8361896943941556E-4</v>
      </c>
      <c r="AI530" s="16">
        <f t="shared" ca="1" si="343"/>
        <v>1.1716144506122746E-3</v>
      </c>
      <c r="AJ530" s="16">
        <f t="shared" ca="1" si="344"/>
        <v>5.1599647836805514E-4</v>
      </c>
      <c r="AK530" s="16">
        <f t="shared" ca="1" si="345"/>
        <v>8.2408007089875099E-4</v>
      </c>
      <c r="AM530" s="16">
        <f t="shared" ca="1" si="346"/>
        <v>2.2953870702695084E-3</v>
      </c>
      <c r="AO530" s="16">
        <f t="shared" ca="1" si="347"/>
        <v>-7.5842828150236684E-5</v>
      </c>
      <c r="AP530" s="16">
        <f t="shared" ca="1" si="348"/>
        <v>0</v>
      </c>
      <c r="AQ530" s="16">
        <f t="shared" ca="1" si="349"/>
        <v>0</v>
      </c>
      <c r="AR530" s="16">
        <f t="shared" ca="1" si="350"/>
        <v>0</v>
      </c>
      <c r="AS530" s="16">
        <f t="shared" ca="1" si="351"/>
        <v>0</v>
      </c>
    </row>
    <row r="531" spans="1:45" x14ac:dyDescent="0.25">
      <c r="A531" s="69">
        <f t="shared" ca="1" si="352"/>
        <v>2453.0665677445436</v>
      </c>
      <c r="B531" s="69">
        <f t="shared" ca="1" si="353"/>
        <v>2140.3980818949194</v>
      </c>
      <c r="C531" s="69">
        <f t="shared" ca="1" si="354"/>
        <v>2229.1920335940531</v>
      </c>
      <c r="D531" s="69">
        <f t="shared" ca="1" si="355"/>
        <v>2908.3863431299442</v>
      </c>
      <c r="E531" s="69">
        <f t="shared" ca="1" si="356"/>
        <v>1929.4009304568258</v>
      </c>
      <c r="F531" s="69">
        <f t="shared" ca="1" si="357"/>
        <v>1220.7986021543727</v>
      </c>
      <c r="G531" s="69">
        <f t="shared" ca="1" si="358"/>
        <v>964.3091665025953</v>
      </c>
      <c r="H531" s="69">
        <f t="shared" ca="1" si="359"/>
        <v>1189.3613095600613</v>
      </c>
      <c r="I531" s="69">
        <f t="shared" ca="1" si="360"/>
        <v>1049.6421415620212</v>
      </c>
      <c r="J531" s="69">
        <f t="shared" ca="1" si="361"/>
        <v>1145.3950617591975</v>
      </c>
      <c r="K531" s="69">
        <f t="shared" ca="1" si="362"/>
        <v>1175.3259978052647</v>
      </c>
      <c r="L531" s="69">
        <f t="shared" ca="1" si="363"/>
        <v>956.06540907706255</v>
      </c>
      <c r="M531" s="69">
        <f t="shared" ca="1" si="364"/>
        <v>993.08231931199418</v>
      </c>
      <c r="N531" s="69">
        <f t="shared" ca="1" si="365"/>
        <v>573.84941460810444</v>
      </c>
      <c r="O531" s="69">
        <f t="shared" ca="1" si="366"/>
        <v>631.6087817476448</v>
      </c>
      <c r="P531" s="69">
        <f t="shared" ca="1" si="367"/>
        <v>723.19068191727763</v>
      </c>
      <c r="Q531" s="69">
        <f t="shared" ca="1" si="368"/>
        <v>957.16219095550127</v>
      </c>
      <c r="R531" s="69">
        <f t="shared" ca="1" si="369"/>
        <v>780.43574695126256</v>
      </c>
      <c r="S531" s="69">
        <f t="shared" ca="1" si="370"/>
        <v>700.0705101322967</v>
      </c>
      <c r="T531" s="69">
        <f t="shared" ca="1" si="371"/>
        <v>795.94351851205806</v>
      </c>
      <c r="U531" s="69">
        <f t="shared" ca="1" si="372"/>
        <v>1694.2569321235617</v>
      </c>
      <c r="V531" s="69">
        <f t="shared" ca="1" si="373"/>
        <v>1915.554668210932</v>
      </c>
      <c r="W531" s="69">
        <f t="shared" ca="1" si="374"/>
        <v>1181.622143351972</v>
      </c>
      <c r="X531" s="69">
        <f t="shared" ca="1" si="375"/>
        <v>1496.7075098930584</v>
      </c>
      <c r="Y531" s="69">
        <f t="shared" ca="1" si="376"/>
        <v>1204.8263458980446</v>
      </c>
      <c r="AA531" s="20">
        <f t="shared" ca="1" si="336"/>
        <v>6.5678911922867696E+16</v>
      </c>
      <c r="AB531" s="20">
        <f t="shared" ca="1" si="337"/>
        <v>1683335529678044.3</v>
      </c>
      <c r="AC531" s="20">
        <f t="shared" ca="1" si="338"/>
        <v>404461604799529.88</v>
      </c>
      <c r="AD531" s="20">
        <f t="shared" ca="1" si="339"/>
        <v>301022906512562.63</v>
      </c>
      <c r="AE531" s="20">
        <f t="shared" ca="1" si="340"/>
        <v>6915344761325924</v>
      </c>
      <c r="AG531" s="16">
        <f t="shared" ca="1" si="341"/>
        <v>2.2682819426044783E-4</v>
      </c>
      <c r="AH531" s="16">
        <f t="shared" ca="1" si="342"/>
        <v>-1.2821642269978681E-3</v>
      </c>
      <c r="AI531" s="16">
        <f t="shared" ca="1" si="343"/>
        <v>9.1027052188822214E-5</v>
      </c>
      <c r="AJ531" s="16">
        <f t="shared" ca="1" si="344"/>
        <v>-1.86615602627637E-5</v>
      </c>
      <c r="AK531" s="16">
        <f t="shared" ca="1" si="345"/>
        <v>5.6833172051468854E-4</v>
      </c>
      <c r="AM531" s="16">
        <f t="shared" ca="1" si="346"/>
        <v>-9.8297054081136173E-4</v>
      </c>
      <c r="AO531" s="16">
        <f t="shared" ca="1" si="347"/>
        <v>0</v>
      </c>
      <c r="AP531" s="16">
        <f t="shared" ca="1" si="348"/>
        <v>-1.2821642269978681E-3</v>
      </c>
      <c r="AQ531" s="16">
        <f t="shared" ca="1" si="349"/>
        <v>0</v>
      </c>
      <c r="AR531" s="16">
        <f t="shared" ca="1" si="350"/>
        <v>-1.86615602627637E-5</v>
      </c>
      <c r="AS531" s="16">
        <f t="shared" ca="1" si="351"/>
        <v>0</v>
      </c>
    </row>
    <row r="532" spans="1:45" x14ac:dyDescent="0.25">
      <c r="A532" s="69">
        <f t="shared" ca="1" si="352"/>
        <v>2453.0665677445436</v>
      </c>
      <c r="B532" s="69">
        <f t="shared" ca="1" si="353"/>
        <v>2140.2218132907392</v>
      </c>
      <c r="C532" s="69">
        <f t="shared" ca="1" si="354"/>
        <v>2229.5119638692149</v>
      </c>
      <c r="D532" s="69">
        <f t="shared" ca="1" si="355"/>
        <v>2908.8682345514958</v>
      </c>
      <c r="E532" s="69">
        <f t="shared" ca="1" si="356"/>
        <v>1929.4009304568258</v>
      </c>
      <c r="F532" s="69">
        <f t="shared" ca="1" si="357"/>
        <v>1220.7986021543727</v>
      </c>
      <c r="G532" s="69">
        <f t="shared" ca="1" si="358"/>
        <v>963.96025690400484</v>
      </c>
      <c r="H532" s="69">
        <f t="shared" ca="1" si="359"/>
        <v>1188.9157991227601</v>
      </c>
      <c r="I532" s="69">
        <f t="shared" ca="1" si="360"/>
        <v>1049.2373124118649</v>
      </c>
      <c r="J532" s="69">
        <f t="shared" ca="1" si="361"/>
        <v>1145.2119641151069</v>
      </c>
      <c r="K532" s="69">
        <f t="shared" ca="1" si="362"/>
        <v>1175.4534173511479</v>
      </c>
      <c r="L532" s="69">
        <f t="shared" ca="1" si="363"/>
        <v>956.0282046428739</v>
      </c>
      <c r="M532" s="69">
        <f t="shared" ca="1" si="364"/>
        <v>992.84849129663132</v>
      </c>
      <c r="N532" s="69">
        <f t="shared" ca="1" si="365"/>
        <v>573.69247417519728</v>
      </c>
      <c r="O532" s="69">
        <f t="shared" ca="1" si="366"/>
        <v>631.94396741145056</v>
      </c>
      <c r="P532" s="69">
        <f t="shared" ca="1" si="367"/>
        <v>723.19068191727763</v>
      </c>
      <c r="Q532" s="69">
        <f t="shared" ca="1" si="368"/>
        <v>957.16219095550127</v>
      </c>
      <c r="R532" s="69">
        <f t="shared" ca="1" si="369"/>
        <v>780.08405743546462</v>
      </c>
      <c r="S532" s="69">
        <f t="shared" ca="1" si="370"/>
        <v>700.0705101322967</v>
      </c>
      <c r="T532" s="69">
        <f t="shared" ca="1" si="371"/>
        <v>796.28749792870656</v>
      </c>
      <c r="U532" s="69">
        <f t="shared" ca="1" si="372"/>
        <v>1694.0423730371672</v>
      </c>
      <c r="V532" s="69">
        <f t="shared" ca="1" si="373"/>
        <v>1916.0376898464617</v>
      </c>
      <c r="W532" s="69">
        <f t="shared" ca="1" si="374"/>
        <v>1181.9411255124</v>
      </c>
      <c r="X532" s="69">
        <f t="shared" ca="1" si="375"/>
        <v>1496.7075098930584</v>
      </c>
      <c r="Y532" s="69">
        <f t="shared" ca="1" si="376"/>
        <v>1205.0347225613014</v>
      </c>
      <c r="AA532" s="20">
        <f t="shared" ca="1" si="336"/>
        <v>6.5693811441611736E+16</v>
      </c>
      <c r="AB532" s="20">
        <f t="shared" ca="1" si="337"/>
        <v>1681178600144290.3</v>
      </c>
      <c r="AC532" s="20">
        <f t="shared" ca="1" si="338"/>
        <v>404498423422858.25</v>
      </c>
      <c r="AD532" s="20">
        <f t="shared" ca="1" si="339"/>
        <v>301017289007868.13</v>
      </c>
      <c r="AE532" s="20">
        <f t="shared" ca="1" si="340"/>
        <v>6919276088155133</v>
      </c>
      <c r="AG532" s="16">
        <f t="shared" ca="1" si="341"/>
        <v>-1.7179083350238897E-4</v>
      </c>
      <c r="AH532" s="16">
        <f t="shared" ca="1" si="342"/>
        <v>6.8321012896010839E-4</v>
      </c>
      <c r="AI532" s="16">
        <f t="shared" ca="1" si="343"/>
        <v>-4.7118478127970893E-4</v>
      </c>
      <c r="AJ532" s="16">
        <f t="shared" ca="1" si="344"/>
        <v>3.4718363051130326E-4</v>
      </c>
      <c r="AK532" s="16">
        <f t="shared" ca="1" si="345"/>
        <v>1.8328620694857596E-4</v>
      </c>
      <c r="AM532" s="16">
        <f t="shared" ca="1" si="346"/>
        <v>3.8741814468931375E-4</v>
      </c>
      <c r="AO532" s="16">
        <f t="shared" ca="1" si="347"/>
        <v>-1.7179083350238897E-4</v>
      </c>
      <c r="AP532" s="16">
        <f t="shared" ca="1" si="348"/>
        <v>0</v>
      </c>
      <c r="AQ532" s="16">
        <f t="shared" ca="1" si="349"/>
        <v>-4.7118478127970893E-4</v>
      </c>
      <c r="AR532" s="16">
        <f t="shared" ca="1" si="350"/>
        <v>0</v>
      </c>
      <c r="AS532" s="16">
        <f t="shared" ca="1" si="351"/>
        <v>0</v>
      </c>
    </row>
    <row r="533" spans="1:45" x14ac:dyDescent="0.25">
      <c r="A533" s="69">
        <f t="shared" ca="1" si="352"/>
        <v>2453.0995149584642</v>
      </c>
      <c r="B533" s="69">
        <f t="shared" ca="1" si="353"/>
        <v>2140.2218132907392</v>
      </c>
      <c r="C533" s="69">
        <f t="shared" ca="1" si="354"/>
        <v>2229.3997192010984</v>
      </c>
      <c r="D533" s="69">
        <f t="shared" ca="1" si="355"/>
        <v>2908.4759257840192</v>
      </c>
      <c r="E533" s="69">
        <f t="shared" ca="1" si="356"/>
        <v>1929.4009304568258</v>
      </c>
      <c r="F533" s="69">
        <f t="shared" ca="1" si="357"/>
        <v>1220.9957185477203</v>
      </c>
      <c r="G533" s="69">
        <f t="shared" ca="1" si="358"/>
        <v>964.33945279160866</v>
      </c>
      <c r="H533" s="69">
        <f t="shared" ca="1" si="359"/>
        <v>1189.0685399647737</v>
      </c>
      <c r="I533" s="69">
        <f t="shared" ca="1" si="360"/>
        <v>1049.2373124118649</v>
      </c>
      <c r="J533" s="69">
        <f t="shared" ca="1" si="361"/>
        <v>1145.2119641151069</v>
      </c>
      <c r="K533" s="69">
        <f t="shared" ca="1" si="362"/>
        <v>1175.6697015642042</v>
      </c>
      <c r="L533" s="69">
        <f t="shared" ca="1" si="363"/>
        <v>956.0282046428739</v>
      </c>
      <c r="M533" s="69">
        <f t="shared" ca="1" si="364"/>
        <v>992.76370950696071</v>
      </c>
      <c r="N533" s="69">
        <f t="shared" ca="1" si="365"/>
        <v>573.69247417519728</v>
      </c>
      <c r="O533" s="69">
        <f t="shared" ca="1" si="366"/>
        <v>631.58400573731876</v>
      </c>
      <c r="P533" s="69">
        <f t="shared" ca="1" si="367"/>
        <v>723.19068191727763</v>
      </c>
      <c r="Q533" s="69">
        <f t="shared" ca="1" si="368"/>
        <v>957.16219095550127</v>
      </c>
      <c r="R533" s="69">
        <f t="shared" ca="1" si="369"/>
        <v>780.08405743546462</v>
      </c>
      <c r="S533" s="69">
        <f t="shared" ca="1" si="370"/>
        <v>700.09828598466504</v>
      </c>
      <c r="T533" s="69">
        <f t="shared" ca="1" si="371"/>
        <v>796.53240085522691</v>
      </c>
      <c r="U533" s="69">
        <f t="shared" ca="1" si="372"/>
        <v>1694.2257225220583</v>
      </c>
      <c r="V533" s="69">
        <f t="shared" ca="1" si="373"/>
        <v>1915.7575857133652</v>
      </c>
      <c r="W533" s="69">
        <f t="shared" ca="1" si="374"/>
        <v>1181.9411255124</v>
      </c>
      <c r="X533" s="69">
        <f t="shared" ca="1" si="375"/>
        <v>1497.0387081485796</v>
      </c>
      <c r="Y533" s="69">
        <f t="shared" ca="1" si="376"/>
        <v>1205.0347225613014</v>
      </c>
      <c r="AA533" s="20">
        <f t="shared" ca="1" si="336"/>
        <v>6.5682526816313576E+16</v>
      </c>
      <c r="AB533" s="20">
        <f t="shared" ca="1" si="337"/>
        <v>1682327590848850</v>
      </c>
      <c r="AC533" s="20">
        <f t="shared" ca="1" si="338"/>
        <v>404307874817016.75</v>
      </c>
      <c r="AD533" s="20">
        <f t="shared" ca="1" si="339"/>
        <v>301121815426993.44</v>
      </c>
      <c r="AE533" s="20">
        <f t="shared" ca="1" si="340"/>
        <v>6920544412253767</v>
      </c>
      <c r="AG533" s="16">
        <f t="shared" ca="1" si="341"/>
        <v>-8.0102421367653456E-5</v>
      </c>
      <c r="AH533" s="16">
        <f t="shared" ca="1" si="342"/>
        <v>3.9147331514162074E-4</v>
      </c>
      <c r="AI533" s="16">
        <f t="shared" ca="1" si="343"/>
        <v>3.7606954638529723E-4</v>
      </c>
      <c r="AJ533" s="16">
        <f t="shared" ca="1" si="344"/>
        <v>-9.9822952741384694E-5</v>
      </c>
      <c r="AK533" s="16">
        <f t="shared" ca="1" si="345"/>
        <v>3.5761934507408497E-4</v>
      </c>
      <c r="AM533" s="16">
        <f t="shared" ca="1" si="346"/>
        <v>5.8761748741787984E-4</v>
      </c>
      <c r="AO533" s="16">
        <f t="shared" ca="1" si="347"/>
        <v>-8.0102421367653456E-5</v>
      </c>
      <c r="AP533" s="16">
        <f t="shared" ca="1" si="348"/>
        <v>0</v>
      </c>
      <c r="AQ533" s="16">
        <f t="shared" ca="1" si="349"/>
        <v>0</v>
      </c>
      <c r="AR533" s="16">
        <f t="shared" ca="1" si="350"/>
        <v>-9.9822952741384694E-5</v>
      </c>
      <c r="AS533" s="16">
        <f t="shared" ca="1" si="351"/>
        <v>0</v>
      </c>
    </row>
    <row r="534" spans="1:45" x14ac:dyDescent="0.25">
      <c r="A534" s="69">
        <f t="shared" ca="1" si="352"/>
        <v>2452.780950195187</v>
      </c>
      <c r="B534" s="69">
        <f t="shared" ca="1" si="353"/>
        <v>2140.1685544776292</v>
      </c>
      <c r="C534" s="69">
        <f t="shared" ca="1" si="354"/>
        <v>2229.5041126497958</v>
      </c>
      <c r="D534" s="69">
        <f t="shared" ca="1" si="355"/>
        <v>2908.5507687364752</v>
      </c>
      <c r="E534" s="69">
        <f t="shared" ca="1" si="356"/>
        <v>1929.4049746668372</v>
      </c>
      <c r="F534" s="69">
        <f t="shared" ca="1" si="357"/>
        <v>1221.2918280037611</v>
      </c>
      <c r="G534" s="69">
        <f t="shared" ca="1" si="358"/>
        <v>964.33945279160866</v>
      </c>
      <c r="H534" s="69">
        <f t="shared" ca="1" si="359"/>
        <v>1189.2457100820427</v>
      </c>
      <c r="I534" s="69">
        <f t="shared" ca="1" si="360"/>
        <v>1049.2373124118649</v>
      </c>
      <c r="J534" s="69">
        <f t="shared" ca="1" si="361"/>
        <v>1145.2119641151069</v>
      </c>
      <c r="K534" s="69">
        <f t="shared" ca="1" si="362"/>
        <v>1175.2287965432529</v>
      </c>
      <c r="L534" s="69">
        <f t="shared" ca="1" si="363"/>
        <v>956.49958291847202</v>
      </c>
      <c r="M534" s="69">
        <f t="shared" ca="1" si="364"/>
        <v>993.10223867642799</v>
      </c>
      <c r="N534" s="69">
        <f t="shared" ca="1" si="365"/>
        <v>573.74334129152476</v>
      </c>
      <c r="O534" s="69">
        <f t="shared" ca="1" si="366"/>
        <v>631.47577803855916</v>
      </c>
      <c r="P534" s="69">
        <f t="shared" ca="1" si="367"/>
        <v>723.40989982943108</v>
      </c>
      <c r="Q534" s="69">
        <f t="shared" ca="1" si="368"/>
        <v>956.80588811846633</v>
      </c>
      <c r="R534" s="69">
        <f t="shared" ca="1" si="369"/>
        <v>779.67922379680408</v>
      </c>
      <c r="S534" s="69">
        <f t="shared" ca="1" si="370"/>
        <v>700.55890352474808</v>
      </c>
      <c r="T534" s="69">
        <f t="shared" ca="1" si="371"/>
        <v>796.39763528784647</v>
      </c>
      <c r="U534" s="69">
        <f t="shared" ca="1" si="372"/>
        <v>1694.7203235802874</v>
      </c>
      <c r="V534" s="69">
        <f t="shared" ca="1" si="373"/>
        <v>1915.9787854910924</v>
      </c>
      <c r="W534" s="69">
        <f t="shared" ca="1" si="374"/>
        <v>1181.9411255124</v>
      </c>
      <c r="X534" s="69">
        <f t="shared" ca="1" si="375"/>
        <v>1497.0387081485796</v>
      </c>
      <c r="Y534" s="69">
        <f t="shared" ca="1" si="376"/>
        <v>1204.9747999407004</v>
      </c>
      <c r="AA534" s="20">
        <f t="shared" ca="1" si="336"/>
        <v>6.5677265697591032E+16</v>
      </c>
      <c r="AB534" s="20">
        <f t="shared" ca="1" si="337"/>
        <v>1682986306134309.5</v>
      </c>
      <c r="AC534" s="20">
        <f t="shared" ca="1" si="338"/>
        <v>404459951289972</v>
      </c>
      <c r="AD534" s="20">
        <f t="shared" ca="1" si="339"/>
        <v>301091758058475.25</v>
      </c>
      <c r="AE534" s="20">
        <f t="shared" ca="1" si="340"/>
        <v>6923019775406526</v>
      </c>
      <c r="AG534" s="16">
        <f t="shared" ca="1" si="341"/>
        <v>-1.3327239956258694E-4</v>
      </c>
      <c r="AH534" s="16">
        <f t="shared" ca="1" si="342"/>
        <v>1.481830983986775E-4</v>
      </c>
      <c r="AI534" s="16">
        <f t="shared" ca="1" si="343"/>
        <v>6.2393935343512839E-4</v>
      </c>
      <c r="AJ534" s="16">
        <f t="shared" ca="1" si="344"/>
        <v>-4.1321496775947679E-4</v>
      </c>
      <c r="AK534" s="16">
        <f t="shared" ca="1" si="345"/>
        <v>-1.5766658808304685E-4</v>
      </c>
      <c r="AM534" s="16">
        <f t="shared" ca="1" si="346"/>
        <v>2.2563508451174219E-4</v>
      </c>
      <c r="AO534" s="16">
        <f t="shared" ca="1" si="347"/>
        <v>-1.3327239956258694E-4</v>
      </c>
      <c r="AP534" s="16">
        <f t="shared" ca="1" si="348"/>
        <v>0</v>
      </c>
      <c r="AQ534" s="16">
        <f t="shared" ca="1" si="349"/>
        <v>0</v>
      </c>
      <c r="AR534" s="16">
        <f t="shared" ca="1" si="350"/>
        <v>-4.1321496775947679E-4</v>
      </c>
      <c r="AS534" s="16">
        <f t="shared" ca="1" si="351"/>
        <v>-1.5766658808304685E-4</v>
      </c>
    </row>
    <row r="535" spans="1:45" x14ac:dyDescent="0.25">
      <c r="A535" s="69">
        <f t="shared" ca="1" si="352"/>
        <v>2453.0016375152882</v>
      </c>
      <c r="B535" s="69">
        <f t="shared" ca="1" si="353"/>
        <v>2139.9482540669255</v>
      </c>
      <c r="C535" s="69">
        <f t="shared" ca="1" si="354"/>
        <v>2229.3686542346759</v>
      </c>
      <c r="D535" s="69">
        <f t="shared" ca="1" si="355"/>
        <v>2908.5507687364752</v>
      </c>
      <c r="E535" s="69">
        <f t="shared" ca="1" si="356"/>
        <v>1929.2900968135314</v>
      </c>
      <c r="F535" s="69">
        <f t="shared" ca="1" si="357"/>
        <v>1221.7801348670666</v>
      </c>
      <c r="G535" s="69">
        <f t="shared" ca="1" si="358"/>
        <v>964.45291000489647</v>
      </c>
      <c r="H535" s="69">
        <f t="shared" ca="1" si="359"/>
        <v>1189.2623670936127</v>
      </c>
      <c r="I535" s="69">
        <f t="shared" ca="1" si="360"/>
        <v>1049.1299326197247</v>
      </c>
      <c r="J535" s="69">
        <f t="shared" ca="1" si="361"/>
        <v>1144.890352188422</v>
      </c>
      <c r="K535" s="69">
        <f t="shared" ca="1" si="362"/>
        <v>1175.325916258884</v>
      </c>
      <c r="L535" s="69">
        <f t="shared" ca="1" si="363"/>
        <v>956.71068772495687</v>
      </c>
      <c r="M535" s="69">
        <f t="shared" ca="1" si="364"/>
        <v>993.10223867642799</v>
      </c>
      <c r="N535" s="69">
        <f t="shared" ca="1" si="365"/>
        <v>573.92732583347595</v>
      </c>
      <c r="O535" s="69">
        <f t="shared" ca="1" si="366"/>
        <v>631.47577803855916</v>
      </c>
      <c r="P535" s="69">
        <f t="shared" ca="1" si="367"/>
        <v>723.40989982943108</v>
      </c>
      <c r="Q535" s="69">
        <f t="shared" ca="1" si="368"/>
        <v>956.80588811846633</v>
      </c>
      <c r="R535" s="69">
        <f t="shared" ca="1" si="369"/>
        <v>779.32809191744866</v>
      </c>
      <c r="S535" s="69">
        <f t="shared" ca="1" si="370"/>
        <v>700.55890352474808</v>
      </c>
      <c r="T535" s="69">
        <f t="shared" ca="1" si="371"/>
        <v>796.42729429105907</v>
      </c>
      <c r="U535" s="69">
        <f t="shared" ca="1" si="372"/>
        <v>1694.7203235802874</v>
      </c>
      <c r="V535" s="69">
        <f t="shared" ca="1" si="373"/>
        <v>1915.8900577563948</v>
      </c>
      <c r="W535" s="69">
        <f t="shared" ca="1" si="374"/>
        <v>1181.9411255124</v>
      </c>
      <c r="X535" s="69">
        <f t="shared" ca="1" si="375"/>
        <v>1497.0387081485796</v>
      </c>
      <c r="Y535" s="69">
        <f t="shared" ca="1" si="376"/>
        <v>1204.8406260394011</v>
      </c>
      <c r="AA535" s="20">
        <f t="shared" ca="1" si="336"/>
        <v>6.5668513314033336E+16</v>
      </c>
      <c r="AB535" s="20">
        <f t="shared" ca="1" si="337"/>
        <v>1683235714738328.5</v>
      </c>
      <c r="AC535" s="20">
        <f t="shared" ca="1" si="338"/>
        <v>404712388515040.31</v>
      </c>
      <c r="AD535" s="20">
        <f t="shared" ca="1" si="339"/>
        <v>300967368139034.69</v>
      </c>
      <c r="AE535" s="20">
        <f t="shared" ca="1" si="340"/>
        <v>6921928332543603</v>
      </c>
      <c r="AG535" s="16">
        <f t="shared" ca="1" si="341"/>
        <v>2.2667802607387869E-4</v>
      </c>
      <c r="AH535" s="16">
        <f t="shared" ca="1" si="342"/>
        <v>-9.5071598642850765E-4</v>
      </c>
      <c r="AI535" s="16">
        <f t="shared" ca="1" si="343"/>
        <v>4.1074200365940217E-4</v>
      </c>
      <c r="AJ535" s="16">
        <f t="shared" ca="1" si="344"/>
        <v>-2.7538543075716844E-4</v>
      </c>
      <c r="AK535" s="16">
        <f t="shared" ca="1" si="345"/>
        <v>2.0988562721968163E-6</v>
      </c>
      <c r="AM535" s="16">
        <f t="shared" ca="1" si="346"/>
        <v>-5.8868138745239522E-4</v>
      </c>
      <c r="AO535" s="16">
        <f t="shared" ca="1" si="347"/>
        <v>0</v>
      </c>
      <c r="AP535" s="16">
        <f t="shared" ca="1" si="348"/>
        <v>-9.5071598642850765E-4</v>
      </c>
      <c r="AQ535" s="16">
        <f t="shared" ca="1" si="349"/>
        <v>0</v>
      </c>
      <c r="AR535" s="16">
        <f t="shared" ca="1" si="350"/>
        <v>-2.7538543075716844E-4</v>
      </c>
      <c r="AS535" s="16">
        <f t="shared" ca="1" si="351"/>
        <v>0</v>
      </c>
    </row>
    <row r="536" spans="1:45" x14ac:dyDescent="0.25">
      <c r="A536" s="69">
        <f t="shared" ca="1" si="352"/>
        <v>2453.0955562485142</v>
      </c>
      <c r="B536" s="69">
        <f t="shared" ca="1" si="353"/>
        <v>2139.9482540669255</v>
      </c>
      <c r="C536" s="69">
        <f t="shared" ca="1" si="354"/>
        <v>2229.6600186172013</v>
      </c>
      <c r="D536" s="69">
        <f t="shared" ca="1" si="355"/>
        <v>2908.7186154417864</v>
      </c>
      <c r="E536" s="69">
        <f t="shared" ca="1" si="356"/>
        <v>1929.2900968135314</v>
      </c>
      <c r="F536" s="69">
        <f t="shared" ca="1" si="357"/>
        <v>1221.4115542083327</v>
      </c>
      <c r="G536" s="69">
        <f t="shared" ca="1" si="358"/>
        <v>964.45291000489647</v>
      </c>
      <c r="H536" s="69">
        <f t="shared" ca="1" si="359"/>
        <v>1188.8749735371262</v>
      </c>
      <c r="I536" s="69">
        <f t="shared" ca="1" si="360"/>
        <v>1048.7204000325839</v>
      </c>
      <c r="J536" s="69">
        <f t="shared" ca="1" si="361"/>
        <v>1144.9673270455062</v>
      </c>
      <c r="K536" s="69">
        <f t="shared" ca="1" si="362"/>
        <v>1175.325916258884</v>
      </c>
      <c r="L536" s="69">
        <f t="shared" ca="1" si="363"/>
        <v>957.17040934033321</v>
      </c>
      <c r="M536" s="69">
        <f t="shared" ca="1" si="364"/>
        <v>993.10223867642799</v>
      </c>
      <c r="N536" s="69">
        <f t="shared" ca="1" si="365"/>
        <v>573.51180259038426</v>
      </c>
      <c r="O536" s="69">
        <f t="shared" ca="1" si="366"/>
        <v>631.88927504046512</v>
      </c>
      <c r="P536" s="69">
        <f t="shared" ca="1" si="367"/>
        <v>723.7929224013086</v>
      </c>
      <c r="Q536" s="69">
        <f t="shared" ca="1" si="368"/>
        <v>956.96723267310097</v>
      </c>
      <c r="R536" s="69">
        <f t="shared" ca="1" si="369"/>
        <v>779.45504699988658</v>
      </c>
      <c r="S536" s="69">
        <f t="shared" ca="1" si="370"/>
        <v>700.08296437401521</v>
      </c>
      <c r="T536" s="69">
        <f t="shared" ca="1" si="371"/>
        <v>796.06371576596041</v>
      </c>
      <c r="U536" s="69">
        <f t="shared" ca="1" si="372"/>
        <v>1695.072713815229</v>
      </c>
      <c r="V536" s="69">
        <f t="shared" ca="1" si="373"/>
        <v>1916.3332315734583</v>
      </c>
      <c r="W536" s="69">
        <f t="shared" ca="1" si="374"/>
        <v>1181.6211410542624</v>
      </c>
      <c r="X536" s="69">
        <f t="shared" ca="1" si="375"/>
        <v>1497.2550388816801</v>
      </c>
      <c r="Y536" s="69">
        <f t="shared" ca="1" si="376"/>
        <v>1204.4661805634289</v>
      </c>
      <c r="AA536" s="20">
        <f t="shared" ca="1" si="336"/>
        <v>6.568340061025428E+16</v>
      </c>
      <c r="AB536" s="20">
        <f t="shared" ca="1" si="337"/>
        <v>1681636196099848</v>
      </c>
      <c r="AC536" s="20">
        <f t="shared" ca="1" si="338"/>
        <v>404878655036389.25</v>
      </c>
      <c r="AD536" s="20">
        <f t="shared" ca="1" si="339"/>
        <v>300884497521919.88</v>
      </c>
      <c r="AE536" s="20">
        <f t="shared" ca="1" si="340"/>
        <v>6921942860691545</v>
      </c>
      <c r="AG536" s="16">
        <f t="shared" ca="1" si="341"/>
        <v>-1.2748574172900012E-4</v>
      </c>
      <c r="AH536" s="16">
        <f t="shared" ca="1" si="342"/>
        <v>3.7875484970554792E-4</v>
      </c>
      <c r="AI536" s="16">
        <f t="shared" ca="1" si="343"/>
        <v>3.5013734562751986E-5</v>
      </c>
      <c r="AJ536" s="16">
        <f t="shared" ca="1" si="344"/>
        <v>3.1762885328720747E-4</v>
      </c>
      <c r="AK536" s="16">
        <f t="shared" ca="1" si="345"/>
        <v>-1.3050030228818605E-4</v>
      </c>
      <c r="AM536" s="16">
        <f t="shared" ca="1" si="346"/>
        <v>6.0391169582650725E-4</v>
      </c>
      <c r="AO536" s="16">
        <f t="shared" ca="1" si="347"/>
        <v>-1.2748574172900012E-4</v>
      </c>
      <c r="AP536" s="16">
        <f t="shared" ca="1" si="348"/>
        <v>0</v>
      </c>
      <c r="AQ536" s="16">
        <f t="shared" ca="1" si="349"/>
        <v>0</v>
      </c>
      <c r="AR536" s="16">
        <f t="shared" ca="1" si="350"/>
        <v>0</v>
      </c>
      <c r="AS536" s="16">
        <f t="shared" ca="1" si="351"/>
        <v>-1.3050030228818605E-4</v>
      </c>
    </row>
    <row r="537" spans="1:45" x14ac:dyDescent="0.25">
      <c r="A537" s="69">
        <f t="shared" ca="1" si="352"/>
        <v>2453.1602718955169</v>
      </c>
      <c r="B537" s="69">
        <f t="shared" ca="1" si="353"/>
        <v>2139.7392370467396</v>
      </c>
      <c r="C537" s="69">
        <f t="shared" ca="1" si="354"/>
        <v>2229.3610940541162</v>
      </c>
      <c r="D537" s="69">
        <f t="shared" ca="1" si="355"/>
        <v>2908.4282284665896</v>
      </c>
      <c r="E537" s="69">
        <f t="shared" ca="1" si="356"/>
        <v>1929.6330135034175</v>
      </c>
      <c r="F537" s="69">
        <f t="shared" ca="1" si="357"/>
        <v>1221.4115542083327</v>
      </c>
      <c r="G537" s="69">
        <f t="shared" ca="1" si="358"/>
        <v>964.67263537518704</v>
      </c>
      <c r="H537" s="69">
        <f t="shared" ca="1" si="359"/>
        <v>1188.8749735371262</v>
      </c>
      <c r="I537" s="69">
        <f t="shared" ca="1" si="360"/>
        <v>1048.7204000325839</v>
      </c>
      <c r="J537" s="69">
        <f t="shared" ca="1" si="361"/>
        <v>1145.1401808704434</v>
      </c>
      <c r="K537" s="69">
        <f t="shared" ca="1" si="362"/>
        <v>1175.1946675649028</v>
      </c>
      <c r="L537" s="69">
        <f t="shared" ca="1" si="363"/>
        <v>956.95656032688328</v>
      </c>
      <c r="M537" s="69">
        <f t="shared" ca="1" si="364"/>
        <v>993.10223867642799</v>
      </c>
      <c r="N537" s="69">
        <f t="shared" ca="1" si="365"/>
        <v>573.7241174580314</v>
      </c>
      <c r="O537" s="69">
        <f t="shared" ca="1" si="366"/>
        <v>631.88927504046512</v>
      </c>
      <c r="P537" s="69">
        <f t="shared" ca="1" si="367"/>
        <v>724.24769159457549</v>
      </c>
      <c r="Q537" s="69">
        <f t="shared" ca="1" si="368"/>
        <v>956.64314888098397</v>
      </c>
      <c r="R537" s="69">
        <f t="shared" ca="1" si="369"/>
        <v>779.47704876119406</v>
      </c>
      <c r="S537" s="69">
        <f t="shared" ca="1" si="370"/>
        <v>700.08296437401521</v>
      </c>
      <c r="T537" s="69">
        <f t="shared" ca="1" si="371"/>
        <v>796.06371576596041</v>
      </c>
      <c r="U537" s="69">
        <f t="shared" ca="1" si="372"/>
        <v>1694.9694963162187</v>
      </c>
      <c r="V537" s="69">
        <f t="shared" ca="1" si="373"/>
        <v>1916.3332315734583</v>
      </c>
      <c r="W537" s="69">
        <f t="shared" ca="1" si="374"/>
        <v>1181.5388962544755</v>
      </c>
      <c r="X537" s="69">
        <f t="shared" ca="1" si="375"/>
        <v>1497.2550388816801</v>
      </c>
      <c r="Y537" s="69">
        <f t="shared" ca="1" si="376"/>
        <v>1204.4661805634289</v>
      </c>
      <c r="AA537" s="20">
        <f t="shared" ca="1" si="336"/>
        <v>6.5675027446949008E+16</v>
      </c>
      <c r="AB537" s="20">
        <f t="shared" ca="1" si="337"/>
        <v>1682273244599550</v>
      </c>
      <c r="AC537" s="20">
        <f t="shared" ca="1" si="338"/>
        <v>404892831598332.56</v>
      </c>
      <c r="AD537" s="20">
        <f t="shared" ca="1" si="339"/>
        <v>300980082299277.69</v>
      </c>
      <c r="AE537" s="20">
        <f t="shared" ca="1" si="340"/>
        <v>6921039603994721</v>
      </c>
      <c r="AG537" s="16">
        <f t="shared" ca="1" si="341"/>
        <v>-3.8547046609016745E-4</v>
      </c>
      <c r="AH537" s="16">
        <f t="shared" ca="1" si="342"/>
        <v>3.9190839641132917E-4</v>
      </c>
      <c r="AI537" s="16">
        <f t="shared" ca="1" si="343"/>
        <v>5.7991846326250682E-4</v>
      </c>
      <c r="AJ537" s="16">
        <f t="shared" ca="1" si="344"/>
        <v>1.0200870075099116E-3</v>
      </c>
      <c r="AK537" s="16">
        <f t="shared" ca="1" si="345"/>
        <v>-6.4270938334789563E-4</v>
      </c>
      <c r="AM537" s="16">
        <f t="shared" ca="1" si="346"/>
        <v>1.6064434010935802E-3</v>
      </c>
      <c r="AO537" s="16">
        <f t="shared" ca="1" si="347"/>
        <v>-3.8547046609016745E-4</v>
      </c>
      <c r="AP537" s="16">
        <f t="shared" ca="1" si="348"/>
        <v>0</v>
      </c>
      <c r="AQ537" s="16">
        <f t="shared" ca="1" si="349"/>
        <v>0</v>
      </c>
      <c r="AR537" s="16">
        <f t="shared" ca="1" si="350"/>
        <v>0</v>
      </c>
      <c r="AS537" s="16">
        <f t="shared" ca="1" si="351"/>
        <v>-6.4270938334789563E-4</v>
      </c>
    </row>
    <row r="538" spans="1:45" x14ac:dyDescent="0.25">
      <c r="A538" s="69">
        <f t="shared" ca="1" si="352"/>
        <v>2453.1602718955169</v>
      </c>
      <c r="B538" s="69">
        <f t="shared" ca="1" si="353"/>
        <v>2139.3078362843858</v>
      </c>
      <c r="C538" s="69">
        <f t="shared" ca="1" si="354"/>
        <v>2228.9253099582706</v>
      </c>
      <c r="D538" s="69">
        <f t="shared" ca="1" si="355"/>
        <v>2908.4979416868532</v>
      </c>
      <c r="E538" s="69">
        <f t="shared" ca="1" si="356"/>
        <v>1929.6092569070297</v>
      </c>
      <c r="F538" s="69">
        <f t="shared" ca="1" si="357"/>
        <v>1221.4115542083327</v>
      </c>
      <c r="G538" s="69">
        <f t="shared" ca="1" si="358"/>
        <v>964.73496403887304</v>
      </c>
      <c r="H538" s="69">
        <f t="shared" ca="1" si="359"/>
        <v>1189.0496406794171</v>
      </c>
      <c r="I538" s="69">
        <f t="shared" ca="1" si="360"/>
        <v>1048.9095979304443</v>
      </c>
      <c r="J538" s="69">
        <f t="shared" ca="1" si="361"/>
        <v>1145.1401808704434</v>
      </c>
      <c r="K538" s="69">
        <f t="shared" ca="1" si="362"/>
        <v>1175.1946675649028</v>
      </c>
      <c r="L538" s="69">
        <f t="shared" ca="1" si="363"/>
        <v>956.95656032688328</v>
      </c>
      <c r="M538" s="69">
        <f t="shared" ca="1" si="364"/>
        <v>993.10223867642799</v>
      </c>
      <c r="N538" s="69">
        <f t="shared" ca="1" si="365"/>
        <v>574.05692715848227</v>
      </c>
      <c r="O538" s="69">
        <f t="shared" ca="1" si="366"/>
        <v>631.88927504046512</v>
      </c>
      <c r="P538" s="69">
        <f t="shared" ca="1" si="367"/>
        <v>724.70429800940076</v>
      </c>
      <c r="Q538" s="69">
        <f t="shared" ca="1" si="368"/>
        <v>956.64314888098397</v>
      </c>
      <c r="R538" s="69">
        <f t="shared" ca="1" si="369"/>
        <v>779.78097114964135</v>
      </c>
      <c r="S538" s="69">
        <f t="shared" ca="1" si="370"/>
        <v>700.08296437401521</v>
      </c>
      <c r="T538" s="69">
        <f t="shared" ca="1" si="371"/>
        <v>796.06371576596041</v>
      </c>
      <c r="U538" s="69">
        <f t="shared" ca="1" si="372"/>
        <v>1695.1004289441632</v>
      </c>
      <c r="V538" s="69">
        <f t="shared" ca="1" si="373"/>
        <v>1916.1281013595576</v>
      </c>
      <c r="W538" s="69">
        <f t="shared" ca="1" si="374"/>
        <v>1181.1768141102493</v>
      </c>
      <c r="X538" s="69">
        <f t="shared" ca="1" si="375"/>
        <v>1497.2550388816801</v>
      </c>
      <c r="Y538" s="69">
        <f t="shared" ca="1" si="376"/>
        <v>1204.097178082031</v>
      </c>
      <c r="AA538" s="20">
        <f t="shared" ca="1" si="336"/>
        <v>6.5649716542125096E+16</v>
      </c>
      <c r="AB538" s="20">
        <f t="shared" ca="1" si="337"/>
        <v>1682932670818062.5</v>
      </c>
      <c r="AC538" s="20">
        <f t="shared" ca="1" si="338"/>
        <v>405127704524009.75</v>
      </c>
      <c r="AD538" s="20">
        <f t="shared" ca="1" si="339"/>
        <v>301287264820562.63</v>
      </c>
      <c r="AE538" s="20">
        <f t="shared" ca="1" si="340"/>
        <v>6916592816047952</v>
      </c>
      <c r="AG538" s="16">
        <f t="shared" ca="1" si="341"/>
        <v>3.4722465249059294E-5</v>
      </c>
      <c r="AH538" s="16">
        <f t="shared" ca="1" si="342"/>
        <v>2.3488295338004148E-4</v>
      </c>
      <c r="AI538" s="16">
        <f t="shared" ca="1" si="343"/>
        <v>-1.5156608519940356E-5</v>
      </c>
      <c r="AJ538" s="16">
        <f t="shared" ca="1" si="344"/>
        <v>-2.5915348166773166E-4</v>
      </c>
      <c r="AK538" s="16">
        <f t="shared" ca="1" si="345"/>
        <v>-3.8919423968152998E-4</v>
      </c>
      <c r="AM538" s="16">
        <f t="shared" ca="1" si="346"/>
        <v>-4.7046715585712454E-6</v>
      </c>
      <c r="AO538" s="16">
        <f t="shared" ca="1" si="347"/>
        <v>0</v>
      </c>
      <c r="AP538" s="16">
        <f t="shared" ca="1" si="348"/>
        <v>0</v>
      </c>
      <c r="AQ538" s="16">
        <f t="shared" ca="1" si="349"/>
        <v>-1.5156608519940356E-5</v>
      </c>
      <c r="AR538" s="16">
        <f t="shared" ca="1" si="350"/>
        <v>-2.5915348166773166E-4</v>
      </c>
      <c r="AS538" s="16">
        <f t="shared" ca="1" si="351"/>
        <v>-3.8919423968152998E-4</v>
      </c>
    </row>
    <row r="539" spans="1:45" x14ac:dyDescent="0.25">
      <c r="A539" s="69">
        <f t="shared" ca="1" si="352"/>
        <v>2453.6432489654417</v>
      </c>
      <c r="B539" s="69">
        <f t="shared" ca="1" si="353"/>
        <v>2138.9775499203197</v>
      </c>
      <c r="C539" s="69">
        <f t="shared" ca="1" si="354"/>
        <v>2229.1316271756641</v>
      </c>
      <c r="D539" s="69">
        <f t="shared" ca="1" si="355"/>
        <v>2908.2062465448807</v>
      </c>
      <c r="E539" s="69">
        <f t="shared" ca="1" si="356"/>
        <v>1929.6092569070297</v>
      </c>
      <c r="F539" s="69">
        <f t="shared" ca="1" si="357"/>
        <v>1221.2537249764678</v>
      </c>
      <c r="G539" s="69">
        <f t="shared" ca="1" si="358"/>
        <v>964.86821221564401</v>
      </c>
      <c r="H539" s="69">
        <f t="shared" ca="1" si="359"/>
        <v>1189.0496406794171</v>
      </c>
      <c r="I539" s="69">
        <f t="shared" ca="1" si="360"/>
        <v>1049.2755523918429</v>
      </c>
      <c r="J539" s="69">
        <f t="shared" ca="1" si="361"/>
        <v>1144.999533181184</v>
      </c>
      <c r="K539" s="69">
        <f t="shared" ca="1" si="362"/>
        <v>1175.09230613358</v>
      </c>
      <c r="L539" s="69">
        <f t="shared" ca="1" si="363"/>
        <v>957.14399155508124</v>
      </c>
      <c r="M539" s="69">
        <f t="shared" ca="1" si="364"/>
        <v>993.1795548389041</v>
      </c>
      <c r="N539" s="69">
        <f t="shared" ca="1" si="365"/>
        <v>573.94112636036152</v>
      </c>
      <c r="O539" s="69">
        <f t="shared" ca="1" si="366"/>
        <v>631.88927504046512</v>
      </c>
      <c r="P539" s="69">
        <f t="shared" ca="1" si="367"/>
        <v>724.64095561313138</v>
      </c>
      <c r="Q539" s="69">
        <f t="shared" ca="1" si="368"/>
        <v>956.64314888098397</v>
      </c>
      <c r="R539" s="69">
        <f t="shared" ca="1" si="369"/>
        <v>779.78097114964135</v>
      </c>
      <c r="S539" s="69">
        <f t="shared" ca="1" si="370"/>
        <v>700.20604316414835</v>
      </c>
      <c r="T539" s="69">
        <f t="shared" ca="1" si="371"/>
        <v>795.78710323907762</v>
      </c>
      <c r="U539" s="69">
        <f t="shared" ca="1" si="372"/>
        <v>1694.8245176669507</v>
      </c>
      <c r="V539" s="69">
        <f t="shared" ca="1" si="373"/>
        <v>1916.095089994674</v>
      </c>
      <c r="W539" s="69">
        <f t="shared" ca="1" si="374"/>
        <v>1180.8271526248345</v>
      </c>
      <c r="X539" s="69">
        <f t="shared" ca="1" si="375"/>
        <v>1496.9532193944578</v>
      </c>
      <c r="Y539" s="69">
        <f t="shared" ca="1" si="376"/>
        <v>1204.4445997294752</v>
      </c>
      <c r="AA539" s="20">
        <f t="shared" ca="1" si="336"/>
        <v>6.5651996101702072E+16</v>
      </c>
      <c r="AB539" s="20">
        <f t="shared" ca="1" si="337"/>
        <v>1683328009441458.3</v>
      </c>
      <c r="AC539" s="20">
        <f t="shared" ca="1" si="338"/>
        <v>405121564208525</v>
      </c>
      <c r="AD539" s="20">
        <f t="shared" ca="1" si="339"/>
        <v>301209195293334.06</v>
      </c>
      <c r="AE539" s="20">
        <f t="shared" ca="1" si="340"/>
        <v>6913901441733386</v>
      </c>
      <c r="AG539" s="16">
        <f t="shared" ca="1" si="341"/>
        <v>-1.7480096084186394E-4</v>
      </c>
      <c r="AH539" s="16">
        <f t="shared" ca="1" si="342"/>
        <v>5.3316613067655927E-4</v>
      </c>
      <c r="AI539" s="16">
        <f t="shared" ca="1" si="343"/>
        <v>-8.8570652078464153E-4</v>
      </c>
      <c r="AJ539" s="16">
        <f t="shared" ca="1" si="344"/>
        <v>1.2051425384965558E-4</v>
      </c>
      <c r="AK539" s="16">
        <f t="shared" ca="1" si="345"/>
        <v>-2.3965385419422003E-6</v>
      </c>
      <c r="AM539" s="16">
        <f t="shared" ca="1" si="346"/>
        <v>-4.068270971002906E-4</v>
      </c>
      <c r="AO539" s="16">
        <f t="shared" ca="1" si="347"/>
        <v>-1.7480096084186394E-4</v>
      </c>
      <c r="AP539" s="16">
        <f t="shared" ca="1" si="348"/>
        <v>0</v>
      </c>
      <c r="AQ539" s="16">
        <f t="shared" ca="1" si="349"/>
        <v>-8.8570652078464153E-4</v>
      </c>
      <c r="AR539" s="16">
        <f t="shared" ca="1" si="350"/>
        <v>0</v>
      </c>
      <c r="AS539" s="16">
        <f t="shared" ca="1" si="351"/>
        <v>-2.3965385419422003E-6</v>
      </c>
    </row>
    <row r="540" spans="1:45" x14ac:dyDescent="0.25">
      <c r="A540" s="69">
        <f t="shared" ca="1" si="352"/>
        <v>2453.3484854152039</v>
      </c>
      <c r="B540" s="69">
        <f t="shared" ca="1" si="353"/>
        <v>2138.7521575416426</v>
      </c>
      <c r="C540" s="69">
        <f t="shared" ca="1" si="354"/>
        <v>2229.2446887132378</v>
      </c>
      <c r="D540" s="69">
        <f t="shared" ca="1" si="355"/>
        <v>2908.2062465448807</v>
      </c>
      <c r="E540" s="69">
        <f t="shared" ca="1" si="356"/>
        <v>1929.6092569070297</v>
      </c>
      <c r="F540" s="69">
        <f t="shared" ca="1" si="357"/>
        <v>1220.9720600123833</v>
      </c>
      <c r="G540" s="69">
        <f t="shared" ca="1" si="358"/>
        <v>964.86821221564401</v>
      </c>
      <c r="H540" s="69">
        <f t="shared" ca="1" si="359"/>
        <v>1189.2165568577809</v>
      </c>
      <c r="I540" s="69">
        <f t="shared" ca="1" si="360"/>
        <v>1049.543747503428</v>
      </c>
      <c r="J540" s="69">
        <f t="shared" ca="1" si="361"/>
        <v>1145.4208480822294</v>
      </c>
      <c r="K540" s="69">
        <f t="shared" ca="1" si="362"/>
        <v>1175.2673945288109</v>
      </c>
      <c r="L540" s="69">
        <f t="shared" ca="1" si="363"/>
        <v>956.85571712993021</v>
      </c>
      <c r="M540" s="69">
        <f t="shared" ca="1" si="364"/>
        <v>993.1795548389041</v>
      </c>
      <c r="N540" s="69">
        <f t="shared" ca="1" si="365"/>
        <v>573.94112636036152</v>
      </c>
      <c r="O540" s="69">
        <f t="shared" ca="1" si="366"/>
        <v>631.42597448622496</v>
      </c>
      <c r="P540" s="69">
        <f t="shared" ca="1" si="367"/>
        <v>724.64095561313138</v>
      </c>
      <c r="Q540" s="69">
        <f t="shared" ca="1" si="368"/>
        <v>956.64314888098397</v>
      </c>
      <c r="R540" s="69">
        <f t="shared" ca="1" si="369"/>
        <v>779.78097114964135</v>
      </c>
      <c r="S540" s="69">
        <f t="shared" ca="1" si="370"/>
        <v>700.47726457651572</v>
      </c>
      <c r="T540" s="69">
        <f t="shared" ca="1" si="371"/>
        <v>795.57485065008643</v>
      </c>
      <c r="U540" s="69">
        <f t="shared" ca="1" si="372"/>
        <v>1695.1890835274414</v>
      </c>
      <c r="V540" s="69">
        <f t="shared" ca="1" si="373"/>
        <v>1915.7302286511037</v>
      </c>
      <c r="W540" s="69">
        <f t="shared" ca="1" si="374"/>
        <v>1180.8271526248345</v>
      </c>
      <c r="X540" s="69">
        <f t="shared" ca="1" si="375"/>
        <v>1496.9063561536852</v>
      </c>
      <c r="Y540" s="69">
        <f t="shared" ca="1" si="376"/>
        <v>1204.4497364753272</v>
      </c>
      <c r="AA540" s="20">
        <f t="shared" ca="1" si="336"/>
        <v>6.5640521072654576E+16</v>
      </c>
      <c r="AB540" s="20">
        <f t="shared" ca="1" si="337"/>
        <v>1684225742222001.8</v>
      </c>
      <c r="AC540" s="20">
        <f t="shared" ca="1" si="338"/>
        <v>404762904254571.69</v>
      </c>
      <c r="AD540" s="20">
        <f t="shared" ca="1" si="339"/>
        <v>301245497482179.19</v>
      </c>
      <c r="AE540" s="20">
        <f t="shared" ca="1" si="340"/>
        <v>6913884872321960</v>
      </c>
      <c r="AG540" s="16">
        <f t="shared" ca="1" si="341"/>
        <v>-3.5062389612285034E-4</v>
      </c>
      <c r="AH540" s="16">
        <f t="shared" ca="1" si="342"/>
        <v>-2.0258675032125797E-4</v>
      </c>
      <c r="AI540" s="16">
        <f t="shared" ca="1" si="343"/>
        <v>-3.5670904748678613E-4</v>
      </c>
      <c r="AJ540" s="16">
        <f t="shared" ca="1" si="344"/>
        <v>9.4676282440030895E-4</v>
      </c>
      <c r="AK540" s="16">
        <f t="shared" ca="1" si="345"/>
        <v>-4.1354957487562218E-4</v>
      </c>
      <c r="AM540" s="16">
        <f t="shared" ca="1" si="346"/>
        <v>3.6843130469414514E-5</v>
      </c>
      <c r="AO540" s="16">
        <f t="shared" ca="1" si="347"/>
        <v>-3.5062389612285034E-4</v>
      </c>
      <c r="AP540" s="16">
        <f t="shared" ca="1" si="348"/>
        <v>-2.0258675032125797E-4</v>
      </c>
      <c r="AQ540" s="16">
        <f t="shared" ca="1" si="349"/>
        <v>-3.5670904748678613E-4</v>
      </c>
      <c r="AR540" s="16">
        <f t="shared" ca="1" si="350"/>
        <v>0</v>
      </c>
      <c r="AS540" s="16">
        <f t="shared" ca="1" si="351"/>
        <v>-4.1354957487562218E-4</v>
      </c>
    </row>
    <row r="541" spans="1:45" x14ac:dyDescent="0.25">
      <c r="A541" s="69">
        <f t="shared" ca="1" si="352"/>
        <v>2453.3484854152039</v>
      </c>
      <c r="B541" s="69">
        <f t="shared" ca="1" si="353"/>
        <v>2138.3307148165923</v>
      </c>
      <c r="C541" s="69">
        <f t="shared" ca="1" si="354"/>
        <v>2228.9024061670198</v>
      </c>
      <c r="D541" s="69">
        <f t="shared" ca="1" si="355"/>
        <v>2908.2062465448807</v>
      </c>
      <c r="E541" s="69">
        <f t="shared" ca="1" si="356"/>
        <v>1929.6092569070297</v>
      </c>
      <c r="F541" s="69">
        <f t="shared" ca="1" si="357"/>
        <v>1221.1789982647776</v>
      </c>
      <c r="G541" s="69">
        <f t="shared" ca="1" si="358"/>
        <v>964.77689461676903</v>
      </c>
      <c r="H541" s="69">
        <f t="shared" ca="1" si="359"/>
        <v>1188.9118432721204</v>
      </c>
      <c r="I541" s="69">
        <f t="shared" ca="1" si="360"/>
        <v>1049.844305708064</v>
      </c>
      <c r="J541" s="69">
        <f t="shared" ca="1" si="361"/>
        <v>1145.0687107239753</v>
      </c>
      <c r="K541" s="69">
        <f t="shared" ca="1" si="362"/>
        <v>1175.7460970472112</v>
      </c>
      <c r="L541" s="69">
        <f t="shared" ca="1" si="363"/>
        <v>956.62159678137334</v>
      </c>
      <c r="M541" s="69">
        <f t="shared" ca="1" si="364"/>
        <v>992.78040876082184</v>
      </c>
      <c r="N541" s="69">
        <f t="shared" ca="1" si="365"/>
        <v>574.17666110407504</v>
      </c>
      <c r="O541" s="69">
        <f t="shared" ca="1" si="366"/>
        <v>631.092945730613</v>
      </c>
      <c r="P541" s="69">
        <f t="shared" ca="1" si="367"/>
        <v>724.96222737618461</v>
      </c>
      <c r="Q541" s="69">
        <f t="shared" ca="1" si="368"/>
        <v>956.61749240803272</v>
      </c>
      <c r="R541" s="69">
        <f t="shared" ca="1" si="369"/>
        <v>779.57628545455043</v>
      </c>
      <c r="S541" s="69">
        <f t="shared" ca="1" si="370"/>
        <v>700.80165605838931</v>
      </c>
      <c r="T541" s="69">
        <f t="shared" ca="1" si="371"/>
        <v>795.83732221180776</v>
      </c>
      <c r="U541" s="69">
        <f t="shared" ca="1" si="372"/>
        <v>1694.8337152711738</v>
      </c>
      <c r="V541" s="69">
        <f t="shared" ca="1" si="373"/>
        <v>1915.7302286511037</v>
      </c>
      <c r="W541" s="69">
        <f t="shared" ca="1" si="374"/>
        <v>1180.6811110568365</v>
      </c>
      <c r="X541" s="69">
        <f t="shared" ca="1" si="375"/>
        <v>1496.8091843480681</v>
      </c>
      <c r="Y541" s="69">
        <f t="shared" ca="1" si="376"/>
        <v>1204.4313181614439</v>
      </c>
      <c r="AA541" s="20">
        <f t="shared" ca="1" si="336"/>
        <v>6.5617509971769216E+16</v>
      </c>
      <c r="AB541" s="20">
        <f t="shared" ca="1" si="337"/>
        <v>1683884574961227.8</v>
      </c>
      <c r="AC541" s="20">
        <f t="shared" ca="1" si="338"/>
        <v>404618547412763.5</v>
      </c>
      <c r="AD541" s="20">
        <f t="shared" ca="1" si="339"/>
        <v>301530840575015.38</v>
      </c>
      <c r="AE541" s="20">
        <f t="shared" ca="1" si="340"/>
        <v>6911026229308315</v>
      </c>
      <c r="AG541" s="16">
        <f t="shared" ca="1" si="341"/>
        <v>-1.478219549316162E-4</v>
      </c>
      <c r="AH541" s="16">
        <f t="shared" ca="1" si="342"/>
        <v>6.6173872226588397E-4</v>
      </c>
      <c r="AI541" s="16">
        <f t="shared" ca="1" si="343"/>
        <v>9.6720338447653462E-4</v>
      </c>
      <c r="AJ541" s="16">
        <f t="shared" ca="1" si="344"/>
        <v>1.3295021906477127E-3</v>
      </c>
      <c r="AK541" s="16">
        <f t="shared" ca="1" si="345"/>
        <v>2.2228070072376964E-4</v>
      </c>
      <c r="AM541" s="16">
        <f t="shared" ca="1" si="346"/>
        <v>2.8106223424585151E-3</v>
      </c>
      <c r="AO541" s="16">
        <f t="shared" ca="1" si="347"/>
        <v>-1.478219549316162E-4</v>
      </c>
      <c r="AP541" s="16">
        <f t="shared" ca="1" si="348"/>
        <v>0</v>
      </c>
      <c r="AQ541" s="16">
        <f t="shared" ca="1" si="349"/>
        <v>0</v>
      </c>
      <c r="AR541" s="16">
        <f t="shared" ca="1" si="350"/>
        <v>0</v>
      </c>
      <c r="AS541" s="16">
        <f t="shared" ca="1" si="351"/>
        <v>0</v>
      </c>
    </row>
    <row r="542" spans="1:45" x14ac:dyDescent="0.25">
      <c r="A542" s="69">
        <f t="shared" ca="1" si="352"/>
        <v>2453.3773049646525</v>
      </c>
      <c r="B542" s="69">
        <f t="shared" ca="1" si="353"/>
        <v>2138.7567090529574</v>
      </c>
      <c r="C542" s="69">
        <f t="shared" ca="1" si="354"/>
        <v>2228.463569507795</v>
      </c>
      <c r="D542" s="69">
        <f t="shared" ca="1" si="355"/>
        <v>2907.735553166649</v>
      </c>
      <c r="E542" s="69">
        <f t="shared" ca="1" si="356"/>
        <v>1929.6092569070297</v>
      </c>
      <c r="F542" s="69">
        <f t="shared" ca="1" si="357"/>
        <v>1221.3363055029738</v>
      </c>
      <c r="G542" s="69">
        <f t="shared" ca="1" si="358"/>
        <v>965.06003370754706</v>
      </c>
      <c r="H542" s="69">
        <f t="shared" ca="1" si="359"/>
        <v>1189.1334720405762</v>
      </c>
      <c r="I542" s="69">
        <f t="shared" ca="1" si="360"/>
        <v>1049.7737001775185</v>
      </c>
      <c r="J542" s="69">
        <f t="shared" ca="1" si="361"/>
        <v>1145.2065369844079</v>
      </c>
      <c r="K542" s="69">
        <f t="shared" ca="1" si="362"/>
        <v>1176.1004117190807</v>
      </c>
      <c r="L542" s="69">
        <f t="shared" ca="1" si="363"/>
        <v>956.20660889087321</v>
      </c>
      <c r="M542" s="69">
        <f t="shared" ca="1" si="364"/>
        <v>993.19157750752447</v>
      </c>
      <c r="N542" s="69">
        <f t="shared" ca="1" si="365"/>
        <v>574.57052197124858</v>
      </c>
      <c r="O542" s="69">
        <f t="shared" ca="1" si="366"/>
        <v>631.092945730613</v>
      </c>
      <c r="P542" s="69">
        <f t="shared" ca="1" si="367"/>
        <v>724.96222737618461</v>
      </c>
      <c r="Q542" s="69">
        <f t="shared" ca="1" si="368"/>
        <v>956.61749240803272</v>
      </c>
      <c r="R542" s="69">
        <f t="shared" ca="1" si="369"/>
        <v>779.84412536704178</v>
      </c>
      <c r="S542" s="69">
        <f t="shared" ca="1" si="370"/>
        <v>701.27646777337043</v>
      </c>
      <c r="T542" s="69">
        <f t="shared" ca="1" si="371"/>
        <v>796.08302950058521</v>
      </c>
      <c r="U542" s="69">
        <f t="shared" ca="1" si="372"/>
        <v>1694.4346822177608</v>
      </c>
      <c r="V542" s="69">
        <f t="shared" ca="1" si="373"/>
        <v>1915.7302286511037</v>
      </c>
      <c r="W542" s="69">
        <f t="shared" ca="1" si="374"/>
        <v>1180.8318204835764</v>
      </c>
      <c r="X542" s="69">
        <f t="shared" ca="1" si="375"/>
        <v>1497.1834667134467</v>
      </c>
      <c r="Y542" s="69">
        <f t="shared" ca="1" si="376"/>
        <v>1204.5277837074298</v>
      </c>
      <c r="AA542" s="20">
        <f t="shared" ca="1" si="336"/>
        <v>6.5607810980047064E+16</v>
      </c>
      <c r="AB542" s="20">
        <f t="shared" ca="1" si="337"/>
        <v>1684999235354602.3</v>
      </c>
      <c r="AC542" s="20">
        <f t="shared" ca="1" si="338"/>
        <v>405010085159036.69</v>
      </c>
      <c r="AD542" s="20">
        <f t="shared" ca="1" si="339"/>
        <v>301931993095596.19</v>
      </c>
      <c r="AE542" s="20">
        <f t="shared" ca="1" si="340"/>
        <v>6912562587806382</v>
      </c>
      <c r="AG542" s="16">
        <f t="shared" ca="1" si="341"/>
        <v>4.200209195834549E-6</v>
      </c>
      <c r="AH542" s="16">
        <f t="shared" ca="1" si="342"/>
        <v>-8.9679951384300525E-4</v>
      </c>
      <c r="AI542" s="16">
        <f t="shared" ca="1" si="343"/>
        <v>5.6776939498754146E-4</v>
      </c>
      <c r="AJ542" s="16">
        <f t="shared" ca="1" si="344"/>
        <v>2.0736285202543431E-4</v>
      </c>
      <c r="AK542" s="16">
        <f t="shared" ca="1" si="345"/>
        <v>3.8274133655064431E-4</v>
      </c>
      <c r="AM542" s="16">
        <f t="shared" ca="1" si="346"/>
        <v>-1.1746705763419489E-4</v>
      </c>
      <c r="AO542" s="16">
        <f t="shared" ca="1" si="347"/>
        <v>0</v>
      </c>
      <c r="AP542" s="16">
        <f t="shared" ca="1" si="348"/>
        <v>-8.9679951384300525E-4</v>
      </c>
      <c r="AQ542" s="16">
        <f t="shared" ca="1" si="349"/>
        <v>0</v>
      </c>
      <c r="AR542" s="16">
        <f t="shared" ca="1" si="350"/>
        <v>0</v>
      </c>
      <c r="AS542" s="16">
        <f t="shared" ca="1" si="351"/>
        <v>0</v>
      </c>
    </row>
    <row r="543" spans="1:45" x14ac:dyDescent="0.25">
      <c r="A543" s="69">
        <f t="shared" ca="1" si="352"/>
        <v>2453.3773049646525</v>
      </c>
      <c r="B543" s="69">
        <f t="shared" ca="1" si="353"/>
        <v>2138.8485252484247</v>
      </c>
      <c r="C543" s="69">
        <f t="shared" ca="1" si="354"/>
        <v>2228.6767405560449</v>
      </c>
      <c r="D543" s="69">
        <f t="shared" ca="1" si="355"/>
        <v>2907.344831214346</v>
      </c>
      <c r="E543" s="69">
        <f t="shared" ca="1" si="356"/>
        <v>1929.6092569070297</v>
      </c>
      <c r="F543" s="69">
        <f t="shared" ca="1" si="357"/>
        <v>1221.3363055029738</v>
      </c>
      <c r="G543" s="69">
        <f t="shared" ca="1" si="358"/>
        <v>965.06003370754706</v>
      </c>
      <c r="H543" s="69">
        <f t="shared" ca="1" si="359"/>
        <v>1188.8795591654812</v>
      </c>
      <c r="I543" s="69">
        <f t="shared" ca="1" si="360"/>
        <v>1049.4080370649906</v>
      </c>
      <c r="J543" s="69">
        <f t="shared" ca="1" si="361"/>
        <v>1144.8231141988235</v>
      </c>
      <c r="K543" s="69">
        <f t="shared" ca="1" si="362"/>
        <v>1176.326318288774</v>
      </c>
      <c r="L543" s="69">
        <f t="shared" ca="1" si="363"/>
        <v>956.20660889087321</v>
      </c>
      <c r="M543" s="69">
        <f t="shared" ca="1" si="364"/>
        <v>993.39355010838665</v>
      </c>
      <c r="N543" s="69">
        <f t="shared" ca="1" si="365"/>
        <v>574.2305084907357</v>
      </c>
      <c r="O543" s="69">
        <f t="shared" ca="1" si="366"/>
        <v>631.57548411359767</v>
      </c>
      <c r="P543" s="69">
        <f t="shared" ca="1" si="367"/>
        <v>724.96136846358991</v>
      </c>
      <c r="Q543" s="69">
        <f t="shared" ca="1" si="368"/>
        <v>956.71042779868208</v>
      </c>
      <c r="R543" s="69">
        <f t="shared" ca="1" si="369"/>
        <v>779.93100666589908</v>
      </c>
      <c r="S543" s="69">
        <f t="shared" ca="1" si="370"/>
        <v>701.27646777337043</v>
      </c>
      <c r="T543" s="69">
        <f t="shared" ca="1" si="371"/>
        <v>796.08302950058521</v>
      </c>
      <c r="U543" s="69">
        <f t="shared" ca="1" si="372"/>
        <v>1694.4346822177608</v>
      </c>
      <c r="V543" s="69">
        <f t="shared" ca="1" si="373"/>
        <v>1915.9689008192031</v>
      </c>
      <c r="W543" s="69">
        <f t="shared" ca="1" si="374"/>
        <v>1181.2772232176251</v>
      </c>
      <c r="X543" s="69">
        <f t="shared" ca="1" si="375"/>
        <v>1497.005373394117</v>
      </c>
      <c r="Y543" s="69">
        <f t="shared" ca="1" si="376"/>
        <v>1204.5277837074298</v>
      </c>
      <c r="AA543" s="20">
        <f t="shared" ca="1" si="336"/>
        <v>6.5608086547156776E+16</v>
      </c>
      <c r="AB543" s="20">
        <f t="shared" ca="1" si="337"/>
        <v>1683488806236789.8</v>
      </c>
      <c r="AC543" s="20">
        <f t="shared" ca="1" si="338"/>
        <v>405240102782355.63</v>
      </c>
      <c r="AD543" s="20">
        <f t="shared" ca="1" si="339"/>
        <v>301994609066691</v>
      </c>
      <c r="AE543" s="20">
        <f t="shared" ca="1" si="340"/>
        <v>6915208817628695</v>
      </c>
      <c r="AG543" s="16">
        <f t="shared" ca="1" si="341"/>
        <v>5.1000242654448739E-5</v>
      </c>
      <c r="AH543" s="16">
        <f t="shared" ca="1" si="342"/>
        <v>3.1620768042849793E-4</v>
      </c>
      <c r="AI543" s="16">
        <f t="shared" ca="1" si="343"/>
        <v>-2.9006846933672914E-4</v>
      </c>
      <c r="AJ543" s="16">
        <f t="shared" ca="1" si="344"/>
        <v>-3.2327414527712461E-4</v>
      </c>
      <c r="AK543" s="16">
        <f t="shared" ca="1" si="345"/>
        <v>-6.3265344150370962E-4</v>
      </c>
      <c r="AM543" s="16">
        <f t="shared" ca="1" si="346"/>
        <v>-2.4613469153090709E-4</v>
      </c>
      <c r="AO543" s="16">
        <f t="shared" ca="1" si="347"/>
        <v>0</v>
      </c>
      <c r="AP543" s="16">
        <f t="shared" ca="1" si="348"/>
        <v>0</v>
      </c>
      <c r="AQ543" s="16">
        <f t="shared" ca="1" si="349"/>
        <v>-2.9006846933672914E-4</v>
      </c>
      <c r="AR543" s="16">
        <f t="shared" ca="1" si="350"/>
        <v>-3.2327414527712461E-4</v>
      </c>
      <c r="AS543" s="16">
        <f t="shared" ca="1" si="351"/>
        <v>-6.3265344150370962E-4</v>
      </c>
    </row>
    <row r="544" spans="1:45" x14ac:dyDescent="0.25">
      <c r="A544" s="69">
        <f t="shared" ca="1" si="352"/>
        <v>2453.3773049646525</v>
      </c>
      <c r="B544" s="69">
        <f t="shared" ca="1" si="353"/>
        <v>2138.8485252484247</v>
      </c>
      <c r="C544" s="69">
        <f t="shared" ca="1" si="354"/>
        <v>2228.6852879993417</v>
      </c>
      <c r="D544" s="69">
        <f t="shared" ca="1" si="355"/>
        <v>2906.9855099432593</v>
      </c>
      <c r="E544" s="69">
        <f t="shared" ca="1" si="356"/>
        <v>1929.9387919615035</v>
      </c>
      <c r="F544" s="69">
        <f t="shared" ca="1" si="357"/>
        <v>1221.3363055029738</v>
      </c>
      <c r="G544" s="69">
        <f t="shared" ca="1" si="358"/>
        <v>965.30080284331427</v>
      </c>
      <c r="H544" s="69">
        <f t="shared" ca="1" si="359"/>
        <v>1189.2394688951902</v>
      </c>
      <c r="I544" s="69">
        <f t="shared" ca="1" si="360"/>
        <v>1049.4080370649906</v>
      </c>
      <c r="J544" s="69">
        <f t="shared" ca="1" si="361"/>
        <v>1144.5530459387005</v>
      </c>
      <c r="K544" s="69">
        <f t="shared" ca="1" si="362"/>
        <v>1176.1678035734628</v>
      </c>
      <c r="L544" s="69">
        <f t="shared" ca="1" si="363"/>
        <v>956.0581164138548</v>
      </c>
      <c r="M544" s="69">
        <f t="shared" ca="1" si="364"/>
        <v>993.39355010838665</v>
      </c>
      <c r="N544" s="69">
        <f t="shared" ca="1" si="365"/>
        <v>574.2305084907357</v>
      </c>
      <c r="O544" s="69">
        <f t="shared" ca="1" si="366"/>
        <v>631.57548411359767</v>
      </c>
      <c r="P544" s="69">
        <f t="shared" ca="1" si="367"/>
        <v>725.19267816352328</v>
      </c>
      <c r="Q544" s="69">
        <f t="shared" ca="1" si="368"/>
        <v>956.68157245772375</v>
      </c>
      <c r="R544" s="69">
        <f t="shared" ca="1" si="369"/>
        <v>779.9385166240578</v>
      </c>
      <c r="S544" s="69">
        <f t="shared" ca="1" si="370"/>
        <v>701.27646777337043</v>
      </c>
      <c r="T544" s="69">
        <f t="shared" ca="1" si="371"/>
        <v>795.58821424399059</v>
      </c>
      <c r="U544" s="69">
        <f t="shared" ca="1" si="372"/>
        <v>1694.6366352863388</v>
      </c>
      <c r="V544" s="69">
        <f t="shared" ca="1" si="373"/>
        <v>1915.9689008192031</v>
      </c>
      <c r="W544" s="69">
        <f t="shared" ca="1" si="374"/>
        <v>1180.8649460798042</v>
      </c>
      <c r="X544" s="69">
        <f t="shared" ca="1" si="375"/>
        <v>1496.7721210327675</v>
      </c>
      <c r="Y544" s="69">
        <f t="shared" ca="1" si="376"/>
        <v>1204.2303778258301</v>
      </c>
      <c r="AA544" s="20">
        <f t="shared" ca="1" si="336"/>
        <v>6.561143266081636E+16</v>
      </c>
      <c r="AB544" s="20">
        <f t="shared" ca="1" si="337"/>
        <v>1684021222499856.8</v>
      </c>
      <c r="AC544" s="20">
        <f t="shared" ca="1" si="338"/>
        <v>405122572452773.19</v>
      </c>
      <c r="AD544" s="20">
        <f t="shared" ca="1" si="339"/>
        <v>301896997796016.81</v>
      </c>
      <c r="AE544" s="20">
        <f t="shared" ca="1" si="340"/>
        <v>6910835270587175</v>
      </c>
      <c r="AG544" s="16">
        <f t="shared" ca="1" si="341"/>
        <v>3.1508504125416696E-4</v>
      </c>
      <c r="AH544" s="16">
        <f t="shared" ca="1" si="342"/>
        <v>2.4869749844865429E-4</v>
      </c>
      <c r="AI544" s="16">
        <f t="shared" ca="1" si="343"/>
        <v>5.2625340376562127E-4</v>
      </c>
      <c r="AJ544" s="16">
        <f t="shared" ca="1" si="344"/>
        <v>4.5803085121478985E-4</v>
      </c>
      <c r="AK544" s="16">
        <f t="shared" ca="1" si="345"/>
        <v>3.6038077348394594E-4</v>
      </c>
      <c r="AM544" s="16">
        <f t="shared" ca="1" si="346"/>
        <v>1.5480667946832323E-3</v>
      </c>
      <c r="AO544" s="16">
        <f t="shared" ca="1" si="347"/>
        <v>0</v>
      </c>
      <c r="AP544" s="16">
        <f t="shared" ca="1" si="348"/>
        <v>0</v>
      </c>
      <c r="AQ544" s="16">
        <f t="shared" ca="1" si="349"/>
        <v>0</v>
      </c>
      <c r="AR544" s="16">
        <f t="shared" ca="1" si="350"/>
        <v>0</v>
      </c>
      <c r="AS544" s="16">
        <f t="shared" ca="1" si="351"/>
        <v>0</v>
      </c>
    </row>
    <row r="545" spans="1:45" x14ac:dyDescent="0.25">
      <c r="A545" s="69">
        <f t="shared" ca="1" si="352"/>
        <v>2453.8450465034675</v>
      </c>
      <c r="B545" s="69">
        <f t="shared" ca="1" si="353"/>
        <v>2138.450503711696</v>
      </c>
      <c r="C545" s="69">
        <f t="shared" ca="1" si="354"/>
        <v>2228.9694256962825</v>
      </c>
      <c r="D545" s="69">
        <f t="shared" ca="1" si="355"/>
        <v>2907.0440294485193</v>
      </c>
      <c r="E545" s="69">
        <f t="shared" ca="1" si="356"/>
        <v>1930.2532942412313</v>
      </c>
      <c r="F545" s="69">
        <f t="shared" ca="1" si="357"/>
        <v>1221.5193353535362</v>
      </c>
      <c r="G545" s="69">
        <f t="shared" ca="1" si="358"/>
        <v>965.14446849955289</v>
      </c>
      <c r="H545" s="69">
        <f t="shared" ca="1" si="359"/>
        <v>1189.2394688951902</v>
      </c>
      <c r="I545" s="69">
        <f t="shared" ca="1" si="360"/>
        <v>1049.4080370649906</v>
      </c>
      <c r="J545" s="69">
        <f t="shared" ca="1" si="361"/>
        <v>1144.8516020914522</v>
      </c>
      <c r="K545" s="69">
        <f t="shared" ca="1" si="362"/>
        <v>1176.1678035734628</v>
      </c>
      <c r="L545" s="69">
        <f t="shared" ca="1" si="363"/>
        <v>956.46728524995831</v>
      </c>
      <c r="M545" s="69">
        <f t="shared" ca="1" si="364"/>
        <v>993.47730519565937</v>
      </c>
      <c r="N545" s="69">
        <f t="shared" ca="1" si="365"/>
        <v>574.34852116683578</v>
      </c>
      <c r="O545" s="69">
        <f t="shared" ca="1" si="366"/>
        <v>631.45459206245346</v>
      </c>
      <c r="P545" s="69">
        <f t="shared" ca="1" si="367"/>
        <v>725.30587000136973</v>
      </c>
      <c r="Q545" s="69">
        <f t="shared" ca="1" si="368"/>
        <v>956.68157245772375</v>
      </c>
      <c r="R545" s="69">
        <f t="shared" ca="1" si="369"/>
        <v>779.96598252151489</v>
      </c>
      <c r="S545" s="69">
        <f t="shared" ca="1" si="370"/>
        <v>701.06301982288642</v>
      </c>
      <c r="T545" s="69">
        <f t="shared" ca="1" si="371"/>
        <v>796.04275215630685</v>
      </c>
      <c r="U545" s="69">
        <f t="shared" ca="1" si="372"/>
        <v>1694.2188046129327</v>
      </c>
      <c r="V545" s="69">
        <f t="shared" ca="1" si="373"/>
        <v>1916.391724830698</v>
      </c>
      <c r="W545" s="69">
        <f t="shared" ca="1" si="374"/>
        <v>1181.2060048527583</v>
      </c>
      <c r="X545" s="69">
        <f t="shared" ca="1" si="375"/>
        <v>1496.5217156627241</v>
      </c>
      <c r="Y545" s="69">
        <f t="shared" ca="1" si="376"/>
        <v>1204.5493525858226</v>
      </c>
      <c r="AA545" s="20">
        <f t="shared" ca="1" si="336"/>
        <v>6.5632109099030168E+16</v>
      </c>
      <c r="AB545" s="20">
        <f t="shared" ca="1" si="337"/>
        <v>1684440086448276</v>
      </c>
      <c r="AC545" s="20">
        <f t="shared" ca="1" si="338"/>
        <v>405335825693169</v>
      </c>
      <c r="AD545" s="20">
        <f t="shared" ca="1" si="339"/>
        <v>302035307607558.81</v>
      </c>
      <c r="AE545" s="20">
        <f t="shared" ca="1" si="340"/>
        <v>6913326251571277</v>
      </c>
      <c r="AG545" s="16">
        <f t="shared" ca="1" si="341"/>
        <v>2.3979622449650428E-4</v>
      </c>
      <c r="AH545" s="16">
        <f t="shared" ca="1" si="342"/>
        <v>3.8785856165680091E-4</v>
      </c>
      <c r="AI545" s="16">
        <f t="shared" ca="1" si="343"/>
        <v>1.2756664600439708E-4</v>
      </c>
      <c r="AJ545" s="16">
        <f t="shared" ca="1" si="344"/>
        <v>1.0260713179883936E-3</v>
      </c>
      <c r="AK545" s="16">
        <f t="shared" ca="1" si="345"/>
        <v>-2.7608399511069924E-4</v>
      </c>
      <c r="AM545" s="16">
        <f t="shared" ca="1" si="346"/>
        <v>1.7812927501460957E-3</v>
      </c>
      <c r="AO545" s="16">
        <f t="shared" ca="1" si="347"/>
        <v>0</v>
      </c>
      <c r="AP545" s="16">
        <f t="shared" ca="1" si="348"/>
        <v>0</v>
      </c>
      <c r="AQ545" s="16">
        <f t="shared" ca="1" si="349"/>
        <v>0</v>
      </c>
      <c r="AR545" s="16">
        <f t="shared" ca="1" si="350"/>
        <v>0</v>
      </c>
      <c r="AS545" s="16">
        <f t="shared" ca="1" si="351"/>
        <v>-2.7608399511069924E-4</v>
      </c>
    </row>
    <row r="546" spans="1:45" x14ac:dyDescent="0.25">
      <c r="A546" s="69">
        <f t="shared" ca="1" si="352"/>
        <v>2454.2611436935977</v>
      </c>
      <c r="B546" s="69">
        <f t="shared" ca="1" si="353"/>
        <v>2138.6083968110925</v>
      </c>
      <c r="C546" s="69">
        <f t="shared" ca="1" si="354"/>
        <v>2228.9614205397538</v>
      </c>
      <c r="D546" s="69">
        <f t="shared" ca="1" si="355"/>
        <v>2907.0440294485193</v>
      </c>
      <c r="E546" s="69">
        <f t="shared" ca="1" si="356"/>
        <v>1930.2532942412313</v>
      </c>
      <c r="F546" s="69">
        <f t="shared" ca="1" si="357"/>
        <v>1221.1648544145964</v>
      </c>
      <c r="G546" s="69">
        <f t="shared" ca="1" si="358"/>
        <v>965.14446849955289</v>
      </c>
      <c r="H546" s="69">
        <f t="shared" ca="1" si="359"/>
        <v>1189.6300917575738</v>
      </c>
      <c r="I546" s="69">
        <f t="shared" ca="1" si="360"/>
        <v>1049.6664227576782</v>
      </c>
      <c r="J546" s="69">
        <f t="shared" ca="1" si="361"/>
        <v>1144.9700967139815</v>
      </c>
      <c r="K546" s="69">
        <f t="shared" ca="1" si="362"/>
        <v>1175.8182639337988</v>
      </c>
      <c r="L546" s="69">
        <f t="shared" ca="1" si="363"/>
        <v>956.57150103669392</v>
      </c>
      <c r="M546" s="69">
        <f t="shared" ca="1" si="364"/>
        <v>993.47730519565937</v>
      </c>
      <c r="N546" s="69">
        <f t="shared" ca="1" si="365"/>
        <v>574.52995369602775</v>
      </c>
      <c r="O546" s="69">
        <f t="shared" ca="1" si="366"/>
        <v>631.45459206245346</v>
      </c>
      <c r="P546" s="69">
        <f t="shared" ca="1" si="367"/>
        <v>725.04803594998168</v>
      </c>
      <c r="Q546" s="69">
        <f t="shared" ca="1" si="368"/>
        <v>957.04387222770765</v>
      </c>
      <c r="R546" s="69">
        <f t="shared" ca="1" si="369"/>
        <v>780.32846898714092</v>
      </c>
      <c r="S546" s="69">
        <f t="shared" ca="1" si="370"/>
        <v>701.48200431010412</v>
      </c>
      <c r="T546" s="69">
        <f t="shared" ca="1" si="371"/>
        <v>795.99569391120872</v>
      </c>
      <c r="U546" s="69">
        <f t="shared" ca="1" si="372"/>
        <v>1694.6255165175471</v>
      </c>
      <c r="V546" s="69">
        <f t="shared" ca="1" si="373"/>
        <v>1916.168094632364</v>
      </c>
      <c r="W546" s="69">
        <f t="shared" ca="1" si="374"/>
        <v>1181.2060048527583</v>
      </c>
      <c r="X546" s="69">
        <f t="shared" ca="1" si="375"/>
        <v>1496.4839420398218</v>
      </c>
      <c r="Y546" s="69">
        <f t="shared" ca="1" si="376"/>
        <v>1204.0987277589982</v>
      </c>
      <c r="AA546" s="20">
        <f t="shared" ca="1" si="336"/>
        <v>6.5647849318144992E+16</v>
      </c>
      <c r="AB546" s="20">
        <f t="shared" ca="1" si="337"/>
        <v>1685093537672537.3</v>
      </c>
      <c r="AC546" s="20">
        <f t="shared" ca="1" si="338"/>
        <v>405387536323163.75</v>
      </c>
      <c r="AD546" s="20">
        <f t="shared" ca="1" si="339"/>
        <v>302345376422869.75</v>
      </c>
      <c r="AE546" s="20">
        <f t="shared" ca="1" si="340"/>
        <v>6911417856291058</v>
      </c>
      <c r="AG546" s="16">
        <f t="shared" ca="1" si="341"/>
        <v>7.6568428207977556E-5</v>
      </c>
      <c r="AH546" s="16">
        <f t="shared" ca="1" si="342"/>
        <v>-1.1074376130145029E-4</v>
      </c>
      <c r="AI546" s="16">
        <f t="shared" ca="1" si="343"/>
        <v>2.0069744630295115E-4</v>
      </c>
      <c r="AJ546" s="16">
        <f t="shared" ca="1" si="344"/>
        <v>-1.3644980741466507E-4</v>
      </c>
      <c r="AK546" s="16">
        <f t="shared" ca="1" si="345"/>
        <v>4.9878519222423768E-4</v>
      </c>
      <c r="AM546" s="16">
        <f t="shared" ca="1" si="346"/>
        <v>3.0072305794813346E-5</v>
      </c>
      <c r="AO546" s="16">
        <f t="shared" ca="1" si="347"/>
        <v>0</v>
      </c>
      <c r="AP546" s="16">
        <f t="shared" ca="1" si="348"/>
        <v>-1.1074376130145029E-4</v>
      </c>
      <c r="AQ546" s="16">
        <f t="shared" ca="1" si="349"/>
        <v>0</v>
      </c>
      <c r="AR546" s="16">
        <f t="shared" ca="1" si="350"/>
        <v>-1.3644980741466507E-4</v>
      </c>
      <c r="AS546" s="16">
        <f t="shared" ca="1" si="351"/>
        <v>0</v>
      </c>
    </row>
    <row r="547" spans="1:45" x14ac:dyDescent="0.25">
      <c r="A547" s="69">
        <f t="shared" ca="1" si="352"/>
        <v>2454.1557596332327</v>
      </c>
      <c r="B547" s="69">
        <f t="shared" ca="1" si="353"/>
        <v>2139.0366736302335</v>
      </c>
      <c r="C547" s="69">
        <f t="shared" ca="1" si="354"/>
        <v>2228.9614205397538</v>
      </c>
      <c r="D547" s="69">
        <f t="shared" ca="1" si="355"/>
        <v>2906.5598735120066</v>
      </c>
      <c r="E547" s="69">
        <f t="shared" ca="1" si="356"/>
        <v>1930.4189724772384</v>
      </c>
      <c r="F547" s="69">
        <f t="shared" ca="1" si="357"/>
        <v>1220.7785645708109</v>
      </c>
      <c r="G547" s="69">
        <f t="shared" ca="1" si="358"/>
        <v>965.11439879070019</v>
      </c>
      <c r="H547" s="69">
        <f t="shared" ca="1" si="359"/>
        <v>1189.7850240398575</v>
      </c>
      <c r="I547" s="69">
        <f t="shared" ca="1" si="360"/>
        <v>1049.8165033382854</v>
      </c>
      <c r="J547" s="69">
        <f t="shared" ca="1" si="361"/>
        <v>1144.9284149777645</v>
      </c>
      <c r="K547" s="69">
        <f t="shared" ca="1" si="362"/>
        <v>1175.8182639337988</v>
      </c>
      <c r="L547" s="69">
        <f t="shared" ca="1" si="363"/>
        <v>957.00147975385551</v>
      </c>
      <c r="M547" s="69">
        <f t="shared" ca="1" si="364"/>
        <v>993.96364056013272</v>
      </c>
      <c r="N547" s="69">
        <f t="shared" ca="1" si="365"/>
        <v>574.48523763343553</v>
      </c>
      <c r="O547" s="69">
        <f t="shared" ca="1" si="366"/>
        <v>631.03779518359647</v>
      </c>
      <c r="P547" s="69">
        <f t="shared" ca="1" si="367"/>
        <v>724.99695755906328</v>
      </c>
      <c r="Q547" s="69">
        <f t="shared" ca="1" si="368"/>
        <v>957.04387222770765</v>
      </c>
      <c r="R547" s="69">
        <f t="shared" ca="1" si="369"/>
        <v>780.32822537815741</v>
      </c>
      <c r="S547" s="69">
        <f t="shared" ca="1" si="370"/>
        <v>701.82648263744977</v>
      </c>
      <c r="T547" s="69">
        <f t="shared" ca="1" si="371"/>
        <v>795.55273532619128</v>
      </c>
      <c r="U547" s="69">
        <f t="shared" ca="1" si="372"/>
        <v>1695.0729442120212</v>
      </c>
      <c r="V547" s="69">
        <f t="shared" ca="1" si="373"/>
        <v>1916.168094632364</v>
      </c>
      <c r="W547" s="69">
        <f t="shared" ca="1" si="374"/>
        <v>1181.3243980356042</v>
      </c>
      <c r="X547" s="69">
        <f t="shared" ca="1" si="375"/>
        <v>1496.7750690496237</v>
      </c>
      <c r="Y547" s="69">
        <f t="shared" ca="1" si="376"/>
        <v>1204.0265382566822</v>
      </c>
      <c r="AA547" s="20">
        <f t="shared" ca="1" si="336"/>
        <v>6.565287606322504E+16</v>
      </c>
      <c r="AB547" s="20">
        <f t="shared" ca="1" si="337"/>
        <v>1684906934408795</v>
      </c>
      <c r="AC547" s="20">
        <f t="shared" ca="1" si="338"/>
        <v>405468904731409.63</v>
      </c>
      <c r="AD547" s="20">
        <f t="shared" ca="1" si="339"/>
        <v>302304124268972.38</v>
      </c>
      <c r="AE547" s="20">
        <f t="shared" ca="1" si="340"/>
        <v>6914866029052319</v>
      </c>
      <c r="AG547" s="16">
        <f t="shared" ca="1" si="341"/>
        <v>-2.5132562072942592E-4</v>
      </c>
      <c r="AH547" s="16">
        <f t="shared" ca="1" si="342"/>
        <v>1.5697018727664201E-5</v>
      </c>
      <c r="AI547" s="16">
        <f t="shared" ca="1" si="343"/>
        <v>3.0675054797811151E-4</v>
      </c>
      <c r="AJ547" s="16">
        <f t="shared" ca="1" si="344"/>
        <v>-6.0267162713922991E-4</v>
      </c>
      <c r="AK547" s="16">
        <f t="shared" ca="1" si="345"/>
        <v>2.3411330708617765E-4</v>
      </c>
      <c r="AM547" s="16">
        <f t="shared" ca="1" si="346"/>
        <v>-5.3154968116288009E-4</v>
      </c>
      <c r="AO547" s="16">
        <f t="shared" ca="1" si="347"/>
        <v>-2.5132562072942592E-4</v>
      </c>
      <c r="AP547" s="16">
        <f t="shared" ca="1" si="348"/>
        <v>0</v>
      </c>
      <c r="AQ547" s="16">
        <f t="shared" ca="1" si="349"/>
        <v>0</v>
      </c>
      <c r="AR547" s="16">
        <f t="shared" ca="1" si="350"/>
        <v>-6.0267162713922991E-4</v>
      </c>
      <c r="AS547" s="16">
        <f t="shared" ca="1" si="351"/>
        <v>0</v>
      </c>
    </row>
    <row r="548" spans="1:45" x14ac:dyDescent="0.25">
      <c r="A548" s="69">
        <f t="shared" ca="1" si="352"/>
        <v>2454.0101168017063</v>
      </c>
      <c r="B548" s="69">
        <f t="shared" ca="1" si="353"/>
        <v>2138.7387083453214</v>
      </c>
      <c r="C548" s="69">
        <f t="shared" ca="1" si="354"/>
        <v>2228.567283623951</v>
      </c>
      <c r="D548" s="69">
        <f t="shared" ca="1" si="355"/>
        <v>2906.9208065226389</v>
      </c>
      <c r="E548" s="69">
        <f t="shared" ca="1" si="356"/>
        <v>1930.4189724772384</v>
      </c>
      <c r="F548" s="69">
        <f t="shared" ca="1" si="357"/>
        <v>1220.9949787484929</v>
      </c>
      <c r="G548" s="69">
        <f t="shared" ca="1" si="358"/>
        <v>965.11439879070019</v>
      </c>
      <c r="H548" s="69">
        <f t="shared" ca="1" si="359"/>
        <v>1189.7850240398575</v>
      </c>
      <c r="I548" s="69">
        <f t="shared" ca="1" si="360"/>
        <v>1049.9208280118451</v>
      </c>
      <c r="J548" s="69">
        <f t="shared" ca="1" si="361"/>
        <v>1144.6297054099177</v>
      </c>
      <c r="K548" s="69">
        <f t="shared" ca="1" si="362"/>
        <v>1175.369443699148</v>
      </c>
      <c r="L548" s="69">
        <f t="shared" ca="1" si="363"/>
        <v>957.00147975385551</v>
      </c>
      <c r="M548" s="69">
        <f t="shared" ca="1" si="364"/>
        <v>993.96364056013272</v>
      </c>
      <c r="N548" s="69">
        <f t="shared" ca="1" si="365"/>
        <v>574.48523763343553</v>
      </c>
      <c r="O548" s="69">
        <f t="shared" ca="1" si="366"/>
        <v>631.47243468054091</v>
      </c>
      <c r="P548" s="69">
        <f t="shared" ca="1" si="367"/>
        <v>724.75916118864745</v>
      </c>
      <c r="Q548" s="69">
        <f t="shared" ca="1" si="368"/>
        <v>956.78108353289213</v>
      </c>
      <c r="R548" s="69">
        <f t="shared" ca="1" si="369"/>
        <v>780.32822537815741</v>
      </c>
      <c r="S548" s="69">
        <f t="shared" ca="1" si="370"/>
        <v>701.82648263744977</v>
      </c>
      <c r="T548" s="69">
        <f t="shared" ca="1" si="371"/>
        <v>795.55273532619128</v>
      </c>
      <c r="U548" s="69">
        <f t="shared" ca="1" si="372"/>
        <v>1695.4698298010294</v>
      </c>
      <c r="V548" s="69">
        <f t="shared" ca="1" si="373"/>
        <v>1916.168094632364</v>
      </c>
      <c r="W548" s="69">
        <f t="shared" ca="1" si="374"/>
        <v>1181.3243980356042</v>
      </c>
      <c r="X548" s="69">
        <f t="shared" ca="1" si="375"/>
        <v>1496.7750690496237</v>
      </c>
      <c r="Y548" s="69">
        <f t="shared" ca="1" si="376"/>
        <v>1204.0265382566822</v>
      </c>
      <c r="AA548" s="20">
        <f t="shared" ca="1" si="336"/>
        <v>6.5636377886689848E+16</v>
      </c>
      <c r="AB548" s="20">
        <f t="shared" ca="1" si="337"/>
        <v>1684933382632077.5</v>
      </c>
      <c r="AC548" s="20">
        <f t="shared" ca="1" si="338"/>
        <v>405593301618555.31</v>
      </c>
      <c r="AD548" s="20">
        <f t="shared" ca="1" si="339"/>
        <v>302121989039888.56</v>
      </c>
      <c r="AE548" s="20">
        <f t="shared" ca="1" si="340"/>
        <v>6916485080719814</v>
      </c>
      <c r="AG548" s="16">
        <f t="shared" ca="1" si="341"/>
        <v>7.9700139373503216E-5</v>
      </c>
      <c r="AH548" s="16">
        <f t="shared" ca="1" si="342"/>
        <v>-1.7735103631689696E-4</v>
      </c>
      <c r="AI548" s="16">
        <f t="shared" ca="1" si="343"/>
        <v>2.4568576244228399E-4</v>
      </c>
      <c r="AJ548" s="16">
        <f t="shared" ca="1" si="344"/>
        <v>2.8474383376480222E-4</v>
      </c>
      <c r="AK548" s="16">
        <f t="shared" ca="1" si="345"/>
        <v>2.9320461151761815E-4</v>
      </c>
      <c r="AM548" s="16">
        <f t="shared" ca="1" si="346"/>
        <v>4.3277869926369245E-4</v>
      </c>
      <c r="AO548" s="16">
        <f t="shared" ca="1" si="347"/>
        <v>0</v>
      </c>
      <c r="AP548" s="16">
        <f t="shared" ca="1" si="348"/>
        <v>-1.7735103631689696E-4</v>
      </c>
      <c r="AQ548" s="16">
        <f t="shared" ca="1" si="349"/>
        <v>0</v>
      </c>
      <c r="AR548" s="16">
        <f t="shared" ca="1" si="350"/>
        <v>0</v>
      </c>
      <c r="AS548" s="16">
        <f t="shared" ca="1" si="351"/>
        <v>0</v>
      </c>
    </row>
    <row r="549" spans="1:45" x14ac:dyDescent="0.25">
      <c r="A549" s="69">
        <f t="shared" ca="1" si="352"/>
        <v>2454.0101168017063</v>
      </c>
      <c r="B549" s="69">
        <f t="shared" ca="1" si="353"/>
        <v>2138.6667971168476</v>
      </c>
      <c r="C549" s="69">
        <f t="shared" ca="1" si="354"/>
        <v>2228.8915554274513</v>
      </c>
      <c r="D549" s="69">
        <f t="shared" ca="1" si="355"/>
        <v>2906.5128521674865</v>
      </c>
      <c r="E549" s="69">
        <f t="shared" ca="1" si="356"/>
        <v>1930.6278097071163</v>
      </c>
      <c r="F549" s="69">
        <f t="shared" ca="1" si="357"/>
        <v>1220.9949787484929</v>
      </c>
      <c r="G549" s="69">
        <f t="shared" ca="1" si="358"/>
        <v>964.88025310285343</v>
      </c>
      <c r="H549" s="69">
        <f t="shared" ca="1" si="359"/>
        <v>1189.751010423432</v>
      </c>
      <c r="I549" s="69">
        <f t="shared" ca="1" si="360"/>
        <v>1050.0193951107613</v>
      </c>
      <c r="J549" s="69">
        <f t="shared" ca="1" si="361"/>
        <v>1144.6297054099177</v>
      </c>
      <c r="K549" s="69">
        <f t="shared" ca="1" si="362"/>
        <v>1175.8310053312334</v>
      </c>
      <c r="L549" s="69">
        <f t="shared" ca="1" si="363"/>
        <v>957.00147975385551</v>
      </c>
      <c r="M549" s="69">
        <f t="shared" ca="1" si="364"/>
        <v>994.27871611828573</v>
      </c>
      <c r="N549" s="69">
        <f t="shared" ca="1" si="365"/>
        <v>574.51351158035936</v>
      </c>
      <c r="O549" s="69">
        <f t="shared" ca="1" si="366"/>
        <v>631.14851824028676</v>
      </c>
      <c r="P549" s="69">
        <f t="shared" ca="1" si="367"/>
        <v>724.91351035367597</v>
      </c>
      <c r="Q549" s="69">
        <f t="shared" ca="1" si="368"/>
        <v>956.78108353289213</v>
      </c>
      <c r="R549" s="69">
        <f t="shared" ca="1" si="369"/>
        <v>780.75331204413555</v>
      </c>
      <c r="S549" s="69">
        <f t="shared" ca="1" si="370"/>
        <v>701.82648263744977</v>
      </c>
      <c r="T549" s="69">
        <f t="shared" ca="1" si="371"/>
        <v>795.17668293373526</v>
      </c>
      <c r="U549" s="69">
        <f t="shared" ca="1" si="372"/>
        <v>1695.4698298010294</v>
      </c>
      <c r="V549" s="69">
        <f t="shared" ca="1" si="373"/>
        <v>1916.5101253649229</v>
      </c>
      <c r="W549" s="69">
        <f t="shared" ca="1" si="374"/>
        <v>1181.6659227338764</v>
      </c>
      <c r="X549" s="69">
        <f t="shared" ca="1" si="375"/>
        <v>1497.010024697068</v>
      </c>
      <c r="Y549" s="69">
        <f t="shared" ca="1" si="376"/>
        <v>1203.6277098256064</v>
      </c>
      <c r="AA549" s="20">
        <f t="shared" ca="1" si="336"/>
        <v>6.5641609323625744E+16</v>
      </c>
      <c r="AB549" s="20">
        <f t="shared" ca="1" si="337"/>
        <v>1684634584447409.8</v>
      </c>
      <c r="AC549" s="20">
        <f t="shared" ca="1" si="338"/>
        <v>405692962360216.31</v>
      </c>
      <c r="AD549" s="20">
        <f t="shared" ca="1" si="339"/>
        <v>302208028662357.06</v>
      </c>
      <c r="AE549" s="20">
        <f t="shared" ca="1" si="340"/>
        <v>6918513323371493</v>
      </c>
      <c r="AG549" s="16">
        <f t="shared" ca="1" si="341"/>
        <v>2.4758206711135634E-4</v>
      </c>
      <c r="AH549" s="16">
        <f t="shared" ca="1" si="342"/>
        <v>1.2365754457435946E-4</v>
      </c>
      <c r="AI549" s="16">
        <f t="shared" ca="1" si="343"/>
        <v>-7.611528476578562E-4</v>
      </c>
      <c r="AJ549" s="16">
        <f t="shared" ca="1" si="344"/>
        <v>-8.138460733613011E-4</v>
      </c>
      <c r="AK549" s="16">
        <f t="shared" ca="1" si="345"/>
        <v>3.0628820065164725E-4</v>
      </c>
      <c r="AM549" s="16">
        <f t="shared" ca="1" si="346"/>
        <v>-1.2037593093334414E-3</v>
      </c>
      <c r="AO549" s="16">
        <f t="shared" ca="1" si="347"/>
        <v>0</v>
      </c>
      <c r="AP549" s="16">
        <f t="shared" ca="1" si="348"/>
        <v>0</v>
      </c>
      <c r="AQ549" s="16">
        <f t="shared" ca="1" si="349"/>
        <v>-7.611528476578562E-4</v>
      </c>
      <c r="AR549" s="16">
        <f t="shared" ca="1" si="350"/>
        <v>-8.138460733613011E-4</v>
      </c>
      <c r="AS549" s="16">
        <f t="shared" ca="1" si="351"/>
        <v>0</v>
      </c>
    </row>
    <row r="550" spans="1:45" x14ac:dyDescent="0.25">
      <c r="A550" s="69">
        <f t="shared" ca="1" si="352"/>
        <v>2454.0507858784649</v>
      </c>
      <c r="B550" s="69">
        <f t="shared" ca="1" si="353"/>
        <v>2138.6667971168476</v>
      </c>
      <c r="C550" s="69">
        <f t="shared" ca="1" si="354"/>
        <v>2229.365418345843</v>
      </c>
      <c r="D550" s="69">
        <f t="shared" ca="1" si="355"/>
        <v>2906.566425638865</v>
      </c>
      <c r="E550" s="69">
        <f t="shared" ca="1" si="356"/>
        <v>1930.6278097071163</v>
      </c>
      <c r="F550" s="69">
        <f t="shared" ca="1" si="357"/>
        <v>1221.0522152629248</v>
      </c>
      <c r="G550" s="69">
        <f t="shared" ca="1" si="358"/>
        <v>964.88025310285343</v>
      </c>
      <c r="H550" s="69">
        <f t="shared" ca="1" si="359"/>
        <v>1189.510685703437</v>
      </c>
      <c r="I550" s="69">
        <f t="shared" ca="1" si="360"/>
        <v>1050.0193951107613</v>
      </c>
      <c r="J550" s="69">
        <f t="shared" ca="1" si="361"/>
        <v>1144.9488702721103</v>
      </c>
      <c r="K550" s="69">
        <f t="shared" ca="1" si="362"/>
        <v>1175.4456670912871</v>
      </c>
      <c r="L550" s="69">
        <f t="shared" ca="1" si="363"/>
        <v>957.00147975385551</v>
      </c>
      <c r="M550" s="69">
        <f t="shared" ca="1" si="364"/>
        <v>994.27871611828573</v>
      </c>
      <c r="N550" s="69">
        <f t="shared" ca="1" si="365"/>
        <v>574.26458086509399</v>
      </c>
      <c r="O550" s="69">
        <f t="shared" ca="1" si="366"/>
        <v>631.14851824028676</v>
      </c>
      <c r="P550" s="69">
        <f t="shared" ca="1" si="367"/>
        <v>724.91351035367597</v>
      </c>
      <c r="Q550" s="69">
        <f t="shared" ca="1" si="368"/>
        <v>956.78108353289213</v>
      </c>
      <c r="R550" s="69">
        <f t="shared" ca="1" si="369"/>
        <v>780.75331204413555</v>
      </c>
      <c r="S550" s="69">
        <f t="shared" ca="1" si="370"/>
        <v>701.48455084681916</v>
      </c>
      <c r="T550" s="69">
        <f t="shared" ca="1" si="371"/>
        <v>794.91708056780919</v>
      </c>
      <c r="U550" s="69">
        <f t="shared" ca="1" si="372"/>
        <v>1695.4515140725111</v>
      </c>
      <c r="V550" s="69">
        <f t="shared" ca="1" si="373"/>
        <v>1916.7574739942963</v>
      </c>
      <c r="W550" s="69">
        <f t="shared" ca="1" si="374"/>
        <v>1182.1518268733805</v>
      </c>
      <c r="X550" s="69">
        <f t="shared" ca="1" si="375"/>
        <v>1496.6761077784702</v>
      </c>
      <c r="Y550" s="69">
        <f t="shared" ca="1" si="376"/>
        <v>1203.6277098256064</v>
      </c>
      <c r="AA550" s="20">
        <f t="shared" ca="1" si="336"/>
        <v>6.565786302092956E+16</v>
      </c>
      <c r="AB550" s="20">
        <f t="shared" ca="1" si="337"/>
        <v>1684842915104190.8</v>
      </c>
      <c r="AC550" s="20">
        <f t="shared" ca="1" si="338"/>
        <v>405384285496680.69</v>
      </c>
      <c r="AD550" s="20">
        <f t="shared" ca="1" si="339"/>
        <v>301962177900800.25</v>
      </c>
      <c r="AE550" s="20">
        <f t="shared" ca="1" si="340"/>
        <v>6920632706923011</v>
      </c>
      <c r="AG550" s="16">
        <f t="shared" ca="1" si="341"/>
        <v>-6.5082482629282809E-5</v>
      </c>
      <c r="AH550" s="16">
        <f t="shared" ca="1" si="342"/>
        <v>7.5105539492342267E-4</v>
      </c>
      <c r="AI550" s="16">
        <f t="shared" ca="1" si="343"/>
        <v>-9.5789807016705576E-4</v>
      </c>
      <c r="AJ550" s="16">
        <f t="shared" ca="1" si="344"/>
        <v>5.2245867712728215E-4</v>
      </c>
      <c r="AK550" s="16">
        <f t="shared" ca="1" si="345"/>
        <v>-3.6103565437353077E-5</v>
      </c>
      <c r="AM550" s="16">
        <f t="shared" ca="1" si="346"/>
        <v>2.5053351925436622E-4</v>
      </c>
      <c r="AO550" s="16">
        <f t="shared" ca="1" si="347"/>
        <v>-6.5082482629282809E-5</v>
      </c>
      <c r="AP550" s="16">
        <f t="shared" ca="1" si="348"/>
        <v>0</v>
      </c>
      <c r="AQ550" s="16">
        <f t="shared" ca="1" si="349"/>
        <v>-9.5789807016705576E-4</v>
      </c>
      <c r="AR550" s="16">
        <f t="shared" ca="1" si="350"/>
        <v>0</v>
      </c>
      <c r="AS550" s="16">
        <f t="shared" ca="1" si="351"/>
        <v>-3.6103565437353077E-5</v>
      </c>
    </row>
    <row r="551" spans="1:45" x14ac:dyDescent="0.25">
      <c r="A551" s="69">
        <f t="shared" ca="1" si="352"/>
        <v>2453.7901437219621</v>
      </c>
      <c r="B551" s="69">
        <f t="shared" ca="1" si="353"/>
        <v>2138.9439265520909</v>
      </c>
      <c r="C551" s="69">
        <f t="shared" ca="1" si="354"/>
        <v>2229.365418345843</v>
      </c>
      <c r="D551" s="69">
        <f t="shared" ca="1" si="355"/>
        <v>2906.3093803836196</v>
      </c>
      <c r="E551" s="69">
        <f t="shared" ca="1" si="356"/>
        <v>1930.6278097071163</v>
      </c>
      <c r="F551" s="69">
        <f t="shared" ca="1" si="357"/>
        <v>1221.3483894964681</v>
      </c>
      <c r="G551" s="69">
        <f t="shared" ca="1" si="358"/>
        <v>965.37644862701632</v>
      </c>
      <c r="H551" s="69">
        <f t="shared" ca="1" si="359"/>
        <v>1189.5040296451575</v>
      </c>
      <c r="I551" s="69">
        <f t="shared" ca="1" si="360"/>
        <v>1050.0193951107613</v>
      </c>
      <c r="J551" s="69">
        <f t="shared" ca="1" si="361"/>
        <v>1144.9488702721103</v>
      </c>
      <c r="K551" s="69">
        <f t="shared" ca="1" si="362"/>
        <v>1175.4456670912871</v>
      </c>
      <c r="L551" s="69">
        <f t="shared" ca="1" si="363"/>
        <v>956.76712511671735</v>
      </c>
      <c r="M551" s="69">
        <f t="shared" ca="1" si="364"/>
        <v>994.04935145962486</v>
      </c>
      <c r="N551" s="69">
        <f t="shared" ca="1" si="365"/>
        <v>574.26458086509399</v>
      </c>
      <c r="O551" s="69">
        <f t="shared" ca="1" si="366"/>
        <v>630.84420592714196</v>
      </c>
      <c r="P551" s="69">
        <f t="shared" ca="1" si="367"/>
        <v>725.11141783070207</v>
      </c>
      <c r="Q551" s="69">
        <f t="shared" ca="1" si="368"/>
        <v>956.64149789020178</v>
      </c>
      <c r="R551" s="69">
        <f t="shared" ca="1" si="369"/>
        <v>781.22600741272208</v>
      </c>
      <c r="S551" s="69">
        <f t="shared" ca="1" si="370"/>
        <v>701.23368382602791</v>
      </c>
      <c r="T551" s="69">
        <f t="shared" ca="1" si="371"/>
        <v>795.03459728796281</v>
      </c>
      <c r="U551" s="69">
        <f t="shared" ca="1" si="372"/>
        <v>1695.5907287203734</v>
      </c>
      <c r="V551" s="69">
        <f t="shared" ca="1" si="373"/>
        <v>1916.9637974109858</v>
      </c>
      <c r="W551" s="69">
        <f t="shared" ca="1" si="374"/>
        <v>1181.952677645854</v>
      </c>
      <c r="X551" s="69">
        <f t="shared" ca="1" si="375"/>
        <v>1496.2069861153125</v>
      </c>
      <c r="Y551" s="69">
        <f t="shared" ca="1" si="376"/>
        <v>1203.9360248751016</v>
      </c>
      <c r="AA551" s="20">
        <f t="shared" ca="1" si="336"/>
        <v>6.565358998325148E+16</v>
      </c>
      <c r="AB551" s="20">
        <f t="shared" ca="1" si="337"/>
        <v>1686108800780806.3</v>
      </c>
      <c r="AC551" s="20">
        <f t="shared" ca="1" si="338"/>
        <v>404996154596525.56</v>
      </c>
      <c r="AD551" s="20">
        <f t="shared" ca="1" si="339"/>
        <v>302119981880248.38</v>
      </c>
      <c r="AE551" s="20">
        <f t="shared" ca="1" si="340"/>
        <v>6920382851917564</v>
      </c>
      <c r="AG551" s="16">
        <f t="shared" ca="1" si="341"/>
        <v>1.1431156439699025E-4</v>
      </c>
      <c r="AH551" s="16">
        <f t="shared" ca="1" si="342"/>
        <v>4.9989234702681044E-4</v>
      </c>
      <c r="AI551" s="16">
        <f t="shared" ca="1" si="343"/>
        <v>1.5297420627307181E-3</v>
      </c>
      <c r="AJ551" s="16">
        <f t="shared" ca="1" si="344"/>
        <v>2.0204654353645279E-4</v>
      </c>
      <c r="AK551" s="16">
        <f t="shared" ca="1" si="345"/>
        <v>-3.3088112297819663E-4</v>
      </c>
      <c r="AM551" s="16">
        <f t="shared" ca="1" si="346"/>
        <v>2.3459925176909716E-3</v>
      </c>
      <c r="AO551" s="16">
        <f t="shared" ca="1" si="347"/>
        <v>0</v>
      </c>
      <c r="AP551" s="16">
        <f t="shared" ca="1" si="348"/>
        <v>0</v>
      </c>
      <c r="AQ551" s="16">
        <f t="shared" ca="1" si="349"/>
        <v>0</v>
      </c>
      <c r="AR551" s="16">
        <f t="shared" ca="1" si="350"/>
        <v>0</v>
      </c>
      <c r="AS551" s="16">
        <f t="shared" ca="1" si="351"/>
        <v>-3.3088112297819663E-4</v>
      </c>
    </row>
    <row r="552" spans="1:45" x14ac:dyDescent="0.25">
      <c r="A552" s="69">
        <f t="shared" ca="1" si="352"/>
        <v>2454.0299062707049</v>
      </c>
      <c r="B552" s="69">
        <f t="shared" ca="1" si="353"/>
        <v>2138.7338229439115</v>
      </c>
      <c r="C552" s="69">
        <f t="shared" ca="1" si="354"/>
        <v>2229.454439220905</v>
      </c>
      <c r="D552" s="69">
        <f t="shared" ca="1" si="355"/>
        <v>2906.5270930430174</v>
      </c>
      <c r="E552" s="69">
        <f t="shared" ca="1" si="356"/>
        <v>1930.6278097071163</v>
      </c>
      <c r="F552" s="69">
        <f t="shared" ca="1" si="357"/>
        <v>1221.3483894964681</v>
      </c>
      <c r="G552" s="69">
        <f t="shared" ca="1" si="358"/>
        <v>965.37644862701632</v>
      </c>
      <c r="H552" s="69">
        <f t="shared" ca="1" si="359"/>
        <v>1189.5040296451575</v>
      </c>
      <c r="I552" s="69">
        <f t="shared" ca="1" si="360"/>
        <v>1050.2124029521292</v>
      </c>
      <c r="J552" s="69">
        <f t="shared" ca="1" si="361"/>
        <v>1145.3108408262069</v>
      </c>
      <c r="K552" s="69">
        <f t="shared" ca="1" si="362"/>
        <v>1175.4039966012633</v>
      </c>
      <c r="L552" s="69">
        <f t="shared" ca="1" si="363"/>
        <v>957.05470968213717</v>
      </c>
      <c r="M552" s="69">
        <f t="shared" ca="1" si="364"/>
        <v>994.3071328607075</v>
      </c>
      <c r="N552" s="69">
        <f t="shared" ca="1" si="365"/>
        <v>574.66636701283426</v>
      </c>
      <c r="O552" s="69">
        <f t="shared" ca="1" si="366"/>
        <v>631.03724824808103</v>
      </c>
      <c r="P552" s="69">
        <f t="shared" ca="1" si="367"/>
        <v>725.11141783070207</v>
      </c>
      <c r="Q552" s="69">
        <f t="shared" ca="1" si="368"/>
        <v>956.64149789020178</v>
      </c>
      <c r="R552" s="69">
        <f t="shared" ca="1" si="369"/>
        <v>781.22600741272208</v>
      </c>
      <c r="S552" s="69">
        <f t="shared" ca="1" si="370"/>
        <v>701.37537998218352</v>
      </c>
      <c r="T552" s="69">
        <f t="shared" ca="1" si="371"/>
        <v>795.03459728796281</v>
      </c>
      <c r="U552" s="69">
        <f t="shared" ca="1" si="372"/>
        <v>1695.5907287203734</v>
      </c>
      <c r="V552" s="69">
        <f t="shared" ca="1" si="373"/>
        <v>1916.9637974109858</v>
      </c>
      <c r="W552" s="69">
        <f t="shared" ca="1" si="374"/>
        <v>1181.840332830727</v>
      </c>
      <c r="X552" s="69">
        <f t="shared" ca="1" si="375"/>
        <v>1496.2069861153125</v>
      </c>
      <c r="Y552" s="69">
        <f t="shared" ca="1" si="376"/>
        <v>1203.652138421568</v>
      </c>
      <c r="AA552" s="20">
        <f t="shared" ca="1" si="336"/>
        <v>6.5661095376799216E+16</v>
      </c>
      <c r="AB552" s="20">
        <f t="shared" ca="1" si="337"/>
        <v>1686951884374532.5</v>
      </c>
      <c r="AC552" s="20">
        <f t="shared" ca="1" si="338"/>
        <v>405616168359113.69</v>
      </c>
      <c r="AD552" s="20">
        <f t="shared" ca="1" si="339"/>
        <v>302181030345428.56</v>
      </c>
      <c r="AE552" s="20">
        <f t="shared" ca="1" si="340"/>
        <v>6918093406656080</v>
      </c>
      <c r="AG552" s="16">
        <f t="shared" ca="1" si="341"/>
        <v>2.1896970387763059E-4</v>
      </c>
      <c r="AH552" s="16">
        <f t="shared" ca="1" si="342"/>
        <v>-4.5177749731013453E-4</v>
      </c>
      <c r="AI552" s="16">
        <f t="shared" ca="1" si="343"/>
        <v>-3.6099740095237156E-4</v>
      </c>
      <c r="AJ552" s="16">
        <f t="shared" ca="1" si="344"/>
        <v>-4.1457699957617671E-4</v>
      </c>
      <c r="AK552" s="16">
        <f t="shared" ca="1" si="345"/>
        <v>-3.141898899627871E-4</v>
      </c>
      <c r="AM552" s="16">
        <f t="shared" ca="1" si="346"/>
        <v>-1.0083821939610522E-3</v>
      </c>
      <c r="AO552" s="16">
        <f t="shared" ca="1" si="347"/>
        <v>0</v>
      </c>
      <c r="AP552" s="16">
        <f t="shared" ca="1" si="348"/>
        <v>-4.5177749731013453E-4</v>
      </c>
      <c r="AQ552" s="16">
        <f t="shared" ca="1" si="349"/>
        <v>-3.6099740095237156E-4</v>
      </c>
      <c r="AR552" s="16">
        <f t="shared" ca="1" si="350"/>
        <v>-4.1457699957617671E-4</v>
      </c>
      <c r="AS552" s="16">
        <f t="shared" ca="1" si="351"/>
        <v>-3.141898899627871E-4</v>
      </c>
    </row>
    <row r="553" spans="1:45" x14ac:dyDescent="0.25">
      <c r="A553" s="69">
        <f t="shared" ca="1" si="352"/>
        <v>2454.0299062707049</v>
      </c>
      <c r="B553" s="69">
        <f t="shared" ca="1" si="353"/>
        <v>2138.7338229439115</v>
      </c>
      <c r="C553" s="69">
        <f t="shared" ca="1" si="354"/>
        <v>2229.7159610386875</v>
      </c>
      <c r="D553" s="69">
        <f t="shared" ca="1" si="355"/>
        <v>2906.2930786367024</v>
      </c>
      <c r="E553" s="69">
        <f t="shared" ca="1" si="356"/>
        <v>1930.9795831768718</v>
      </c>
      <c r="F553" s="69">
        <f t="shared" ca="1" si="357"/>
        <v>1221.3857623116489</v>
      </c>
      <c r="G553" s="69">
        <f t="shared" ca="1" si="358"/>
        <v>964.9108858532129</v>
      </c>
      <c r="H553" s="69">
        <f t="shared" ca="1" si="359"/>
        <v>1189.5040296451575</v>
      </c>
      <c r="I553" s="69">
        <f t="shared" ca="1" si="360"/>
        <v>1050.2124029521292</v>
      </c>
      <c r="J553" s="69">
        <f t="shared" ca="1" si="361"/>
        <v>1145.3108408262069</v>
      </c>
      <c r="K553" s="69">
        <f t="shared" ca="1" si="362"/>
        <v>1175.4039966012633</v>
      </c>
      <c r="L553" s="69">
        <f t="shared" ca="1" si="363"/>
        <v>956.80421120946062</v>
      </c>
      <c r="M553" s="69">
        <f t="shared" ca="1" si="364"/>
        <v>994.67917566665915</v>
      </c>
      <c r="N553" s="69">
        <f t="shared" ca="1" si="365"/>
        <v>574.66636701283426</v>
      </c>
      <c r="O553" s="69">
        <f t="shared" ca="1" si="366"/>
        <v>630.73863186180984</v>
      </c>
      <c r="P553" s="69">
        <f t="shared" ca="1" si="367"/>
        <v>725.11141783070207</v>
      </c>
      <c r="Q553" s="69">
        <f t="shared" ca="1" si="368"/>
        <v>956.9185880658772</v>
      </c>
      <c r="R553" s="69">
        <f t="shared" ca="1" si="369"/>
        <v>780.7308628071421</v>
      </c>
      <c r="S553" s="69">
        <f t="shared" ca="1" si="370"/>
        <v>701.01958430623631</v>
      </c>
      <c r="T553" s="69">
        <f t="shared" ca="1" si="371"/>
        <v>795.38228869138572</v>
      </c>
      <c r="U553" s="69">
        <f t="shared" ca="1" si="372"/>
        <v>1695.5907287203734</v>
      </c>
      <c r="V553" s="69">
        <f t="shared" ca="1" si="373"/>
        <v>1916.5941765413554</v>
      </c>
      <c r="W553" s="69">
        <f t="shared" ca="1" si="374"/>
        <v>1181.8480864616695</v>
      </c>
      <c r="X553" s="69">
        <f t="shared" ca="1" si="375"/>
        <v>1496.2989344377938</v>
      </c>
      <c r="Y553" s="69">
        <f t="shared" ca="1" si="376"/>
        <v>1203.4242261655752</v>
      </c>
      <c r="AA553" s="20">
        <f t="shared" ca="1" si="336"/>
        <v>6.5675474741675328E+16</v>
      </c>
      <c r="AB553" s="20">
        <f t="shared" ca="1" si="337"/>
        <v>1686189929604096.5</v>
      </c>
      <c r="AC553" s="20">
        <f t="shared" ca="1" si="338"/>
        <v>405469768403143.5</v>
      </c>
      <c r="AD553" s="20">
        <f t="shared" ca="1" si="339"/>
        <v>302055779005495.44</v>
      </c>
      <c r="AE553" s="20">
        <f t="shared" ca="1" si="340"/>
        <v>6915920153074920</v>
      </c>
      <c r="AG553" s="16">
        <f t="shared" ca="1" si="341"/>
        <v>-3.9240425413441529E-4</v>
      </c>
      <c r="AH553" s="16">
        <f t="shared" ca="1" si="342"/>
        <v>-1.2840108731794836E-4</v>
      </c>
      <c r="AI553" s="16">
        <f t="shared" ca="1" si="343"/>
        <v>-5.2335981923178618E-4</v>
      </c>
      <c r="AJ553" s="16">
        <f t="shared" ca="1" si="344"/>
        <v>1.5886856456958574E-4</v>
      </c>
      <c r="AK553" s="16">
        <f t="shared" ca="1" si="345"/>
        <v>3.6054288604420214E-4</v>
      </c>
      <c r="AM553" s="16">
        <f t="shared" ca="1" si="346"/>
        <v>-8.85296596114564E-4</v>
      </c>
      <c r="AO553" s="16">
        <f t="shared" ca="1" si="347"/>
        <v>-3.9240425413441529E-4</v>
      </c>
      <c r="AP553" s="16">
        <f t="shared" ca="1" si="348"/>
        <v>-1.2840108731794836E-4</v>
      </c>
      <c r="AQ553" s="16">
        <f t="shared" ca="1" si="349"/>
        <v>-5.2335981923178618E-4</v>
      </c>
      <c r="AR553" s="16">
        <f t="shared" ca="1" si="350"/>
        <v>0</v>
      </c>
      <c r="AS553" s="16">
        <f t="shared" ca="1" si="351"/>
        <v>0</v>
      </c>
    </row>
    <row r="554" spans="1:45" x14ac:dyDescent="0.25">
      <c r="A554" s="69">
        <f t="shared" ca="1" si="352"/>
        <v>2453.6501069419601</v>
      </c>
      <c r="B554" s="69">
        <f t="shared" ca="1" si="353"/>
        <v>2138.7338229439115</v>
      </c>
      <c r="C554" s="69">
        <f t="shared" ca="1" si="354"/>
        <v>2229.7159610386875</v>
      </c>
      <c r="D554" s="69">
        <f t="shared" ca="1" si="355"/>
        <v>2906.0479773660504</v>
      </c>
      <c r="E554" s="69">
        <f t="shared" ca="1" si="356"/>
        <v>1930.6836089315693</v>
      </c>
      <c r="F554" s="69">
        <f t="shared" ca="1" si="357"/>
        <v>1221.3857623116489</v>
      </c>
      <c r="G554" s="69">
        <f t="shared" ca="1" si="358"/>
        <v>964.86401168855343</v>
      </c>
      <c r="H554" s="69">
        <f t="shared" ca="1" si="359"/>
        <v>1189.2775491849154</v>
      </c>
      <c r="I554" s="69">
        <f t="shared" ca="1" si="360"/>
        <v>1050.2124029521292</v>
      </c>
      <c r="J554" s="69">
        <f t="shared" ca="1" si="361"/>
        <v>1145.4375146746752</v>
      </c>
      <c r="K554" s="69">
        <f t="shared" ca="1" si="362"/>
        <v>1175.8166839943935</v>
      </c>
      <c r="L554" s="69">
        <f t="shared" ca="1" si="363"/>
        <v>956.37522252255428</v>
      </c>
      <c r="M554" s="69">
        <f t="shared" ca="1" si="364"/>
        <v>995.12341862620212</v>
      </c>
      <c r="N554" s="69">
        <f t="shared" ca="1" si="365"/>
        <v>574.44933894107385</v>
      </c>
      <c r="O554" s="69">
        <f t="shared" ca="1" si="366"/>
        <v>630.42666148652063</v>
      </c>
      <c r="P554" s="69">
        <f t="shared" ca="1" si="367"/>
        <v>725.11141783070207</v>
      </c>
      <c r="Q554" s="69">
        <f t="shared" ca="1" si="368"/>
        <v>957.0706244249526</v>
      </c>
      <c r="R554" s="69">
        <f t="shared" ca="1" si="369"/>
        <v>780.7308628071421</v>
      </c>
      <c r="S554" s="69">
        <f t="shared" ca="1" si="370"/>
        <v>701.01958430623631</v>
      </c>
      <c r="T554" s="69">
        <f t="shared" ca="1" si="371"/>
        <v>795.38228869138572</v>
      </c>
      <c r="U554" s="69">
        <f t="shared" ca="1" si="372"/>
        <v>1695.7305458516526</v>
      </c>
      <c r="V554" s="69">
        <f t="shared" ca="1" si="373"/>
        <v>1916.8682137702533</v>
      </c>
      <c r="W554" s="69">
        <f t="shared" ca="1" si="374"/>
        <v>1182.1269093185979</v>
      </c>
      <c r="X554" s="69">
        <f t="shared" ca="1" si="375"/>
        <v>1495.9421308309916</v>
      </c>
      <c r="Y554" s="69">
        <f t="shared" ca="1" si="376"/>
        <v>1203.5899593715553</v>
      </c>
      <c r="AA554" s="20">
        <f t="shared" ca="1" si="336"/>
        <v>6.564970846172396E+16</v>
      </c>
      <c r="AB554" s="20">
        <f t="shared" ca="1" si="337"/>
        <v>1685973434883087</v>
      </c>
      <c r="AC554" s="20">
        <f t="shared" ca="1" si="338"/>
        <v>405257617338961.81</v>
      </c>
      <c r="AD554" s="20">
        <f t="shared" ca="1" si="339"/>
        <v>302103769985554.13</v>
      </c>
      <c r="AE554" s="20">
        <f t="shared" ca="1" si="340"/>
        <v>6918414088444873</v>
      </c>
      <c r="AG554" s="16">
        <f t="shared" ca="1" si="341"/>
        <v>-2.9221911749536118E-4</v>
      </c>
      <c r="AH554" s="16">
        <f t="shared" ca="1" si="342"/>
        <v>3.505622637953571E-4</v>
      </c>
      <c r="AI554" s="16">
        <f t="shared" ca="1" si="343"/>
        <v>1.2142605686005967E-3</v>
      </c>
      <c r="AJ554" s="16">
        <f t="shared" ca="1" si="344"/>
        <v>4.0185421074874814E-4</v>
      </c>
      <c r="AK554" s="16">
        <f t="shared" ca="1" si="345"/>
        <v>2.3413929229720436E-4</v>
      </c>
      <c r="AM554" s="16">
        <f t="shared" ca="1" si="346"/>
        <v>1.6744579256493409E-3</v>
      </c>
      <c r="AO554" s="16">
        <f t="shared" ca="1" si="347"/>
        <v>-2.9221911749536118E-4</v>
      </c>
      <c r="AP554" s="16">
        <f t="shared" ca="1" si="348"/>
        <v>0</v>
      </c>
      <c r="AQ554" s="16">
        <f t="shared" ca="1" si="349"/>
        <v>0</v>
      </c>
      <c r="AR554" s="16">
        <f t="shared" ca="1" si="350"/>
        <v>0</v>
      </c>
      <c r="AS554" s="16">
        <f t="shared" ca="1" si="351"/>
        <v>0</v>
      </c>
    </row>
    <row r="555" spans="1:45" x14ac:dyDescent="0.25">
      <c r="A555" s="69">
        <f t="shared" ca="1" si="352"/>
        <v>2453.1812166005598</v>
      </c>
      <c r="B555" s="69">
        <f t="shared" ca="1" si="353"/>
        <v>2138.4106373148802</v>
      </c>
      <c r="C555" s="69">
        <f t="shared" ca="1" si="354"/>
        <v>2229.7159610386875</v>
      </c>
      <c r="D555" s="69">
        <f t="shared" ca="1" si="355"/>
        <v>2905.716709871002</v>
      </c>
      <c r="E555" s="69">
        <f t="shared" ca="1" si="356"/>
        <v>1931.0003043433685</v>
      </c>
      <c r="F555" s="69">
        <f t="shared" ca="1" si="357"/>
        <v>1221.3857623116489</v>
      </c>
      <c r="G555" s="69">
        <f t="shared" ca="1" si="358"/>
        <v>965.25183492405324</v>
      </c>
      <c r="H555" s="69">
        <f t="shared" ca="1" si="359"/>
        <v>1189.2165372638435</v>
      </c>
      <c r="I555" s="69">
        <f t="shared" ca="1" si="360"/>
        <v>1050.2124029521292</v>
      </c>
      <c r="J555" s="69">
        <f t="shared" ca="1" si="361"/>
        <v>1145.4375146746752</v>
      </c>
      <c r="K555" s="69">
        <f t="shared" ca="1" si="362"/>
        <v>1175.7475669462169</v>
      </c>
      <c r="L555" s="69">
        <f t="shared" ca="1" si="363"/>
        <v>956.64909642051293</v>
      </c>
      <c r="M555" s="69">
        <f t="shared" ca="1" si="364"/>
        <v>995.40970359457003</v>
      </c>
      <c r="N555" s="69">
        <f t="shared" ca="1" si="365"/>
        <v>574.85106099093207</v>
      </c>
      <c r="O555" s="69">
        <f t="shared" ca="1" si="366"/>
        <v>630.42666148652063</v>
      </c>
      <c r="P555" s="69">
        <f t="shared" ca="1" si="367"/>
        <v>725.60245644239183</v>
      </c>
      <c r="Q555" s="69">
        <f t="shared" ca="1" si="368"/>
        <v>956.84316821629011</v>
      </c>
      <c r="R555" s="69">
        <f t="shared" ca="1" si="369"/>
        <v>781.05026339569974</v>
      </c>
      <c r="S555" s="69">
        <f t="shared" ca="1" si="370"/>
        <v>700.70669019387253</v>
      </c>
      <c r="T555" s="69">
        <f t="shared" ca="1" si="371"/>
        <v>795.38228869138572</v>
      </c>
      <c r="U555" s="69">
        <f t="shared" ca="1" si="372"/>
        <v>1696.2247878284154</v>
      </c>
      <c r="V555" s="69">
        <f t="shared" ca="1" si="373"/>
        <v>1916.9384796706754</v>
      </c>
      <c r="W555" s="69">
        <f t="shared" ca="1" si="374"/>
        <v>1182.1269093185979</v>
      </c>
      <c r="X555" s="69">
        <f t="shared" ca="1" si="375"/>
        <v>1495.9599496291789</v>
      </c>
      <c r="Y555" s="69">
        <f t="shared" ca="1" si="376"/>
        <v>1203.4625684014047</v>
      </c>
      <c r="AA555" s="20">
        <f t="shared" ca="1" si="336"/>
        <v>6.5630527164560808E+16</v>
      </c>
      <c r="AB555" s="20">
        <f t="shared" ca="1" si="337"/>
        <v>1686564577157151.3</v>
      </c>
      <c r="AC555" s="20">
        <f t="shared" ca="1" si="338"/>
        <v>405750004566519.81</v>
      </c>
      <c r="AD555" s="20">
        <f t="shared" ca="1" si="339"/>
        <v>302225196053760.25</v>
      </c>
      <c r="AE555" s="20">
        <f t="shared" ca="1" si="340"/>
        <v>6920034150676071</v>
      </c>
      <c r="AG555" s="16">
        <f t="shared" ca="1" si="341"/>
        <v>-2.1994750950566901E-4</v>
      </c>
      <c r="AH555" s="16">
        <f t="shared" ca="1" si="342"/>
        <v>2.9552011827361016E-4</v>
      </c>
      <c r="AI555" s="16">
        <f t="shared" ca="1" si="343"/>
        <v>7.281886108217937E-4</v>
      </c>
      <c r="AJ555" s="16">
        <f t="shared" ca="1" si="344"/>
        <v>1.5778695008130141E-3</v>
      </c>
      <c r="AK555" s="16">
        <f t="shared" ca="1" si="345"/>
        <v>-3.449020277332686E-4</v>
      </c>
      <c r="AM555" s="16">
        <f t="shared" ca="1" si="346"/>
        <v>2.3816307204027488E-3</v>
      </c>
      <c r="AO555" s="16">
        <f t="shared" ca="1" si="347"/>
        <v>-2.1994750950566901E-4</v>
      </c>
      <c r="AP555" s="16">
        <f t="shared" ca="1" si="348"/>
        <v>0</v>
      </c>
      <c r="AQ555" s="16">
        <f t="shared" ca="1" si="349"/>
        <v>0</v>
      </c>
      <c r="AR555" s="16">
        <f t="shared" ca="1" si="350"/>
        <v>0</v>
      </c>
      <c r="AS555" s="16">
        <f t="shared" ca="1" si="351"/>
        <v>-3.449020277332686E-4</v>
      </c>
    </row>
    <row r="556" spans="1:45" x14ac:dyDescent="0.25">
      <c r="A556" s="69">
        <f t="shared" ca="1" si="352"/>
        <v>2453.1533029578782</v>
      </c>
      <c r="B556" s="69">
        <f t="shared" ca="1" si="353"/>
        <v>2138.2492813709382</v>
      </c>
      <c r="C556" s="69">
        <f t="shared" ca="1" si="354"/>
        <v>2229.2263922777543</v>
      </c>
      <c r="D556" s="69">
        <f t="shared" ca="1" si="355"/>
        <v>2905.716709871002</v>
      </c>
      <c r="E556" s="69">
        <f t="shared" ca="1" si="356"/>
        <v>1931.167303700257</v>
      </c>
      <c r="F556" s="69">
        <f t="shared" ca="1" si="357"/>
        <v>1221.3857623116489</v>
      </c>
      <c r="G556" s="69">
        <f t="shared" ca="1" si="358"/>
        <v>965.27532273214342</v>
      </c>
      <c r="H556" s="69">
        <f t="shared" ca="1" si="359"/>
        <v>1189.2165372638435</v>
      </c>
      <c r="I556" s="69">
        <f t="shared" ca="1" si="360"/>
        <v>1050.6095183565494</v>
      </c>
      <c r="J556" s="69">
        <f t="shared" ca="1" si="361"/>
        <v>1145.3151081751967</v>
      </c>
      <c r="K556" s="69">
        <f t="shared" ca="1" si="362"/>
        <v>1175.3846417922252</v>
      </c>
      <c r="L556" s="69">
        <f t="shared" ca="1" si="363"/>
        <v>956.64909642051293</v>
      </c>
      <c r="M556" s="69">
        <f t="shared" ca="1" si="364"/>
        <v>995.37702559963213</v>
      </c>
      <c r="N556" s="69">
        <f t="shared" ca="1" si="365"/>
        <v>575.28719526832208</v>
      </c>
      <c r="O556" s="69">
        <f t="shared" ca="1" si="366"/>
        <v>630.62296801974401</v>
      </c>
      <c r="P556" s="69">
        <f t="shared" ca="1" si="367"/>
        <v>725.78587972392768</v>
      </c>
      <c r="Q556" s="69">
        <f t="shared" ca="1" si="368"/>
        <v>957.06522518478653</v>
      </c>
      <c r="R556" s="69">
        <f t="shared" ca="1" si="369"/>
        <v>781.54258740754176</v>
      </c>
      <c r="S556" s="69">
        <f t="shared" ca="1" si="370"/>
        <v>701.03114414322329</v>
      </c>
      <c r="T556" s="69">
        <f t="shared" ca="1" si="371"/>
        <v>795.38228869138572</v>
      </c>
      <c r="U556" s="69">
        <f t="shared" ca="1" si="372"/>
        <v>1695.744883414693</v>
      </c>
      <c r="V556" s="69">
        <f t="shared" ca="1" si="373"/>
        <v>1916.7747619550648</v>
      </c>
      <c r="W556" s="69">
        <f t="shared" ca="1" si="374"/>
        <v>1182.4859798555847</v>
      </c>
      <c r="X556" s="69">
        <f t="shared" ca="1" si="375"/>
        <v>1495.9819451132664</v>
      </c>
      <c r="Y556" s="69">
        <f t="shared" ca="1" si="376"/>
        <v>1203.1076785800281</v>
      </c>
      <c r="AA556" s="20">
        <f t="shared" ca="1" si="336"/>
        <v>6.5616093480947992E+16</v>
      </c>
      <c r="AB556" s="20">
        <f t="shared" ca="1" si="337"/>
        <v>1687063064573371.3</v>
      </c>
      <c r="AC556" s="20">
        <f t="shared" ca="1" si="338"/>
        <v>406045574701028.19</v>
      </c>
      <c r="AD556" s="20">
        <f t="shared" ca="1" si="339"/>
        <v>302702444391773.13</v>
      </c>
      <c r="AE556" s="20">
        <f t="shared" ca="1" si="340"/>
        <v>6917647828412869</v>
      </c>
      <c r="AG556" s="16">
        <f t="shared" ca="1" si="341"/>
        <v>-1.2238432759399583E-4</v>
      </c>
      <c r="AH556" s="16">
        <f t="shared" ca="1" si="342"/>
        <v>-2.2675397486535099E-4</v>
      </c>
      <c r="AI556" s="16">
        <f t="shared" ca="1" si="343"/>
        <v>-1.5780141741523364E-3</v>
      </c>
      <c r="AJ556" s="16">
        <f t="shared" ca="1" si="344"/>
        <v>-1.3303352964920327E-3</v>
      </c>
      <c r="AK556" s="16">
        <f t="shared" ca="1" si="345"/>
        <v>1.9840119921481514E-5</v>
      </c>
      <c r="AM556" s="16">
        <f t="shared" ca="1" si="346"/>
        <v>-3.2574877731037159E-3</v>
      </c>
      <c r="AO556" s="16">
        <f t="shared" ca="1" si="347"/>
        <v>-1.2238432759399583E-4</v>
      </c>
      <c r="AP556" s="16">
        <f t="shared" ca="1" si="348"/>
        <v>-2.2675397486535099E-4</v>
      </c>
      <c r="AQ556" s="16">
        <f t="shared" ca="1" si="349"/>
        <v>-1.5780141741523364E-3</v>
      </c>
      <c r="AR556" s="16">
        <f t="shared" ca="1" si="350"/>
        <v>-1.3303352964920327E-3</v>
      </c>
      <c r="AS556" s="16">
        <f t="shared" ca="1" si="351"/>
        <v>0</v>
      </c>
    </row>
    <row r="557" spans="1:45" x14ac:dyDescent="0.25">
      <c r="A557" s="69">
        <f t="shared" ca="1" si="352"/>
        <v>2453.1533029578782</v>
      </c>
      <c r="B557" s="69">
        <f t="shared" ca="1" si="353"/>
        <v>2138.4690482739675</v>
      </c>
      <c r="C557" s="69">
        <f t="shared" ca="1" si="354"/>
        <v>2229.2263922777543</v>
      </c>
      <c r="D557" s="69">
        <f t="shared" ca="1" si="355"/>
        <v>2905.2588115036165</v>
      </c>
      <c r="E557" s="69">
        <f t="shared" ca="1" si="356"/>
        <v>1931.0368380939499</v>
      </c>
      <c r="F557" s="69">
        <f t="shared" ca="1" si="357"/>
        <v>1221.5210734741459</v>
      </c>
      <c r="G557" s="69">
        <f t="shared" ca="1" si="358"/>
        <v>964.94782148982335</v>
      </c>
      <c r="H557" s="69">
        <f t="shared" ca="1" si="359"/>
        <v>1189.2165372638435</v>
      </c>
      <c r="I557" s="69">
        <f t="shared" ca="1" si="360"/>
        <v>1050.6114173398639</v>
      </c>
      <c r="J557" s="69">
        <f t="shared" ca="1" si="361"/>
        <v>1145.3151081751967</v>
      </c>
      <c r="K557" s="69">
        <f t="shared" ca="1" si="362"/>
        <v>1174.9148087254562</v>
      </c>
      <c r="L557" s="69">
        <f t="shared" ca="1" si="363"/>
        <v>956.18472538562071</v>
      </c>
      <c r="M557" s="69">
        <f t="shared" ca="1" si="364"/>
        <v>995.19362078619849</v>
      </c>
      <c r="N557" s="69">
        <f t="shared" ca="1" si="365"/>
        <v>574.9036082774777</v>
      </c>
      <c r="O557" s="69">
        <f t="shared" ca="1" si="366"/>
        <v>630.72298999046461</v>
      </c>
      <c r="P557" s="69">
        <f t="shared" ca="1" si="367"/>
        <v>725.41646658183174</v>
      </c>
      <c r="Q557" s="69">
        <f t="shared" ca="1" si="368"/>
        <v>956.88927292624976</v>
      </c>
      <c r="R557" s="69">
        <f t="shared" ca="1" si="369"/>
        <v>781.25385524656747</v>
      </c>
      <c r="S557" s="69">
        <f t="shared" ca="1" si="370"/>
        <v>701.03114414322329</v>
      </c>
      <c r="T557" s="69">
        <f t="shared" ca="1" si="371"/>
        <v>795.16927210345943</v>
      </c>
      <c r="U557" s="69">
        <f t="shared" ca="1" si="372"/>
        <v>1695.3014382821609</v>
      </c>
      <c r="V557" s="69">
        <f t="shared" ca="1" si="373"/>
        <v>1917.2599815410247</v>
      </c>
      <c r="W557" s="69">
        <f t="shared" ca="1" si="374"/>
        <v>1182.3980788524468</v>
      </c>
      <c r="X557" s="69">
        <f t="shared" ca="1" si="375"/>
        <v>1495.8415612756316</v>
      </c>
      <c r="Y557" s="69">
        <f t="shared" ca="1" si="376"/>
        <v>1203.3440531938918</v>
      </c>
      <c r="AA557" s="20">
        <f t="shared" ca="1" si="336"/>
        <v>6.5608063590844352E+16</v>
      </c>
      <c r="AB557" s="20">
        <f t="shared" ca="1" si="337"/>
        <v>1686680559686521.5</v>
      </c>
      <c r="AC557" s="20">
        <f t="shared" ca="1" si="338"/>
        <v>405405334315856.19</v>
      </c>
      <c r="AD557" s="20">
        <f t="shared" ca="1" si="339"/>
        <v>302300016387104.94</v>
      </c>
      <c r="AE557" s="20">
        <f t="shared" ca="1" si="340"/>
        <v>6917785076736867</v>
      </c>
      <c r="AG557" s="16">
        <f t="shared" ca="1" si="341"/>
        <v>2.0061390899831457E-4</v>
      </c>
      <c r="AH557" s="16">
        <f t="shared" ca="1" si="342"/>
        <v>-1.2731551475238533E-4</v>
      </c>
      <c r="AI557" s="16">
        <f t="shared" ca="1" si="343"/>
        <v>8.5070247355188689E-4</v>
      </c>
      <c r="AJ557" s="16">
        <f t="shared" ca="1" si="344"/>
        <v>4.8567614358444479E-5</v>
      </c>
      <c r="AK557" s="16">
        <f t="shared" ca="1" si="345"/>
        <v>9.2099130610581012E-5</v>
      </c>
      <c r="AM557" s="16">
        <f t="shared" ca="1" si="346"/>
        <v>9.725684821562606E-4</v>
      </c>
      <c r="AO557" s="16">
        <f t="shared" ca="1" si="347"/>
        <v>0</v>
      </c>
      <c r="AP557" s="16">
        <f t="shared" ca="1" si="348"/>
        <v>-1.2731551475238533E-4</v>
      </c>
      <c r="AQ557" s="16">
        <f t="shared" ca="1" si="349"/>
        <v>0</v>
      </c>
      <c r="AR557" s="16">
        <f t="shared" ca="1" si="350"/>
        <v>0</v>
      </c>
      <c r="AS557" s="16">
        <f t="shared" ca="1" si="351"/>
        <v>0</v>
      </c>
    </row>
    <row r="558" spans="1:45" x14ac:dyDescent="0.25">
      <c r="A558" s="69">
        <f t="shared" ca="1" si="352"/>
        <v>2453.1157700640679</v>
      </c>
      <c r="B558" s="69">
        <f t="shared" ca="1" si="353"/>
        <v>2138.4340768128018</v>
      </c>
      <c r="C558" s="69">
        <f t="shared" ca="1" si="354"/>
        <v>2229.6809767436184</v>
      </c>
      <c r="D558" s="69">
        <f t="shared" ca="1" si="355"/>
        <v>2905.3412291439104</v>
      </c>
      <c r="E558" s="69">
        <f t="shared" ca="1" si="356"/>
        <v>1931.0368380939499</v>
      </c>
      <c r="F558" s="69">
        <f t="shared" ca="1" si="357"/>
        <v>1221.3081105453152</v>
      </c>
      <c r="G558" s="69">
        <f t="shared" ca="1" si="358"/>
        <v>964.66214031288007</v>
      </c>
      <c r="H558" s="69">
        <f t="shared" ca="1" si="359"/>
        <v>1189.1925874853671</v>
      </c>
      <c r="I558" s="69">
        <f t="shared" ca="1" si="360"/>
        <v>1050.5981253829093</v>
      </c>
      <c r="J558" s="69">
        <f t="shared" ca="1" si="361"/>
        <v>1145.7457539016373</v>
      </c>
      <c r="K558" s="69">
        <f t="shared" ca="1" si="362"/>
        <v>1174.9148087254562</v>
      </c>
      <c r="L558" s="69">
        <f t="shared" ca="1" si="363"/>
        <v>956.18472538562071</v>
      </c>
      <c r="M558" s="69">
        <f t="shared" ca="1" si="364"/>
        <v>994.99897019862578</v>
      </c>
      <c r="N558" s="69">
        <f t="shared" ca="1" si="365"/>
        <v>575.08575692279067</v>
      </c>
      <c r="O558" s="69">
        <f t="shared" ca="1" si="366"/>
        <v>631.1832886393164</v>
      </c>
      <c r="P558" s="69">
        <f t="shared" ca="1" si="367"/>
        <v>725.41646658183174</v>
      </c>
      <c r="Q558" s="69">
        <f t="shared" ca="1" si="368"/>
        <v>957.2191804571728</v>
      </c>
      <c r="R558" s="69">
        <f t="shared" ca="1" si="369"/>
        <v>781.25385524656747</v>
      </c>
      <c r="S558" s="69">
        <f t="shared" ca="1" si="370"/>
        <v>700.63154869964558</v>
      </c>
      <c r="T558" s="69">
        <f t="shared" ca="1" si="371"/>
        <v>795.38720193549239</v>
      </c>
      <c r="U558" s="69">
        <f t="shared" ca="1" si="372"/>
        <v>1694.8829018296096</v>
      </c>
      <c r="V558" s="69">
        <f t="shared" ca="1" si="373"/>
        <v>1917.3676207305934</v>
      </c>
      <c r="W558" s="69">
        <f t="shared" ca="1" si="374"/>
        <v>1182.3980788524468</v>
      </c>
      <c r="X558" s="69">
        <f t="shared" ca="1" si="375"/>
        <v>1495.6915755735374</v>
      </c>
      <c r="Y558" s="69">
        <f t="shared" ca="1" si="376"/>
        <v>1203.80519403466</v>
      </c>
      <c r="AA558" s="20">
        <f t="shared" ca="1" si="336"/>
        <v>6.562122680126052E+16</v>
      </c>
      <c r="AB558" s="20">
        <f t="shared" ca="1" si="337"/>
        <v>1686465832752167.3</v>
      </c>
      <c r="AC558" s="20">
        <f t="shared" ca="1" si="338"/>
        <v>405750360373002.13</v>
      </c>
      <c r="AD558" s="20">
        <f t="shared" ca="1" si="339"/>
        <v>302314698734261.75</v>
      </c>
      <c r="AE558" s="20">
        <f t="shared" ca="1" si="340"/>
        <v>6918422228068277</v>
      </c>
      <c r="AG558" s="16">
        <f t="shared" ca="1" si="341"/>
        <v>-1.4114624233900019E-4</v>
      </c>
      <c r="AH558" s="16">
        <f t="shared" ca="1" si="342"/>
        <v>4.7817835172995208E-4</v>
      </c>
      <c r="AI558" s="16">
        <f t="shared" ca="1" si="343"/>
        <v>3.5634455963048884E-4</v>
      </c>
      <c r="AJ558" s="16">
        <f t="shared" ca="1" si="344"/>
        <v>4.5040548050134148E-4</v>
      </c>
      <c r="AK558" s="16">
        <f t="shared" ca="1" si="345"/>
        <v>7.5878742534598604E-6</v>
      </c>
      <c r="AM558" s="16">
        <f t="shared" ca="1" si="346"/>
        <v>1.1437821495227823E-3</v>
      </c>
      <c r="AO558" s="16">
        <f t="shared" ca="1" si="347"/>
        <v>-1.4114624233900019E-4</v>
      </c>
      <c r="AP558" s="16">
        <f t="shared" ca="1" si="348"/>
        <v>0</v>
      </c>
      <c r="AQ558" s="16">
        <f t="shared" ca="1" si="349"/>
        <v>0</v>
      </c>
      <c r="AR558" s="16">
        <f t="shared" ca="1" si="350"/>
        <v>0</v>
      </c>
      <c r="AS558" s="16">
        <f t="shared" ca="1" si="351"/>
        <v>0</v>
      </c>
    </row>
    <row r="559" spans="1:45" x14ac:dyDescent="0.25">
      <c r="A559" s="69">
        <f t="shared" ca="1" si="352"/>
        <v>2453.0274274769195</v>
      </c>
      <c r="B559" s="69">
        <f t="shared" ca="1" si="353"/>
        <v>2138.3038379321624</v>
      </c>
      <c r="C559" s="69">
        <f t="shared" ca="1" si="354"/>
        <v>2229.2224431144996</v>
      </c>
      <c r="D559" s="69">
        <f t="shared" ca="1" si="355"/>
        <v>2905.8103156031179</v>
      </c>
      <c r="E559" s="69">
        <f t="shared" ca="1" si="356"/>
        <v>1931.0368380939499</v>
      </c>
      <c r="F559" s="69">
        <f t="shared" ca="1" si="357"/>
        <v>1221.6988188752771</v>
      </c>
      <c r="G559" s="69">
        <f t="shared" ca="1" si="358"/>
        <v>964.57557333101113</v>
      </c>
      <c r="H559" s="69">
        <f t="shared" ca="1" si="359"/>
        <v>1189.1925874853671</v>
      </c>
      <c r="I559" s="69">
        <f t="shared" ca="1" si="360"/>
        <v>1050.5981253829093</v>
      </c>
      <c r="J559" s="69">
        <f t="shared" ca="1" si="361"/>
        <v>1146.0300050921676</v>
      </c>
      <c r="K559" s="69">
        <f t="shared" ca="1" si="362"/>
        <v>1174.9148087254562</v>
      </c>
      <c r="L559" s="69">
        <f t="shared" ca="1" si="363"/>
        <v>956.09798647692492</v>
      </c>
      <c r="M559" s="69">
        <f t="shared" ca="1" si="364"/>
        <v>994.99897019862578</v>
      </c>
      <c r="N559" s="69">
        <f t="shared" ca="1" si="365"/>
        <v>575.26082735460341</v>
      </c>
      <c r="O559" s="69">
        <f t="shared" ca="1" si="366"/>
        <v>631.27335459149242</v>
      </c>
      <c r="P559" s="69">
        <f t="shared" ca="1" si="367"/>
        <v>725.41646658183174</v>
      </c>
      <c r="Q559" s="69">
        <f t="shared" ca="1" si="368"/>
        <v>956.90463522039875</v>
      </c>
      <c r="R559" s="69">
        <f t="shared" ca="1" si="369"/>
        <v>781.61327741529567</v>
      </c>
      <c r="S559" s="69">
        <f t="shared" ca="1" si="370"/>
        <v>700.85516313408061</v>
      </c>
      <c r="T559" s="69">
        <f t="shared" ca="1" si="371"/>
        <v>795.38720193549239</v>
      </c>
      <c r="U559" s="69">
        <f t="shared" ca="1" si="372"/>
        <v>1694.6249963142855</v>
      </c>
      <c r="V559" s="69">
        <f t="shared" ca="1" si="373"/>
        <v>1917.8148954118631</v>
      </c>
      <c r="W559" s="69">
        <f t="shared" ca="1" si="374"/>
        <v>1182.5369925028472</v>
      </c>
      <c r="X559" s="69">
        <f t="shared" ca="1" si="375"/>
        <v>1495.432750976069</v>
      </c>
      <c r="Y559" s="69">
        <f t="shared" ca="1" si="376"/>
        <v>1203.7836490025288</v>
      </c>
      <c r="AA559" s="20">
        <f t="shared" ca="1" si="336"/>
        <v>6.561196526531072E+16</v>
      </c>
      <c r="AB559" s="20">
        <f t="shared" ca="1" si="337"/>
        <v>1687272457044089</v>
      </c>
      <c r="AC559" s="20">
        <f t="shared" ca="1" si="338"/>
        <v>405894973070932.94</v>
      </c>
      <c r="AD559" s="20">
        <f t="shared" ca="1" si="339"/>
        <v>302450893600562.44</v>
      </c>
      <c r="AE559" s="20">
        <f t="shared" ca="1" si="340"/>
        <v>6918474724385344</v>
      </c>
      <c r="AG559" s="16">
        <f t="shared" ca="1" si="341"/>
        <v>-3.2970797575966512E-4</v>
      </c>
      <c r="AH559" s="16">
        <f t="shared" ca="1" si="342"/>
        <v>2.9625426252896767E-4</v>
      </c>
      <c r="AI559" s="16">
        <f t="shared" ca="1" si="343"/>
        <v>2.5133155040655132E-4</v>
      </c>
      <c r="AJ559" s="16">
        <f t="shared" ca="1" si="344"/>
        <v>8.3964758033850721E-5</v>
      </c>
      <c r="AK559" s="16">
        <f t="shared" ca="1" si="345"/>
        <v>1.3431565350985E-4</v>
      </c>
      <c r="AM559" s="16">
        <f t="shared" ca="1" si="346"/>
        <v>3.0184259520970458E-4</v>
      </c>
      <c r="AO559" s="16">
        <f t="shared" ca="1" si="347"/>
        <v>-3.2970797575966512E-4</v>
      </c>
      <c r="AP559" s="16">
        <f t="shared" ca="1" si="348"/>
        <v>0</v>
      </c>
      <c r="AQ559" s="16">
        <f t="shared" ca="1" si="349"/>
        <v>0</v>
      </c>
      <c r="AR559" s="16">
        <f t="shared" ca="1" si="350"/>
        <v>0</v>
      </c>
      <c r="AS559" s="16">
        <f t="shared" ca="1" si="351"/>
        <v>0</v>
      </c>
    </row>
    <row r="560" spans="1:45" x14ac:dyDescent="0.25">
      <c r="A560" s="69">
        <f t="shared" ca="1" si="352"/>
        <v>2453.0274274769195</v>
      </c>
      <c r="B560" s="69">
        <f t="shared" ca="1" si="353"/>
        <v>2138.3038379321624</v>
      </c>
      <c r="C560" s="69">
        <f t="shared" ca="1" si="354"/>
        <v>2228.915743234877</v>
      </c>
      <c r="D560" s="69">
        <f t="shared" ca="1" si="355"/>
        <v>2905.7217094100693</v>
      </c>
      <c r="E560" s="69">
        <f t="shared" ca="1" si="356"/>
        <v>1930.7247619381426</v>
      </c>
      <c r="F560" s="69">
        <f t="shared" ca="1" si="357"/>
        <v>1222.0192626469377</v>
      </c>
      <c r="G560" s="69">
        <f t="shared" ca="1" si="358"/>
        <v>964.66277715083345</v>
      </c>
      <c r="H560" s="69">
        <f t="shared" ca="1" si="359"/>
        <v>1188.8338435182789</v>
      </c>
      <c r="I560" s="69">
        <f t="shared" ca="1" si="360"/>
        <v>1050.6401461784674</v>
      </c>
      <c r="J560" s="69">
        <f t="shared" ca="1" si="361"/>
        <v>1146.2653232194996</v>
      </c>
      <c r="K560" s="69">
        <f t="shared" ca="1" si="362"/>
        <v>1175.0475566196803</v>
      </c>
      <c r="L560" s="69">
        <f t="shared" ca="1" si="363"/>
        <v>956.09798647692492</v>
      </c>
      <c r="M560" s="69">
        <f t="shared" ca="1" si="364"/>
        <v>994.72828702039635</v>
      </c>
      <c r="N560" s="69">
        <f t="shared" ca="1" si="365"/>
        <v>575.44797518420626</v>
      </c>
      <c r="O560" s="69">
        <f t="shared" ca="1" si="366"/>
        <v>631.32711579788793</v>
      </c>
      <c r="P560" s="69">
        <f t="shared" ca="1" si="367"/>
        <v>725.41646658183174</v>
      </c>
      <c r="Q560" s="69">
        <f t="shared" ca="1" si="368"/>
        <v>956.90463522039875</v>
      </c>
      <c r="R560" s="69">
        <f t="shared" ca="1" si="369"/>
        <v>781.64632586478808</v>
      </c>
      <c r="S560" s="69">
        <f t="shared" ca="1" si="370"/>
        <v>700.8843776973265</v>
      </c>
      <c r="T560" s="69">
        <f t="shared" ca="1" si="371"/>
        <v>795.38720193549239</v>
      </c>
      <c r="U560" s="69">
        <f t="shared" ca="1" si="372"/>
        <v>1694.6249963142855</v>
      </c>
      <c r="V560" s="69">
        <f t="shared" ca="1" si="373"/>
        <v>1918.1722718365618</v>
      </c>
      <c r="W560" s="69">
        <f t="shared" ca="1" si="374"/>
        <v>1182.5369925028472</v>
      </c>
      <c r="X560" s="69">
        <f t="shared" ca="1" si="375"/>
        <v>1495.1019830765667</v>
      </c>
      <c r="Y560" s="69">
        <f t="shared" ca="1" si="376"/>
        <v>1203.9873431226638</v>
      </c>
      <c r="AA560" s="20">
        <f t="shared" ca="1" si="336"/>
        <v>6.5590336042916984E+16</v>
      </c>
      <c r="AB560" s="20">
        <f t="shared" ca="1" si="337"/>
        <v>1687772392751921.8</v>
      </c>
      <c r="AC560" s="20">
        <f t="shared" ca="1" si="338"/>
        <v>405997000104586.31</v>
      </c>
      <c r="AD560" s="20">
        <f t="shared" ca="1" si="339"/>
        <v>302476289882842.19</v>
      </c>
      <c r="AE560" s="20">
        <f t="shared" ca="1" si="340"/>
        <v>6919404046249081</v>
      </c>
      <c r="AG560" s="16">
        <f t="shared" ca="1" si="341"/>
        <v>-6.0986654004079085E-5</v>
      </c>
      <c r="AH560" s="16">
        <f t="shared" ca="1" si="342"/>
        <v>3.2419275035723062E-4</v>
      </c>
      <c r="AI560" s="16">
        <f t="shared" ca="1" si="343"/>
        <v>1.0802062120339505E-3</v>
      </c>
      <c r="AJ560" s="16">
        <f t="shared" ca="1" si="344"/>
        <v>1.5242522837965007E-3</v>
      </c>
      <c r="AK560" s="16">
        <f t="shared" ca="1" si="345"/>
        <v>-8.963449432594742E-4</v>
      </c>
      <c r="AM560" s="16">
        <f t="shared" ca="1" si="346"/>
        <v>2.8676645921836027E-3</v>
      </c>
      <c r="AO560" s="16">
        <f t="shared" ca="1" si="347"/>
        <v>-6.0986654004079085E-5</v>
      </c>
      <c r="AP560" s="16">
        <f t="shared" ca="1" si="348"/>
        <v>0</v>
      </c>
      <c r="AQ560" s="16">
        <f t="shared" ca="1" si="349"/>
        <v>0</v>
      </c>
      <c r="AR560" s="16">
        <f t="shared" ca="1" si="350"/>
        <v>0</v>
      </c>
      <c r="AS560" s="16">
        <f t="shared" ca="1" si="351"/>
        <v>-8.963449432594742E-4</v>
      </c>
    </row>
    <row r="561" spans="1:45" x14ac:dyDescent="0.25">
      <c r="A561" s="69">
        <f t="shared" ca="1" si="352"/>
        <v>2453.4532433911245</v>
      </c>
      <c r="B561" s="69">
        <f t="shared" ca="1" si="353"/>
        <v>2138.4184811275345</v>
      </c>
      <c r="C561" s="69">
        <f t="shared" ca="1" si="354"/>
        <v>2228.5103027425066</v>
      </c>
      <c r="D561" s="69">
        <f t="shared" ca="1" si="355"/>
        <v>2905.4129775416018</v>
      </c>
      <c r="E561" s="69">
        <f t="shared" ca="1" si="356"/>
        <v>1930.7247619381426</v>
      </c>
      <c r="F561" s="69">
        <f t="shared" ca="1" si="357"/>
        <v>1222.0720759175667</v>
      </c>
      <c r="G561" s="69">
        <f t="shared" ca="1" si="358"/>
        <v>964.71386529951394</v>
      </c>
      <c r="H561" s="69">
        <f t="shared" ca="1" si="359"/>
        <v>1188.849343685815</v>
      </c>
      <c r="I561" s="69">
        <f t="shared" ca="1" si="360"/>
        <v>1050.6401461784674</v>
      </c>
      <c r="J561" s="69">
        <f t="shared" ca="1" si="361"/>
        <v>1146.5117731587507</v>
      </c>
      <c r="K561" s="69">
        <f t="shared" ca="1" si="362"/>
        <v>1175.4438198419398</v>
      </c>
      <c r="L561" s="69">
        <f t="shared" ca="1" si="363"/>
        <v>956.28065296466661</v>
      </c>
      <c r="M561" s="69">
        <f t="shared" ca="1" si="364"/>
        <v>994.96039483584616</v>
      </c>
      <c r="N561" s="69">
        <f t="shared" ca="1" si="365"/>
        <v>575.57864673605195</v>
      </c>
      <c r="O561" s="69">
        <f t="shared" ca="1" si="366"/>
        <v>631.38496862284831</v>
      </c>
      <c r="P561" s="69">
        <f t="shared" ca="1" si="367"/>
        <v>725.41646658183174</v>
      </c>
      <c r="Q561" s="69">
        <f t="shared" ca="1" si="368"/>
        <v>956.90463522039875</v>
      </c>
      <c r="R561" s="69">
        <f t="shared" ca="1" si="369"/>
        <v>781.84996828888666</v>
      </c>
      <c r="S561" s="69">
        <f t="shared" ca="1" si="370"/>
        <v>701.33510883905058</v>
      </c>
      <c r="T561" s="69">
        <f t="shared" ca="1" si="371"/>
        <v>795.88119020164118</v>
      </c>
      <c r="U561" s="69">
        <f t="shared" ca="1" si="372"/>
        <v>1694.3428861471932</v>
      </c>
      <c r="V561" s="69">
        <f t="shared" ca="1" si="373"/>
        <v>1917.8133466766556</v>
      </c>
      <c r="W561" s="69">
        <f t="shared" ca="1" si="374"/>
        <v>1182.5369925028472</v>
      </c>
      <c r="X561" s="69">
        <f t="shared" ca="1" si="375"/>
        <v>1494.7532471959798</v>
      </c>
      <c r="Y561" s="69">
        <f t="shared" ca="1" si="376"/>
        <v>1203.6148361333385</v>
      </c>
      <c r="AA561" s="20">
        <f t="shared" ca="1" si="336"/>
        <v>6.5586336029761672E+16</v>
      </c>
      <c r="AB561" s="20">
        <f t="shared" ca="1" si="337"/>
        <v>1688319645028722.5</v>
      </c>
      <c r="AC561" s="20">
        <f t="shared" ca="1" si="338"/>
        <v>406435797539356.44</v>
      </c>
      <c r="AD561" s="20">
        <f t="shared" ca="1" si="339"/>
        <v>302937691615479.81</v>
      </c>
      <c r="AE561" s="20">
        <f t="shared" ca="1" si="340"/>
        <v>6913204652234662</v>
      </c>
      <c r="AG561" s="16">
        <f t="shared" ca="1" si="341"/>
        <v>-3.0546180341514087E-4</v>
      </c>
      <c r="AH561" s="16">
        <f t="shared" ca="1" si="342"/>
        <v>-4.0973975948988071E-4</v>
      </c>
      <c r="AI561" s="16">
        <f t="shared" ca="1" si="343"/>
        <v>-2.7726111624847238E-4</v>
      </c>
      <c r="AJ561" s="16">
        <f t="shared" ca="1" si="344"/>
        <v>-8.4180485840594456E-4</v>
      </c>
      <c r="AK561" s="16">
        <f t="shared" ca="1" si="345"/>
        <v>-4.4456356784933611E-5</v>
      </c>
      <c r="AM561" s="16">
        <f t="shared" ca="1" si="346"/>
        <v>-1.8342675375594385E-3</v>
      </c>
      <c r="AO561" s="16">
        <f t="shared" ca="1" si="347"/>
        <v>-3.0546180341514087E-4</v>
      </c>
      <c r="AP561" s="16">
        <f t="shared" ca="1" si="348"/>
        <v>-4.0973975948988071E-4</v>
      </c>
      <c r="AQ561" s="16">
        <f t="shared" ca="1" si="349"/>
        <v>-2.7726111624847238E-4</v>
      </c>
      <c r="AR561" s="16">
        <f t="shared" ca="1" si="350"/>
        <v>-8.4180485840594456E-4</v>
      </c>
      <c r="AS561" s="16">
        <f t="shared" ca="1" si="351"/>
        <v>-4.4456356784933611E-5</v>
      </c>
    </row>
    <row r="562" spans="1:45" x14ac:dyDescent="0.25">
      <c r="A562" s="69">
        <f t="shared" ca="1" si="352"/>
        <v>2453.5761802054844</v>
      </c>
      <c r="B562" s="69">
        <f t="shared" ca="1" si="353"/>
        <v>2138.1629359621375</v>
      </c>
      <c r="C562" s="69">
        <f t="shared" ca="1" si="354"/>
        <v>2228.0263744301965</v>
      </c>
      <c r="D562" s="69">
        <f t="shared" ca="1" si="355"/>
        <v>2905.3581172621693</v>
      </c>
      <c r="E562" s="69">
        <f t="shared" ca="1" si="356"/>
        <v>1930.7247619381426</v>
      </c>
      <c r="F562" s="69">
        <f t="shared" ca="1" si="357"/>
        <v>1222.0720759175667</v>
      </c>
      <c r="G562" s="69">
        <f t="shared" ca="1" si="358"/>
        <v>964.31866464260963</v>
      </c>
      <c r="H562" s="69">
        <f t="shared" ca="1" si="359"/>
        <v>1188.849343685815</v>
      </c>
      <c r="I562" s="69">
        <f t="shared" ca="1" si="360"/>
        <v>1050.6401461784674</v>
      </c>
      <c r="J562" s="69">
        <f t="shared" ca="1" si="361"/>
        <v>1146.5117731587507</v>
      </c>
      <c r="K562" s="69">
        <f t="shared" ca="1" si="362"/>
        <v>1175.4438198419398</v>
      </c>
      <c r="L562" s="69">
        <f t="shared" ca="1" si="363"/>
        <v>956.33508400887581</v>
      </c>
      <c r="M562" s="69">
        <f t="shared" ca="1" si="364"/>
        <v>994.89104704674025</v>
      </c>
      <c r="N562" s="69">
        <f t="shared" ca="1" si="365"/>
        <v>575.42643923356081</v>
      </c>
      <c r="O562" s="69">
        <f t="shared" ca="1" si="366"/>
        <v>631.38496862284831</v>
      </c>
      <c r="P562" s="69">
        <f t="shared" ca="1" si="367"/>
        <v>724.96005370943874</v>
      </c>
      <c r="Q562" s="69">
        <f t="shared" ca="1" si="368"/>
        <v>957.1237557165631</v>
      </c>
      <c r="R562" s="69">
        <f t="shared" ca="1" si="369"/>
        <v>781.9367687851875</v>
      </c>
      <c r="S562" s="69">
        <f t="shared" ca="1" si="370"/>
        <v>700.94779191397822</v>
      </c>
      <c r="T562" s="69">
        <f t="shared" ca="1" si="371"/>
        <v>795.88119020164118</v>
      </c>
      <c r="U562" s="69">
        <f t="shared" ca="1" si="372"/>
        <v>1694.6388422929356</v>
      </c>
      <c r="V562" s="69">
        <f t="shared" ca="1" si="373"/>
        <v>1917.7927690025062</v>
      </c>
      <c r="W562" s="69">
        <f t="shared" ca="1" si="374"/>
        <v>1182.2905959150291</v>
      </c>
      <c r="X562" s="69">
        <f t="shared" ca="1" si="375"/>
        <v>1494.7532471959798</v>
      </c>
      <c r="Y562" s="69">
        <f t="shared" ca="1" si="376"/>
        <v>1203.6148361333385</v>
      </c>
      <c r="AA562" s="20">
        <f t="shared" ca="1" si="336"/>
        <v>6.5566304968796384E+16</v>
      </c>
      <c r="AB562" s="20">
        <f t="shared" ca="1" si="337"/>
        <v>1687628015047253.8</v>
      </c>
      <c r="AC562" s="20">
        <f t="shared" ca="1" si="338"/>
        <v>406323124317120.81</v>
      </c>
      <c r="AD562" s="20">
        <f t="shared" ca="1" si="339"/>
        <v>302682784500960.38</v>
      </c>
      <c r="AE562" s="20">
        <f t="shared" ca="1" si="340"/>
        <v>6912897323173531</v>
      </c>
      <c r="AG562" s="16">
        <f t="shared" ca="1" si="341"/>
        <v>8.5454180035608287E-5</v>
      </c>
      <c r="AH562" s="16">
        <f t="shared" ca="1" si="342"/>
        <v>3.9994213739989162E-4</v>
      </c>
      <c r="AI562" s="16">
        <f t="shared" ca="1" si="343"/>
        <v>4.1303388747665498E-4</v>
      </c>
      <c r="AJ562" s="16">
        <f t="shared" ca="1" si="344"/>
        <v>-6.7949954042969998E-4</v>
      </c>
      <c r="AK562" s="16">
        <f t="shared" ca="1" si="345"/>
        <v>2.3357495861211038E-4</v>
      </c>
      <c r="AM562" s="16">
        <f t="shared" ca="1" si="346"/>
        <v>2.1893066448245495E-4</v>
      </c>
      <c r="AO562" s="16">
        <f t="shared" ca="1" si="347"/>
        <v>0</v>
      </c>
      <c r="AP562" s="16">
        <f t="shared" ca="1" si="348"/>
        <v>0</v>
      </c>
      <c r="AQ562" s="16">
        <f t="shared" ca="1" si="349"/>
        <v>0</v>
      </c>
      <c r="AR562" s="16">
        <f t="shared" ca="1" si="350"/>
        <v>-6.7949954042969998E-4</v>
      </c>
      <c r="AS562" s="16">
        <f t="shared" ca="1" si="351"/>
        <v>0</v>
      </c>
    </row>
    <row r="563" spans="1:45" x14ac:dyDescent="0.25">
      <c r="A563" s="69">
        <f t="shared" ca="1" si="352"/>
        <v>2453.5761802054844</v>
      </c>
      <c r="B563" s="69">
        <f t="shared" ca="1" si="353"/>
        <v>2138.1629359621375</v>
      </c>
      <c r="C563" s="69">
        <f t="shared" ca="1" si="354"/>
        <v>2227.648564295253</v>
      </c>
      <c r="D563" s="69">
        <f t="shared" ca="1" si="355"/>
        <v>2905.3581172621693</v>
      </c>
      <c r="E563" s="69">
        <f t="shared" ca="1" si="356"/>
        <v>1931.217237205522</v>
      </c>
      <c r="F563" s="69">
        <f t="shared" ca="1" si="357"/>
        <v>1222.0720759175667</v>
      </c>
      <c r="G563" s="69">
        <f t="shared" ca="1" si="358"/>
        <v>964.31866464260963</v>
      </c>
      <c r="H563" s="69">
        <f t="shared" ca="1" si="359"/>
        <v>1189.2624342341492</v>
      </c>
      <c r="I563" s="69">
        <f t="shared" ca="1" si="360"/>
        <v>1050.6953394297725</v>
      </c>
      <c r="J563" s="69">
        <f t="shared" ca="1" si="361"/>
        <v>1146.5117731587507</v>
      </c>
      <c r="K563" s="69">
        <f t="shared" ca="1" si="362"/>
        <v>1175.7309472857457</v>
      </c>
      <c r="L563" s="69">
        <f t="shared" ca="1" si="363"/>
        <v>956.33508400887581</v>
      </c>
      <c r="M563" s="69">
        <f t="shared" ca="1" si="364"/>
        <v>994.93470910983274</v>
      </c>
      <c r="N563" s="69">
        <f t="shared" ca="1" si="365"/>
        <v>575.42643923356081</v>
      </c>
      <c r="O563" s="69">
        <f t="shared" ca="1" si="366"/>
        <v>631.46383787990158</v>
      </c>
      <c r="P563" s="69">
        <f t="shared" ca="1" si="367"/>
        <v>724.97430469816675</v>
      </c>
      <c r="Q563" s="69">
        <f t="shared" ca="1" si="368"/>
        <v>957.01301924414463</v>
      </c>
      <c r="R563" s="69">
        <f t="shared" ca="1" si="369"/>
        <v>781.53621819349542</v>
      </c>
      <c r="S563" s="69">
        <f t="shared" ca="1" si="370"/>
        <v>700.89797911736275</v>
      </c>
      <c r="T563" s="69">
        <f t="shared" ca="1" si="371"/>
        <v>795.88119020164118</v>
      </c>
      <c r="U563" s="69">
        <f t="shared" ca="1" si="372"/>
        <v>1694.6187795368337</v>
      </c>
      <c r="V563" s="69">
        <f t="shared" ca="1" si="373"/>
        <v>1918.1147444181784</v>
      </c>
      <c r="W563" s="69">
        <f t="shared" ca="1" si="374"/>
        <v>1182.7272342207832</v>
      </c>
      <c r="X563" s="69">
        <f t="shared" ca="1" si="375"/>
        <v>1494.3172795611727</v>
      </c>
      <c r="Y563" s="69">
        <f t="shared" ca="1" si="376"/>
        <v>1203.6148361333385</v>
      </c>
      <c r="AA563" s="20">
        <f t="shared" ca="1" si="336"/>
        <v>6.5571908123028528E+16</v>
      </c>
      <c r="AB563" s="20">
        <f t="shared" ca="1" si="337"/>
        <v>1688303103591906.8</v>
      </c>
      <c r="AC563" s="20">
        <f t="shared" ca="1" si="338"/>
        <v>406490984200252.88</v>
      </c>
      <c r="AD563" s="20">
        <f t="shared" ca="1" si="339"/>
        <v>302477181549462.44</v>
      </c>
      <c r="AE563" s="20">
        <f t="shared" ca="1" si="340"/>
        <v>6914512191468737</v>
      </c>
      <c r="AG563" s="16">
        <f t="shared" ca="1" si="341"/>
        <v>8.2298343418427773E-5</v>
      </c>
      <c r="AH563" s="16">
        <f t="shared" ca="1" si="342"/>
        <v>1.1717159415580904E-3</v>
      </c>
      <c r="AI563" s="16">
        <f t="shared" ca="1" si="343"/>
        <v>-1.1285118016269566E-4</v>
      </c>
      <c r="AJ563" s="16">
        <f t="shared" ca="1" si="344"/>
        <v>2.4181529274121464E-4</v>
      </c>
      <c r="AK563" s="16">
        <f t="shared" ca="1" si="345"/>
        <v>2.7023022654877967E-4</v>
      </c>
      <c r="AM563" s="16">
        <f t="shared" ca="1" si="346"/>
        <v>1.3829783975550371E-3</v>
      </c>
      <c r="AO563" s="16">
        <f t="shared" ca="1" si="347"/>
        <v>0</v>
      </c>
      <c r="AP563" s="16">
        <f t="shared" ca="1" si="348"/>
        <v>0</v>
      </c>
      <c r="AQ563" s="16">
        <f t="shared" ca="1" si="349"/>
        <v>-1.1285118016269566E-4</v>
      </c>
      <c r="AR563" s="16">
        <f t="shared" ca="1" si="350"/>
        <v>0</v>
      </c>
      <c r="AS563" s="16">
        <f t="shared" ca="1" si="351"/>
        <v>0</v>
      </c>
    </row>
    <row r="564" spans="1:45" x14ac:dyDescent="0.25">
      <c r="A564" s="69">
        <f t="shared" ca="1" si="352"/>
        <v>2453.88474760904</v>
      </c>
      <c r="B564" s="69">
        <f t="shared" ca="1" si="353"/>
        <v>2138.3635987232242</v>
      </c>
      <c r="C564" s="69">
        <f t="shared" ca="1" si="354"/>
        <v>2227.342557952979</v>
      </c>
      <c r="D564" s="69">
        <f t="shared" ca="1" si="355"/>
        <v>2905.3583409639095</v>
      </c>
      <c r="E564" s="69">
        <f t="shared" ca="1" si="356"/>
        <v>1931.217237205522</v>
      </c>
      <c r="F564" s="69">
        <f t="shared" ca="1" si="357"/>
        <v>1222.3902228372644</v>
      </c>
      <c r="G564" s="69">
        <f t="shared" ca="1" si="358"/>
        <v>964.78017474948342</v>
      </c>
      <c r="H564" s="69">
        <f t="shared" ca="1" si="359"/>
        <v>1189.2624342341492</v>
      </c>
      <c r="I564" s="69">
        <f t="shared" ca="1" si="360"/>
        <v>1051.150329719165</v>
      </c>
      <c r="J564" s="69">
        <f t="shared" ca="1" si="361"/>
        <v>1146.5117731587507</v>
      </c>
      <c r="K564" s="69">
        <f t="shared" ca="1" si="362"/>
        <v>1175.3586099929305</v>
      </c>
      <c r="L564" s="69">
        <f t="shared" ca="1" si="363"/>
        <v>956.7064345869702</v>
      </c>
      <c r="M564" s="69">
        <f t="shared" ca="1" si="364"/>
        <v>994.59769790042196</v>
      </c>
      <c r="N564" s="69">
        <f t="shared" ca="1" si="365"/>
        <v>575.48801231803327</v>
      </c>
      <c r="O564" s="69">
        <f t="shared" ca="1" si="366"/>
        <v>631.49379524685196</v>
      </c>
      <c r="P564" s="69">
        <f t="shared" ca="1" si="367"/>
        <v>725.4351063769268</v>
      </c>
      <c r="Q564" s="69">
        <f t="shared" ca="1" si="368"/>
        <v>957.46580453467743</v>
      </c>
      <c r="R564" s="69">
        <f t="shared" ca="1" si="369"/>
        <v>781.33821433862136</v>
      </c>
      <c r="S564" s="69">
        <f t="shared" ca="1" si="370"/>
        <v>700.49277587187657</v>
      </c>
      <c r="T564" s="69">
        <f t="shared" ca="1" si="371"/>
        <v>795.85338749269897</v>
      </c>
      <c r="U564" s="69">
        <f t="shared" ca="1" si="372"/>
        <v>1695.0378328394117</v>
      </c>
      <c r="V564" s="69">
        <f t="shared" ca="1" si="373"/>
        <v>1917.8010991096307</v>
      </c>
      <c r="W564" s="69">
        <f t="shared" ca="1" si="374"/>
        <v>1182.9478416455199</v>
      </c>
      <c r="X564" s="69">
        <f t="shared" ca="1" si="375"/>
        <v>1494.3172795611727</v>
      </c>
      <c r="Y564" s="69">
        <f t="shared" ca="1" si="376"/>
        <v>1203.6148361333385</v>
      </c>
      <c r="AA564" s="20">
        <f t="shared" ca="1" si="336"/>
        <v>6.5577304804507768E+16</v>
      </c>
      <c r="AB564" s="20">
        <f t="shared" ca="1" si="337"/>
        <v>1690282474656423.3</v>
      </c>
      <c r="AC564" s="20">
        <f t="shared" ca="1" si="338"/>
        <v>406445113801273.38</v>
      </c>
      <c r="AD564" s="20">
        <f t="shared" ca="1" si="339"/>
        <v>302550334002000.75</v>
      </c>
      <c r="AE564" s="20">
        <f t="shared" ca="1" si="340"/>
        <v>6916380954151422</v>
      </c>
      <c r="AG564" s="16">
        <f t="shared" ca="1" si="341"/>
        <v>-8.4369777415390165E-5</v>
      </c>
      <c r="AH564" s="16">
        <f t="shared" ca="1" si="342"/>
        <v>8.2391868501673668E-4</v>
      </c>
      <c r="AI564" s="16">
        <f t="shared" ca="1" si="343"/>
        <v>1.489459125458938E-3</v>
      </c>
      <c r="AJ564" s="16">
        <f t="shared" ca="1" si="344"/>
        <v>-1.0147932104246121E-3</v>
      </c>
      <c r="AK564" s="16">
        <f t="shared" ca="1" si="345"/>
        <v>4.613873246016425E-4</v>
      </c>
      <c r="AM564" s="16">
        <f t="shared" ca="1" si="346"/>
        <v>1.2142148226356726E-3</v>
      </c>
      <c r="AO564" s="16">
        <f t="shared" ca="1" si="347"/>
        <v>-8.4369777415390165E-5</v>
      </c>
      <c r="AP564" s="16">
        <f t="shared" ca="1" si="348"/>
        <v>0</v>
      </c>
      <c r="AQ564" s="16">
        <f t="shared" ca="1" si="349"/>
        <v>0</v>
      </c>
      <c r="AR564" s="16">
        <f t="shared" ca="1" si="350"/>
        <v>-1.0147932104246121E-3</v>
      </c>
      <c r="AS564" s="16">
        <f t="shared" ca="1" si="351"/>
        <v>0</v>
      </c>
    </row>
    <row r="565" spans="1:45" x14ac:dyDescent="0.25">
      <c r="A565" s="69">
        <f t="shared" ca="1" si="352"/>
        <v>2453.5420240421108</v>
      </c>
      <c r="B565" s="69">
        <f t="shared" ca="1" si="353"/>
        <v>2138.1419559149981</v>
      </c>
      <c r="C565" s="69">
        <f t="shared" ca="1" si="354"/>
        <v>2227.4817049462899</v>
      </c>
      <c r="D565" s="69">
        <f t="shared" ca="1" si="355"/>
        <v>2905.3193433574538</v>
      </c>
      <c r="E565" s="69">
        <f t="shared" ca="1" si="356"/>
        <v>1931.4295171027336</v>
      </c>
      <c r="F565" s="69">
        <f t="shared" ca="1" si="357"/>
        <v>1222.3902228372644</v>
      </c>
      <c r="G565" s="69">
        <f t="shared" ca="1" si="358"/>
        <v>965.12630854547001</v>
      </c>
      <c r="H565" s="69">
        <f t="shared" ca="1" si="359"/>
        <v>1189.5342125909442</v>
      </c>
      <c r="I565" s="69">
        <f t="shared" ca="1" si="360"/>
        <v>1051.150329719165</v>
      </c>
      <c r="J565" s="69">
        <f t="shared" ca="1" si="361"/>
        <v>1146.7831992048154</v>
      </c>
      <c r="K565" s="69">
        <f t="shared" ca="1" si="362"/>
        <v>1175.751466334113</v>
      </c>
      <c r="L565" s="69">
        <f t="shared" ca="1" si="363"/>
        <v>957.10628645233612</v>
      </c>
      <c r="M565" s="69">
        <f t="shared" ca="1" si="364"/>
        <v>995.06472560555994</v>
      </c>
      <c r="N565" s="69">
        <f t="shared" ca="1" si="365"/>
        <v>575.64223959989658</v>
      </c>
      <c r="O565" s="69">
        <f t="shared" ca="1" si="366"/>
        <v>631.49379524685196</v>
      </c>
      <c r="P565" s="69">
        <f t="shared" ca="1" si="367"/>
        <v>725.41083150190616</v>
      </c>
      <c r="Q565" s="69">
        <f t="shared" ca="1" si="368"/>
        <v>956.97231786671921</v>
      </c>
      <c r="R565" s="69">
        <f t="shared" ca="1" si="369"/>
        <v>780.974361046166</v>
      </c>
      <c r="S565" s="69">
        <f t="shared" ca="1" si="370"/>
        <v>700.49277587187657</v>
      </c>
      <c r="T565" s="69">
        <f t="shared" ca="1" si="371"/>
        <v>795.85338749269897</v>
      </c>
      <c r="U565" s="69">
        <f t="shared" ca="1" si="372"/>
        <v>1695.407211930253</v>
      </c>
      <c r="V565" s="69">
        <f t="shared" ca="1" si="373"/>
        <v>1917.6488600259211</v>
      </c>
      <c r="W565" s="69">
        <f t="shared" ca="1" si="374"/>
        <v>1183.1297245719365</v>
      </c>
      <c r="X565" s="69">
        <f t="shared" ca="1" si="375"/>
        <v>1494.0414907615561</v>
      </c>
      <c r="Y565" s="69">
        <f t="shared" ca="1" si="376"/>
        <v>1204.0406440773309</v>
      </c>
      <c r="AA565" s="20">
        <f t="shared" ca="1" si="336"/>
        <v>6.557177229528948E+16</v>
      </c>
      <c r="AB565" s="20">
        <f t="shared" ca="1" si="337"/>
        <v>1691675703845214.3</v>
      </c>
      <c r="AC565" s="20">
        <f t="shared" ca="1" si="338"/>
        <v>407050948255848.25</v>
      </c>
      <c r="AD565" s="20">
        <f t="shared" ca="1" si="339"/>
        <v>302243463708523.69</v>
      </c>
      <c r="AE565" s="20">
        <f t="shared" ca="1" si="340"/>
        <v>6919572820942600</v>
      </c>
      <c r="AG565" s="16">
        <f t="shared" ca="1" si="341"/>
        <v>1.2479628093546661E-4</v>
      </c>
      <c r="AH565" s="16">
        <f t="shared" ca="1" si="342"/>
        <v>2.2674859541338889E-5</v>
      </c>
      <c r="AI565" s="16">
        <f t="shared" ca="1" si="343"/>
        <v>-4.8574708274649653E-4</v>
      </c>
      <c r="AJ565" s="16">
        <f t="shared" ca="1" si="344"/>
        <v>-1.752501572201358E-3</v>
      </c>
      <c r="AK565" s="16">
        <f t="shared" ca="1" si="345"/>
        <v>1.1481633379243468E-4</v>
      </c>
      <c r="AM565" s="16">
        <f t="shared" ca="1" si="346"/>
        <v>-2.0907775144710489E-3</v>
      </c>
      <c r="AO565" s="16">
        <f t="shared" ca="1" si="347"/>
        <v>0</v>
      </c>
      <c r="AP565" s="16">
        <f t="shared" ca="1" si="348"/>
        <v>0</v>
      </c>
      <c r="AQ565" s="16">
        <f t="shared" ca="1" si="349"/>
        <v>-4.8574708274649653E-4</v>
      </c>
      <c r="AR565" s="16">
        <f t="shared" ca="1" si="350"/>
        <v>-1.752501572201358E-3</v>
      </c>
      <c r="AS565" s="16">
        <f t="shared" ca="1" si="351"/>
        <v>0</v>
      </c>
    </row>
    <row r="566" spans="1:45" x14ac:dyDescent="0.25">
      <c r="A566" s="69">
        <f t="shared" ca="1" si="352"/>
        <v>2453.5420240421108</v>
      </c>
      <c r="B566" s="69">
        <f t="shared" ca="1" si="353"/>
        <v>2138.2009859478553</v>
      </c>
      <c r="C566" s="69">
        <f t="shared" ca="1" si="354"/>
        <v>2227.9611572479425</v>
      </c>
      <c r="D566" s="69">
        <f t="shared" ca="1" si="355"/>
        <v>2905.539991888546</v>
      </c>
      <c r="E566" s="69">
        <f t="shared" ca="1" si="356"/>
        <v>1931.0549026796261</v>
      </c>
      <c r="F566" s="69">
        <f t="shared" ca="1" si="357"/>
        <v>1221.9338326407485</v>
      </c>
      <c r="G566" s="69">
        <f t="shared" ca="1" si="358"/>
        <v>965.46460613931504</v>
      </c>
      <c r="H566" s="69">
        <f t="shared" ca="1" si="359"/>
        <v>1189.5342125909442</v>
      </c>
      <c r="I566" s="69">
        <f t="shared" ca="1" si="360"/>
        <v>1051.198308741144</v>
      </c>
      <c r="J566" s="69">
        <f t="shared" ca="1" si="361"/>
        <v>1146.7831992048154</v>
      </c>
      <c r="K566" s="69">
        <f t="shared" ca="1" si="362"/>
        <v>1175.401505934974</v>
      </c>
      <c r="L566" s="69">
        <f t="shared" ca="1" si="363"/>
        <v>957.10628645233612</v>
      </c>
      <c r="M566" s="69">
        <f t="shared" ca="1" si="364"/>
        <v>994.71669223002914</v>
      </c>
      <c r="N566" s="69">
        <f t="shared" ca="1" si="365"/>
        <v>575.73536659901481</v>
      </c>
      <c r="O566" s="69">
        <f t="shared" ca="1" si="366"/>
        <v>631.49379524685196</v>
      </c>
      <c r="P566" s="69">
        <f t="shared" ca="1" si="367"/>
        <v>725.07554586851563</v>
      </c>
      <c r="Q566" s="69">
        <f t="shared" ca="1" si="368"/>
        <v>956.86148198363537</v>
      </c>
      <c r="R566" s="69">
        <f t="shared" ca="1" si="369"/>
        <v>780.53774347331853</v>
      </c>
      <c r="S566" s="69">
        <f t="shared" ca="1" si="370"/>
        <v>700.49277587187657</v>
      </c>
      <c r="T566" s="69">
        <f t="shared" ca="1" si="371"/>
        <v>795.3639739296292</v>
      </c>
      <c r="U566" s="69">
        <f t="shared" ca="1" si="372"/>
        <v>1695.6206707840938</v>
      </c>
      <c r="V566" s="69">
        <f t="shared" ca="1" si="373"/>
        <v>1917.6488600259211</v>
      </c>
      <c r="W566" s="69">
        <f t="shared" ca="1" si="374"/>
        <v>1182.9211880793687</v>
      </c>
      <c r="X566" s="69">
        <f t="shared" ca="1" si="375"/>
        <v>1494.2883177851525</v>
      </c>
      <c r="Y566" s="69">
        <f t="shared" ca="1" si="376"/>
        <v>1204.0406440773309</v>
      </c>
      <c r="AA566" s="20">
        <f t="shared" ca="1" si="336"/>
        <v>6.5579955919238576E+16</v>
      </c>
      <c r="AB566" s="20">
        <f t="shared" ca="1" si="337"/>
        <v>1691714062789078.8</v>
      </c>
      <c r="AC566" s="20">
        <f t="shared" ca="1" si="338"/>
        <v>406853272459311.31</v>
      </c>
      <c r="AD566" s="20">
        <f t="shared" ca="1" si="339"/>
        <v>301714245426569.81</v>
      </c>
      <c r="AE566" s="20">
        <f t="shared" ca="1" si="340"/>
        <v>6920367346536695</v>
      </c>
      <c r="AG566" s="16">
        <f t="shared" ca="1" si="341"/>
        <v>2.8193499636372472E-4</v>
      </c>
      <c r="AH566" s="16">
        <f t="shared" ca="1" si="342"/>
        <v>-1.657994842493791E-4</v>
      </c>
      <c r="AI566" s="16">
        <f t="shared" ca="1" si="343"/>
        <v>-2.2020448572728047E-4</v>
      </c>
      <c r="AJ566" s="16">
        <f t="shared" ca="1" si="344"/>
        <v>-1.0682190435477054E-3</v>
      </c>
      <c r="AK566" s="16">
        <f t="shared" ca="1" si="345"/>
        <v>-2.5306560432672453E-4</v>
      </c>
      <c r="AM566" s="16">
        <f t="shared" ca="1" si="346"/>
        <v>-1.1722880171606402E-3</v>
      </c>
      <c r="AO566" s="16">
        <f t="shared" ca="1" si="347"/>
        <v>0</v>
      </c>
      <c r="AP566" s="16">
        <f t="shared" ca="1" si="348"/>
        <v>-1.657994842493791E-4</v>
      </c>
      <c r="AQ566" s="16">
        <f t="shared" ca="1" si="349"/>
        <v>-2.2020448572728047E-4</v>
      </c>
      <c r="AR566" s="16">
        <f t="shared" ca="1" si="350"/>
        <v>-1.0682190435477054E-3</v>
      </c>
      <c r="AS566" s="16">
        <f t="shared" ca="1" si="351"/>
        <v>-2.5306560432672453E-4</v>
      </c>
    </row>
    <row r="567" spans="1:45" x14ac:dyDescent="0.25">
      <c r="A567" s="69">
        <f t="shared" ca="1" si="352"/>
        <v>2453.8862409377671</v>
      </c>
      <c r="B567" s="69">
        <f t="shared" ca="1" si="353"/>
        <v>2137.7679081265696</v>
      </c>
      <c r="C567" s="69">
        <f t="shared" ca="1" si="354"/>
        <v>2228.1357442821345</v>
      </c>
      <c r="D567" s="69">
        <f t="shared" ca="1" si="355"/>
        <v>2905.8102538396115</v>
      </c>
      <c r="E567" s="69">
        <f t="shared" ca="1" si="356"/>
        <v>1931.3887029477273</v>
      </c>
      <c r="F567" s="69">
        <f t="shared" ca="1" si="357"/>
        <v>1221.9338326407485</v>
      </c>
      <c r="G567" s="69">
        <f t="shared" ca="1" si="358"/>
        <v>965.46460613931504</v>
      </c>
      <c r="H567" s="69">
        <f t="shared" ca="1" si="359"/>
        <v>1189.6923294840185</v>
      </c>
      <c r="I567" s="69">
        <f t="shared" ca="1" si="360"/>
        <v>1051.198308741144</v>
      </c>
      <c r="J567" s="69">
        <f t="shared" ca="1" si="361"/>
        <v>1146.4406901462396</v>
      </c>
      <c r="K567" s="69">
        <f t="shared" ca="1" si="362"/>
        <v>1175.4522398356298</v>
      </c>
      <c r="L567" s="69">
        <f t="shared" ca="1" si="363"/>
        <v>957.10717558031342</v>
      </c>
      <c r="M567" s="69">
        <f t="shared" ca="1" si="364"/>
        <v>994.34943015532554</v>
      </c>
      <c r="N567" s="69">
        <f t="shared" ca="1" si="365"/>
        <v>575.7958135494539</v>
      </c>
      <c r="O567" s="69">
        <f t="shared" ca="1" si="366"/>
        <v>631.49379524685196</v>
      </c>
      <c r="P567" s="69">
        <f t="shared" ca="1" si="367"/>
        <v>725.01136242998609</v>
      </c>
      <c r="Q567" s="69">
        <f t="shared" ca="1" si="368"/>
        <v>957.08136814781221</v>
      </c>
      <c r="R567" s="69">
        <f t="shared" ca="1" si="369"/>
        <v>780.53774347331853</v>
      </c>
      <c r="S567" s="69">
        <f t="shared" ca="1" si="370"/>
        <v>700.02870010827098</v>
      </c>
      <c r="T567" s="69">
        <f t="shared" ca="1" si="371"/>
        <v>794.92922762589023</v>
      </c>
      <c r="U567" s="69">
        <f t="shared" ca="1" si="372"/>
        <v>1695.1625989438569</v>
      </c>
      <c r="V567" s="69">
        <f t="shared" ca="1" si="373"/>
        <v>1917.6488600259211</v>
      </c>
      <c r="W567" s="69">
        <f t="shared" ca="1" si="374"/>
        <v>1182.9211880793687</v>
      </c>
      <c r="X567" s="69">
        <f t="shared" ca="1" si="375"/>
        <v>1494.2883177851525</v>
      </c>
      <c r="Y567" s="69">
        <f t="shared" ca="1" si="376"/>
        <v>1204.0612584448954</v>
      </c>
      <c r="AA567" s="20">
        <f t="shared" ca="1" si="336"/>
        <v>6.5598447810505352E+16</v>
      </c>
      <c r="AB567" s="20">
        <f t="shared" ca="1" si="337"/>
        <v>1691433600720846.5</v>
      </c>
      <c r="AC567" s="20">
        <f t="shared" ca="1" si="338"/>
        <v>406763691407119.69</v>
      </c>
      <c r="AD567" s="20">
        <f t="shared" ca="1" si="339"/>
        <v>301392120604461.38</v>
      </c>
      <c r="AE567" s="20">
        <f t="shared" ca="1" si="340"/>
        <v>6918616261171064</v>
      </c>
      <c r="AG567" s="16">
        <f t="shared" ca="1" si="341"/>
        <v>4.3501040275332009E-5</v>
      </c>
      <c r="AH567" s="16">
        <f t="shared" ca="1" si="342"/>
        <v>2.8888583306869065E-4</v>
      </c>
      <c r="AI567" s="16">
        <f t="shared" ca="1" si="343"/>
        <v>-6.85190915342059E-5</v>
      </c>
      <c r="AJ567" s="16">
        <f t="shared" ca="1" si="344"/>
        <v>-5.6160657187238807E-4</v>
      </c>
      <c r="AK567" s="16">
        <f t="shared" ca="1" si="345"/>
        <v>-6.4161424722211993E-4</v>
      </c>
      <c r="AM567" s="16">
        <f t="shared" ca="1" si="346"/>
        <v>-2.9773879006257133E-4</v>
      </c>
      <c r="AO567" s="16">
        <f t="shared" ca="1" si="347"/>
        <v>0</v>
      </c>
      <c r="AP567" s="16">
        <f t="shared" ca="1" si="348"/>
        <v>0</v>
      </c>
      <c r="AQ567" s="16">
        <f t="shared" ca="1" si="349"/>
        <v>-6.85190915342059E-5</v>
      </c>
      <c r="AR567" s="16">
        <f t="shared" ca="1" si="350"/>
        <v>-5.6160657187238807E-4</v>
      </c>
      <c r="AS567" s="16">
        <f t="shared" ca="1" si="351"/>
        <v>-6.4161424722211993E-4</v>
      </c>
    </row>
    <row r="568" spans="1:45" x14ac:dyDescent="0.25">
      <c r="A568" s="69">
        <f t="shared" ca="1" si="352"/>
        <v>2453.8862409377671</v>
      </c>
      <c r="B568" s="69">
        <f t="shared" ca="1" si="353"/>
        <v>2137.8609052771621</v>
      </c>
      <c r="C568" s="69">
        <f t="shared" ca="1" si="354"/>
        <v>2228.1357442821345</v>
      </c>
      <c r="D568" s="69">
        <f t="shared" ca="1" si="355"/>
        <v>2905.8102538396115</v>
      </c>
      <c r="E568" s="69">
        <f t="shared" ca="1" si="356"/>
        <v>1931.3887029477273</v>
      </c>
      <c r="F568" s="69">
        <f t="shared" ca="1" si="357"/>
        <v>1221.83470255968</v>
      </c>
      <c r="G568" s="69">
        <f t="shared" ca="1" si="358"/>
        <v>965.69170329577435</v>
      </c>
      <c r="H568" s="69">
        <f t="shared" ca="1" si="359"/>
        <v>1190.0958664723867</v>
      </c>
      <c r="I568" s="69">
        <f t="shared" ca="1" si="360"/>
        <v>1050.9835549579122</v>
      </c>
      <c r="J568" s="69">
        <f t="shared" ca="1" si="361"/>
        <v>1146.4406901462396</v>
      </c>
      <c r="K568" s="69">
        <f t="shared" ca="1" si="362"/>
        <v>1175.4522398356298</v>
      </c>
      <c r="L568" s="69">
        <f t="shared" ca="1" si="363"/>
        <v>956.99376053784306</v>
      </c>
      <c r="M568" s="69">
        <f t="shared" ca="1" si="364"/>
        <v>994.34943015532554</v>
      </c>
      <c r="N568" s="69">
        <f t="shared" ca="1" si="365"/>
        <v>575.58212436359383</v>
      </c>
      <c r="O568" s="69">
        <f t="shared" ca="1" si="366"/>
        <v>631.75982021241339</v>
      </c>
      <c r="P568" s="69">
        <f t="shared" ca="1" si="367"/>
        <v>724.91232001675235</v>
      </c>
      <c r="Q568" s="69">
        <f t="shared" ca="1" si="368"/>
        <v>957.40550225981769</v>
      </c>
      <c r="R568" s="69">
        <f t="shared" ca="1" si="369"/>
        <v>780.14901341630377</v>
      </c>
      <c r="S568" s="69">
        <f t="shared" ca="1" si="370"/>
        <v>700.02870010827098</v>
      </c>
      <c r="T568" s="69">
        <f t="shared" ca="1" si="371"/>
        <v>794.71824279538987</v>
      </c>
      <c r="U568" s="69">
        <f t="shared" ca="1" si="372"/>
        <v>1694.8985396710946</v>
      </c>
      <c r="V568" s="69">
        <f t="shared" ca="1" si="373"/>
        <v>1917.6488600259211</v>
      </c>
      <c r="W568" s="69">
        <f t="shared" ca="1" si="374"/>
        <v>1182.7244157787268</v>
      </c>
      <c r="X568" s="69">
        <f t="shared" ca="1" si="375"/>
        <v>1494.1533378752274</v>
      </c>
      <c r="Y568" s="69">
        <f t="shared" ca="1" si="376"/>
        <v>1203.7853950617359</v>
      </c>
      <c r="AA568" s="20">
        <f t="shared" ca="1" si="336"/>
        <v>6.560130147329376E+16</v>
      </c>
      <c r="AB568" s="20">
        <f t="shared" ca="1" si="337"/>
        <v>1691922302511784.3</v>
      </c>
      <c r="AC568" s="20">
        <f t="shared" ca="1" si="338"/>
        <v>406735821283344.06</v>
      </c>
      <c r="AD568" s="20">
        <f t="shared" ca="1" si="339"/>
        <v>301222904329752.94</v>
      </c>
      <c r="AE568" s="20">
        <f t="shared" ca="1" si="340"/>
        <v>6914178602191684</v>
      </c>
      <c r="AG568" s="16">
        <f t="shared" ca="1" si="341"/>
        <v>-1.1268642863363027E-4</v>
      </c>
      <c r="AH568" s="16">
        <f t="shared" ca="1" si="342"/>
        <v>-4.4516156485694357E-4</v>
      </c>
      <c r="AI568" s="16">
        <f t="shared" ca="1" si="343"/>
        <v>4.5858141669740516E-4</v>
      </c>
      <c r="AJ568" s="16">
        <f t="shared" ca="1" si="344"/>
        <v>-1.5062224113943053E-3</v>
      </c>
      <c r="AK568" s="16">
        <f t="shared" ca="1" si="345"/>
        <v>-4.5328386985591328E-4</v>
      </c>
      <c r="AM568" s="16">
        <f t="shared" ca="1" si="346"/>
        <v>-1.6054889881874741E-3</v>
      </c>
      <c r="AO568" s="16">
        <f t="shared" ca="1" si="347"/>
        <v>-1.1268642863363027E-4</v>
      </c>
      <c r="AP568" s="16">
        <f t="shared" ca="1" si="348"/>
        <v>-4.4516156485694357E-4</v>
      </c>
      <c r="AQ568" s="16">
        <f t="shared" ca="1" si="349"/>
        <v>0</v>
      </c>
      <c r="AR568" s="16">
        <f t="shared" ca="1" si="350"/>
        <v>-1.5062224113943053E-3</v>
      </c>
      <c r="AS568" s="16">
        <f t="shared" ca="1" si="351"/>
        <v>-4.5328386985591328E-4</v>
      </c>
    </row>
    <row r="569" spans="1:45" x14ac:dyDescent="0.25">
      <c r="A569" s="69">
        <f t="shared" ca="1" si="352"/>
        <v>2454.0516297581271</v>
      </c>
      <c r="B569" s="69">
        <f t="shared" ca="1" si="353"/>
        <v>2137.8609052771621</v>
      </c>
      <c r="C569" s="69">
        <f t="shared" ca="1" si="354"/>
        <v>2228.6087675654408</v>
      </c>
      <c r="D569" s="69">
        <f t="shared" ca="1" si="355"/>
        <v>2905.4105275482657</v>
      </c>
      <c r="E569" s="69">
        <f t="shared" ca="1" si="356"/>
        <v>1930.8966760021826</v>
      </c>
      <c r="F569" s="69">
        <f t="shared" ca="1" si="357"/>
        <v>1221.83470255968</v>
      </c>
      <c r="G569" s="69">
        <f t="shared" ca="1" si="358"/>
        <v>965.69170329577435</v>
      </c>
      <c r="H569" s="69">
        <f t="shared" ca="1" si="359"/>
        <v>1190.0958664723867</v>
      </c>
      <c r="I569" s="69">
        <f t="shared" ca="1" si="360"/>
        <v>1050.7990977918832</v>
      </c>
      <c r="J569" s="69">
        <f t="shared" ca="1" si="361"/>
        <v>1146.1316089064176</v>
      </c>
      <c r="K569" s="69">
        <f t="shared" ca="1" si="362"/>
        <v>1175.4522398356298</v>
      </c>
      <c r="L569" s="69">
        <f t="shared" ca="1" si="363"/>
        <v>956.99376053784306</v>
      </c>
      <c r="M569" s="69">
        <f t="shared" ca="1" si="364"/>
        <v>994.29381131307366</v>
      </c>
      <c r="N569" s="69">
        <f t="shared" ca="1" si="365"/>
        <v>575.81698046496467</v>
      </c>
      <c r="O569" s="69">
        <f t="shared" ca="1" si="366"/>
        <v>631.82714968855566</v>
      </c>
      <c r="P569" s="69">
        <f t="shared" ca="1" si="367"/>
        <v>724.48675099585148</v>
      </c>
      <c r="Q569" s="69">
        <f t="shared" ca="1" si="368"/>
        <v>957.40550225981769</v>
      </c>
      <c r="R569" s="69">
        <f t="shared" ca="1" si="369"/>
        <v>779.91832245381431</v>
      </c>
      <c r="S569" s="69">
        <f t="shared" ca="1" si="370"/>
        <v>699.62081931595537</v>
      </c>
      <c r="T569" s="69">
        <f t="shared" ca="1" si="371"/>
        <v>794.68612918226643</v>
      </c>
      <c r="U569" s="69">
        <f t="shared" ca="1" si="372"/>
        <v>1694.436189057802</v>
      </c>
      <c r="V569" s="69">
        <f t="shared" ca="1" si="373"/>
        <v>1917.6488600259211</v>
      </c>
      <c r="W569" s="69">
        <f t="shared" ca="1" si="374"/>
        <v>1182.3654226484487</v>
      </c>
      <c r="X569" s="69">
        <f t="shared" ca="1" si="375"/>
        <v>1494.1579271191199</v>
      </c>
      <c r="Y569" s="69">
        <f t="shared" ca="1" si="376"/>
        <v>1203.9299159750794</v>
      </c>
      <c r="AA569" s="20">
        <f t="shared" ca="1" si="336"/>
        <v>6.5593909513411616E+16</v>
      </c>
      <c r="AB569" s="20">
        <f t="shared" ca="1" si="337"/>
        <v>1691169291350230.5</v>
      </c>
      <c r="AC569" s="20">
        <f t="shared" ca="1" si="338"/>
        <v>406922385546672.38</v>
      </c>
      <c r="AD569" s="20">
        <f t="shared" ca="1" si="339"/>
        <v>300769537162033.56</v>
      </c>
      <c r="AE569" s="20">
        <f t="shared" ca="1" si="340"/>
        <v>6911045226765927</v>
      </c>
      <c r="AG569" s="16">
        <f t="shared" ca="1" si="341"/>
        <v>1.3051524590381114E-4</v>
      </c>
      <c r="AH569" s="16">
        <f t="shared" ca="1" si="342"/>
        <v>-6.4109768122719258E-4</v>
      </c>
      <c r="AI569" s="16">
        <f t="shared" ca="1" si="343"/>
        <v>-1.1860053813731069E-3</v>
      </c>
      <c r="AJ569" s="16">
        <f t="shared" ca="1" si="344"/>
        <v>-5.1956627119535085E-4</v>
      </c>
      <c r="AK569" s="16">
        <f t="shared" ca="1" si="345"/>
        <v>1.5892726923646069E-4</v>
      </c>
      <c r="AM569" s="16">
        <f t="shared" ca="1" si="346"/>
        <v>-2.2161540878918393E-3</v>
      </c>
      <c r="AO569" s="16">
        <f t="shared" ca="1" si="347"/>
        <v>0</v>
      </c>
      <c r="AP569" s="16">
        <f t="shared" ca="1" si="348"/>
        <v>-6.4109768122719258E-4</v>
      </c>
      <c r="AQ569" s="16">
        <f t="shared" ca="1" si="349"/>
        <v>-1.1860053813731069E-3</v>
      </c>
      <c r="AR569" s="16">
        <f t="shared" ca="1" si="350"/>
        <v>-5.1956627119535085E-4</v>
      </c>
      <c r="AS569" s="16">
        <f t="shared" ca="1" si="351"/>
        <v>0</v>
      </c>
    </row>
    <row r="570" spans="1:45" x14ac:dyDescent="0.25">
      <c r="A570" s="69">
        <f t="shared" ca="1" si="352"/>
        <v>2453.6579604679146</v>
      </c>
      <c r="B570" s="69">
        <f t="shared" ca="1" si="353"/>
        <v>2138.2209660625235</v>
      </c>
      <c r="C570" s="69">
        <f t="shared" ca="1" si="354"/>
        <v>2228.5594753752243</v>
      </c>
      <c r="D570" s="69">
        <f t="shared" ca="1" si="355"/>
        <v>2905.4105275482657</v>
      </c>
      <c r="E570" s="69">
        <f t="shared" ca="1" si="356"/>
        <v>1931.1760109620834</v>
      </c>
      <c r="F570" s="69">
        <f t="shared" ca="1" si="357"/>
        <v>1221.83470255968</v>
      </c>
      <c r="G570" s="69">
        <f t="shared" ca="1" si="358"/>
        <v>965.73754675849045</v>
      </c>
      <c r="H570" s="69">
        <f t="shared" ca="1" si="359"/>
        <v>1189.6184578750253</v>
      </c>
      <c r="I570" s="69">
        <f t="shared" ca="1" si="360"/>
        <v>1050.41176703322</v>
      </c>
      <c r="J570" s="69">
        <f t="shared" ca="1" si="361"/>
        <v>1146.2248356252844</v>
      </c>
      <c r="K570" s="69">
        <f t="shared" ca="1" si="362"/>
        <v>1175.0730888274086</v>
      </c>
      <c r="L570" s="69">
        <f t="shared" ca="1" si="363"/>
        <v>957.09482159107301</v>
      </c>
      <c r="M570" s="69">
        <f t="shared" ca="1" si="364"/>
        <v>993.94742144512384</v>
      </c>
      <c r="N570" s="69">
        <f t="shared" ca="1" si="365"/>
        <v>575.77547603669575</v>
      </c>
      <c r="O570" s="69">
        <f t="shared" ca="1" si="366"/>
        <v>631.48070484949392</v>
      </c>
      <c r="P570" s="69">
        <f t="shared" ca="1" si="367"/>
        <v>724.48675099585148</v>
      </c>
      <c r="Q570" s="69">
        <f t="shared" ca="1" si="368"/>
        <v>957.4945396875404</v>
      </c>
      <c r="R570" s="69">
        <f t="shared" ca="1" si="369"/>
        <v>779.44072150829595</v>
      </c>
      <c r="S570" s="69">
        <f t="shared" ca="1" si="370"/>
        <v>699.62081931595537</v>
      </c>
      <c r="T570" s="69">
        <f t="shared" ca="1" si="371"/>
        <v>794.68612918226643</v>
      </c>
      <c r="U570" s="69">
        <f t="shared" ca="1" si="372"/>
        <v>1694.8678322205326</v>
      </c>
      <c r="V570" s="69">
        <f t="shared" ca="1" si="373"/>
        <v>1917.5279631646076</v>
      </c>
      <c r="W570" s="69">
        <f t="shared" ca="1" si="374"/>
        <v>1182.4828065563011</v>
      </c>
      <c r="X570" s="69">
        <f t="shared" ca="1" si="375"/>
        <v>1493.6612049107362</v>
      </c>
      <c r="Y570" s="69">
        <f t="shared" ca="1" si="376"/>
        <v>1204.1713146135644</v>
      </c>
      <c r="AA570" s="20">
        <f t="shared" ca="1" si="336"/>
        <v>6.5602471077336712E+16</v>
      </c>
      <c r="AB570" s="20">
        <f t="shared" ca="1" si="337"/>
        <v>1690085434105289.3</v>
      </c>
      <c r="AC570" s="20">
        <f t="shared" ca="1" si="338"/>
        <v>406440059484802.31</v>
      </c>
      <c r="AD570" s="20">
        <f t="shared" ca="1" si="339"/>
        <v>300613308044325.69</v>
      </c>
      <c r="AE570" s="20">
        <f t="shared" ca="1" si="340"/>
        <v>6912143667595175</v>
      </c>
      <c r="AG570" s="16">
        <f t="shared" ca="1" si="341"/>
        <v>8.7119693574356832E-5</v>
      </c>
      <c r="AH570" s="16">
        <f t="shared" ca="1" si="342"/>
        <v>-5.3952254528329289E-5</v>
      </c>
      <c r="AI570" s="16">
        <f t="shared" ca="1" si="343"/>
        <v>4.4250115136054474E-4</v>
      </c>
      <c r="AJ570" s="16">
        <f t="shared" ca="1" si="344"/>
        <v>-2.1386339727024487E-4</v>
      </c>
      <c r="AK570" s="16">
        <f t="shared" ca="1" si="345"/>
        <v>-2.108560217554562E-4</v>
      </c>
      <c r="AM570" s="16">
        <f t="shared" ca="1" si="346"/>
        <v>2.618051931363274E-4</v>
      </c>
      <c r="AO570" s="16">
        <f t="shared" ca="1" si="347"/>
        <v>0</v>
      </c>
      <c r="AP570" s="16">
        <f t="shared" ca="1" si="348"/>
        <v>-5.3952254528329289E-5</v>
      </c>
      <c r="AQ570" s="16">
        <f t="shared" ca="1" si="349"/>
        <v>0</v>
      </c>
      <c r="AR570" s="16">
        <f t="shared" ca="1" si="350"/>
        <v>-2.1386339727024487E-4</v>
      </c>
      <c r="AS570" s="16">
        <f t="shared" ca="1" si="351"/>
        <v>-2.108560217554562E-4</v>
      </c>
    </row>
    <row r="571" spans="1:45" x14ac:dyDescent="0.25">
      <c r="A571" s="69">
        <f t="shared" ca="1" si="352"/>
        <v>2453.6579604679146</v>
      </c>
      <c r="B571" s="69">
        <f t="shared" ca="1" si="353"/>
        <v>2138.4122767700264</v>
      </c>
      <c r="C571" s="69">
        <f t="shared" ca="1" si="354"/>
        <v>2228.5542422532903</v>
      </c>
      <c r="D571" s="69">
        <f t="shared" ca="1" si="355"/>
        <v>2905.4105275482657</v>
      </c>
      <c r="E571" s="69">
        <f t="shared" ca="1" si="356"/>
        <v>1931.1760109620834</v>
      </c>
      <c r="F571" s="69">
        <f t="shared" ca="1" si="357"/>
        <v>1221.3987403880028</v>
      </c>
      <c r="G571" s="69">
        <f t="shared" ca="1" si="358"/>
        <v>965.73754675849045</v>
      </c>
      <c r="H571" s="69">
        <f t="shared" ca="1" si="359"/>
        <v>1190.0084203514566</v>
      </c>
      <c r="I571" s="69">
        <f t="shared" ca="1" si="360"/>
        <v>1050.1324874247985</v>
      </c>
      <c r="J571" s="69">
        <f t="shared" ca="1" si="361"/>
        <v>1146.5012026424224</v>
      </c>
      <c r="K571" s="69">
        <f t="shared" ca="1" si="362"/>
        <v>1175.3868882353024</v>
      </c>
      <c r="L571" s="69">
        <f t="shared" ca="1" si="363"/>
        <v>957.09482159107301</v>
      </c>
      <c r="M571" s="69">
        <f t="shared" ca="1" si="364"/>
        <v>994.28189534670889</v>
      </c>
      <c r="N571" s="69">
        <f t="shared" ca="1" si="365"/>
        <v>575.77547603669575</v>
      </c>
      <c r="O571" s="69">
        <f t="shared" ca="1" si="366"/>
        <v>631.37906739195671</v>
      </c>
      <c r="P571" s="69">
        <f t="shared" ca="1" si="367"/>
        <v>724.45999231543567</v>
      </c>
      <c r="Q571" s="69">
        <f t="shared" ca="1" si="368"/>
        <v>957.22648622538111</v>
      </c>
      <c r="R571" s="69">
        <f t="shared" ca="1" si="369"/>
        <v>779.51493242562663</v>
      </c>
      <c r="S571" s="69">
        <f t="shared" ca="1" si="370"/>
        <v>699.45444918970793</v>
      </c>
      <c r="T571" s="69">
        <f t="shared" ca="1" si="371"/>
        <v>794.88139714614829</v>
      </c>
      <c r="U571" s="69">
        <f t="shared" ca="1" si="372"/>
        <v>1694.8678322205326</v>
      </c>
      <c r="V571" s="69">
        <f t="shared" ca="1" si="373"/>
        <v>1917.1227324120398</v>
      </c>
      <c r="W571" s="69">
        <f t="shared" ca="1" si="374"/>
        <v>1182.5308735821673</v>
      </c>
      <c r="X571" s="69">
        <f t="shared" ca="1" si="375"/>
        <v>1493.4918663745775</v>
      </c>
      <c r="Y571" s="69">
        <f t="shared" ca="1" si="376"/>
        <v>1204.2594939493972</v>
      </c>
      <c r="AA571" s="20">
        <f t="shared" ca="1" si="336"/>
        <v>6.5608186593478088E+16</v>
      </c>
      <c r="AB571" s="20">
        <f t="shared" ca="1" si="337"/>
        <v>1689994252645518.5</v>
      </c>
      <c r="AC571" s="20">
        <f t="shared" ca="1" si="338"/>
        <v>406619949476912.38</v>
      </c>
      <c r="AD571" s="20">
        <f t="shared" ca="1" si="339"/>
        <v>300549024735171.13</v>
      </c>
      <c r="AE571" s="20">
        <f t="shared" ca="1" si="340"/>
        <v>6910686354126683</v>
      </c>
      <c r="AG571" s="16">
        <f t="shared" ca="1" si="341"/>
        <v>1.6371502272095458E-4</v>
      </c>
      <c r="AH571" s="16">
        <f t="shared" ca="1" si="342"/>
        <v>4.2287929122026229E-4</v>
      </c>
      <c r="AI571" s="16">
        <f t="shared" ca="1" si="343"/>
        <v>-6.5470180031622805E-4</v>
      </c>
      <c r="AJ571" s="16">
        <f t="shared" ca="1" si="344"/>
        <v>3.9778854119688792E-4</v>
      </c>
      <c r="AK571" s="16">
        <f t="shared" ca="1" si="345"/>
        <v>-1.1681576791252117E-4</v>
      </c>
      <c r="AM571" s="16">
        <f t="shared" ca="1" si="346"/>
        <v>3.2968105482187671E-4</v>
      </c>
      <c r="AO571" s="16">
        <f t="shared" ca="1" si="347"/>
        <v>0</v>
      </c>
      <c r="AP571" s="16">
        <f t="shared" ca="1" si="348"/>
        <v>0</v>
      </c>
      <c r="AQ571" s="16">
        <f t="shared" ca="1" si="349"/>
        <v>-6.5470180031622805E-4</v>
      </c>
      <c r="AR571" s="16">
        <f t="shared" ca="1" si="350"/>
        <v>0</v>
      </c>
      <c r="AS571" s="16">
        <f t="shared" ca="1" si="351"/>
        <v>-1.1681576791252117E-4</v>
      </c>
    </row>
    <row r="572" spans="1:45" x14ac:dyDescent="0.25">
      <c r="A572" s="69">
        <f t="shared" ca="1" si="352"/>
        <v>2453.3765549880641</v>
      </c>
      <c r="B572" s="69">
        <f t="shared" ca="1" si="353"/>
        <v>2138.2839372104036</v>
      </c>
      <c r="C572" s="69">
        <f t="shared" ca="1" si="354"/>
        <v>2229.0520020715353</v>
      </c>
      <c r="D572" s="69">
        <f t="shared" ca="1" si="355"/>
        <v>2905.2559004405516</v>
      </c>
      <c r="E572" s="69">
        <f t="shared" ca="1" si="356"/>
        <v>1931.5010921258008</v>
      </c>
      <c r="F572" s="69">
        <f t="shared" ca="1" si="357"/>
        <v>1221.5026389428697</v>
      </c>
      <c r="G572" s="69">
        <f t="shared" ca="1" si="358"/>
        <v>965.73754675849045</v>
      </c>
      <c r="H572" s="69">
        <f t="shared" ca="1" si="359"/>
        <v>1190.1215572505262</v>
      </c>
      <c r="I572" s="69">
        <f t="shared" ca="1" si="360"/>
        <v>1050.1095416939188</v>
      </c>
      <c r="J572" s="69">
        <f t="shared" ca="1" si="361"/>
        <v>1146.8046074732044</v>
      </c>
      <c r="K572" s="69">
        <f t="shared" ca="1" si="362"/>
        <v>1175.3205908590928</v>
      </c>
      <c r="L572" s="69">
        <f t="shared" ca="1" si="363"/>
        <v>956.66230932637291</v>
      </c>
      <c r="M572" s="69">
        <f t="shared" ca="1" si="364"/>
        <v>994.37082646460055</v>
      </c>
      <c r="N572" s="69">
        <f t="shared" ca="1" si="365"/>
        <v>575.77547603669575</v>
      </c>
      <c r="O572" s="69">
        <f t="shared" ca="1" si="366"/>
        <v>631.23024947837325</v>
      </c>
      <c r="P572" s="69">
        <f t="shared" ca="1" si="367"/>
        <v>724.07300569566837</v>
      </c>
      <c r="Q572" s="69">
        <f t="shared" ca="1" si="368"/>
        <v>957.60498063838861</v>
      </c>
      <c r="R572" s="69">
        <f t="shared" ca="1" si="369"/>
        <v>779.74610420700515</v>
      </c>
      <c r="S572" s="69">
        <f t="shared" ca="1" si="370"/>
        <v>699.45444918970793</v>
      </c>
      <c r="T572" s="69">
        <f t="shared" ca="1" si="371"/>
        <v>795.07239831145478</v>
      </c>
      <c r="U572" s="69">
        <f t="shared" ca="1" si="372"/>
        <v>1694.8678322205326</v>
      </c>
      <c r="V572" s="69">
        <f t="shared" ca="1" si="373"/>
        <v>1917.2530792115936</v>
      </c>
      <c r="W572" s="69">
        <f t="shared" ca="1" si="374"/>
        <v>1182.5308735821673</v>
      </c>
      <c r="X572" s="69">
        <f t="shared" ca="1" si="375"/>
        <v>1493.2158881510734</v>
      </c>
      <c r="Y572" s="69">
        <f t="shared" ca="1" si="376"/>
        <v>1204.2594939493972</v>
      </c>
      <c r="AA572" s="20">
        <f t="shared" ca="1" si="336"/>
        <v>6.5618928518520184E+16</v>
      </c>
      <c r="AB572" s="20">
        <f t="shared" ca="1" si="337"/>
        <v>1690709067346758.5</v>
      </c>
      <c r="AC572" s="20">
        <f t="shared" ca="1" si="338"/>
        <v>406353821790589</v>
      </c>
      <c r="AD572" s="20">
        <f t="shared" ca="1" si="339"/>
        <v>300668603475228.19</v>
      </c>
      <c r="AE572" s="20">
        <f t="shared" ca="1" si="340"/>
        <v>6909879124142936</v>
      </c>
      <c r="AG572" s="16">
        <f t="shared" ca="1" si="341"/>
        <v>5.8371020532044415E-5</v>
      </c>
      <c r="AH572" s="16">
        <f t="shared" ca="1" si="342"/>
        <v>-4.3839744579251725E-4</v>
      </c>
      <c r="AI572" s="16">
        <f t="shared" ca="1" si="343"/>
        <v>-1.2530206939332614E-3</v>
      </c>
      <c r="AJ572" s="16">
        <f t="shared" ca="1" si="344"/>
        <v>5.2155870751227791E-4</v>
      </c>
      <c r="AK572" s="16">
        <f t="shared" ca="1" si="345"/>
        <v>-6.0889946319293213E-4</v>
      </c>
      <c r="AM572" s="16">
        <f t="shared" ca="1" si="346"/>
        <v>-1.1114884116814562E-3</v>
      </c>
      <c r="AO572" s="16">
        <f t="shared" ca="1" si="347"/>
        <v>0</v>
      </c>
      <c r="AP572" s="16">
        <f t="shared" ca="1" si="348"/>
        <v>-4.3839744579251725E-4</v>
      </c>
      <c r="AQ572" s="16">
        <f t="shared" ca="1" si="349"/>
        <v>-1.2530206939332614E-3</v>
      </c>
      <c r="AR572" s="16">
        <f t="shared" ca="1" si="350"/>
        <v>0</v>
      </c>
      <c r="AS572" s="16">
        <f t="shared" ca="1" si="351"/>
        <v>-6.0889946319293213E-4</v>
      </c>
    </row>
    <row r="573" spans="1:45" x14ac:dyDescent="0.25">
      <c r="A573" s="69">
        <f t="shared" ca="1" si="352"/>
        <v>2453.3765549880641</v>
      </c>
      <c r="B573" s="69">
        <f t="shared" ca="1" si="353"/>
        <v>2138.6296314827205</v>
      </c>
      <c r="C573" s="69">
        <f t="shared" ca="1" si="354"/>
        <v>2228.8875356218027</v>
      </c>
      <c r="D573" s="69">
        <f t="shared" ca="1" si="355"/>
        <v>2904.8949958702374</v>
      </c>
      <c r="E573" s="69">
        <f t="shared" ca="1" si="356"/>
        <v>1931.6840783644207</v>
      </c>
      <c r="F573" s="69">
        <f t="shared" ca="1" si="357"/>
        <v>1221.0996516669397</v>
      </c>
      <c r="G573" s="69">
        <f t="shared" ca="1" si="358"/>
        <v>965.88033969022956</v>
      </c>
      <c r="H573" s="69">
        <f t="shared" ca="1" si="359"/>
        <v>1190.1298447848455</v>
      </c>
      <c r="I573" s="69">
        <f t="shared" ca="1" si="360"/>
        <v>1049.811332343741</v>
      </c>
      <c r="J573" s="69">
        <f t="shared" ca="1" si="361"/>
        <v>1146.828433849972</v>
      </c>
      <c r="K573" s="69">
        <f t="shared" ca="1" si="362"/>
        <v>1174.8721841022602</v>
      </c>
      <c r="L573" s="69">
        <f t="shared" ca="1" si="363"/>
        <v>956.95644415190111</v>
      </c>
      <c r="M573" s="69">
        <f t="shared" ca="1" si="364"/>
        <v>993.94366396996259</v>
      </c>
      <c r="N573" s="69">
        <f t="shared" ca="1" si="365"/>
        <v>575.73818404135159</v>
      </c>
      <c r="O573" s="69">
        <f t="shared" ca="1" si="366"/>
        <v>630.79838455632137</v>
      </c>
      <c r="P573" s="69">
        <f t="shared" ca="1" si="367"/>
        <v>724.07300569566837</v>
      </c>
      <c r="Q573" s="69">
        <f t="shared" ca="1" si="368"/>
        <v>958.01258126966229</v>
      </c>
      <c r="R573" s="69">
        <f t="shared" ca="1" si="369"/>
        <v>780.19852430928938</v>
      </c>
      <c r="S573" s="69">
        <f t="shared" ca="1" si="370"/>
        <v>699.04904859162082</v>
      </c>
      <c r="T573" s="69">
        <f t="shared" ca="1" si="371"/>
        <v>795.14850664107996</v>
      </c>
      <c r="U573" s="69">
        <f t="shared" ca="1" si="372"/>
        <v>1694.8678322205326</v>
      </c>
      <c r="V573" s="69">
        <f t="shared" ca="1" si="373"/>
        <v>1916.7734236980039</v>
      </c>
      <c r="W573" s="69">
        <f t="shared" ca="1" si="374"/>
        <v>1182.1464470610135</v>
      </c>
      <c r="X573" s="69">
        <f t="shared" ca="1" si="375"/>
        <v>1493.2158881510734</v>
      </c>
      <c r="Y573" s="69">
        <f t="shared" ca="1" si="376"/>
        <v>1204.2190930851955</v>
      </c>
      <c r="AA573" s="20">
        <f t="shared" ca="1" si="336"/>
        <v>6.5622758874133824E+16</v>
      </c>
      <c r="AB573" s="20">
        <f t="shared" ca="1" si="337"/>
        <v>1689968027256965.3</v>
      </c>
      <c r="AC573" s="20">
        <f t="shared" ca="1" si="338"/>
        <v>405844970909745.69</v>
      </c>
      <c r="AD573" s="20">
        <f t="shared" ca="1" si="339"/>
        <v>300825460705017.5</v>
      </c>
      <c r="AE573" s="20">
        <f t="shared" ca="1" si="340"/>
        <v>6905672983141971</v>
      </c>
      <c r="AG573" s="16">
        <f t="shared" ca="1" si="341"/>
        <v>-2.0264381147974382E-5</v>
      </c>
      <c r="AH573" s="16">
        <f t="shared" ca="1" si="342"/>
        <v>5.0626240744213065E-4</v>
      </c>
      <c r="AI573" s="16">
        <f t="shared" ca="1" si="343"/>
        <v>-4.2284918347263822E-4</v>
      </c>
      <c r="AJ573" s="16">
        <f t="shared" ca="1" si="344"/>
        <v>-1.1544518442056784E-3</v>
      </c>
      <c r="AK573" s="16">
        <f t="shared" ca="1" si="345"/>
        <v>-1.0169065569850176E-4</v>
      </c>
      <c r="AM573" s="16">
        <f t="shared" ca="1" si="346"/>
        <v>-1.0913030013841602E-3</v>
      </c>
      <c r="AO573" s="16">
        <f t="shared" ca="1" si="347"/>
        <v>-2.0264381147974382E-5</v>
      </c>
      <c r="AP573" s="16">
        <f t="shared" ca="1" si="348"/>
        <v>0</v>
      </c>
      <c r="AQ573" s="16">
        <f t="shared" ca="1" si="349"/>
        <v>-4.2284918347263822E-4</v>
      </c>
      <c r="AR573" s="16">
        <f t="shared" ca="1" si="350"/>
        <v>-1.1544518442056784E-3</v>
      </c>
      <c r="AS573" s="16">
        <f t="shared" ca="1" si="351"/>
        <v>-1.0169065569850176E-4</v>
      </c>
    </row>
    <row r="574" spans="1:45" x14ac:dyDescent="0.25">
      <c r="A574" s="69">
        <f t="shared" ca="1" si="352"/>
        <v>2453.4924298770252</v>
      </c>
      <c r="B574" s="69">
        <f t="shared" ca="1" si="353"/>
        <v>2138.6296314827205</v>
      </c>
      <c r="C574" s="69">
        <f t="shared" ca="1" si="354"/>
        <v>2228.8875356218027</v>
      </c>
      <c r="D574" s="69">
        <f t="shared" ca="1" si="355"/>
        <v>2905.2886093833249</v>
      </c>
      <c r="E574" s="69">
        <f t="shared" ca="1" si="356"/>
        <v>1931.2920153615821</v>
      </c>
      <c r="F574" s="69">
        <f t="shared" ca="1" si="357"/>
        <v>1221.4147874129303</v>
      </c>
      <c r="G574" s="69">
        <f t="shared" ca="1" si="358"/>
        <v>966.12012058670848</v>
      </c>
      <c r="H574" s="69">
        <f t="shared" ca="1" si="359"/>
        <v>1190.1298447848455</v>
      </c>
      <c r="I574" s="69">
        <f t="shared" ca="1" si="360"/>
        <v>1049.811332343741</v>
      </c>
      <c r="J574" s="69">
        <f t="shared" ca="1" si="361"/>
        <v>1146.828433849972</v>
      </c>
      <c r="K574" s="69">
        <f t="shared" ca="1" si="362"/>
        <v>1174.377075389426</v>
      </c>
      <c r="L574" s="69">
        <f t="shared" ca="1" si="363"/>
        <v>957.0131050469804</v>
      </c>
      <c r="M574" s="69">
        <f t="shared" ca="1" si="364"/>
        <v>993.94366396996259</v>
      </c>
      <c r="N574" s="69">
        <f t="shared" ca="1" si="365"/>
        <v>575.92813693152016</v>
      </c>
      <c r="O574" s="69">
        <f t="shared" ca="1" si="366"/>
        <v>630.55215127051144</v>
      </c>
      <c r="P574" s="69">
        <f t="shared" ca="1" si="367"/>
        <v>723.98200108696199</v>
      </c>
      <c r="Q574" s="69">
        <f t="shared" ca="1" si="368"/>
        <v>957.73359082750972</v>
      </c>
      <c r="R574" s="69">
        <f t="shared" ca="1" si="369"/>
        <v>779.75881331248752</v>
      </c>
      <c r="S574" s="69">
        <f t="shared" ca="1" si="370"/>
        <v>699.04904859162082</v>
      </c>
      <c r="T574" s="69">
        <f t="shared" ca="1" si="371"/>
        <v>795.01036014072747</v>
      </c>
      <c r="U574" s="69">
        <f t="shared" ca="1" si="372"/>
        <v>1694.7480049088269</v>
      </c>
      <c r="V574" s="69">
        <f t="shared" ca="1" si="373"/>
        <v>1916.7362231779557</v>
      </c>
      <c r="W574" s="69">
        <f t="shared" ca="1" si="374"/>
        <v>1182.1464470610135</v>
      </c>
      <c r="X574" s="69">
        <f t="shared" ca="1" si="375"/>
        <v>1493.2158881510734</v>
      </c>
      <c r="Y574" s="69">
        <f t="shared" ca="1" si="376"/>
        <v>1204.2051483208866</v>
      </c>
      <c r="AA574" s="20">
        <f t="shared" ca="1" si="336"/>
        <v>6.562142908300976E+16</v>
      </c>
      <c r="AB574" s="20">
        <f t="shared" ca="1" si="337"/>
        <v>1690823811146272.3</v>
      </c>
      <c r="AC574" s="20">
        <f t="shared" ca="1" si="338"/>
        <v>405673395972897.5</v>
      </c>
      <c r="AD574" s="20">
        <f t="shared" ca="1" si="339"/>
        <v>300478372583932.06</v>
      </c>
      <c r="AE574" s="20">
        <f t="shared" ca="1" si="340"/>
        <v>6904970776432811</v>
      </c>
      <c r="AG574" s="16">
        <f t="shared" ca="1" si="341"/>
        <v>-3.0102245348063615E-4</v>
      </c>
      <c r="AH574" s="16">
        <f t="shared" ca="1" si="342"/>
        <v>-7.2099698180728338E-6</v>
      </c>
      <c r="AI574" s="16">
        <f t="shared" ca="1" si="343"/>
        <v>-1.3139240240997534E-3</v>
      </c>
      <c r="AJ574" s="16">
        <f t="shared" ca="1" si="344"/>
        <v>-7.3370382354080721E-4</v>
      </c>
      <c r="AK574" s="16">
        <f t="shared" ca="1" si="345"/>
        <v>3.5470293028050739E-4</v>
      </c>
      <c r="AM574" s="16">
        <f t="shared" ca="1" si="346"/>
        <v>-2.3558602709392697E-3</v>
      </c>
      <c r="AO574" s="16">
        <f t="shared" ca="1" si="347"/>
        <v>-3.0102245348063615E-4</v>
      </c>
      <c r="AP574" s="16">
        <f t="shared" ca="1" si="348"/>
        <v>-7.2099698180728338E-6</v>
      </c>
      <c r="AQ574" s="16">
        <f t="shared" ca="1" si="349"/>
        <v>-1.3139240240997534E-3</v>
      </c>
      <c r="AR574" s="16">
        <f t="shared" ca="1" si="350"/>
        <v>-7.3370382354080721E-4</v>
      </c>
      <c r="AS574" s="16">
        <f t="shared" ca="1" si="351"/>
        <v>0</v>
      </c>
    </row>
    <row r="575" spans="1:45" x14ac:dyDescent="0.25">
      <c r="A575" s="69">
        <f t="shared" ca="1" si="352"/>
        <v>2453.5421766227068</v>
      </c>
      <c r="B575" s="69">
        <f t="shared" ca="1" si="353"/>
        <v>2138.4445939249335</v>
      </c>
      <c r="C575" s="69">
        <f t="shared" ca="1" si="354"/>
        <v>2228.8875356218027</v>
      </c>
      <c r="D575" s="69">
        <f t="shared" ca="1" si="355"/>
        <v>2905.2886093833249</v>
      </c>
      <c r="E575" s="69">
        <f t="shared" ca="1" si="356"/>
        <v>1930.8386536658268</v>
      </c>
      <c r="F575" s="69">
        <f t="shared" ca="1" si="357"/>
        <v>1221.4147874129303</v>
      </c>
      <c r="G575" s="69">
        <f t="shared" ca="1" si="358"/>
        <v>966.3118395577269</v>
      </c>
      <c r="H575" s="69">
        <f t="shared" ca="1" si="359"/>
        <v>1190.1298447848455</v>
      </c>
      <c r="I575" s="69">
        <f t="shared" ca="1" si="360"/>
        <v>1049.811332343741</v>
      </c>
      <c r="J575" s="69">
        <f t="shared" ca="1" si="361"/>
        <v>1146.5926329537972</v>
      </c>
      <c r="K575" s="69">
        <f t="shared" ca="1" si="362"/>
        <v>1173.910434190786</v>
      </c>
      <c r="L575" s="69">
        <f t="shared" ca="1" si="363"/>
        <v>956.90978741325614</v>
      </c>
      <c r="M575" s="69">
        <f t="shared" ca="1" si="364"/>
        <v>993.5730329565979</v>
      </c>
      <c r="N575" s="69">
        <f t="shared" ca="1" si="365"/>
        <v>575.77422194757571</v>
      </c>
      <c r="O575" s="69">
        <f t="shared" ca="1" si="366"/>
        <v>630.44604632513278</v>
      </c>
      <c r="P575" s="69">
        <f t="shared" ca="1" si="367"/>
        <v>723.69975847240198</v>
      </c>
      <c r="Q575" s="69">
        <f t="shared" ca="1" si="368"/>
        <v>957.73359082750972</v>
      </c>
      <c r="R575" s="69">
        <f t="shared" ca="1" si="369"/>
        <v>779.75881331248752</v>
      </c>
      <c r="S575" s="69">
        <f t="shared" ca="1" si="370"/>
        <v>699.06520850827656</v>
      </c>
      <c r="T575" s="69">
        <f t="shared" ca="1" si="371"/>
        <v>794.71872673668702</v>
      </c>
      <c r="U575" s="69">
        <f t="shared" ca="1" si="372"/>
        <v>1695.0036781714584</v>
      </c>
      <c r="V575" s="69">
        <f t="shared" ca="1" si="373"/>
        <v>1916.6280657894913</v>
      </c>
      <c r="W575" s="69">
        <f t="shared" ca="1" si="374"/>
        <v>1182.1464470610135</v>
      </c>
      <c r="X575" s="69">
        <f t="shared" ca="1" si="375"/>
        <v>1493.2158881510734</v>
      </c>
      <c r="Y575" s="69">
        <f t="shared" ca="1" si="376"/>
        <v>1204.5186216579268</v>
      </c>
      <c r="AA575" s="20">
        <f t="shared" ca="1" si="336"/>
        <v>6.5601678532255048E+16</v>
      </c>
      <c r="AB575" s="20">
        <f t="shared" ca="1" si="337"/>
        <v>1690811620401573.8</v>
      </c>
      <c r="AC575" s="20">
        <f t="shared" ca="1" si="338"/>
        <v>405140721975205.75</v>
      </c>
      <c r="AD575" s="20">
        <f t="shared" ca="1" si="339"/>
        <v>300257991310253.81</v>
      </c>
      <c r="AE575" s="20">
        <f t="shared" ca="1" si="340"/>
        <v>6907420424223655</v>
      </c>
      <c r="AG575" s="16">
        <f t="shared" ca="1" si="341"/>
        <v>-3.8410532264759401E-4</v>
      </c>
      <c r="AH575" s="16">
        <f t="shared" ca="1" si="342"/>
        <v>7.8908974255468905E-4</v>
      </c>
      <c r="AI575" s="16">
        <f t="shared" ca="1" si="343"/>
        <v>-6.5038606478112467E-4</v>
      </c>
      <c r="AJ575" s="16">
        <f t="shared" ca="1" si="344"/>
        <v>-7.189544142697298E-4</v>
      </c>
      <c r="AK575" s="16">
        <f t="shared" ca="1" si="345"/>
        <v>-9.4526842746523336E-6</v>
      </c>
      <c r="AM575" s="16">
        <f t="shared" ca="1" si="346"/>
        <v>-9.6435605914375942E-4</v>
      </c>
      <c r="AO575" s="16">
        <f t="shared" ca="1" si="347"/>
        <v>-3.8410532264759401E-4</v>
      </c>
      <c r="AP575" s="16">
        <f t="shared" ca="1" si="348"/>
        <v>0</v>
      </c>
      <c r="AQ575" s="16">
        <f t="shared" ca="1" si="349"/>
        <v>-6.5038606478112467E-4</v>
      </c>
      <c r="AR575" s="16">
        <f t="shared" ca="1" si="350"/>
        <v>-7.189544142697298E-4</v>
      </c>
      <c r="AS575" s="16">
        <f t="shared" ca="1" si="351"/>
        <v>-9.4526842746523336E-6</v>
      </c>
    </row>
    <row r="576" spans="1:45" x14ac:dyDescent="0.25">
      <c r="A576" s="69">
        <f t="shared" ca="1" si="352"/>
        <v>2453.5421766227068</v>
      </c>
      <c r="B576" s="69">
        <f t="shared" ca="1" si="353"/>
        <v>2138.4445939249335</v>
      </c>
      <c r="C576" s="69">
        <f t="shared" ca="1" si="354"/>
        <v>2228.3940979410327</v>
      </c>
      <c r="D576" s="69">
        <f t="shared" ca="1" si="355"/>
        <v>2904.8159635607863</v>
      </c>
      <c r="E576" s="69">
        <f t="shared" ca="1" si="356"/>
        <v>1930.8386536658268</v>
      </c>
      <c r="F576" s="69">
        <f t="shared" ca="1" si="357"/>
        <v>1221.6484869782739</v>
      </c>
      <c r="G576" s="69">
        <f t="shared" ca="1" si="358"/>
        <v>966.21259420039496</v>
      </c>
      <c r="H576" s="69">
        <f t="shared" ca="1" si="359"/>
        <v>1190.3900816123787</v>
      </c>
      <c r="I576" s="69">
        <f t="shared" ca="1" si="360"/>
        <v>1050.2255652692606</v>
      </c>
      <c r="J576" s="69">
        <f t="shared" ca="1" si="361"/>
        <v>1146.6927855709732</v>
      </c>
      <c r="K576" s="69">
        <f t="shared" ca="1" si="362"/>
        <v>1173.910434190786</v>
      </c>
      <c r="L576" s="69">
        <f t="shared" ca="1" si="363"/>
        <v>956.8099403072498</v>
      </c>
      <c r="M576" s="69">
        <f t="shared" ca="1" si="364"/>
        <v>993.33700997516041</v>
      </c>
      <c r="N576" s="69">
        <f t="shared" ca="1" si="365"/>
        <v>575.8940881379641</v>
      </c>
      <c r="O576" s="69">
        <f t="shared" ca="1" si="366"/>
        <v>630.12042916905364</v>
      </c>
      <c r="P576" s="69">
        <f t="shared" ca="1" si="367"/>
        <v>723.81691872103704</v>
      </c>
      <c r="Q576" s="69">
        <f t="shared" ca="1" si="368"/>
        <v>957.73359082750972</v>
      </c>
      <c r="R576" s="69">
        <f t="shared" ca="1" si="369"/>
        <v>779.75881331248752</v>
      </c>
      <c r="S576" s="69">
        <f t="shared" ca="1" si="370"/>
        <v>698.85705069214021</v>
      </c>
      <c r="T576" s="69">
        <f t="shared" ca="1" si="371"/>
        <v>794.25552351261342</v>
      </c>
      <c r="U576" s="69">
        <f t="shared" ca="1" si="372"/>
        <v>1695.0774130032319</v>
      </c>
      <c r="V576" s="69">
        <f t="shared" ca="1" si="373"/>
        <v>1917.0833504425091</v>
      </c>
      <c r="W576" s="69">
        <f t="shared" ca="1" si="374"/>
        <v>1182.1464470610135</v>
      </c>
      <c r="X576" s="69">
        <f t="shared" ca="1" si="375"/>
        <v>1492.856380342982</v>
      </c>
      <c r="Y576" s="69">
        <f t="shared" ca="1" si="376"/>
        <v>1204.4587830748603</v>
      </c>
      <c r="AA576" s="20">
        <f t="shared" ca="1" si="336"/>
        <v>6.5576485417070752E+16</v>
      </c>
      <c r="AB576" s="20">
        <f t="shared" ca="1" si="337"/>
        <v>1692146349048910.3</v>
      </c>
      <c r="AC576" s="20">
        <f t="shared" ca="1" si="338"/>
        <v>404877309764458.63</v>
      </c>
      <c r="AD576" s="20">
        <f t="shared" ca="1" si="339"/>
        <v>300042197084382.44</v>
      </c>
      <c r="AE576" s="20">
        <f t="shared" ca="1" si="340"/>
        <v>6907355130867832</v>
      </c>
      <c r="AG576" s="16">
        <f t="shared" ca="1" si="341"/>
        <v>6.6988579818048232E-5</v>
      </c>
      <c r="AH576" s="16">
        <f t="shared" ca="1" si="342"/>
        <v>9.5518619662052901E-4</v>
      </c>
      <c r="AI576" s="16">
        <f t="shared" ca="1" si="343"/>
        <v>1.4810715113189252E-3</v>
      </c>
      <c r="AJ576" s="16">
        <f t="shared" ca="1" si="344"/>
        <v>4.5468599816934549E-4</v>
      </c>
      <c r="AK576" s="16">
        <f t="shared" ca="1" si="345"/>
        <v>-3.3290661685009418E-6</v>
      </c>
      <c r="AM576" s="16">
        <f t="shared" ca="1" si="346"/>
        <v>2.9579322859268481E-3</v>
      </c>
      <c r="AO576" s="16">
        <f t="shared" ca="1" si="347"/>
        <v>0</v>
      </c>
      <c r="AP576" s="16">
        <f t="shared" ca="1" si="348"/>
        <v>0</v>
      </c>
      <c r="AQ576" s="16">
        <f t="shared" ca="1" si="349"/>
        <v>0</v>
      </c>
      <c r="AR576" s="16">
        <f t="shared" ca="1" si="350"/>
        <v>0</v>
      </c>
      <c r="AS576" s="16">
        <f t="shared" ca="1" si="351"/>
        <v>-3.3290661685009418E-6</v>
      </c>
    </row>
    <row r="577" spans="1:45" x14ac:dyDescent="0.25">
      <c r="A577" s="69">
        <f t="shared" ca="1" si="352"/>
        <v>2453.900624047918</v>
      </c>
      <c r="B577" s="69">
        <f t="shared" ca="1" si="353"/>
        <v>2138.3767342985843</v>
      </c>
      <c r="C577" s="69">
        <f t="shared" ca="1" si="354"/>
        <v>2228.3940979410327</v>
      </c>
      <c r="D577" s="69">
        <f t="shared" ca="1" si="355"/>
        <v>2904.8159635607863</v>
      </c>
      <c r="E577" s="69">
        <f t="shared" ca="1" si="356"/>
        <v>1930.7472095231803</v>
      </c>
      <c r="F577" s="69">
        <f t="shared" ca="1" si="357"/>
        <v>1221.6484869782739</v>
      </c>
      <c r="G577" s="69">
        <f t="shared" ca="1" si="358"/>
        <v>966.69396084152299</v>
      </c>
      <c r="H577" s="69">
        <f t="shared" ca="1" si="359"/>
        <v>1190.6906644289966</v>
      </c>
      <c r="I577" s="69">
        <f t="shared" ca="1" si="360"/>
        <v>1050.4404999492958</v>
      </c>
      <c r="J577" s="69">
        <f t="shared" ca="1" si="361"/>
        <v>1146.6927855709732</v>
      </c>
      <c r="K577" s="69">
        <f t="shared" ca="1" si="362"/>
        <v>1174.2092255473995</v>
      </c>
      <c r="L577" s="69">
        <f t="shared" ca="1" si="363"/>
        <v>957.02640912650156</v>
      </c>
      <c r="M577" s="69">
        <f t="shared" ca="1" si="364"/>
        <v>993.33700997516041</v>
      </c>
      <c r="N577" s="69">
        <f t="shared" ca="1" si="365"/>
        <v>576.12565573898235</v>
      </c>
      <c r="O577" s="69">
        <f t="shared" ca="1" si="366"/>
        <v>630.49756988651677</v>
      </c>
      <c r="P577" s="69">
        <f t="shared" ca="1" si="367"/>
        <v>723.81691872103704</v>
      </c>
      <c r="Q577" s="69">
        <f t="shared" ca="1" si="368"/>
        <v>957.80024944167781</v>
      </c>
      <c r="R577" s="69">
        <f t="shared" ca="1" si="369"/>
        <v>780.05914693570151</v>
      </c>
      <c r="S577" s="69">
        <f t="shared" ca="1" si="370"/>
        <v>698.85705069214021</v>
      </c>
      <c r="T577" s="69">
        <f t="shared" ca="1" si="371"/>
        <v>794.25552351261342</v>
      </c>
      <c r="U577" s="69">
        <f t="shared" ca="1" si="372"/>
        <v>1694.710143451729</v>
      </c>
      <c r="V577" s="69">
        <f t="shared" ca="1" si="373"/>
        <v>1917.2210037251432</v>
      </c>
      <c r="W577" s="69">
        <f t="shared" ca="1" si="374"/>
        <v>1181.8250155117321</v>
      </c>
      <c r="X577" s="69">
        <f t="shared" ca="1" si="375"/>
        <v>1492.856380342982</v>
      </c>
      <c r="Y577" s="69">
        <f t="shared" ca="1" si="376"/>
        <v>1204.9569343320231</v>
      </c>
      <c r="AA577" s="20">
        <f t="shared" ca="1" si="336"/>
        <v>6.5580878439837832E+16</v>
      </c>
      <c r="AB577" s="20">
        <f t="shared" ca="1" si="337"/>
        <v>1693763436070834.8</v>
      </c>
      <c r="AC577" s="20">
        <f t="shared" ca="1" si="338"/>
        <v>405477406296773</v>
      </c>
      <c r="AD577" s="20">
        <f t="shared" ca="1" si="339"/>
        <v>300178653090223.38</v>
      </c>
      <c r="AE577" s="20">
        <f t="shared" ca="1" si="340"/>
        <v>6907332135863828</v>
      </c>
      <c r="AG577" s="16">
        <f t="shared" ca="1" si="341"/>
        <v>2.5506253437263741E-4</v>
      </c>
      <c r="AH577" s="16">
        <f t="shared" ca="1" si="342"/>
        <v>3.5697139498287842E-4</v>
      </c>
      <c r="AI577" s="16">
        <f t="shared" ca="1" si="343"/>
        <v>8.8394972438501137E-4</v>
      </c>
      <c r="AJ577" s="16">
        <f t="shared" ca="1" si="344"/>
        <v>-4.1793741374076502E-4</v>
      </c>
      <c r="AK577" s="16">
        <f t="shared" ca="1" si="345"/>
        <v>-1.9812366486832904E-4</v>
      </c>
      <c r="AM577" s="16">
        <f t="shared" ca="1" si="346"/>
        <v>1.0780462399997623E-3</v>
      </c>
      <c r="AO577" s="16">
        <f t="shared" ca="1" si="347"/>
        <v>0</v>
      </c>
      <c r="AP577" s="16">
        <f t="shared" ca="1" si="348"/>
        <v>0</v>
      </c>
      <c r="AQ577" s="16">
        <f t="shared" ca="1" si="349"/>
        <v>0</v>
      </c>
      <c r="AR577" s="16">
        <f t="shared" ca="1" si="350"/>
        <v>-4.1793741374076502E-4</v>
      </c>
      <c r="AS577" s="16">
        <f t="shared" ca="1" si="351"/>
        <v>-1.9812366486832904E-4</v>
      </c>
    </row>
    <row r="578" spans="1:45" x14ac:dyDescent="0.25">
      <c r="A578" s="69">
        <f t="shared" ca="1" si="352"/>
        <v>2454.2627499057653</v>
      </c>
      <c r="B578" s="69">
        <f t="shared" ca="1" si="353"/>
        <v>2138.2815761395905</v>
      </c>
      <c r="C578" s="69">
        <f t="shared" ca="1" si="354"/>
        <v>2228.3864736825121</v>
      </c>
      <c r="D578" s="69">
        <f t="shared" ca="1" si="355"/>
        <v>2905.2674781908472</v>
      </c>
      <c r="E578" s="69">
        <f t="shared" ca="1" si="356"/>
        <v>1930.7472095231803</v>
      </c>
      <c r="F578" s="69">
        <f t="shared" ca="1" si="357"/>
        <v>1221.9666261829798</v>
      </c>
      <c r="G578" s="69">
        <f t="shared" ca="1" si="358"/>
        <v>966.84123880820573</v>
      </c>
      <c r="H578" s="69">
        <f t="shared" ca="1" si="359"/>
        <v>1190.6906644289966</v>
      </c>
      <c r="I578" s="69">
        <f t="shared" ca="1" si="360"/>
        <v>1050.4404999492958</v>
      </c>
      <c r="J578" s="69">
        <f t="shared" ca="1" si="361"/>
        <v>1146.6288554789005</v>
      </c>
      <c r="K578" s="69">
        <f t="shared" ca="1" si="362"/>
        <v>1174.2092255473995</v>
      </c>
      <c r="L578" s="69">
        <f t="shared" ca="1" si="363"/>
        <v>957.02640912650156</v>
      </c>
      <c r="M578" s="69">
        <f t="shared" ca="1" si="364"/>
        <v>993.42931037099947</v>
      </c>
      <c r="N578" s="69">
        <f t="shared" ca="1" si="365"/>
        <v>576.12565573898235</v>
      </c>
      <c r="O578" s="69">
        <f t="shared" ca="1" si="366"/>
        <v>630.99651254568278</v>
      </c>
      <c r="P578" s="69">
        <f t="shared" ca="1" si="367"/>
        <v>723.39974664329736</v>
      </c>
      <c r="Q578" s="69">
        <f t="shared" ca="1" si="368"/>
        <v>957.80024944167781</v>
      </c>
      <c r="R578" s="69">
        <f t="shared" ca="1" si="369"/>
        <v>780.05914693570151</v>
      </c>
      <c r="S578" s="69">
        <f t="shared" ca="1" si="370"/>
        <v>699.03012746649426</v>
      </c>
      <c r="T578" s="69">
        <f t="shared" ca="1" si="371"/>
        <v>794.18480040587053</v>
      </c>
      <c r="U578" s="69">
        <f t="shared" ca="1" si="372"/>
        <v>1694.710143451729</v>
      </c>
      <c r="V578" s="69">
        <f t="shared" ca="1" si="373"/>
        <v>1916.7423302438897</v>
      </c>
      <c r="W578" s="69">
        <f t="shared" ca="1" si="374"/>
        <v>1181.8250155117321</v>
      </c>
      <c r="X578" s="69">
        <f t="shared" ca="1" si="375"/>
        <v>1492.5252933444301</v>
      </c>
      <c r="Y578" s="69">
        <f t="shared" ca="1" si="376"/>
        <v>1205.2863946593825</v>
      </c>
      <c r="AA578" s="20">
        <f t="shared" ca="1" si="336"/>
        <v>6.5597607798324664E+16</v>
      </c>
      <c r="AB578" s="20">
        <f t="shared" ca="1" si="337"/>
        <v>1694368169097154.3</v>
      </c>
      <c r="AC578" s="20">
        <f t="shared" ca="1" si="338"/>
        <v>405835986398355.81</v>
      </c>
      <c r="AD578" s="20">
        <f t="shared" ca="1" si="339"/>
        <v>300053223412993.88</v>
      </c>
      <c r="AE578" s="20">
        <f t="shared" ca="1" si="340"/>
        <v>6905963765464363</v>
      </c>
      <c r="AG578" s="16">
        <f t="shared" ca="1" si="341"/>
        <v>-2.6807788511457232E-4</v>
      </c>
      <c r="AH578" s="16">
        <f t="shared" ca="1" si="342"/>
        <v>-2.0883423252686544E-4</v>
      </c>
      <c r="AI578" s="16">
        <f t="shared" ca="1" si="343"/>
        <v>3.6269197426818875E-4</v>
      </c>
      <c r="AJ578" s="16">
        <f t="shared" ca="1" si="344"/>
        <v>-6.6788275382282454E-4</v>
      </c>
      <c r="AK578" s="16">
        <f t="shared" ca="1" si="345"/>
        <v>1.780926084437458E-4</v>
      </c>
      <c r="AM578" s="16">
        <f t="shared" ca="1" si="346"/>
        <v>-7.8210289719607353E-4</v>
      </c>
      <c r="AO578" s="16">
        <f t="shared" ca="1" si="347"/>
        <v>-2.6807788511457232E-4</v>
      </c>
      <c r="AP578" s="16">
        <f t="shared" ca="1" si="348"/>
        <v>-2.0883423252686544E-4</v>
      </c>
      <c r="AQ578" s="16">
        <f t="shared" ca="1" si="349"/>
        <v>0</v>
      </c>
      <c r="AR578" s="16">
        <f t="shared" ca="1" si="350"/>
        <v>-6.6788275382282454E-4</v>
      </c>
      <c r="AS578" s="16">
        <f t="shared" ca="1" si="351"/>
        <v>0</v>
      </c>
    </row>
    <row r="579" spans="1:45" x14ac:dyDescent="0.25">
      <c r="A579" s="69">
        <f t="shared" ca="1" si="352"/>
        <v>2453.9367819321528</v>
      </c>
      <c r="B579" s="69">
        <f t="shared" ca="1" si="353"/>
        <v>2138.2815761395905</v>
      </c>
      <c r="C579" s="69">
        <f t="shared" ca="1" si="354"/>
        <v>2228.628748201023</v>
      </c>
      <c r="D579" s="69">
        <f t="shared" ca="1" si="355"/>
        <v>2905.2674781908472</v>
      </c>
      <c r="E579" s="69">
        <f t="shared" ca="1" si="356"/>
        <v>1930.2762263692155</v>
      </c>
      <c r="F579" s="69">
        <f t="shared" ca="1" si="357"/>
        <v>1221.9666261829798</v>
      </c>
      <c r="G579" s="69">
        <f t="shared" ca="1" si="358"/>
        <v>966.84123880820573</v>
      </c>
      <c r="H579" s="69">
        <f t="shared" ca="1" si="359"/>
        <v>1190.4420334201502</v>
      </c>
      <c r="I579" s="69">
        <f t="shared" ca="1" si="360"/>
        <v>1050.4404999492958</v>
      </c>
      <c r="J579" s="69">
        <f t="shared" ca="1" si="361"/>
        <v>1146.6288554789005</v>
      </c>
      <c r="K579" s="69">
        <f t="shared" ca="1" si="362"/>
        <v>1174.038893044419</v>
      </c>
      <c r="L579" s="69">
        <f t="shared" ca="1" si="363"/>
        <v>956.91527530480164</v>
      </c>
      <c r="M579" s="69">
        <f t="shared" ca="1" si="364"/>
        <v>993.67120804177011</v>
      </c>
      <c r="N579" s="69">
        <f t="shared" ca="1" si="365"/>
        <v>576.34487108044561</v>
      </c>
      <c r="O579" s="69">
        <f t="shared" ca="1" si="366"/>
        <v>630.99651254568278</v>
      </c>
      <c r="P579" s="69">
        <f t="shared" ca="1" si="367"/>
        <v>723.39661277326331</v>
      </c>
      <c r="Q579" s="69">
        <f t="shared" ca="1" si="368"/>
        <v>957.45337156546589</v>
      </c>
      <c r="R579" s="69">
        <f t="shared" ca="1" si="369"/>
        <v>779.82413178136972</v>
      </c>
      <c r="S579" s="69">
        <f t="shared" ca="1" si="370"/>
        <v>699.03012746649426</v>
      </c>
      <c r="T579" s="69">
        <f t="shared" ca="1" si="371"/>
        <v>794.18480040587053</v>
      </c>
      <c r="U579" s="69">
        <f t="shared" ca="1" si="372"/>
        <v>1695.171396019753</v>
      </c>
      <c r="V579" s="69">
        <f t="shared" ca="1" si="373"/>
        <v>1916.7423302438897</v>
      </c>
      <c r="W579" s="69">
        <f t="shared" ca="1" si="374"/>
        <v>1181.844312708615</v>
      </c>
      <c r="X579" s="69">
        <f t="shared" ca="1" si="375"/>
        <v>1492.3605716998925</v>
      </c>
      <c r="Y579" s="69">
        <f t="shared" ca="1" si="376"/>
        <v>1205.2863946593825</v>
      </c>
      <c r="AA579" s="20">
        <f t="shared" ref="AA579:AA642" ca="1" si="377">A579*B579*C579*D579*E579</f>
        <v>6.5580024887257624E+16</v>
      </c>
      <c r="AB579" s="20">
        <f t="shared" ref="AB579:AB642" ca="1" si="378">F579*G579*H579*I579*J579</f>
        <v>1694014363965540.3</v>
      </c>
      <c r="AC579" s="20">
        <f t="shared" ref="AC579:AC642" ca="1" si="379">K579*L579*M579*N579*O579</f>
        <v>405983206549661.56</v>
      </c>
      <c r="AD579" s="20">
        <f t="shared" ref="AD579:AD642" ca="1" si="380">P579*Q579*R579*S579*T579</f>
        <v>299852889946927.75</v>
      </c>
      <c r="AE579" s="20">
        <f t="shared" ref="AE579:AE642" ca="1" si="381">U579*V579*W579*X579*Y579</f>
        <v>6907193776089822</v>
      </c>
      <c r="AG579" s="16">
        <f t="shared" ca="1" si="341"/>
        <v>-1.9631542730844486E-4</v>
      </c>
      <c r="AH579" s="16">
        <f t="shared" ca="1" si="342"/>
        <v>-1.5040478718207655E-4</v>
      </c>
      <c r="AI579" s="16">
        <f t="shared" ca="1" si="343"/>
        <v>-1.1362447986273932E-3</v>
      </c>
      <c r="AJ579" s="16">
        <f t="shared" ca="1" si="344"/>
        <v>1.6322679039364172E-3</v>
      </c>
      <c r="AK579" s="16">
        <f t="shared" ca="1" si="345"/>
        <v>2.6340147410764444E-4</v>
      </c>
      <c r="AM579" s="16">
        <f t="shared" ca="1" si="346"/>
        <v>1.4930289081850276E-4</v>
      </c>
      <c r="AO579" s="16">
        <f t="shared" ca="1" si="347"/>
        <v>-1.9631542730844486E-4</v>
      </c>
      <c r="AP579" s="16">
        <f t="shared" ca="1" si="348"/>
        <v>-1.5040478718207655E-4</v>
      </c>
      <c r="AQ579" s="16">
        <f t="shared" ca="1" si="349"/>
        <v>-1.1362447986273932E-3</v>
      </c>
      <c r="AR579" s="16">
        <f t="shared" ca="1" si="350"/>
        <v>0</v>
      </c>
      <c r="AS579" s="16">
        <f t="shared" ca="1" si="351"/>
        <v>0</v>
      </c>
    </row>
    <row r="580" spans="1:45" x14ac:dyDescent="0.25">
      <c r="A580" s="69">
        <f t="shared" ca="1" si="352"/>
        <v>2453.9367819321528</v>
      </c>
      <c r="B580" s="69">
        <f t="shared" ca="1" si="353"/>
        <v>2138.1752325874068</v>
      </c>
      <c r="C580" s="69">
        <f t="shared" ca="1" si="354"/>
        <v>2228.5961845419647</v>
      </c>
      <c r="D580" s="69">
        <f t="shared" ca="1" si="355"/>
        <v>2904.8840971500881</v>
      </c>
      <c r="E580" s="69">
        <f t="shared" ca="1" si="356"/>
        <v>1930.2762263692155</v>
      </c>
      <c r="F580" s="69">
        <f t="shared" ca="1" si="357"/>
        <v>1222.3524677555592</v>
      </c>
      <c r="G580" s="69">
        <f t="shared" ca="1" si="358"/>
        <v>966.84123880820573</v>
      </c>
      <c r="H580" s="69">
        <f t="shared" ca="1" si="359"/>
        <v>1190.4420334201502</v>
      </c>
      <c r="I580" s="69">
        <f t="shared" ca="1" si="360"/>
        <v>1049.9509937033245</v>
      </c>
      <c r="J580" s="69">
        <f t="shared" ca="1" si="361"/>
        <v>1146.6288554789005</v>
      </c>
      <c r="K580" s="69">
        <f t="shared" ca="1" si="362"/>
        <v>1173.7324132611911</v>
      </c>
      <c r="L580" s="69">
        <f t="shared" ca="1" si="363"/>
        <v>956.74018586243062</v>
      </c>
      <c r="M580" s="69">
        <f t="shared" ca="1" si="364"/>
        <v>993.67120804177011</v>
      </c>
      <c r="N580" s="69">
        <f t="shared" ca="1" si="365"/>
        <v>576.34487108044561</v>
      </c>
      <c r="O580" s="69">
        <f t="shared" ca="1" si="366"/>
        <v>630.55990440158837</v>
      </c>
      <c r="P580" s="69">
        <f t="shared" ca="1" si="367"/>
        <v>723.39661277326331</v>
      </c>
      <c r="Q580" s="69">
        <f t="shared" ca="1" si="368"/>
        <v>957.57509986815307</v>
      </c>
      <c r="R580" s="69">
        <f t="shared" ca="1" si="369"/>
        <v>780.1828453416706</v>
      </c>
      <c r="S580" s="69">
        <f t="shared" ca="1" si="370"/>
        <v>699.47174663475323</v>
      </c>
      <c r="T580" s="69">
        <f t="shared" ca="1" si="371"/>
        <v>794.51341540067619</v>
      </c>
      <c r="U580" s="69">
        <f t="shared" ca="1" si="372"/>
        <v>1695.171396019753</v>
      </c>
      <c r="V580" s="69">
        <f t="shared" ca="1" si="373"/>
        <v>1916.7423302438897</v>
      </c>
      <c r="W580" s="69">
        <f t="shared" ca="1" si="374"/>
        <v>1182.2354245238375</v>
      </c>
      <c r="X580" s="69">
        <f t="shared" ca="1" si="375"/>
        <v>1492.3605716998925</v>
      </c>
      <c r="Y580" s="69">
        <f t="shared" ca="1" si="376"/>
        <v>1205.2050680171562</v>
      </c>
      <c r="AA580" s="20">
        <f t="shared" ca="1" si="377"/>
        <v>6.5567151780285072E+16</v>
      </c>
      <c r="AB580" s="20">
        <f t="shared" ca="1" si="378"/>
        <v>1693759595255341.8</v>
      </c>
      <c r="AC580" s="20">
        <f t="shared" ca="1" si="379"/>
        <v>405522172216422.63</v>
      </c>
      <c r="AD580" s="20">
        <f t="shared" ca="1" si="380"/>
        <v>300342729861319.25</v>
      </c>
      <c r="AE580" s="20">
        <f t="shared" ca="1" si="381"/>
        <v>6909013380745145</v>
      </c>
      <c r="AG580" s="16">
        <f t="shared" ref="AG580:AG643" ca="1" si="382">LN(AA581/AA580)</f>
        <v>1.3119211669576495E-4</v>
      </c>
      <c r="AH580" s="16">
        <f t="shared" ref="AH580:AH643" ca="1" si="383">LN(AB581/AB580)</f>
        <v>9.889752571626794E-4</v>
      </c>
      <c r="AI580" s="16">
        <f t="shared" ref="AI580:AI643" ca="1" si="384">LN(AC581/AC580)</f>
        <v>-2.6856978080261584E-4</v>
      </c>
      <c r="AJ580" s="16">
        <f t="shared" ref="AJ580:AJ643" ca="1" si="385">LN(AD581/AD580)</f>
        <v>5.3530891822664291E-4</v>
      </c>
      <c r="AK580" s="16">
        <f t="shared" ref="AK580:AK643" ca="1" si="386">LN(AE581/AE580)</f>
        <v>-1.2372580158704621E-4</v>
      </c>
      <c r="AM580" s="16">
        <f t="shared" ref="AM580:AM643" ca="1" si="387">AG580+AH580+AI580+AJ580</f>
        <v>1.3869065112824713E-3</v>
      </c>
      <c r="AO580" s="16">
        <f t="shared" ref="AO580:AO643" ca="1" si="388">MIN(AG580,0)</f>
        <v>0</v>
      </c>
      <c r="AP580" s="16">
        <f t="shared" ref="AP580:AP643" ca="1" si="389">MIN(AH580,0)</f>
        <v>0</v>
      </c>
      <c r="AQ580" s="16">
        <f t="shared" ref="AQ580:AQ643" ca="1" si="390">MIN(AI580,0)</f>
        <v>-2.6856978080261584E-4</v>
      </c>
      <c r="AR580" s="16">
        <f t="shared" ref="AR580:AR643" ca="1" si="391">MIN(AJ580,0)</f>
        <v>0</v>
      </c>
      <c r="AS580" s="16">
        <f t="shared" ref="AS580:AS643" ca="1" si="392">MIN(AK580,0)</f>
        <v>-1.2372580158704621E-4</v>
      </c>
    </row>
    <row r="581" spans="1:45" x14ac:dyDescent="0.25">
      <c r="A581" s="69">
        <f t="shared" ref="A581:A644" ca="1" si="393">A580+ $A$1 * RAND()  * RANDBETWEEN(-1,1)</f>
        <v>2453.7208812893969</v>
      </c>
      <c r="B581" s="69">
        <f t="shared" ref="B581:B644" ca="1" si="394">B580+ $A$1 * RAND()  * RANDBETWEEN(-1,1)</f>
        <v>2138.1752325874068</v>
      </c>
      <c r="C581" s="69">
        <f t="shared" ref="C581:C644" ca="1" si="395">C580+ $A$1 * RAND()  * RANDBETWEEN(-1,1)</f>
        <v>2229.0846958273601</v>
      </c>
      <c r="D581" s="69">
        <f t="shared" ref="D581:D644" ca="1" si="396">D580+ $A$1 * RAND()  * RANDBETWEEN(-1,1)</f>
        <v>2904.8840971500881</v>
      </c>
      <c r="E581" s="69">
        <f t="shared" ref="E581:E644" ca="1" si="397">E580+ $A$1 * RAND()  * RANDBETWEEN(-1,1)</f>
        <v>1930.2762263692155</v>
      </c>
      <c r="F581" s="69">
        <f t="shared" ref="F581:F644" ca="1" si="398">F580+ $A$1 * RAND()  * RANDBETWEEN(-1,1)</f>
        <v>1222.3524677555592</v>
      </c>
      <c r="G581" s="69">
        <f t="shared" ref="G581:G644" ca="1" si="399">G580+ $A$1 * RAND()  * RANDBETWEEN(-1,1)</f>
        <v>966.84123880820573</v>
      </c>
      <c r="H581" s="69">
        <f t="shared" ref="H581:H644" ca="1" si="400">H580+ $A$1 * RAND()  * RANDBETWEEN(-1,1)</f>
        <v>1190.7983419134807</v>
      </c>
      <c r="I581" s="69">
        <f t="shared" ref="I581:I644" ca="1" si="401">I580+ $A$1 * RAND()  * RANDBETWEEN(-1,1)</f>
        <v>1050.2888121584058</v>
      </c>
      <c r="J581" s="69">
        <f t="shared" ref="J581:J644" ca="1" si="402">J580+ $A$1 * RAND()  * RANDBETWEEN(-1,1)</f>
        <v>1147.0509122648125</v>
      </c>
      <c r="K581" s="69">
        <f t="shared" ref="K581:K644" ca="1" si="403">K580+ $A$1 * RAND()  * RANDBETWEEN(-1,1)</f>
        <v>1173.7324132611911</v>
      </c>
      <c r="L581" s="69">
        <f t="shared" ref="L581:L644" ca="1" si="404">L580+ $A$1 * RAND()  * RANDBETWEEN(-1,1)</f>
        <v>957.16046195911326</v>
      </c>
      <c r="M581" s="69">
        <f t="shared" ref="M581:M644" ca="1" si="405">M580+ $A$1 * RAND()  * RANDBETWEEN(-1,1)</f>
        <v>993.34065737054073</v>
      </c>
      <c r="N581" s="69">
        <f t="shared" ref="N581:N644" ca="1" si="406">N580+ $A$1 * RAND()  * RANDBETWEEN(-1,1)</f>
        <v>576.34487108044561</v>
      </c>
      <c r="O581" s="69">
        <f t="shared" ref="O581:O644" ca="1" si="407">O580+ $A$1 * RAND()  * RANDBETWEEN(-1,1)</f>
        <v>630.32346277571048</v>
      </c>
      <c r="P581" s="69">
        <f t="shared" ref="P581:P644" ca="1" si="408">P580+ $A$1 * RAND()  * RANDBETWEEN(-1,1)</f>
        <v>723.50496370553969</v>
      </c>
      <c r="Q581" s="69">
        <f t="shared" ref="Q581:Q644" ca="1" si="409">Q580+ $A$1 * RAND()  * RANDBETWEEN(-1,1)</f>
        <v>957.61084175583039</v>
      </c>
      <c r="R581" s="69">
        <f t="shared" ref="R581:R644" ca="1" si="410">R580+ $A$1 * RAND()  * RANDBETWEEN(-1,1)</f>
        <v>780.1828453416706</v>
      </c>
      <c r="S581" s="69">
        <f t="shared" ref="S581:S644" ca="1" si="411">S580+ $A$1 * RAND()  * RANDBETWEEN(-1,1)</f>
        <v>699.39413523377596</v>
      </c>
      <c r="T581" s="69">
        <f t="shared" ref="T581:T644" ca="1" si="412">T580+ $A$1 * RAND()  * RANDBETWEEN(-1,1)</f>
        <v>794.87832219318807</v>
      </c>
      <c r="U581" s="69">
        <f t="shared" ref="U581:U644" ca="1" si="413">U580+ $A$1 * RAND()  * RANDBETWEEN(-1,1)</f>
        <v>1695.171396019753</v>
      </c>
      <c r="V581" s="69">
        <f t="shared" ref="V581:V644" ca="1" si="414">V580+ $A$1 * RAND()  * RANDBETWEEN(-1,1)</f>
        <v>1916.7423302438897</v>
      </c>
      <c r="W581" s="69">
        <f t="shared" ref="W581:W644" ca="1" si="415">W580+ $A$1 * RAND()  * RANDBETWEEN(-1,1)</f>
        <v>1182.2354245238375</v>
      </c>
      <c r="X581" s="69">
        <f t="shared" ref="X581:X644" ca="1" si="416">X580+ $A$1 * RAND()  * RANDBETWEEN(-1,1)</f>
        <v>1492.1759396140142</v>
      </c>
      <c r="Y581" s="69">
        <f t="shared" ref="Y581:Y644" ca="1" si="417">Y580+ $A$1 * RAND()  * RANDBETWEEN(-1,1)</f>
        <v>1205.2050680171562</v>
      </c>
      <c r="AA581" s="20">
        <f t="shared" ca="1" si="377"/>
        <v>6.5575754237987816E+16</v>
      </c>
      <c r="AB581" s="20">
        <f t="shared" ca="1" si="378"/>
        <v>1695435510169225.5</v>
      </c>
      <c r="AC581" s="20">
        <f t="shared" ca="1" si="379"/>
        <v>405413275839312.5</v>
      </c>
      <c r="AD581" s="20">
        <f t="shared" ca="1" si="380"/>
        <v>300503549043269.44</v>
      </c>
      <c r="AE581" s="20">
        <f t="shared" ca="1" si="381"/>
        <v>6908158610406100</v>
      </c>
      <c r="AG581" s="16">
        <f t="shared" ca="1" si="382"/>
        <v>3.1862164512110047E-4</v>
      </c>
      <c r="AH581" s="16">
        <f t="shared" ca="1" si="383"/>
        <v>3.1986183395561892E-4</v>
      </c>
      <c r="AI581" s="16">
        <f t="shared" ca="1" si="384"/>
        <v>1.0245405865915028E-3</v>
      </c>
      <c r="AJ581" s="16">
        <f t="shared" ca="1" si="385"/>
        <v>4.6590340682666441E-4</v>
      </c>
      <c r="AK581" s="16">
        <f t="shared" ca="1" si="386"/>
        <v>-1.9573114812603307E-4</v>
      </c>
      <c r="AM581" s="16">
        <f t="shared" ca="1" si="387"/>
        <v>2.1289274724948866E-3</v>
      </c>
      <c r="AO581" s="16">
        <f t="shared" ca="1" si="388"/>
        <v>0</v>
      </c>
      <c r="AP581" s="16">
        <f t="shared" ca="1" si="389"/>
        <v>0</v>
      </c>
      <c r="AQ581" s="16">
        <f t="shared" ca="1" si="390"/>
        <v>0</v>
      </c>
      <c r="AR581" s="16">
        <f t="shared" ca="1" si="391"/>
        <v>0</v>
      </c>
      <c r="AS581" s="16">
        <f t="shared" ca="1" si="392"/>
        <v>-1.9573114812603307E-4</v>
      </c>
    </row>
    <row r="582" spans="1:45" x14ac:dyDescent="0.25">
      <c r="A582" s="69">
        <f t="shared" ca="1" si="393"/>
        <v>2453.4995212483141</v>
      </c>
      <c r="B582" s="69">
        <f t="shared" ca="1" si="394"/>
        <v>2138.1752325874068</v>
      </c>
      <c r="C582" s="69">
        <f t="shared" ca="1" si="395"/>
        <v>2229.4267160750551</v>
      </c>
      <c r="D582" s="69">
        <f t="shared" ca="1" si="396"/>
        <v>2904.8840971500881</v>
      </c>
      <c r="E582" s="69">
        <f t="shared" ca="1" si="397"/>
        <v>1930.7693132054253</v>
      </c>
      <c r="F582" s="69">
        <f t="shared" ca="1" si="398"/>
        <v>1222.2372024788253</v>
      </c>
      <c r="G582" s="69">
        <f t="shared" ca="1" si="399"/>
        <v>967.11324324594739</v>
      </c>
      <c r="H582" s="69">
        <f t="shared" ca="1" si="400"/>
        <v>1190.7983419134807</v>
      </c>
      <c r="I582" s="69">
        <f t="shared" ca="1" si="401"/>
        <v>1050.1538312387261</v>
      </c>
      <c r="J582" s="69">
        <f t="shared" ca="1" si="402"/>
        <v>1147.3507869207533</v>
      </c>
      <c r="K582" s="69">
        <f t="shared" ca="1" si="403"/>
        <v>1173.7324132611911</v>
      </c>
      <c r="L582" s="69">
        <f t="shared" ca="1" si="404"/>
        <v>957.28257006608089</v>
      </c>
      <c r="M582" s="69">
        <f t="shared" ca="1" si="405"/>
        <v>993.67299721707741</v>
      </c>
      <c r="N582" s="69">
        <f t="shared" ca="1" si="406"/>
        <v>576.34487108044561</v>
      </c>
      <c r="O582" s="69">
        <f t="shared" ca="1" si="407"/>
        <v>630.67809646845603</v>
      </c>
      <c r="P582" s="69">
        <f t="shared" ca="1" si="408"/>
        <v>723.46704393175105</v>
      </c>
      <c r="Q582" s="69">
        <f t="shared" ca="1" si="409"/>
        <v>957.61084175583039</v>
      </c>
      <c r="R582" s="69">
        <f t="shared" ca="1" si="410"/>
        <v>780.58733140599554</v>
      </c>
      <c r="S582" s="69">
        <f t="shared" ca="1" si="411"/>
        <v>699.39413523377596</v>
      </c>
      <c r="T582" s="69">
        <f t="shared" ca="1" si="412"/>
        <v>794.87832219318807</v>
      </c>
      <c r="U582" s="69">
        <f t="shared" ca="1" si="413"/>
        <v>1695.171396019753</v>
      </c>
      <c r="V582" s="69">
        <f t="shared" ca="1" si="414"/>
        <v>1916.2600186548564</v>
      </c>
      <c r="W582" s="69">
        <f t="shared" ca="1" si="415"/>
        <v>1182.7101429684235</v>
      </c>
      <c r="X582" s="69">
        <f t="shared" ca="1" si="416"/>
        <v>1491.826175235557</v>
      </c>
      <c r="Y582" s="69">
        <f t="shared" ca="1" si="417"/>
        <v>1205.0711715060036</v>
      </c>
      <c r="AA582" s="20">
        <f t="shared" ca="1" si="377"/>
        <v>6.5596651421653904E+16</v>
      </c>
      <c r="AB582" s="20">
        <f t="shared" ca="1" si="378"/>
        <v>1695977902021463.8</v>
      </c>
      <c r="AC582" s="20">
        <f t="shared" ca="1" si="379"/>
        <v>405828851045233.69</v>
      </c>
      <c r="AD582" s="20">
        <f t="shared" ca="1" si="380"/>
        <v>300643587290147.25</v>
      </c>
      <c r="AE582" s="20">
        <f t="shared" ca="1" si="381"/>
        <v>6906806600909350</v>
      </c>
      <c r="AG582" s="16">
        <f t="shared" ca="1" si="382"/>
        <v>3.0097377715000809E-4</v>
      </c>
      <c r="AH582" s="16">
        <f t="shared" ca="1" si="383"/>
        <v>-9.1844189986276718E-4</v>
      </c>
      <c r="AI582" s="16">
        <f t="shared" ca="1" si="384"/>
        <v>7.8911889305376647E-4</v>
      </c>
      <c r="AJ582" s="16">
        <f t="shared" ca="1" si="385"/>
        <v>-4.4314227332751784E-4</v>
      </c>
      <c r="AK582" s="16">
        <f t="shared" ca="1" si="386"/>
        <v>1.4504457912174594E-4</v>
      </c>
      <c r="AM582" s="16">
        <f t="shared" ca="1" si="387"/>
        <v>-2.7149150298651052E-4</v>
      </c>
      <c r="AO582" s="16">
        <f t="shared" ca="1" si="388"/>
        <v>0</v>
      </c>
      <c r="AP582" s="16">
        <f t="shared" ca="1" si="389"/>
        <v>-9.1844189986276718E-4</v>
      </c>
      <c r="AQ582" s="16">
        <f t="shared" ca="1" si="390"/>
        <v>0</v>
      </c>
      <c r="AR582" s="16">
        <f t="shared" ca="1" si="391"/>
        <v>-4.4314227332751784E-4</v>
      </c>
      <c r="AS582" s="16">
        <f t="shared" ca="1" si="392"/>
        <v>0</v>
      </c>
    </row>
    <row r="583" spans="1:45" x14ac:dyDescent="0.25">
      <c r="A583" s="69">
        <f t="shared" ca="1" si="393"/>
        <v>2453.4995212483141</v>
      </c>
      <c r="B583" s="69">
        <f t="shared" ca="1" si="394"/>
        <v>2138.4046293173569</v>
      </c>
      <c r="C583" s="69">
        <f t="shared" ca="1" si="395"/>
        <v>2229.4267160750551</v>
      </c>
      <c r="D583" s="69">
        <f t="shared" ca="1" si="396"/>
        <v>2904.8840971500881</v>
      </c>
      <c r="E583" s="69">
        <f t="shared" ca="1" si="397"/>
        <v>1931.1433265366275</v>
      </c>
      <c r="F583" s="69">
        <f t="shared" ca="1" si="398"/>
        <v>1221.9958164525208</v>
      </c>
      <c r="G583" s="69">
        <f t="shared" ca="1" si="399"/>
        <v>966.74393736295031</v>
      </c>
      <c r="H583" s="69">
        <f t="shared" ca="1" si="400"/>
        <v>1190.7983419134807</v>
      </c>
      <c r="I583" s="69">
        <f t="shared" ca="1" si="401"/>
        <v>1050.1538312387261</v>
      </c>
      <c r="J583" s="69">
        <f t="shared" ca="1" si="402"/>
        <v>1146.9619123103216</v>
      </c>
      <c r="K583" s="69">
        <f t="shared" ca="1" si="403"/>
        <v>1173.7324132611911</v>
      </c>
      <c r="L583" s="69">
        <f t="shared" ca="1" si="404"/>
        <v>957.45847813113812</v>
      </c>
      <c r="M583" s="69">
        <f t="shared" ca="1" si="405"/>
        <v>993.75225969738688</v>
      </c>
      <c r="N583" s="69">
        <f t="shared" ca="1" si="406"/>
        <v>576.29050589161807</v>
      </c>
      <c r="O583" s="69">
        <f t="shared" ca="1" si="407"/>
        <v>631.06920408089286</v>
      </c>
      <c r="P583" s="69">
        <f t="shared" ca="1" si="408"/>
        <v>723.25049618337096</v>
      </c>
      <c r="Q583" s="69">
        <f t="shared" ca="1" si="409"/>
        <v>957.72859387912411</v>
      </c>
      <c r="R583" s="69">
        <f t="shared" ca="1" si="410"/>
        <v>780.58733140599554</v>
      </c>
      <c r="S583" s="69">
        <f t="shared" ca="1" si="411"/>
        <v>699.07133067124676</v>
      </c>
      <c r="T583" s="69">
        <f t="shared" ca="1" si="412"/>
        <v>795.03327533140316</v>
      </c>
      <c r="U583" s="69">
        <f t="shared" ca="1" si="413"/>
        <v>1695.171396019753</v>
      </c>
      <c r="V583" s="69">
        <f t="shared" ca="1" si="414"/>
        <v>1916.1461761988739</v>
      </c>
      <c r="W583" s="69">
        <f t="shared" ca="1" si="415"/>
        <v>1182.8767002547149</v>
      </c>
      <c r="X583" s="69">
        <f t="shared" ca="1" si="416"/>
        <v>1491.826175235557</v>
      </c>
      <c r="Y583" s="69">
        <f t="shared" ca="1" si="417"/>
        <v>1205.147862417429</v>
      </c>
      <c r="AA583" s="20">
        <f t="shared" ca="1" si="377"/>
        <v>6.5616397264942128E+16</v>
      </c>
      <c r="AB583" s="20">
        <f t="shared" ca="1" si="378"/>
        <v>1694420959944870</v>
      </c>
      <c r="AC583" s="20">
        <f t="shared" ca="1" si="379"/>
        <v>406149224648746.56</v>
      </c>
      <c r="AD583" s="20">
        <f t="shared" ca="1" si="380"/>
        <v>300510388922507.63</v>
      </c>
      <c r="AE583" s="20">
        <f t="shared" ca="1" si="381"/>
        <v>6907808468421823</v>
      </c>
      <c r="AG583" s="16">
        <f t="shared" ca="1" si="382"/>
        <v>-1.3626770974682921E-4</v>
      </c>
      <c r="AH583" s="16">
        <f t="shared" ca="1" si="383"/>
        <v>6.3214681997174479E-4</v>
      </c>
      <c r="AI583" s="16">
        <f t="shared" ca="1" si="384"/>
        <v>8.2579708741332958E-4</v>
      </c>
      <c r="AJ583" s="16">
        <f t="shared" ca="1" si="385"/>
        <v>1.0116701886175438E-3</v>
      </c>
      <c r="AK583" s="16">
        <f t="shared" ca="1" si="386"/>
        <v>-3.3529594974365584E-4</v>
      </c>
      <c r="AM583" s="16">
        <f t="shared" ca="1" si="387"/>
        <v>2.3333463862557887E-3</v>
      </c>
      <c r="AO583" s="16">
        <f t="shared" ca="1" si="388"/>
        <v>-1.3626770974682921E-4</v>
      </c>
      <c r="AP583" s="16">
        <f t="shared" ca="1" si="389"/>
        <v>0</v>
      </c>
      <c r="AQ583" s="16">
        <f t="shared" ca="1" si="390"/>
        <v>0</v>
      </c>
      <c r="AR583" s="16">
        <f t="shared" ca="1" si="391"/>
        <v>0</v>
      </c>
      <c r="AS583" s="16">
        <f t="shared" ca="1" si="392"/>
        <v>-3.3529594974365584E-4</v>
      </c>
    </row>
    <row r="584" spans="1:45" x14ac:dyDescent="0.25">
      <c r="A584" s="69">
        <f t="shared" ca="1" si="393"/>
        <v>2453.1792614920132</v>
      </c>
      <c r="B584" s="69">
        <f t="shared" ca="1" si="394"/>
        <v>2138.5665650792735</v>
      </c>
      <c r="C584" s="69">
        <f t="shared" ca="1" si="395"/>
        <v>2228.935591615872</v>
      </c>
      <c r="D584" s="69">
        <f t="shared" ca="1" si="396"/>
        <v>2905.2875095907698</v>
      </c>
      <c r="E584" s="69">
        <f t="shared" ca="1" si="397"/>
        <v>1931.1433265366275</v>
      </c>
      <c r="F584" s="69">
        <f t="shared" ca="1" si="398"/>
        <v>1222.2151105420166</v>
      </c>
      <c r="G584" s="69">
        <f t="shared" ca="1" si="399"/>
        <v>967.18168842244643</v>
      </c>
      <c r="H584" s="69">
        <f t="shared" ca="1" si="400"/>
        <v>1190.7983419134807</v>
      </c>
      <c r="I584" s="69">
        <f t="shared" ca="1" si="401"/>
        <v>1050.1538312387261</v>
      </c>
      <c r="J584" s="69">
        <f t="shared" ca="1" si="402"/>
        <v>1146.9619123103216</v>
      </c>
      <c r="K584" s="69">
        <f t="shared" ca="1" si="403"/>
        <v>1173.7324132611911</v>
      </c>
      <c r="L584" s="69">
        <f t="shared" ca="1" si="404"/>
        <v>957.91637483371744</v>
      </c>
      <c r="M584" s="69">
        <f t="shared" ca="1" si="405"/>
        <v>993.75225969738688</v>
      </c>
      <c r="N584" s="69">
        <f t="shared" ca="1" si="406"/>
        <v>576.29050589161807</v>
      </c>
      <c r="O584" s="69">
        <f t="shared" ca="1" si="407"/>
        <v>631.28864578435707</v>
      </c>
      <c r="P584" s="69">
        <f t="shared" ca="1" si="408"/>
        <v>723.25049618337096</v>
      </c>
      <c r="Q584" s="69">
        <f t="shared" ca="1" si="409"/>
        <v>958.1791031875224</v>
      </c>
      <c r="R584" s="69">
        <f t="shared" ca="1" si="410"/>
        <v>780.94555745905325</v>
      </c>
      <c r="S584" s="69">
        <f t="shared" ca="1" si="411"/>
        <v>699.27012143582522</v>
      </c>
      <c r="T584" s="69">
        <f t="shared" ca="1" si="412"/>
        <v>794.87289379087724</v>
      </c>
      <c r="U584" s="69">
        <f t="shared" ca="1" si="413"/>
        <v>1695.171396019753</v>
      </c>
      <c r="V584" s="69">
        <f t="shared" ca="1" si="414"/>
        <v>1915.6710572775405</v>
      </c>
      <c r="W584" s="69">
        <f t="shared" ca="1" si="415"/>
        <v>1182.4767123964625</v>
      </c>
      <c r="X584" s="69">
        <f t="shared" ca="1" si="416"/>
        <v>1492.2005151819374</v>
      </c>
      <c r="Y584" s="69">
        <f t="shared" ca="1" si="417"/>
        <v>1205.147862417429</v>
      </c>
      <c r="AA584" s="20">
        <f t="shared" ca="1" si="377"/>
        <v>6.5607456477949112E+16</v>
      </c>
      <c r="AB584" s="20">
        <f t="shared" ca="1" si="378"/>
        <v>1695492421391185.3</v>
      </c>
      <c r="AC584" s="20">
        <f t="shared" ca="1" si="379"/>
        <v>406484760018514.31</v>
      </c>
      <c r="AD584" s="20">
        <f t="shared" ca="1" si="380"/>
        <v>300814560158893.75</v>
      </c>
      <c r="AE584" s="20">
        <f t="shared" ca="1" si="381"/>
        <v>6905492696476929</v>
      </c>
      <c r="AG584" s="16">
        <f t="shared" ca="1" si="382"/>
        <v>-2.7426563939519558E-4</v>
      </c>
      <c r="AH584" s="16">
        <f t="shared" ca="1" si="383"/>
        <v>-8.2309005925084952E-4</v>
      </c>
      <c r="AI584" s="16">
        <f t="shared" ca="1" si="384"/>
        <v>-5.2067099208224761E-4</v>
      </c>
      <c r="AJ584" s="16">
        <f t="shared" ca="1" si="385"/>
        <v>6.9605991640281232E-4</v>
      </c>
      <c r="AK584" s="16">
        <f t="shared" ca="1" si="386"/>
        <v>-4.4227637075540896E-5</v>
      </c>
      <c r="AM584" s="16">
        <f t="shared" ca="1" si="387"/>
        <v>-9.2196677432548023E-4</v>
      </c>
      <c r="AO584" s="16">
        <f t="shared" ca="1" si="388"/>
        <v>-2.7426563939519558E-4</v>
      </c>
      <c r="AP584" s="16">
        <f t="shared" ca="1" si="389"/>
        <v>-8.2309005925084952E-4</v>
      </c>
      <c r="AQ584" s="16">
        <f t="shared" ca="1" si="390"/>
        <v>-5.2067099208224761E-4</v>
      </c>
      <c r="AR584" s="16">
        <f t="shared" ca="1" si="391"/>
        <v>0</v>
      </c>
      <c r="AS584" s="16">
        <f t="shared" ca="1" si="392"/>
        <v>-4.4227637075540896E-5</v>
      </c>
    </row>
    <row r="585" spans="1:45" x14ac:dyDescent="0.25">
      <c r="A585" s="69">
        <f t="shared" ca="1" si="393"/>
        <v>2452.7623216955512</v>
      </c>
      <c r="B585" s="69">
        <f t="shared" ca="1" si="394"/>
        <v>2138.6750621334495</v>
      </c>
      <c r="C585" s="69">
        <f t="shared" ca="1" si="395"/>
        <v>2228.4573309796338</v>
      </c>
      <c r="D585" s="69">
        <f t="shared" ca="1" si="396"/>
        <v>2905.2875095907698</v>
      </c>
      <c r="E585" s="69">
        <f t="shared" ca="1" si="397"/>
        <v>1931.2583635445956</v>
      </c>
      <c r="F585" s="69">
        <f t="shared" ca="1" si="398"/>
        <v>1222.2151105420166</v>
      </c>
      <c r="G585" s="69">
        <f t="shared" ca="1" si="399"/>
        <v>967.10237167510058</v>
      </c>
      <c r="H585" s="69">
        <f t="shared" ca="1" si="400"/>
        <v>1190.3468597389019</v>
      </c>
      <c r="I585" s="69">
        <f t="shared" ca="1" si="401"/>
        <v>1050.1538312387261</v>
      </c>
      <c r="J585" s="69">
        <f t="shared" ca="1" si="402"/>
        <v>1146.546942871885</v>
      </c>
      <c r="K585" s="69">
        <f t="shared" ca="1" si="403"/>
        <v>1173.7324132611911</v>
      </c>
      <c r="L585" s="69">
        <f t="shared" ca="1" si="404"/>
        <v>957.87398560331508</v>
      </c>
      <c r="M585" s="69">
        <f t="shared" ca="1" si="405"/>
        <v>993.37524564553178</v>
      </c>
      <c r="N585" s="69">
        <f t="shared" ca="1" si="406"/>
        <v>576.46078652384267</v>
      </c>
      <c r="O585" s="69">
        <f t="shared" ca="1" si="407"/>
        <v>631.04097948148387</v>
      </c>
      <c r="P585" s="69">
        <f t="shared" ca="1" si="408"/>
        <v>723.25049618337096</v>
      </c>
      <c r="Q585" s="69">
        <f t="shared" ca="1" si="409"/>
        <v>958.02707718154704</v>
      </c>
      <c r="R585" s="69">
        <f t="shared" ca="1" si="410"/>
        <v>781.19480599991971</v>
      </c>
      <c r="S585" s="69">
        <f t="shared" ca="1" si="411"/>
        <v>699.64476642262412</v>
      </c>
      <c r="T585" s="69">
        <f t="shared" ca="1" si="412"/>
        <v>794.87289379087724</v>
      </c>
      <c r="U585" s="69">
        <f t="shared" ca="1" si="413"/>
        <v>1695.171396019753</v>
      </c>
      <c r="V585" s="69">
        <f t="shared" ca="1" si="414"/>
        <v>1915.6710572775405</v>
      </c>
      <c r="W585" s="69">
        <f t="shared" ca="1" si="415"/>
        <v>1182.4767123964625</v>
      </c>
      <c r="X585" s="69">
        <f t="shared" ca="1" si="416"/>
        <v>1491.7681007340184</v>
      </c>
      <c r="Y585" s="69">
        <f t="shared" ca="1" si="417"/>
        <v>1205.4438799833413</v>
      </c>
      <c r="AA585" s="20">
        <f t="shared" ca="1" si="377"/>
        <v>6.5589465074273792E+16</v>
      </c>
      <c r="AB585" s="20">
        <f t="shared" ca="1" si="378"/>
        <v>1694097452604828.5</v>
      </c>
      <c r="AC585" s="20">
        <f t="shared" ca="1" si="379"/>
        <v>406273170284347.69</v>
      </c>
      <c r="AD585" s="20">
        <f t="shared" ca="1" si="380"/>
        <v>301024018005639.5</v>
      </c>
      <c r="AE585" s="20">
        <f t="shared" ca="1" si="381"/>
        <v>6905187289605883</v>
      </c>
      <c r="AG585" s="16">
        <f t="shared" ca="1" si="382"/>
        <v>-1.4624541801642839E-5</v>
      </c>
      <c r="AH585" s="16">
        <f t="shared" ca="1" si="383"/>
        <v>-2.368774419996173E-4</v>
      </c>
      <c r="AI585" s="16">
        <f t="shared" ca="1" si="384"/>
        <v>-1.2763301374539395E-3</v>
      </c>
      <c r="AJ585" s="16">
        <f t="shared" ca="1" si="385"/>
        <v>6.8322271617110607E-4</v>
      </c>
      <c r="AK585" s="16">
        <f t="shared" ca="1" si="386"/>
        <v>-2.9327144998973867E-4</v>
      </c>
      <c r="AM585" s="16">
        <f t="shared" ca="1" si="387"/>
        <v>-8.4460940508409362E-4</v>
      </c>
      <c r="AO585" s="16">
        <f t="shared" ca="1" si="388"/>
        <v>-1.4624541801642839E-5</v>
      </c>
      <c r="AP585" s="16">
        <f t="shared" ca="1" si="389"/>
        <v>-2.368774419996173E-4</v>
      </c>
      <c r="AQ585" s="16">
        <f t="shared" ca="1" si="390"/>
        <v>-1.2763301374539395E-3</v>
      </c>
      <c r="AR585" s="16">
        <f t="shared" ca="1" si="391"/>
        <v>0</v>
      </c>
      <c r="AS585" s="16">
        <f t="shared" ca="1" si="392"/>
        <v>-2.9327144998973867E-4</v>
      </c>
    </row>
    <row r="586" spans="1:45" x14ac:dyDescent="0.25">
      <c r="A586" s="69">
        <f t="shared" ca="1" si="393"/>
        <v>2452.7623216955512</v>
      </c>
      <c r="B586" s="69">
        <f t="shared" ca="1" si="394"/>
        <v>2138.4879828980597</v>
      </c>
      <c r="C586" s="69">
        <f t="shared" ca="1" si="395"/>
        <v>2228.4573309796338</v>
      </c>
      <c r="D586" s="69">
        <f t="shared" ca="1" si="396"/>
        <v>2904.8603860865701</v>
      </c>
      <c r="E586" s="69">
        <f t="shared" ca="1" si="397"/>
        <v>1931.6830560363314</v>
      </c>
      <c r="F586" s="69">
        <f t="shared" ca="1" si="398"/>
        <v>1222.1324112226328</v>
      </c>
      <c r="G586" s="69">
        <f t="shared" ca="1" si="399"/>
        <v>967.22876400883854</v>
      </c>
      <c r="H586" s="69">
        <f t="shared" ca="1" si="400"/>
        <v>1190.3649183848145</v>
      </c>
      <c r="I586" s="69">
        <f t="shared" ca="1" si="401"/>
        <v>1050.1538312387261</v>
      </c>
      <c r="J586" s="69">
        <f t="shared" ca="1" si="402"/>
        <v>1146.1857621355889</v>
      </c>
      <c r="K586" s="69">
        <f t="shared" ca="1" si="403"/>
        <v>1173.7324132611911</v>
      </c>
      <c r="L586" s="69">
        <f t="shared" ca="1" si="404"/>
        <v>957.72449455131652</v>
      </c>
      <c r="M586" s="69">
        <f t="shared" ca="1" si="405"/>
        <v>992.96013725764669</v>
      </c>
      <c r="N586" s="69">
        <f t="shared" ca="1" si="406"/>
        <v>576.0663314112993</v>
      </c>
      <c r="O586" s="69">
        <f t="shared" ca="1" si="407"/>
        <v>631.02975732942866</v>
      </c>
      <c r="P586" s="69">
        <f t="shared" ca="1" si="408"/>
        <v>723.45816208858821</v>
      </c>
      <c r="Q586" s="69">
        <f t="shared" ca="1" si="409"/>
        <v>957.58880227988811</v>
      </c>
      <c r="R586" s="69">
        <f t="shared" ca="1" si="410"/>
        <v>781.47857585815086</v>
      </c>
      <c r="S586" s="69">
        <f t="shared" ca="1" si="411"/>
        <v>699.64476642262412</v>
      </c>
      <c r="T586" s="69">
        <f t="shared" ca="1" si="412"/>
        <v>795.26289955700759</v>
      </c>
      <c r="U586" s="69">
        <f t="shared" ca="1" si="413"/>
        <v>1694.7487424853139</v>
      </c>
      <c r="V586" s="69">
        <f t="shared" ca="1" si="414"/>
        <v>1915.6598805823653</v>
      </c>
      <c r="W586" s="69">
        <f t="shared" ca="1" si="415"/>
        <v>1182.8203967303093</v>
      </c>
      <c r="X586" s="69">
        <f t="shared" ca="1" si="416"/>
        <v>1491.2778614068204</v>
      </c>
      <c r="Y586" s="69">
        <f t="shared" ca="1" si="417"/>
        <v>1205.4438799833413</v>
      </c>
      <c r="AA586" s="20">
        <f t="shared" ca="1" si="377"/>
        <v>6.558850586541408E+16</v>
      </c>
      <c r="AB586" s="20">
        <f t="shared" ca="1" si="378"/>
        <v>1693696206658690.3</v>
      </c>
      <c r="AC586" s="20">
        <f t="shared" ca="1" si="379"/>
        <v>405754962365614.44</v>
      </c>
      <c r="AD586" s="20">
        <f t="shared" ca="1" si="380"/>
        <v>301229754726851.75</v>
      </c>
      <c r="AE586" s="20">
        <f t="shared" ca="1" si="381"/>
        <v>6903162492239152</v>
      </c>
      <c r="AG586" s="16">
        <f t="shared" ca="1" si="382"/>
        <v>8.0043057176592948E-5</v>
      </c>
      <c r="AH586" s="16">
        <f t="shared" ca="1" si="383"/>
        <v>-8.971006223460631E-5</v>
      </c>
      <c r="AI586" s="16">
        <f t="shared" ca="1" si="384"/>
        <v>-8.7235121339417077E-4</v>
      </c>
      <c r="AJ586" s="16">
        <f t="shared" ca="1" si="385"/>
        <v>1.0078392699414986E-3</v>
      </c>
      <c r="AK586" s="16">
        <f t="shared" ca="1" si="386"/>
        <v>-5.6430230634823132E-4</v>
      </c>
      <c r="AM586" s="16">
        <f t="shared" ca="1" si="387"/>
        <v>1.2582105148931447E-4</v>
      </c>
      <c r="AO586" s="16">
        <f t="shared" ca="1" si="388"/>
        <v>0</v>
      </c>
      <c r="AP586" s="16">
        <f t="shared" ca="1" si="389"/>
        <v>-8.971006223460631E-5</v>
      </c>
      <c r="AQ586" s="16">
        <f t="shared" ca="1" si="390"/>
        <v>-8.7235121339417077E-4</v>
      </c>
      <c r="AR586" s="16">
        <f t="shared" ca="1" si="391"/>
        <v>0</v>
      </c>
      <c r="AS586" s="16">
        <f t="shared" ca="1" si="392"/>
        <v>-5.6430230634823132E-4</v>
      </c>
    </row>
    <row r="587" spans="1:45" x14ac:dyDescent="0.25">
      <c r="A587" s="69">
        <f t="shared" ca="1" si="393"/>
        <v>2452.9506600329464</v>
      </c>
      <c r="B587" s="69">
        <f t="shared" ca="1" si="394"/>
        <v>2138.4879828980597</v>
      </c>
      <c r="C587" s="69">
        <f t="shared" ca="1" si="395"/>
        <v>2228.8141002724187</v>
      </c>
      <c r="D587" s="69">
        <f t="shared" ca="1" si="396"/>
        <v>2904.4048688807666</v>
      </c>
      <c r="E587" s="69">
        <f t="shared" ca="1" si="397"/>
        <v>1931.6830560363314</v>
      </c>
      <c r="F587" s="69">
        <f t="shared" ca="1" si="398"/>
        <v>1221.6328741637431</v>
      </c>
      <c r="G587" s="69">
        <f t="shared" ca="1" si="399"/>
        <v>967.22876400883854</v>
      </c>
      <c r="H587" s="69">
        <f t="shared" ca="1" si="400"/>
        <v>1190.3649183848145</v>
      </c>
      <c r="I587" s="69">
        <f t="shared" ca="1" si="401"/>
        <v>1050.4890052587612</v>
      </c>
      <c r="J587" s="69">
        <f t="shared" ca="1" si="402"/>
        <v>1146.1857621355889</v>
      </c>
      <c r="K587" s="69">
        <f t="shared" ca="1" si="403"/>
        <v>1174.0167053655605</v>
      </c>
      <c r="L587" s="69">
        <f t="shared" ca="1" si="404"/>
        <v>957.62562799065302</v>
      </c>
      <c r="M587" s="69">
        <f t="shared" ca="1" si="405"/>
        <v>992.77209758919219</v>
      </c>
      <c r="N587" s="69">
        <f t="shared" ca="1" si="406"/>
        <v>575.78468234437662</v>
      </c>
      <c r="O587" s="69">
        <f t="shared" ca="1" si="407"/>
        <v>630.81974153649799</v>
      </c>
      <c r="P587" s="69">
        <f t="shared" ca="1" si="408"/>
        <v>723.76033888956806</v>
      </c>
      <c r="Q587" s="69">
        <f t="shared" ca="1" si="409"/>
        <v>957.91204012012213</v>
      </c>
      <c r="R587" s="69">
        <f t="shared" ca="1" si="410"/>
        <v>781.31478522889552</v>
      </c>
      <c r="S587" s="69">
        <f t="shared" ca="1" si="411"/>
        <v>699.96832779284898</v>
      </c>
      <c r="T587" s="69">
        <f t="shared" ca="1" si="412"/>
        <v>795.26289955700759</v>
      </c>
      <c r="U587" s="69">
        <f t="shared" ca="1" si="413"/>
        <v>1694.367110076566</v>
      </c>
      <c r="V587" s="69">
        <f t="shared" ca="1" si="414"/>
        <v>1915.5755030964847</v>
      </c>
      <c r="W587" s="69">
        <f t="shared" ca="1" si="415"/>
        <v>1182.4297042007991</v>
      </c>
      <c r="X587" s="69">
        <f t="shared" ca="1" si="416"/>
        <v>1491.3305281253995</v>
      </c>
      <c r="Y587" s="69">
        <f t="shared" ca="1" si="417"/>
        <v>1205.4438799833413</v>
      </c>
      <c r="AA587" s="20">
        <f t="shared" ca="1" si="377"/>
        <v>6.5593755980054E+16</v>
      </c>
      <c r="AB587" s="20">
        <f t="shared" ca="1" si="378"/>
        <v>1693544271881725.5</v>
      </c>
      <c r="AC587" s="20">
        <f t="shared" ca="1" si="379"/>
        <v>405401155876051.44</v>
      </c>
      <c r="AD587" s="20">
        <f t="shared" ca="1" si="380"/>
        <v>301533498939902.88</v>
      </c>
      <c r="AE587" s="20">
        <f t="shared" ca="1" si="381"/>
        <v>6899268120628468</v>
      </c>
      <c r="AG587" s="16">
        <f t="shared" ca="1" si="382"/>
        <v>-1.7405627134795671E-4</v>
      </c>
      <c r="AH587" s="16">
        <f t="shared" ca="1" si="383"/>
        <v>2.5510845318707769E-4</v>
      </c>
      <c r="AI587" s="16">
        <f t="shared" ca="1" si="384"/>
        <v>6.8264184799964381E-4</v>
      </c>
      <c r="AJ587" s="16">
        <f t="shared" ca="1" si="385"/>
        <v>1.3457601220125672E-3</v>
      </c>
      <c r="AK587" s="16">
        <f t="shared" ca="1" si="386"/>
        <v>3.9816959453322959E-4</v>
      </c>
      <c r="AM587" s="16">
        <f t="shared" ca="1" si="387"/>
        <v>2.109454151851332E-3</v>
      </c>
      <c r="AO587" s="16">
        <f t="shared" ca="1" si="388"/>
        <v>-1.7405627134795671E-4</v>
      </c>
      <c r="AP587" s="16">
        <f t="shared" ca="1" si="389"/>
        <v>0</v>
      </c>
      <c r="AQ587" s="16">
        <f t="shared" ca="1" si="390"/>
        <v>0</v>
      </c>
      <c r="AR587" s="16">
        <f t="shared" ca="1" si="391"/>
        <v>0</v>
      </c>
      <c r="AS587" s="16">
        <f t="shared" ca="1" si="392"/>
        <v>0</v>
      </c>
    </row>
    <row r="588" spans="1:45" x14ac:dyDescent="0.25">
      <c r="A588" s="69">
        <f t="shared" ca="1" si="393"/>
        <v>2453.0042983606463</v>
      </c>
      <c r="B588" s="69">
        <f t="shared" ca="1" si="394"/>
        <v>2138.3982279715701</v>
      </c>
      <c r="C588" s="69">
        <f t="shared" ca="1" si="395"/>
        <v>2228.8141002724187</v>
      </c>
      <c r="D588" s="69">
        <f t="shared" ca="1" si="396"/>
        <v>2903.9577678389232</v>
      </c>
      <c r="E588" s="69">
        <f t="shared" ca="1" si="397"/>
        <v>1931.6830560363314</v>
      </c>
      <c r="F588" s="69">
        <f t="shared" ca="1" si="398"/>
        <v>1221.8212596799813</v>
      </c>
      <c r="G588" s="69">
        <f t="shared" ca="1" si="399"/>
        <v>966.91826376611436</v>
      </c>
      <c r="H588" s="69">
        <f t="shared" ca="1" si="400"/>
        <v>1190.4142383109747</v>
      </c>
      <c r="I588" s="69">
        <f t="shared" ca="1" si="401"/>
        <v>1050.4890052587612</v>
      </c>
      <c r="J588" s="69">
        <f t="shared" ca="1" si="402"/>
        <v>1146.622029166346</v>
      </c>
      <c r="K588" s="69">
        <f t="shared" ca="1" si="403"/>
        <v>1174.1636581804096</v>
      </c>
      <c r="L588" s="69">
        <f t="shared" ca="1" si="404"/>
        <v>957.24097345698124</v>
      </c>
      <c r="M588" s="69">
        <f t="shared" ca="1" si="405"/>
        <v>992.77209758919219</v>
      </c>
      <c r="N588" s="69">
        <f t="shared" ca="1" si="406"/>
        <v>575.95897100617651</v>
      </c>
      <c r="O588" s="69">
        <f t="shared" ca="1" si="407"/>
        <v>631.23406295686414</v>
      </c>
      <c r="P588" s="69">
        <f t="shared" ca="1" si="408"/>
        <v>723.80525927619101</v>
      </c>
      <c r="Q588" s="69">
        <f t="shared" ca="1" si="409"/>
        <v>957.91204012012213</v>
      </c>
      <c r="R588" s="69">
        <f t="shared" ca="1" si="410"/>
        <v>781.56658491135897</v>
      </c>
      <c r="S588" s="69">
        <f t="shared" ca="1" si="411"/>
        <v>700.32067233331486</v>
      </c>
      <c r="T588" s="69">
        <f t="shared" ca="1" si="412"/>
        <v>795.6273934779116</v>
      </c>
      <c r="U588" s="69">
        <f t="shared" ca="1" si="413"/>
        <v>1694.367110076566</v>
      </c>
      <c r="V588" s="69">
        <f t="shared" ca="1" si="414"/>
        <v>1916.073948632215</v>
      </c>
      <c r="W588" s="69">
        <f t="shared" ca="1" si="415"/>
        <v>1182.4297042007991</v>
      </c>
      <c r="X588" s="69">
        <f t="shared" ca="1" si="416"/>
        <v>1491.5363411152566</v>
      </c>
      <c r="Y588" s="69">
        <f t="shared" ca="1" si="417"/>
        <v>1205.4438799833413</v>
      </c>
      <c r="AA588" s="20">
        <f t="shared" ca="1" si="377"/>
        <v>6.5582339969007384E+16</v>
      </c>
      <c r="AB588" s="20">
        <f t="shared" ca="1" si="378"/>
        <v>1693976364454219.8</v>
      </c>
      <c r="AC588" s="20">
        <f t="shared" ca="1" si="379"/>
        <v>405677994150224.88</v>
      </c>
      <c r="AD588" s="20">
        <f t="shared" ca="1" si="380"/>
        <v>301939563869937.69</v>
      </c>
      <c r="AE588" s="20">
        <f t="shared" ca="1" si="381"/>
        <v>6902015746392853</v>
      </c>
      <c r="AG588" s="16">
        <f t="shared" ca="1" si="382"/>
        <v>2.5155998673255108E-4</v>
      </c>
      <c r="AH588" s="16">
        <f t="shared" ca="1" si="383"/>
        <v>-1.015511906616122E-3</v>
      </c>
      <c r="AI588" s="16">
        <f t="shared" ca="1" si="384"/>
        <v>-8.5905381242908703E-4</v>
      </c>
      <c r="AJ588" s="16">
        <f t="shared" ca="1" si="385"/>
        <v>1.3367714281526171E-3</v>
      </c>
      <c r="AK588" s="16">
        <f t="shared" ca="1" si="386"/>
        <v>2.840948920201944E-4</v>
      </c>
      <c r="AM588" s="16">
        <f t="shared" ca="1" si="387"/>
        <v>-2.862343041600407E-4</v>
      </c>
      <c r="AO588" s="16">
        <f t="shared" ca="1" si="388"/>
        <v>0</v>
      </c>
      <c r="AP588" s="16">
        <f t="shared" ca="1" si="389"/>
        <v>-1.015511906616122E-3</v>
      </c>
      <c r="AQ588" s="16">
        <f t="shared" ca="1" si="390"/>
        <v>-8.5905381242908703E-4</v>
      </c>
      <c r="AR588" s="16">
        <f t="shared" ca="1" si="391"/>
        <v>0</v>
      </c>
      <c r="AS588" s="16">
        <f t="shared" ca="1" si="392"/>
        <v>0</v>
      </c>
    </row>
    <row r="589" spans="1:45" x14ac:dyDescent="0.25">
      <c r="A589" s="69">
        <f t="shared" ca="1" si="393"/>
        <v>2453.0525422820315</v>
      </c>
      <c r="B589" s="69">
        <f t="shared" ca="1" si="394"/>
        <v>2138.6131037837486</v>
      </c>
      <c r="C589" s="69">
        <f t="shared" ca="1" si="395"/>
        <v>2228.8141002724187</v>
      </c>
      <c r="D589" s="69">
        <f t="shared" ca="1" si="396"/>
        <v>2904.3227064242546</v>
      </c>
      <c r="E589" s="69">
        <f t="shared" ca="1" si="397"/>
        <v>1931.6941670902493</v>
      </c>
      <c r="F589" s="69">
        <f t="shared" ca="1" si="398"/>
        <v>1221.3978129670011</v>
      </c>
      <c r="G589" s="69">
        <f t="shared" ca="1" si="399"/>
        <v>966.89566539242412</v>
      </c>
      <c r="H589" s="69">
        <f t="shared" ca="1" si="400"/>
        <v>1189.9323238437</v>
      </c>
      <c r="I589" s="69">
        <f t="shared" ca="1" si="401"/>
        <v>1050.4890052587612</v>
      </c>
      <c r="J589" s="69">
        <f t="shared" ca="1" si="402"/>
        <v>1146.3461865397969</v>
      </c>
      <c r="K589" s="69">
        <f t="shared" ca="1" si="403"/>
        <v>1173.7361371202292</v>
      </c>
      <c r="L589" s="69">
        <f t="shared" ca="1" si="404"/>
        <v>956.80892022771479</v>
      </c>
      <c r="M589" s="69">
        <f t="shared" ca="1" si="405"/>
        <v>992.77209758919219</v>
      </c>
      <c r="N589" s="69">
        <f t="shared" ca="1" si="406"/>
        <v>575.93395988815814</v>
      </c>
      <c r="O589" s="69">
        <f t="shared" ca="1" si="407"/>
        <v>631.23406295686414</v>
      </c>
      <c r="P589" s="69">
        <f t="shared" ca="1" si="408"/>
        <v>723.39113914669747</v>
      </c>
      <c r="Q589" s="69">
        <f t="shared" ca="1" si="409"/>
        <v>958.13200813972026</v>
      </c>
      <c r="R589" s="69">
        <f t="shared" ca="1" si="410"/>
        <v>782.00073272476993</v>
      </c>
      <c r="S589" s="69">
        <f t="shared" ca="1" si="411"/>
        <v>700.80251941944402</v>
      </c>
      <c r="T589" s="69">
        <f t="shared" ca="1" si="412"/>
        <v>795.97463382535523</v>
      </c>
      <c r="U589" s="69">
        <f t="shared" ca="1" si="413"/>
        <v>1694.6431234684705</v>
      </c>
      <c r="V589" s="69">
        <f t="shared" ca="1" si="414"/>
        <v>1916.5506910355039</v>
      </c>
      <c r="W589" s="69">
        <f t="shared" ca="1" si="415"/>
        <v>1182.8918171596965</v>
      </c>
      <c r="X589" s="69">
        <f t="shared" ca="1" si="416"/>
        <v>1491.0510033296764</v>
      </c>
      <c r="Y589" s="69">
        <f t="shared" ca="1" si="417"/>
        <v>1205.2114130498915</v>
      </c>
      <c r="AA589" s="20">
        <f t="shared" ca="1" si="377"/>
        <v>6.5598839936858704E+16</v>
      </c>
      <c r="AB589" s="20">
        <f t="shared" ca="1" si="378"/>
        <v>1692256984459779.8</v>
      </c>
      <c r="AC589" s="20">
        <f t="shared" ca="1" si="379"/>
        <v>405329644569671.88</v>
      </c>
      <c r="AD589" s="20">
        <f t="shared" ca="1" si="380"/>
        <v>302343457948835.06</v>
      </c>
      <c r="AE589" s="20">
        <f t="shared" ca="1" si="381"/>
        <v>6903976852367951</v>
      </c>
      <c r="AG589" s="16">
        <f t="shared" ca="1" si="382"/>
        <v>1.4022856216317152E-6</v>
      </c>
      <c r="AH589" s="16">
        <f t="shared" ca="1" si="383"/>
        <v>-3.7319429768091999E-4</v>
      </c>
      <c r="AI589" s="16">
        <f t="shared" ca="1" si="384"/>
        <v>4.2296338651620548E-4</v>
      </c>
      <c r="AJ589" s="16">
        <f t="shared" ca="1" si="385"/>
        <v>2.0750019740774653E-3</v>
      </c>
      <c r="AK589" s="16">
        <f t="shared" ca="1" si="386"/>
        <v>-3.945947372935261E-4</v>
      </c>
      <c r="AM589" s="16">
        <f t="shared" ca="1" si="387"/>
        <v>2.1261733485343826E-3</v>
      </c>
      <c r="AO589" s="16">
        <f t="shared" ca="1" si="388"/>
        <v>0</v>
      </c>
      <c r="AP589" s="16">
        <f t="shared" ca="1" si="389"/>
        <v>-3.7319429768091999E-4</v>
      </c>
      <c r="AQ589" s="16">
        <f t="shared" ca="1" si="390"/>
        <v>0</v>
      </c>
      <c r="AR589" s="16">
        <f t="shared" ca="1" si="391"/>
        <v>0</v>
      </c>
      <c r="AS589" s="16">
        <f t="shared" ca="1" si="392"/>
        <v>-3.945947372935261E-4</v>
      </c>
    </row>
    <row r="590" spans="1:45" x14ac:dyDescent="0.25">
      <c r="A590" s="69">
        <f t="shared" ca="1" si="393"/>
        <v>2453.1770472503622</v>
      </c>
      <c r="B590" s="69">
        <f t="shared" ca="1" si="394"/>
        <v>2138.7233716130731</v>
      </c>
      <c r="C590" s="69">
        <f t="shared" ca="1" si="395"/>
        <v>2228.8141002724187</v>
      </c>
      <c r="D590" s="69">
        <f t="shared" ca="1" si="396"/>
        <v>2904.1740332520926</v>
      </c>
      <c r="E590" s="69">
        <f t="shared" ca="1" si="397"/>
        <v>1931.5981275082902</v>
      </c>
      <c r="F590" s="69">
        <f t="shared" ca="1" si="398"/>
        <v>1221.3978129670011</v>
      </c>
      <c r="G590" s="69">
        <f t="shared" ca="1" si="399"/>
        <v>966.70830642273529</v>
      </c>
      <c r="H590" s="69">
        <f t="shared" ca="1" si="400"/>
        <v>1189.7188669891239</v>
      </c>
      <c r="I590" s="69">
        <f t="shared" ca="1" si="401"/>
        <v>1050.4890052587612</v>
      </c>
      <c r="J590" s="69">
        <f t="shared" ca="1" si="402"/>
        <v>1146.3461865397969</v>
      </c>
      <c r="K590" s="69">
        <f t="shared" ca="1" si="403"/>
        <v>1174.0670871326045</v>
      </c>
      <c r="L590" s="69">
        <f t="shared" ca="1" si="404"/>
        <v>956.80892022771479</v>
      </c>
      <c r="M590" s="69">
        <f t="shared" ca="1" si="405"/>
        <v>992.77209758919219</v>
      </c>
      <c r="N590" s="69">
        <f t="shared" ca="1" si="406"/>
        <v>575.86936490007338</v>
      </c>
      <c r="O590" s="69">
        <f t="shared" ca="1" si="407"/>
        <v>631.39391385746228</v>
      </c>
      <c r="P590" s="69">
        <f t="shared" ca="1" si="408"/>
        <v>723.83741547772127</v>
      </c>
      <c r="Q590" s="69">
        <f t="shared" ca="1" si="409"/>
        <v>958.55604244976803</v>
      </c>
      <c r="R590" s="69">
        <f t="shared" ca="1" si="410"/>
        <v>782.42383130483972</v>
      </c>
      <c r="S590" s="69">
        <f t="shared" ca="1" si="411"/>
        <v>700.80251941944402</v>
      </c>
      <c r="T590" s="69">
        <f t="shared" ca="1" si="412"/>
        <v>796.35273513293112</v>
      </c>
      <c r="U590" s="69">
        <f t="shared" ca="1" si="413"/>
        <v>1694.1507054531689</v>
      </c>
      <c r="V590" s="69">
        <f t="shared" ca="1" si="414"/>
        <v>1916.5506910355039</v>
      </c>
      <c r="W590" s="69">
        <f t="shared" ca="1" si="415"/>
        <v>1183.0703854581229</v>
      </c>
      <c r="X590" s="69">
        <f t="shared" ca="1" si="416"/>
        <v>1490.6709426925493</v>
      </c>
      <c r="Y590" s="69">
        <f t="shared" ca="1" si="417"/>
        <v>1205.2114130498915</v>
      </c>
      <c r="AA590" s="20">
        <f t="shared" ca="1" si="377"/>
        <v>6.559893192523324E+16</v>
      </c>
      <c r="AB590" s="20">
        <f t="shared" ca="1" si="378"/>
        <v>1691625561631996.5</v>
      </c>
      <c r="AC590" s="20">
        <f t="shared" ca="1" si="379"/>
        <v>405501120430243.44</v>
      </c>
      <c r="AD590" s="20">
        <f t="shared" ca="1" si="380"/>
        <v>302971472561375.31</v>
      </c>
      <c r="AE590" s="20">
        <f t="shared" ca="1" si="381"/>
        <v>6901253116856801</v>
      </c>
      <c r="AG590" s="16">
        <f t="shared" ca="1" si="382"/>
        <v>1.7412968033433365E-4</v>
      </c>
      <c r="AH590" s="16">
        <f t="shared" ca="1" si="383"/>
        <v>4.880592751816895E-4</v>
      </c>
      <c r="AI590" s="16">
        <f t="shared" ca="1" si="384"/>
        <v>-2.5302980006088489E-4</v>
      </c>
      <c r="AJ590" s="16">
        <f t="shared" ca="1" si="385"/>
        <v>-4.1864032972477723E-4</v>
      </c>
      <c r="AK590" s="16">
        <f t="shared" ca="1" si="386"/>
        <v>1.2366883530858885E-4</v>
      </c>
      <c r="AM590" s="16">
        <f t="shared" ca="1" si="387"/>
        <v>-9.4811742696389615E-6</v>
      </c>
      <c r="AO590" s="16">
        <f t="shared" ca="1" si="388"/>
        <v>0</v>
      </c>
      <c r="AP590" s="16">
        <f t="shared" ca="1" si="389"/>
        <v>0</v>
      </c>
      <c r="AQ590" s="16">
        <f t="shared" ca="1" si="390"/>
        <v>-2.5302980006088489E-4</v>
      </c>
      <c r="AR590" s="16">
        <f t="shared" ca="1" si="391"/>
        <v>-4.1864032972477723E-4</v>
      </c>
      <c r="AS590" s="16">
        <f t="shared" ca="1" si="392"/>
        <v>0</v>
      </c>
    </row>
    <row r="591" spans="1:45" x14ac:dyDescent="0.25">
      <c r="A591" s="69">
        <f t="shared" ca="1" si="393"/>
        <v>2453.5273305862506</v>
      </c>
      <c r="B591" s="69">
        <f t="shared" ca="1" si="394"/>
        <v>2138.7233716130731</v>
      </c>
      <c r="C591" s="69">
        <f t="shared" ca="1" si="395"/>
        <v>2229.0503544856206</v>
      </c>
      <c r="D591" s="69">
        <f t="shared" ca="1" si="396"/>
        <v>2904.2696643054883</v>
      </c>
      <c r="E591" s="69">
        <f t="shared" ca="1" si="397"/>
        <v>1931.3903559195026</v>
      </c>
      <c r="F591" s="69">
        <f t="shared" ca="1" si="398"/>
        <v>1221.5811727404796</v>
      </c>
      <c r="G591" s="69">
        <f t="shared" ca="1" si="399"/>
        <v>966.96789443385444</v>
      </c>
      <c r="H591" s="69">
        <f t="shared" ca="1" si="400"/>
        <v>1189.6263707669234</v>
      </c>
      <c r="I591" s="69">
        <f t="shared" ca="1" si="401"/>
        <v>1050.4890052587612</v>
      </c>
      <c r="J591" s="69">
        <f t="shared" ca="1" si="402"/>
        <v>1146.5149471365582</v>
      </c>
      <c r="K591" s="69">
        <f t="shared" ca="1" si="403"/>
        <v>1174.0670871326045</v>
      </c>
      <c r="L591" s="69">
        <f t="shared" ca="1" si="404"/>
        <v>956.99071375118751</v>
      </c>
      <c r="M591" s="69">
        <f t="shared" ca="1" si="405"/>
        <v>992.99879678645698</v>
      </c>
      <c r="N591" s="69">
        <f t="shared" ca="1" si="406"/>
        <v>575.48289326995791</v>
      </c>
      <c r="O591" s="69">
        <f t="shared" ca="1" si="407"/>
        <v>631.39391385746228</v>
      </c>
      <c r="P591" s="69">
        <f t="shared" ca="1" si="408"/>
        <v>723.83741547772127</v>
      </c>
      <c r="Q591" s="69">
        <f t="shared" ca="1" si="409"/>
        <v>958.55604244976803</v>
      </c>
      <c r="R591" s="69">
        <f t="shared" ca="1" si="410"/>
        <v>782.19177024389421</v>
      </c>
      <c r="S591" s="69">
        <f t="shared" ca="1" si="411"/>
        <v>700.95626748794359</v>
      </c>
      <c r="T591" s="69">
        <f t="shared" ca="1" si="412"/>
        <v>796.08093192701097</v>
      </c>
      <c r="U591" s="69">
        <f t="shared" ca="1" si="413"/>
        <v>1694.5910203070307</v>
      </c>
      <c r="V591" s="69">
        <f t="shared" ca="1" si="414"/>
        <v>1916.7825808545881</v>
      </c>
      <c r="W591" s="69">
        <f t="shared" ca="1" si="415"/>
        <v>1183.0703854581229</v>
      </c>
      <c r="X591" s="69">
        <f t="shared" ca="1" si="416"/>
        <v>1490.5886974529408</v>
      </c>
      <c r="Y591" s="69">
        <f t="shared" ca="1" si="417"/>
        <v>1204.9679709935313</v>
      </c>
      <c r="AA591" s="20">
        <f t="shared" ca="1" si="377"/>
        <v>6.561035564085476E+16</v>
      </c>
      <c r="AB591" s="20">
        <f t="shared" ca="1" si="378"/>
        <v>1692451376684440.8</v>
      </c>
      <c r="AC591" s="20">
        <f t="shared" ca="1" si="379"/>
        <v>405398529542639.75</v>
      </c>
      <c r="AD591" s="20">
        <f t="shared" ca="1" si="380"/>
        <v>302844663029849.13</v>
      </c>
      <c r="AE591" s="20">
        <f t="shared" ca="1" si="381"/>
        <v>6902106639567924</v>
      </c>
      <c r="AG591" s="16">
        <f t="shared" ca="1" si="382"/>
        <v>4.5682643903367672E-5</v>
      </c>
      <c r="AH591" s="16">
        <f t="shared" ca="1" si="383"/>
        <v>-2.8711079036721041E-4</v>
      </c>
      <c r="AI591" s="16">
        <f t="shared" ca="1" si="384"/>
        <v>2.6572931310627103E-4</v>
      </c>
      <c r="AJ591" s="16">
        <f t="shared" ca="1" si="385"/>
        <v>6.9143185690085607E-5</v>
      </c>
      <c r="AK591" s="16">
        <f t="shared" ca="1" si="386"/>
        <v>-5.7283722977412277E-4</v>
      </c>
      <c r="AM591" s="16">
        <f t="shared" ca="1" si="387"/>
        <v>9.3444352332513908E-5</v>
      </c>
      <c r="AO591" s="16">
        <f t="shared" ca="1" si="388"/>
        <v>0</v>
      </c>
      <c r="AP591" s="16">
        <f t="shared" ca="1" si="389"/>
        <v>-2.8711079036721041E-4</v>
      </c>
      <c r="AQ591" s="16">
        <f t="shared" ca="1" si="390"/>
        <v>0</v>
      </c>
      <c r="AR591" s="16">
        <f t="shared" ca="1" si="391"/>
        <v>0</v>
      </c>
      <c r="AS591" s="16">
        <f t="shared" ca="1" si="392"/>
        <v>-5.7283722977412277E-4</v>
      </c>
    </row>
    <row r="592" spans="1:45" x14ac:dyDescent="0.25">
      <c r="A592" s="69">
        <f t="shared" ca="1" si="393"/>
        <v>2453.4887924111395</v>
      </c>
      <c r="B592" s="69">
        <f t="shared" ca="1" si="394"/>
        <v>2138.7233716130731</v>
      </c>
      <c r="C592" s="69">
        <f t="shared" ca="1" si="395"/>
        <v>2229.0503544856206</v>
      </c>
      <c r="D592" s="69">
        <f t="shared" ca="1" si="396"/>
        <v>2903.9554507424414</v>
      </c>
      <c r="E592" s="69">
        <f t="shared" ca="1" si="397"/>
        <v>1931.7179206321537</v>
      </c>
      <c r="F592" s="69">
        <f t="shared" ca="1" si="398"/>
        <v>1221.5811727404796</v>
      </c>
      <c r="G592" s="69">
        <f t="shared" ca="1" si="399"/>
        <v>966.96789443385444</v>
      </c>
      <c r="H592" s="69">
        <f t="shared" ca="1" si="400"/>
        <v>1189.6263707669234</v>
      </c>
      <c r="I592" s="69">
        <f t="shared" ca="1" si="401"/>
        <v>1050.4890052587612</v>
      </c>
      <c r="J592" s="69">
        <f t="shared" ca="1" si="402"/>
        <v>1146.1858175745033</v>
      </c>
      <c r="K592" s="69">
        <f t="shared" ca="1" si="403"/>
        <v>1173.920391282662</v>
      </c>
      <c r="L592" s="69">
        <f t="shared" ca="1" si="404"/>
        <v>956.99071375118751</v>
      </c>
      <c r="M592" s="69">
        <f t="shared" ca="1" si="405"/>
        <v>992.99879678645698</v>
      </c>
      <c r="N592" s="69">
        <f t="shared" ca="1" si="406"/>
        <v>575.74717495231982</v>
      </c>
      <c r="O592" s="69">
        <f t="shared" ca="1" si="407"/>
        <v>631.35069934375213</v>
      </c>
      <c r="P592" s="69">
        <f t="shared" ca="1" si="408"/>
        <v>723.83741547772127</v>
      </c>
      <c r="Q592" s="69">
        <f t="shared" ca="1" si="409"/>
        <v>958.62232235958118</v>
      </c>
      <c r="R592" s="69">
        <f t="shared" ca="1" si="410"/>
        <v>782.19177024389421</v>
      </c>
      <c r="S592" s="69">
        <f t="shared" ca="1" si="411"/>
        <v>700.95626748794359</v>
      </c>
      <c r="T592" s="69">
        <f t="shared" ca="1" si="412"/>
        <v>796.08093192701097</v>
      </c>
      <c r="U592" s="69">
        <f t="shared" ca="1" si="413"/>
        <v>1694.2294928864778</v>
      </c>
      <c r="V592" s="69">
        <f t="shared" ca="1" si="414"/>
        <v>1917.275567137772</v>
      </c>
      <c r="W592" s="69">
        <f t="shared" ca="1" si="415"/>
        <v>1183.0703854581229</v>
      </c>
      <c r="X592" s="69">
        <f t="shared" ca="1" si="416"/>
        <v>1490.1034396426419</v>
      </c>
      <c r="Y592" s="69">
        <f t="shared" ca="1" si="417"/>
        <v>1204.6173361789986</v>
      </c>
      <c r="AA592" s="20">
        <f t="shared" ca="1" si="377"/>
        <v>6.5613352963830176E+16</v>
      </c>
      <c r="AB592" s="20">
        <f t="shared" ca="1" si="378"/>
        <v>1691965525381936</v>
      </c>
      <c r="AC592" s="20">
        <f t="shared" ca="1" si="379"/>
        <v>405506270129711.56</v>
      </c>
      <c r="AD592" s="20">
        <f t="shared" ca="1" si="380"/>
        <v>302865603398553.81</v>
      </c>
      <c r="AE592" s="20">
        <f t="shared" ca="1" si="381"/>
        <v>6898153988141941</v>
      </c>
      <c r="AG592" s="16">
        <f t="shared" ca="1" si="382"/>
        <v>1.2955827322309047E-4</v>
      </c>
      <c r="AH592" s="16">
        <f t="shared" ca="1" si="383"/>
        <v>-1.4409281883110217E-4</v>
      </c>
      <c r="AI592" s="16">
        <f t="shared" ca="1" si="384"/>
        <v>2.5003744609448751E-4</v>
      </c>
      <c r="AJ592" s="16">
        <f t="shared" ca="1" si="385"/>
        <v>-7.0957339967651393E-5</v>
      </c>
      <c r="AK592" s="16">
        <f t="shared" ca="1" si="386"/>
        <v>2.2573532817763279E-4</v>
      </c>
      <c r="AM592" s="16">
        <f t="shared" ca="1" si="387"/>
        <v>1.6454556051882443E-4</v>
      </c>
      <c r="AO592" s="16">
        <f t="shared" ca="1" si="388"/>
        <v>0</v>
      </c>
      <c r="AP592" s="16">
        <f t="shared" ca="1" si="389"/>
        <v>-1.4409281883110217E-4</v>
      </c>
      <c r="AQ592" s="16">
        <f t="shared" ca="1" si="390"/>
        <v>0</v>
      </c>
      <c r="AR592" s="16">
        <f t="shared" ca="1" si="391"/>
        <v>-7.0957339967651393E-5</v>
      </c>
      <c r="AS592" s="16">
        <f t="shared" ca="1" si="392"/>
        <v>0</v>
      </c>
    </row>
    <row r="593" spans="1:45" x14ac:dyDescent="0.25">
      <c r="A593" s="69">
        <f t="shared" ca="1" si="393"/>
        <v>2453.4887924111395</v>
      </c>
      <c r="B593" s="69">
        <f t="shared" ca="1" si="394"/>
        <v>2138.9258502209277</v>
      </c>
      <c r="C593" s="69">
        <f t="shared" ca="1" si="395"/>
        <v>2229.5430152496187</v>
      </c>
      <c r="D593" s="69">
        <f t="shared" ca="1" si="396"/>
        <v>2903.8004592942207</v>
      </c>
      <c r="E593" s="69">
        <f t="shared" ca="1" si="397"/>
        <v>1931.4615412102135</v>
      </c>
      <c r="F593" s="69">
        <f t="shared" ca="1" si="398"/>
        <v>1221.6214882543077</v>
      </c>
      <c r="G593" s="69">
        <f t="shared" ca="1" si="399"/>
        <v>966.96789443385444</v>
      </c>
      <c r="H593" s="69">
        <f t="shared" ca="1" si="400"/>
        <v>1189.869270961831</v>
      </c>
      <c r="I593" s="69">
        <f t="shared" ca="1" si="401"/>
        <v>1050.0885762755088</v>
      </c>
      <c r="J593" s="69">
        <f t="shared" ca="1" si="402"/>
        <v>1146.1858175745033</v>
      </c>
      <c r="K593" s="69">
        <f t="shared" ca="1" si="403"/>
        <v>1174.3055884281694</v>
      </c>
      <c r="L593" s="69">
        <f t="shared" ca="1" si="404"/>
        <v>957.17898314366778</v>
      </c>
      <c r="M593" s="69">
        <f t="shared" ca="1" si="405"/>
        <v>993.02525527969703</v>
      </c>
      <c r="N593" s="69">
        <f t="shared" ca="1" si="406"/>
        <v>575.74717495231982</v>
      </c>
      <c r="O593" s="69">
        <f t="shared" ca="1" si="407"/>
        <v>631.16044298592033</v>
      </c>
      <c r="P593" s="69">
        <f t="shared" ca="1" si="408"/>
        <v>723.61443911303843</v>
      </c>
      <c r="Q593" s="69">
        <f t="shared" ca="1" si="409"/>
        <v>958.76963190447748</v>
      </c>
      <c r="R593" s="69">
        <f t="shared" ca="1" si="410"/>
        <v>782.07954280273225</v>
      </c>
      <c r="S593" s="69">
        <f t="shared" ca="1" si="411"/>
        <v>701.23837706652751</v>
      </c>
      <c r="T593" s="69">
        <f t="shared" ca="1" si="412"/>
        <v>795.94130129510302</v>
      </c>
      <c r="U593" s="69">
        <f t="shared" ca="1" si="413"/>
        <v>1694.2146442292419</v>
      </c>
      <c r="V593" s="69">
        <f t="shared" ca="1" si="414"/>
        <v>1917.3318189588963</v>
      </c>
      <c r="W593" s="69">
        <f t="shared" ca="1" si="415"/>
        <v>1183.0703854581229</v>
      </c>
      <c r="X593" s="69">
        <f t="shared" ca="1" si="416"/>
        <v>1490.4091815133784</v>
      </c>
      <c r="Y593" s="69">
        <f t="shared" ca="1" si="417"/>
        <v>1204.6173361789986</v>
      </c>
      <c r="AA593" s="20">
        <f t="shared" ca="1" si="377"/>
        <v>6.5621854267235744E+16</v>
      </c>
      <c r="AB593" s="20">
        <f t="shared" ca="1" si="378"/>
        <v>1691721742864095.5</v>
      </c>
      <c r="AC593" s="20">
        <f t="shared" ca="1" si="379"/>
        <v>405607674558794.06</v>
      </c>
      <c r="AD593" s="20">
        <f t="shared" ca="1" si="380"/>
        <v>302844113623406.63</v>
      </c>
      <c r="AE593" s="20">
        <f t="shared" ca="1" si="381"/>
        <v>6899711320962178</v>
      </c>
      <c r="AG593" s="16">
        <f t="shared" ca="1" si="382"/>
        <v>-3.2153834119031109E-4</v>
      </c>
      <c r="AH593" s="16">
        <f t="shared" ca="1" si="383"/>
        <v>-3.9314040176204339E-4</v>
      </c>
      <c r="AI593" s="16">
        <f t="shared" ca="1" si="384"/>
        <v>2.6063228610955091E-5</v>
      </c>
      <c r="AJ593" s="16">
        <f t="shared" ca="1" si="385"/>
        <v>1.5878201773069403E-4</v>
      </c>
      <c r="AK593" s="16">
        <f t="shared" ca="1" si="386"/>
        <v>-4.2039892715467063E-4</v>
      </c>
      <c r="AM593" s="16">
        <f t="shared" ca="1" si="387"/>
        <v>-5.298334966107052E-4</v>
      </c>
      <c r="AO593" s="16">
        <f t="shared" ca="1" si="388"/>
        <v>-3.2153834119031109E-4</v>
      </c>
      <c r="AP593" s="16">
        <f t="shared" ca="1" si="389"/>
        <v>-3.9314040176204339E-4</v>
      </c>
      <c r="AQ593" s="16">
        <f t="shared" ca="1" si="390"/>
        <v>0</v>
      </c>
      <c r="AR593" s="16">
        <f t="shared" ca="1" si="391"/>
        <v>0</v>
      </c>
      <c r="AS593" s="16">
        <f t="shared" ca="1" si="392"/>
        <v>-4.2039892715467063E-4</v>
      </c>
    </row>
    <row r="594" spans="1:45" x14ac:dyDescent="0.25">
      <c r="A594" s="69">
        <f t="shared" ca="1" si="393"/>
        <v>2453.0315003825854</v>
      </c>
      <c r="B594" s="69">
        <f t="shared" ca="1" si="394"/>
        <v>2138.9258502209277</v>
      </c>
      <c r="C594" s="69">
        <f t="shared" ca="1" si="395"/>
        <v>2229.4237047723946</v>
      </c>
      <c r="D594" s="69">
        <f t="shared" ca="1" si="396"/>
        <v>2903.8004592942207</v>
      </c>
      <c r="E594" s="69">
        <f t="shared" ca="1" si="397"/>
        <v>1931.3038984339059</v>
      </c>
      <c r="F594" s="69">
        <f t="shared" ca="1" si="398"/>
        <v>1221.123408785513</v>
      </c>
      <c r="G594" s="69">
        <f t="shared" ca="1" si="399"/>
        <v>967.38817150941554</v>
      </c>
      <c r="H594" s="69">
        <f t="shared" ca="1" si="400"/>
        <v>1189.5006271667207</v>
      </c>
      <c r="I594" s="69">
        <f t="shared" ca="1" si="401"/>
        <v>1050.0885762755088</v>
      </c>
      <c r="J594" s="69">
        <f t="shared" ca="1" si="402"/>
        <v>1146.0597325155834</v>
      </c>
      <c r="K594" s="69">
        <f t="shared" ca="1" si="403"/>
        <v>1174.3055884281694</v>
      </c>
      <c r="L594" s="69">
        <f t="shared" ca="1" si="404"/>
        <v>957.58593607230432</v>
      </c>
      <c r="M594" s="69">
        <f t="shared" ca="1" si="405"/>
        <v>993.2844411588668</v>
      </c>
      <c r="N594" s="69">
        <f t="shared" ca="1" si="406"/>
        <v>575.36732022075046</v>
      </c>
      <c r="O594" s="69">
        <f t="shared" ca="1" si="407"/>
        <v>631.16044298592033</v>
      </c>
      <c r="P594" s="69">
        <f t="shared" ca="1" si="408"/>
        <v>723.46609593280289</v>
      </c>
      <c r="Q594" s="69">
        <f t="shared" ca="1" si="409"/>
        <v>958.43934337575661</v>
      </c>
      <c r="R594" s="69">
        <f t="shared" ca="1" si="410"/>
        <v>782.07954280273225</v>
      </c>
      <c r="S594" s="69">
        <f t="shared" ca="1" si="411"/>
        <v>701.73528051349672</v>
      </c>
      <c r="T594" s="69">
        <f t="shared" ca="1" si="412"/>
        <v>795.94130129510302</v>
      </c>
      <c r="U594" s="69">
        <f t="shared" ca="1" si="413"/>
        <v>1693.879550743975</v>
      </c>
      <c r="V594" s="69">
        <f t="shared" ca="1" si="414"/>
        <v>1917.0141479482816</v>
      </c>
      <c r="W594" s="69">
        <f t="shared" ca="1" si="415"/>
        <v>1182.833411600147</v>
      </c>
      <c r="X594" s="69">
        <f t="shared" ca="1" si="416"/>
        <v>1490.622965258191</v>
      </c>
      <c r="Y594" s="69">
        <f t="shared" ca="1" si="417"/>
        <v>1204.6173361789986</v>
      </c>
      <c r="AA594" s="20">
        <f t="shared" ca="1" si="377"/>
        <v>6.560075771692548E+16</v>
      </c>
      <c r="AB594" s="20">
        <f t="shared" ca="1" si="378"/>
        <v>1691056789417033.5</v>
      </c>
      <c r="AC594" s="20">
        <f t="shared" ca="1" si="379"/>
        <v>405618246142106.63</v>
      </c>
      <c r="AD594" s="20">
        <f t="shared" ca="1" si="380"/>
        <v>302892203640639.56</v>
      </c>
      <c r="AE594" s="20">
        <f t="shared" ca="1" si="381"/>
        <v>6896811299350867</v>
      </c>
      <c r="AG594" s="16">
        <f t="shared" ca="1" si="382"/>
        <v>-1.570016836991157E-4</v>
      </c>
      <c r="AH594" s="16">
        <f t="shared" ca="1" si="383"/>
        <v>-8.8747475867391359E-5</v>
      </c>
      <c r="AI594" s="16">
        <f t="shared" ca="1" si="384"/>
        <v>5.0880280951063413E-4</v>
      </c>
      <c r="AJ594" s="16">
        <f t="shared" ca="1" si="385"/>
        <v>-5.4448531012337949E-4</v>
      </c>
      <c r="AK594" s="16">
        <f t="shared" ca="1" si="386"/>
        <v>2.6492653987342517E-4</v>
      </c>
      <c r="AM594" s="16">
        <f t="shared" ca="1" si="387"/>
        <v>-2.8143166017925242E-4</v>
      </c>
      <c r="AO594" s="16">
        <f t="shared" ca="1" si="388"/>
        <v>-1.570016836991157E-4</v>
      </c>
      <c r="AP594" s="16">
        <f t="shared" ca="1" si="389"/>
        <v>-8.8747475867391359E-5</v>
      </c>
      <c r="AQ594" s="16">
        <f t="shared" ca="1" si="390"/>
        <v>0</v>
      </c>
      <c r="AR594" s="16">
        <f t="shared" ca="1" si="391"/>
        <v>-5.4448531012337949E-4</v>
      </c>
      <c r="AS594" s="16">
        <f t="shared" ca="1" si="392"/>
        <v>0</v>
      </c>
    </row>
    <row r="595" spans="1:45" x14ac:dyDescent="0.25">
      <c r="A595" s="69">
        <f t="shared" ca="1" si="393"/>
        <v>2452.956285423144</v>
      </c>
      <c r="B595" s="69">
        <f t="shared" ca="1" si="394"/>
        <v>2138.9258502209277</v>
      </c>
      <c r="C595" s="69">
        <f t="shared" ca="1" si="395"/>
        <v>2229.4237047723946</v>
      </c>
      <c r="D595" s="69">
        <f t="shared" ca="1" si="396"/>
        <v>2903.4336187287149</v>
      </c>
      <c r="E595" s="69">
        <f t="shared" ca="1" si="397"/>
        <v>1931.3038984339059</v>
      </c>
      <c r="F595" s="69">
        <f t="shared" ca="1" si="398"/>
        <v>1221.1900841572735</v>
      </c>
      <c r="G595" s="69">
        <f t="shared" ca="1" si="399"/>
        <v>967.38817150941554</v>
      </c>
      <c r="H595" s="69">
        <f t="shared" ca="1" si="400"/>
        <v>1189.5006271667207</v>
      </c>
      <c r="I595" s="69">
        <f t="shared" ca="1" si="401"/>
        <v>1050.2341083348988</v>
      </c>
      <c r="J595" s="69">
        <f t="shared" ca="1" si="402"/>
        <v>1145.7366713650881</v>
      </c>
      <c r="K595" s="69">
        <f t="shared" ca="1" si="403"/>
        <v>1174.3055884281694</v>
      </c>
      <c r="L595" s="69">
        <f t="shared" ca="1" si="404"/>
        <v>957.58593607230432</v>
      </c>
      <c r="M595" s="69">
        <f t="shared" ca="1" si="405"/>
        <v>993.72055943259977</v>
      </c>
      <c r="N595" s="69">
        <f t="shared" ca="1" si="406"/>
        <v>575.40750085743878</v>
      </c>
      <c r="O595" s="69">
        <f t="shared" ca="1" si="407"/>
        <v>631.16044298592033</v>
      </c>
      <c r="P595" s="69">
        <f t="shared" ca="1" si="408"/>
        <v>723.46609593280289</v>
      </c>
      <c r="Q595" s="69">
        <f t="shared" ca="1" si="409"/>
        <v>958.52020449288364</v>
      </c>
      <c r="R595" s="69">
        <f t="shared" ca="1" si="410"/>
        <v>782.33661814023139</v>
      </c>
      <c r="S595" s="69">
        <f t="shared" ca="1" si="411"/>
        <v>701.41374623609215</v>
      </c>
      <c r="T595" s="69">
        <f t="shared" ca="1" si="412"/>
        <v>795.54406750643034</v>
      </c>
      <c r="U595" s="69">
        <f t="shared" ca="1" si="413"/>
        <v>1693.879550743975</v>
      </c>
      <c r="V595" s="69">
        <f t="shared" ca="1" si="414"/>
        <v>1917.358324662679</v>
      </c>
      <c r="W595" s="69">
        <f t="shared" ca="1" si="415"/>
        <v>1182.833411600147</v>
      </c>
      <c r="X595" s="69">
        <f t="shared" ca="1" si="416"/>
        <v>1490.4203621452641</v>
      </c>
      <c r="Y595" s="69">
        <f t="shared" ca="1" si="417"/>
        <v>1204.8839865315165</v>
      </c>
      <c r="AA595" s="20">
        <f t="shared" ca="1" si="377"/>
        <v>6.5590459095983552E+16</v>
      </c>
      <c r="AB595" s="20">
        <f t="shared" ca="1" si="378"/>
        <v>1690906719054705.8</v>
      </c>
      <c r="AC595" s="20">
        <f t="shared" ca="1" si="379"/>
        <v>405824678357524.69</v>
      </c>
      <c r="AD595" s="20">
        <f t="shared" ca="1" si="380"/>
        <v>302727328175414.06</v>
      </c>
      <c r="AE595" s="20">
        <f t="shared" ca="1" si="381"/>
        <v>6898638689755984</v>
      </c>
      <c r="AG595" s="16">
        <f t="shared" ca="1" si="382"/>
        <v>-1.5950532532718018E-5</v>
      </c>
      <c r="AH595" s="16">
        <f t="shared" ca="1" si="383"/>
        <v>2.4918679624279852E-5</v>
      </c>
      <c r="AI595" s="16">
        <f t="shared" ca="1" si="384"/>
        <v>-3.0209054142640829E-4</v>
      </c>
      <c r="AJ595" s="16">
        <f t="shared" ca="1" si="385"/>
        <v>-1.3805156252950836E-4</v>
      </c>
      <c r="AK595" s="16">
        <f t="shared" ca="1" si="386"/>
        <v>-8.4086520564157679E-4</v>
      </c>
      <c r="AM595" s="16">
        <f t="shared" ca="1" si="387"/>
        <v>-4.3117395686435481E-4</v>
      </c>
      <c r="AO595" s="16">
        <f t="shared" ca="1" si="388"/>
        <v>-1.5950532532718018E-5</v>
      </c>
      <c r="AP595" s="16">
        <f t="shared" ca="1" si="389"/>
        <v>0</v>
      </c>
      <c r="AQ595" s="16">
        <f t="shared" ca="1" si="390"/>
        <v>-3.0209054142640829E-4</v>
      </c>
      <c r="AR595" s="16">
        <f t="shared" ca="1" si="391"/>
        <v>-1.3805156252950836E-4</v>
      </c>
      <c r="AS595" s="16">
        <f t="shared" ca="1" si="392"/>
        <v>-8.4086520564157679E-4</v>
      </c>
    </row>
    <row r="596" spans="1:45" x14ac:dyDescent="0.25">
      <c r="A596" s="69">
        <f t="shared" ca="1" si="393"/>
        <v>2452.956285423144</v>
      </c>
      <c r="B596" s="69">
        <f t="shared" ca="1" si="394"/>
        <v>2138.9258502209277</v>
      </c>
      <c r="C596" s="69">
        <f t="shared" ca="1" si="395"/>
        <v>2229.3881445606653</v>
      </c>
      <c r="D596" s="69">
        <f t="shared" ca="1" si="396"/>
        <v>2903.4336187287149</v>
      </c>
      <c r="E596" s="69">
        <f t="shared" ca="1" si="397"/>
        <v>1931.3038984339059</v>
      </c>
      <c r="F596" s="69">
        <f t="shared" ca="1" si="398"/>
        <v>1221.1900841572735</v>
      </c>
      <c r="G596" s="69">
        <f t="shared" ca="1" si="399"/>
        <v>967.38817150941554</v>
      </c>
      <c r="H596" s="69">
        <f t="shared" ca="1" si="400"/>
        <v>1189.6970444949056</v>
      </c>
      <c r="I596" s="69">
        <f t="shared" ca="1" si="401"/>
        <v>1050.0868825961859</v>
      </c>
      <c r="J596" s="69">
        <f t="shared" ca="1" si="402"/>
        <v>1145.7366713650881</v>
      </c>
      <c r="K596" s="69">
        <f t="shared" ca="1" si="403"/>
        <v>1174.3055884281694</v>
      </c>
      <c r="L596" s="69">
        <f t="shared" ca="1" si="404"/>
        <v>957.58593607230432</v>
      </c>
      <c r="M596" s="69">
        <f t="shared" ca="1" si="405"/>
        <v>993.64251143284423</v>
      </c>
      <c r="N596" s="69">
        <f t="shared" ca="1" si="406"/>
        <v>575.2788850376013</v>
      </c>
      <c r="O596" s="69">
        <f t="shared" ca="1" si="407"/>
        <v>631.16044298592033</v>
      </c>
      <c r="P596" s="69">
        <f t="shared" ca="1" si="408"/>
        <v>723.9627279625978</v>
      </c>
      <c r="Q596" s="69">
        <f t="shared" ca="1" si="409"/>
        <v>958.52020449288364</v>
      </c>
      <c r="R596" s="69">
        <f t="shared" ca="1" si="410"/>
        <v>781.92983860067466</v>
      </c>
      <c r="S596" s="69">
        <f t="shared" ca="1" si="411"/>
        <v>701.20041684586488</v>
      </c>
      <c r="T596" s="69">
        <f t="shared" ca="1" si="412"/>
        <v>795.54406750643034</v>
      </c>
      <c r="U596" s="69">
        <f t="shared" ca="1" si="413"/>
        <v>1693.4431032102257</v>
      </c>
      <c r="V596" s="69">
        <f t="shared" ca="1" si="414"/>
        <v>1916.9279509100736</v>
      </c>
      <c r="W596" s="69">
        <f t="shared" ca="1" si="415"/>
        <v>1182.833411600147</v>
      </c>
      <c r="X596" s="69">
        <f t="shared" ca="1" si="416"/>
        <v>1490.4203621452641</v>
      </c>
      <c r="Y596" s="69">
        <f t="shared" ca="1" si="417"/>
        <v>1204.4518920353692</v>
      </c>
      <c r="AA596" s="20">
        <f t="shared" ca="1" si="377"/>
        <v>6.5589412901575608E+16</v>
      </c>
      <c r="AB596" s="20">
        <f t="shared" ca="1" si="378"/>
        <v>1690948854742493</v>
      </c>
      <c r="AC596" s="20">
        <f t="shared" ca="1" si="379"/>
        <v>405702101076366.25</v>
      </c>
      <c r="AD596" s="20">
        <f t="shared" ca="1" si="380"/>
        <v>302685539079330.44</v>
      </c>
      <c r="AE596" s="20">
        <f t="shared" ca="1" si="381"/>
        <v>6892840302688090</v>
      </c>
      <c r="AG596" s="16">
        <f t="shared" ca="1" si="382"/>
        <v>-7.0411832192711952E-6</v>
      </c>
      <c r="AH596" s="16">
        <f t="shared" ca="1" si="383"/>
        <v>-5.9918974686120794E-4</v>
      </c>
      <c r="AI596" s="16">
        <f t="shared" ca="1" si="384"/>
        <v>-7.8178235570169354E-4</v>
      </c>
      <c r="AJ596" s="16">
        <f t="shared" ca="1" si="385"/>
        <v>2.1823532982903561E-3</v>
      </c>
      <c r="AK596" s="16">
        <f t="shared" ca="1" si="386"/>
        <v>-9.1798434399595574E-6</v>
      </c>
      <c r="AM596" s="16">
        <f t="shared" ca="1" si="387"/>
        <v>7.9434001250818344E-4</v>
      </c>
      <c r="AO596" s="16">
        <f t="shared" ca="1" si="388"/>
        <v>-7.0411832192711952E-6</v>
      </c>
      <c r="AP596" s="16">
        <f t="shared" ca="1" si="389"/>
        <v>-5.9918974686120794E-4</v>
      </c>
      <c r="AQ596" s="16">
        <f t="shared" ca="1" si="390"/>
        <v>-7.8178235570169354E-4</v>
      </c>
      <c r="AR596" s="16">
        <f t="shared" ca="1" si="391"/>
        <v>0</v>
      </c>
      <c r="AS596" s="16">
        <f t="shared" ca="1" si="392"/>
        <v>-9.1798434399595574E-6</v>
      </c>
    </row>
    <row r="597" spans="1:45" x14ac:dyDescent="0.25">
      <c r="A597" s="69">
        <f t="shared" ca="1" si="393"/>
        <v>2452.9050521107674</v>
      </c>
      <c r="B597" s="69">
        <f t="shared" ca="1" si="394"/>
        <v>2138.7026758225488</v>
      </c>
      <c r="C597" s="69">
        <f t="shared" ca="1" si="395"/>
        <v>2229.8748975496846</v>
      </c>
      <c r="D597" s="69">
        <f t="shared" ca="1" si="396"/>
        <v>2903.4095907101378</v>
      </c>
      <c r="E597" s="69">
        <f t="shared" ca="1" si="397"/>
        <v>1931.1265261830226</v>
      </c>
      <c r="F597" s="69">
        <f t="shared" ca="1" si="398"/>
        <v>1221.1900841572735</v>
      </c>
      <c r="G597" s="69">
        <f t="shared" ca="1" si="399"/>
        <v>967.02545601191366</v>
      </c>
      <c r="H597" s="69">
        <f t="shared" ca="1" si="400"/>
        <v>1189.5631629205591</v>
      </c>
      <c r="I597" s="69">
        <f t="shared" ca="1" si="401"/>
        <v>1050.0868825961859</v>
      </c>
      <c r="J597" s="69">
        <f t="shared" ca="1" si="402"/>
        <v>1145.6087732115977</v>
      </c>
      <c r="K597" s="69">
        <f t="shared" ca="1" si="403"/>
        <v>1174.3702614187741</v>
      </c>
      <c r="L597" s="69">
        <f t="shared" ca="1" si="404"/>
        <v>957.9453600686619</v>
      </c>
      <c r="M597" s="69">
        <f t="shared" ca="1" si="405"/>
        <v>993.16067217245347</v>
      </c>
      <c r="N597" s="69">
        <f t="shared" ca="1" si="406"/>
        <v>575.2788850376013</v>
      </c>
      <c r="O597" s="69">
        <f t="shared" ca="1" si="407"/>
        <v>630.70170065770731</v>
      </c>
      <c r="P597" s="69">
        <f t="shared" ca="1" si="408"/>
        <v>724.41066685294777</v>
      </c>
      <c r="Q597" s="69">
        <f t="shared" ca="1" si="409"/>
        <v>958.98600032903107</v>
      </c>
      <c r="R597" s="69">
        <f t="shared" ca="1" si="410"/>
        <v>781.85658374273373</v>
      </c>
      <c r="S597" s="69">
        <f t="shared" ca="1" si="411"/>
        <v>701.64447396154537</v>
      </c>
      <c r="T597" s="69">
        <f t="shared" ca="1" si="412"/>
        <v>795.97265167934017</v>
      </c>
      <c r="U597" s="69">
        <f t="shared" ca="1" si="413"/>
        <v>1693.4431032102257</v>
      </c>
      <c r="V597" s="69">
        <f t="shared" ca="1" si="414"/>
        <v>1916.9103538923675</v>
      </c>
      <c r="W597" s="69">
        <f t="shared" ca="1" si="415"/>
        <v>1182.833411600147</v>
      </c>
      <c r="X597" s="69">
        <f t="shared" ca="1" si="416"/>
        <v>1490.4203621452641</v>
      </c>
      <c r="Y597" s="69">
        <f t="shared" ca="1" si="417"/>
        <v>1204.4518920353692</v>
      </c>
      <c r="AA597" s="20">
        <f t="shared" ca="1" si="377"/>
        <v>6.5588951076128024E+16</v>
      </c>
      <c r="AB597" s="20">
        <f t="shared" ca="1" si="378"/>
        <v>1689935959014936.8</v>
      </c>
      <c r="AC597" s="20">
        <f t="shared" ca="1" si="379"/>
        <v>405385054279017.5</v>
      </c>
      <c r="AD597" s="20">
        <f t="shared" ca="1" si="380"/>
        <v>303346827183564.88</v>
      </c>
      <c r="AE597" s="20">
        <f t="shared" ca="1" si="381"/>
        <v>6892777027783682</v>
      </c>
      <c r="AG597" s="16">
        <f t="shared" ca="1" si="382"/>
        <v>4.0106006251757392E-4</v>
      </c>
      <c r="AH597" s="16">
        <f t="shared" ca="1" si="383"/>
        <v>-5.2100803392370314E-6</v>
      </c>
      <c r="AI597" s="16">
        <f t="shared" ca="1" si="384"/>
        <v>-6.9167225788713108E-4</v>
      </c>
      <c r="AJ597" s="16">
        <f t="shared" ca="1" si="385"/>
        <v>1.891596907037176E-5</v>
      </c>
      <c r="AK597" s="16">
        <f t="shared" ca="1" si="386"/>
        <v>-1.7296688730378116E-4</v>
      </c>
      <c r="AM597" s="16">
        <f t="shared" ca="1" si="387"/>
        <v>-2.7690630663842244E-4</v>
      </c>
      <c r="AO597" s="16">
        <f t="shared" ca="1" si="388"/>
        <v>0</v>
      </c>
      <c r="AP597" s="16">
        <f t="shared" ca="1" si="389"/>
        <v>-5.2100803392370314E-6</v>
      </c>
      <c r="AQ597" s="16">
        <f t="shared" ca="1" si="390"/>
        <v>-6.9167225788713108E-4</v>
      </c>
      <c r="AR597" s="16">
        <f t="shared" ca="1" si="391"/>
        <v>0</v>
      </c>
      <c r="AS597" s="16">
        <f t="shared" ca="1" si="392"/>
        <v>-1.7296688730378116E-4</v>
      </c>
    </row>
    <row r="598" spans="1:45" x14ac:dyDescent="0.25">
      <c r="A598" s="69">
        <f t="shared" ca="1" si="393"/>
        <v>2452.9050521107674</v>
      </c>
      <c r="B598" s="69">
        <f t="shared" ca="1" si="394"/>
        <v>2138.7026758225488</v>
      </c>
      <c r="C598" s="69">
        <f t="shared" ca="1" si="395"/>
        <v>2230.2195210346963</v>
      </c>
      <c r="D598" s="69">
        <f t="shared" ca="1" si="396"/>
        <v>2903.4041119145513</v>
      </c>
      <c r="E598" s="69">
        <f t="shared" ca="1" si="397"/>
        <v>1931.6062982193353</v>
      </c>
      <c r="F598" s="69">
        <f t="shared" ca="1" si="398"/>
        <v>1220.838684779095</v>
      </c>
      <c r="G598" s="69">
        <f t="shared" ca="1" si="399"/>
        <v>967.02545601191366</v>
      </c>
      <c r="H598" s="69">
        <f t="shared" ca="1" si="400"/>
        <v>1190.037484935646</v>
      </c>
      <c r="I598" s="69">
        <f t="shared" ca="1" si="401"/>
        <v>1050.3704410835001</v>
      </c>
      <c r="J598" s="69">
        <f t="shared" ca="1" si="402"/>
        <v>1145.1665724560451</v>
      </c>
      <c r="K598" s="69">
        <f t="shared" ca="1" si="403"/>
        <v>1173.8749929409439</v>
      </c>
      <c r="L598" s="69">
        <f t="shared" ca="1" si="404"/>
        <v>957.4953859719775</v>
      </c>
      <c r="M598" s="69">
        <f t="shared" ca="1" si="405"/>
        <v>993.29459096455469</v>
      </c>
      <c r="N598" s="69">
        <f t="shared" ca="1" si="406"/>
        <v>575.2788850376013</v>
      </c>
      <c r="O598" s="69">
        <f t="shared" ca="1" si="407"/>
        <v>630.74279511071848</v>
      </c>
      <c r="P598" s="69">
        <f t="shared" ca="1" si="408"/>
        <v>724.50174183094805</v>
      </c>
      <c r="Q598" s="69">
        <f t="shared" ca="1" si="409"/>
        <v>958.98600032903107</v>
      </c>
      <c r="R598" s="69">
        <f t="shared" ca="1" si="410"/>
        <v>781.77844682510954</v>
      </c>
      <c r="S598" s="69">
        <f t="shared" ca="1" si="411"/>
        <v>701.86216094919234</v>
      </c>
      <c r="T598" s="69">
        <f t="shared" ca="1" si="412"/>
        <v>795.72031998789828</v>
      </c>
      <c r="U598" s="69">
        <f t="shared" ca="1" si="413"/>
        <v>1693.5604346450118</v>
      </c>
      <c r="V598" s="69">
        <f t="shared" ca="1" si="414"/>
        <v>1916.7223236661341</v>
      </c>
      <c r="W598" s="69">
        <f t="shared" ca="1" si="415"/>
        <v>1182.6063885499382</v>
      </c>
      <c r="X598" s="69">
        <f t="shared" ca="1" si="416"/>
        <v>1490.4203621452641</v>
      </c>
      <c r="Y598" s="69">
        <f t="shared" ca="1" si="417"/>
        <v>1204.5094599782278</v>
      </c>
      <c r="AA598" s="20">
        <f t="shared" ca="1" si="377"/>
        <v>6.561526146061664E+16</v>
      </c>
      <c r="AB598" s="20">
        <f t="shared" ca="1" si="378"/>
        <v>1689927154335758.8</v>
      </c>
      <c r="AC598" s="20">
        <f t="shared" ca="1" si="379"/>
        <v>405104757631093.06</v>
      </c>
      <c r="AD598" s="20">
        <f t="shared" ca="1" si="380"/>
        <v>303352565337036.69</v>
      </c>
      <c r="AE598" s="20">
        <f t="shared" ca="1" si="381"/>
        <v>6891584908697843</v>
      </c>
      <c r="AG598" s="16">
        <f t="shared" ca="1" si="382"/>
        <v>1.2673567084574305E-4</v>
      </c>
      <c r="AH598" s="16">
        <f t="shared" ca="1" si="383"/>
        <v>-6.0949328911786334E-4</v>
      </c>
      <c r="AI598" s="16">
        <f t="shared" ca="1" si="384"/>
        <v>7.3535230082204803E-4</v>
      </c>
      <c r="AJ598" s="16">
        <f t="shared" ca="1" si="385"/>
        <v>2.1629186947819109E-5</v>
      </c>
      <c r="AK598" s="16">
        <f t="shared" ca="1" si="386"/>
        <v>2.6007447094703783E-4</v>
      </c>
      <c r="AM598" s="16">
        <f t="shared" ca="1" si="387"/>
        <v>2.7422386949774684E-4</v>
      </c>
      <c r="AO598" s="16">
        <f t="shared" ca="1" si="388"/>
        <v>0</v>
      </c>
      <c r="AP598" s="16">
        <f t="shared" ca="1" si="389"/>
        <v>-6.0949328911786334E-4</v>
      </c>
      <c r="AQ598" s="16">
        <f t="shared" ca="1" si="390"/>
        <v>0</v>
      </c>
      <c r="AR598" s="16">
        <f t="shared" ca="1" si="391"/>
        <v>0</v>
      </c>
      <c r="AS598" s="16">
        <f t="shared" ca="1" si="392"/>
        <v>0</v>
      </c>
    </row>
    <row r="599" spans="1:45" x14ac:dyDescent="0.25">
      <c r="A599" s="69">
        <f t="shared" ca="1" si="393"/>
        <v>2452.5755777107361</v>
      </c>
      <c r="B599" s="69">
        <f t="shared" ca="1" si="394"/>
        <v>2138.4401906853677</v>
      </c>
      <c r="C599" s="69">
        <f t="shared" ca="1" si="395"/>
        <v>2230.4507129330414</v>
      </c>
      <c r="D599" s="69">
        <f t="shared" ca="1" si="396"/>
        <v>2903.6685555535723</v>
      </c>
      <c r="E599" s="69">
        <f t="shared" ca="1" si="397"/>
        <v>1931.9715396014828</v>
      </c>
      <c r="F599" s="69">
        <f t="shared" ca="1" si="398"/>
        <v>1220.579752738143</v>
      </c>
      <c r="G599" s="69">
        <f t="shared" ca="1" si="399"/>
        <v>967.16063617632187</v>
      </c>
      <c r="H599" s="69">
        <f t="shared" ca="1" si="400"/>
        <v>1189.8938016285952</v>
      </c>
      <c r="I599" s="69">
        <f t="shared" ca="1" si="401"/>
        <v>1050.3704410835001</v>
      </c>
      <c r="J599" s="69">
        <f t="shared" ca="1" si="402"/>
        <v>1144.6898113649918</v>
      </c>
      <c r="K599" s="69">
        <f t="shared" ca="1" si="403"/>
        <v>1173.8854142803627</v>
      </c>
      <c r="L599" s="69">
        <f t="shared" ca="1" si="404"/>
        <v>957.4953859719775</v>
      </c>
      <c r="M599" s="69">
        <f t="shared" ca="1" si="405"/>
        <v>993.29459096455469</v>
      </c>
      <c r="N599" s="69">
        <f t="shared" ca="1" si="406"/>
        <v>575.69696238713868</v>
      </c>
      <c r="O599" s="69">
        <f t="shared" ca="1" si="407"/>
        <v>630.74279511071848</v>
      </c>
      <c r="P599" s="69">
        <f t="shared" ca="1" si="408"/>
        <v>724.7140372240101</v>
      </c>
      <c r="Q599" s="69">
        <f t="shared" ca="1" si="409"/>
        <v>959.30010323583986</v>
      </c>
      <c r="R599" s="69">
        <f t="shared" ca="1" si="410"/>
        <v>781.77844682510954</v>
      </c>
      <c r="S599" s="69">
        <f t="shared" ca="1" si="411"/>
        <v>701.86216094919234</v>
      </c>
      <c r="T599" s="69">
        <f t="shared" ca="1" si="412"/>
        <v>795.24395875776406</v>
      </c>
      <c r="U599" s="69">
        <f t="shared" ca="1" si="413"/>
        <v>1693.2882684090926</v>
      </c>
      <c r="V599" s="69">
        <f t="shared" ca="1" si="414"/>
        <v>1917.0072054789518</v>
      </c>
      <c r="W599" s="69">
        <f t="shared" ca="1" si="415"/>
        <v>1182.9283086005903</v>
      </c>
      <c r="X599" s="69">
        <f t="shared" ca="1" si="416"/>
        <v>1490.4203621452641</v>
      </c>
      <c r="Y599" s="69">
        <f t="shared" ca="1" si="417"/>
        <v>1204.5094599782278</v>
      </c>
      <c r="AA599" s="20">
        <f t="shared" ca="1" si="377"/>
        <v>6.5623577781771712E+16</v>
      </c>
      <c r="AB599" s="20">
        <f t="shared" ca="1" si="378"/>
        <v>1688897468901150</v>
      </c>
      <c r="AC599" s="20">
        <f t="shared" ca="1" si="379"/>
        <v>405402761902325.63</v>
      </c>
      <c r="AD599" s="20">
        <f t="shared" ca="1" si="380"/>
        <v>303359126677341.44</v>
      </c>
      <c r="AE599" s="20">
        <f t="shared" ca="1" si="381"/>
        <v>6893377467086192</v>
      </c>
      <c r="AG599" s="16">
        <f t="shared" ca="1" si="382"/>
        <v>-3.7460378752374618E-4</v>
      </c>
      <c r="AH599" s="16">
        <f t="shared" ca="1" si="383"/>
        <v>-1.0561043988221622E-4</v>
      </c>
      <c r="AI599" s="16">
        <f t="shared" ca="1" si="384"/>
        <v>1.2229592153823016E-3</v>
      </c>
      <c r="AJ599" s="16">
        <f t="shared" ca="1" si="385"/>
        <v>-2.3505206234968192E-4</v>
      </c>
      <c r="AK599" s="16">
        <f t="shared" ca="1" si="386"/>
        <v>-8.3872053003497979E-5</v>
      </c>
      <c r="AM599" s="16">
        <f t="shared" ca="1" si="387"/>
        <v>5.0769292562665726E-4</v>
      </c>
      <c r="AO599" s="16">
        <f t="shared" ca="1" si="388"/>
        <v>-3.7460378752374618E-4</v>
      </c>
      <c r="AP599" s="16">
        <f t="shared" ca="1" si="389"/>
        <v>-1.0561043988221622E-4</v>
      </c>
      <c r="AQ599" s="16">
        <f t="shared" ca="1" si="390"/>
        <v>0</v>
      </c>
      <c r="AR599" s="16">
        <f t="shared" ca="1" si="391"/>
        <v>-2.3505206234968192E-4</v>
      </c>
      <c r="AS599" s="16">
        <f t="shared" ca="1" si="392"/>
        <v>-8.3872053003497979E-5</v>
      </c>
    </row>
    <row r="600" spans="1:45" x14ac:dyDescent="0.25">
      <c r="A600" s="69">
        <f t="shared" ca="1" si="393"/>
        <v>2452.1226453375034</v>
      </c>
      <c r="B600" s="69">
        <f t="shared" ca="1" si="394"/>
        <v>2138.2583418820877</v>
      </c>
      <c r="C600" s="69">
        <f t="shared" ca="1" si="395"/>
        <v>2230.1390842310789</v>
      </c>
      <c r="D600" s="69">
        <f t="shared" ca="1" si="396"/>
        <v>2903.1723698660821</v>
      </c>
      <c r="E600" s="69">
        <f t="shared" ca="1" si="397"/>
        <v>1932.3690902841629</v>
      </c>
      <c r="F600" s="69">
        <f t="shared" ca="1" si="398"/>
        <v>1220.579752738143</v>
      </c>
      <c r="G600" s="69">
        <f t="shared" ca="1" si="399"/>
        <v>966.86238917322657</v>
      </c>
      <c r="H600" s="69">
        <f t="shared" ca="1" si="400"/>
        <v>1190.177278036911</v>
      </c>
      <c r="I600" s="69">
        <f t="shared" ca="1" si="401"/>
        <v>1050.3332613206303</v>
      </c>
      <c r="J600" s="69">
        <f t="shared" ca="1" si="402"/>
        <v>1144.6898113649918</v>
      </c>
      <c r="K600" s="69">
        <f t="shared" ca="1" si="403"/>
        <v>1173.926447308351</v>
      </c>
      <c r="L600" s="69">
        <f t="shared" ca="1" si="404"/>
        <v>957.62381474824394</v>
      </c>
      <c r="M600" s="69">
        <f t="shared" ca="1" si="405"/>
        <v>993.35846226045317</v>
      </c>
      <c r="N600" s="69">
        <f t="shared" ca="1" si="406"/>
        <v>575.88072977313027</v>
      </c>
      <c r="O600" s="69">
        <f t="shared" ca="1" si="407"/>
        <v>631.16580327162319</v>
      </c>
      <c r="P600" s="69">
        <f t="shared" ca="1" si="408"/>
        <v>724.32982828568277</v>
      </c>
      <c r="Q600" s="69">
        <f t="shared" ca="1" si="409"/>
        <v>959.75444144013466</v>
      </c>
      <c r="R600" s="69">
        <f t="shared" ca="1" si="410"/>
        <v>781.60017358521975</v>
      </c>
      <c r="S600" s="69">
        <f t="shared" ca="1" si="411"/>
        <v>701.89711480751976</v>
      </c>
      <c r="T600" s="69">
        <f t="shared" ca="1" si="412"/>
        <v>795.24395875776406</v>
      </c>
      <c r="U600" s="69">
        <f t="shared" ca="1" si="413"/>
        <v>1693.2882684090926</v>
      </c>
      <c r="V600" s="69">
        <f t="shared" ca="1" si="414"/>
        <v>1916.6375258510095</v>
      </c>
      <c r="W600" s="69">
        <f t="shared" ca="1" si="415"/>
        <v>1182.7179668284</v>
      </c>
      <c r="X600" s="69">
        <f t="shared" ca="1" si="416"/>
        <v>1490.4203621452641</v>
      </c>
      <c r="Y600" s="69">
        <f t="shared" ca="1" si="417"/>
        <v>1204.8549855948108</v>
      </c>
      <c r="AA600" s="20">
        <f t="shared" ca="1" si="377"/>
        <v>6.5598999544821544E+16</v>
      </c>
      <c r="AB600" s="20">
        <f t="shared" ca="1" si="378"/>
        <v>1688719113114825.8</v>
      </c>
      <c r="AC600" s="20">
        <f t="shared" ca="1" si="379"/>
        <v>405898856235672.75</v>
      </c>
      <c r="AD600" s="20">
        <f t="shared" ca="1" si="380"/>
        <v>303287829868542.56</v>
      </c>
      <c r="AE600" s="20">
        <f t="shared" ca="1" si="381"/>
        <v>6892799329611027</v>
      </c>
      <c r="AG600" s="16">
        <f t="shared" ca="1" si="382"/>
        <v>4.0780641940514639E-4</v>
      </c>
      <c r="AH600" s="16">
        <f t="shared" ca="1" si="383"/>
        <v>3.0518236209362969E-4</v>
      </c>
      <c r="AI600" s="16">
        <f t="shared" ca="1" si="384"/>
        <v>-4.3765777521209774E-4</v>
      </c>
      <c r="AJ600" s="16">
        <f t="shared" ca="1" si="385"/>
        <v>-3.236242229181348E-4</v>
      </c>
      <c r="AK600" s="16">
        <f t="shared" ca="1" si="386"/>
        <v>-2.120967410651429E-4</v>
      </c>
      <c r="AM600" s="16">
        <f t="shared" ca="1" si="387"/>
        <v>-4.829321663145646E-5</v>
      </c>
      <c r="AO600" s="16">
        <f t="shared" ca="1" si="388"/>
        <v>0</v>
      </c>
      <c r="AP600" s="16">
        <f t="shared" ca="1" si="389"/>
        <v>0</v>
      </c>
      <c r="AQ600" s="16">
        <f t="shared" ca="1" si="390"/>
        <v>-4.3765777521209774E-4</v>
      </c>
      <c r="AR600" s="16">
        <f t="shared" ca="1" si="391"/>
        <v>-3.236242229181348E-4</v>
      </c>
      <c r="AS600" s="16">
        <f t="shared" ca="1" si="392"/>
        <v>-2.120967410651429E-4</v>
      </c>
    </row>
    <row r="601" spans="1:45" x14ac:dyDescent="0.25">
      <c r="A601" s="69">
        <f t="shared" ca="1" si="393"/>
        <v>2452.1226453375034</v>
      </c>
      <c r="B601" s="69">
        <f t="shared" ca="1" si="394"/>
        <v>2138.2583418820877</v>
      </c>
      <c r="C601" s="69">
        <f t="shared" ca="1" si="395"/>
        <v>2230.6365034574101</v>
      </c>
      <c r="D601" s="69">
        <f t="shared" ca="1" si="396"/>
        <v>2903.1723698660821</v>
      </c>
      <c r="E601" s="69">
        <f t="shared" ca="1" si="397"/>
        <v>1932.7262004522238</v>
      </c>
      <c r="F601" s="69">
        <f t="shared" ca="1" si="398"/>
        <v>1220.6968040884603</v>
      </c>
      <c r="G601" s="69">
        <f t="shared" ca="1" si="399"/>
        <v>966.86238917322657</v>
      </c>
      <c r="H601" s="69">
        <f t="shared" ca="1" si="400"/>
        <v>1189.7253242549671</v>
      </c>
      <c r="I601" s="69">
        <f t="shared" ca="1" si="401"/>
        <v>1050.4994593516569</v>
      </c>
      <c r="J601" s="69">
        <f t="shared" ca="1" si="402"/>
        <v>1145.1831373995976</v>
      </c>
      <c r="K601" s="69">
        <f t="shared" ca="1" si="403"/>
        <v>1173.6404799997019</v>
      </c>
      <c r="L601" s="69">
        <f t="shared" ca="1" si="404"/>
        <v>957.62381474824394</v>
      </c>
      <c r="M601" s="69">
        <f t="shared" ca="1" si="405"/>
        <v>993.64351308336825</v>
      </c>
      <c r="N601" s="69">
        <f t="shared" ca="1" si="406"/>
        <v>575.60382964246173</v>
      </c>
      <c r="O601" s="69">
        <f t="shared" ca="1" si="407"/>
        <v>631.16580327162319</v>
      </c>
      <c r="P601" s="69">
        <f t="shared" ca="1" si="408"/>
        <v>724.32982828568277</v>
      </c>
      <c r="Q601" s="69">
        <f t="shared" ca="1" si="409"/>
        <v>959.80463377096737</v>
      </c>
      <c r="R601" s="69">
        <f t="shared" ca="1" si="410"/>
        <v>781.60017358521975</v>
      </c>
      <c r="S601" s="69">
        <f t="shared" ca="1" si="411"/>
        <v>701.64215498619808</v>
      </c>
      <c r="T601" s="69">
        <f t="shared" ca="1" si="412"/>
        <v>795.2339307503421</v>
      </c>
      <c r="U601" s="69">
        <f t="shared" ca="1" si="413"/>
        <v>1693.2882684090926</v>
      </c>
      <c r="V601" s="69">
        <f t="shared" ca="1" si="414"/>
        <v>1916.5211251392177</v>
      </c>
      <c r="W601" s="69">
        <f t="shared" ca="1" si="415"/>
        <v>1182.5389604387383</v>
      </c>
      <c r="X601" s="69">
        <f t="shared" ca="1" si="416"/>
        <v>1490.4203621452641</v>
      </c>
      <c r="Y601" s="69">
        <f t="shared" ca="1" si="417"/>
        <v>1204.8549855948108</v>
      </c>
      <c r="AA601" s="20">
        <f t="shared" ca="1" si="377"/>
        <v>6.5625756693440144E+16</v>
      </c>
      <c r="AB601" s="20">
        <f t="shared" ca="1" si="378"/>
        <v>1689234559051182.5</v>
      </c>
      <c r="AC601" s="20">
        <f t="shared" ca="1" si="379"/>
        <v>405721250313432.88</v>
      </c>
      <c r="AD601" s="20">
        <f t="shared" ca="1" si="380"/>
        <v>303189694460634.88</v>
      </c>
      <c r="AE601" s="20">
        <f t="shared" ca="1" si="381"/>
        <v>6891337544361824</v>
      </c>
      <c r="AG601" s="16">
        <f t="shared" ca="1" si="382"/>
        <v>1.6469207841754831E-4</v>
      </c>
      <c r="AH601" s="16">
        <f t="shared" ca="1" si="383"/>
        <v>-2.3631501095979014E-4</v>
      </c>
      <c r="AI601" s="16">
        <f t="shared" ca="1" si="384"/>
        <v>4.8450677193911056E-4</v>
      </c>
      <c r="AJ601" s="16">
        <f t="shared" ca="1" si="385"/>
        <v>-1.9387728464709028E-4</v>
      </c>
      <c r="AK601" s="16">
        <f t="shared" ca="1" si="386"/>
        <v>-2.220684636854455E-4</v>
      </c>
      <c r="AM601" s="16">
        <f t="shared" ca="1" si="387"/>
        <v>2.1900655474977842E-4</v>
      </c>
      <c r="AO601" s="16">
        <f t="shared" ca="1" si="388"/>
        <v>0</v>
      </c>
      <c r="AP601" s="16">
        <f t="shared" ca="1" si="389"/>
        <v>-2.3631501095979014E-4</v>
      </c>
      <c r="AQ601" s="16">
        <f t="shared" ca="1" si="390"/>
        <v>0</v>
      </c>
      <c r="AR601" s="16">
        <f t="shared" ca="1" si="391"/>
        <v>-1.9387728464709028E-4</v>
      </c>
      <c r="AS601" s="16">
        <f t="shared" ca="1" si="392"/>
        <v>-2.220684636854455E-4</v>
      </c>
    </row>
    <row r="602" spans="1:45" x14ac:dyDescent="0.25">
      <c r="A602" s="69">
        <f t="shared" ca="1" si="393"/>
        <v>2452.2029450528371</v>
      </c>
      <c r="B602" s="69">
        <f t="shared" ca="1" si="394"/>
        <v>2137.8938590699477</v>
      </c>
      <c r="C602" s="69">
        <f t="shared" ca="1" si="395"/>
        <v>2230.8944595650564</v>
      </c>
      <c r="D602" s="69">
        <f t="shared" ca="1" si="396"/>
        <v>2903.6354698362843</v>
      </c>
      <c r="E602" s="69">
        <f t="shared" ca="1" si="397"/>
        <v>1932.7789255625596</v>
      </c>
      <c r="F602" s="69">
        <f t="shared" ca="1" si="398"/>
        <v>1220.8349162648831</v>
      </c>
      <c r="G602" s="69">
        <f t="shared" ca="1" si="399"/>
        <v>966.5056605240967</v>
      </c>
      <c r="H602" s="69">
        <f t="shared" ca="1" si="400"/>
        <v>1189.4815402700915</v>
      </c>
      <c r="I602" s="69">
        <f t="shared" ca="1" si="401"/>
        <v>1050.9868194546018</v>
      </c>
      <c r="J602" s="69">
        <f t="shared" ca="1" si="402"/>
        <v>1144.9091014059352</v>
      </c>
      <c r="K602" s="69">
        <f t="shared" ca="1" si="403"/>
        <v>1174.0139847668322</v>
      </c>
      <c r="L602" s="69">
        <f t="shared" ca="1" si="404"/>
        <v>957.356466778151</v>
      </c>
      <c r="M602" s="69">
        <f t="shared" ca="1" si="405"/>
        <v>993.64351308336825</v>
      </c>
      <c r="N602" s="69">
        <f t="shared" ca="1" si="406"/>
        <v>575.97895133968109</v>
      </c>
      <c r="O602" s="69">
        <f t="shared" ca="1" si="407"/>
        <v>631.03582258828351</v>
      </c>
      <c r="P602" s="69">
        <f t="shared" ca="1" si="408"/>
        <v>724.05068906437498</v>
      </c>
      <c r="Q602" s="69">
        <f t="shared" ca="1" si="409"/>
        <v>959.80463377096737</v>
      </c>
      <c r="R602" s="69">
        <f t="shared" ca="1" si="410"/>
        <v>781.60017358521975</v>
      </c>
      <c r="S602" s="69">
        <f t="shared" ca="1" si="411"/>
        <v>701.77658344181339</v>
      </c>
      <c r="T602" s="69">
        <f t="shared" ca="1" si="412"/>
        <v>795.2339307503421</v>
      </c>
      <c r="U602" s="69">
        <f t="shared" ca="1" si="413"/>
        <v>1693.3977405646301</v>
      </c>
      <c r="V602" s="69">
        <f t="shared" ca="1" si="414"/>
        <v>1916.7517256251697</v>
      </c>
      <c r="W602" s="69">
        <f t="shared" ca="1" si="415"/>
        <v>1182.1210254837474</v>
      </c>
      <c r="X602" s="69">
        <f t="shared" ca="1" si="416"/>
        <v>1490.340555235812</v>
      </c>
      <c r="Y602" s="69">
        <f t="shared" ca="1" si="417"/>
        <v>1204.8549855948108</v>
      </c>
      <c r="AA602" s="20">
        <f t="shared" ca="1" si="377"/>
        <v>6.5636565625756048E+16</v>
      </c>
      <c r="AB602" s="20">
        <f t="shared" ca="1" si="378"/>
        <v>1688835414731601.3</v>
      </c>
      <c r="AC602" s="20">
        <f t="shared" ca="1" si="379"/>
        <v>405917872635306.19</v>
      </c>
      <c r="AD602" s="20">
        <f t="shared" ca="1" si="380"/>
        <v>303130918563779.63</v>
      </c>
      <c r="AE602" s="20">
        <f t="shared" ca="1" si="381"/>
        <v>6889807365529129</v>
      </c>
      <c r="AG602" s="16">
        <f t="shared" ca="1" si="382"/>
        <v>-2.5571900228201259E-4</v>
      </c>
      <c r="AH602" s="16">
        <f t="shared" ca="1" si="383"/>
        <v>-1.1440078647411744E-4</v>
      </c>
      <c r="AI602" s="16">
        <f t="shared" ca="1" si="384"/>
        <v>1.5817086205866624E-4</v>
      </c>
      <c r="AJ602" s="16">
        <f t="shared" ca="1" si="385"/>
        <v>-4.9849194485867925E-4</v>
      </c>
      <c r="AK602" s="16">
        <f t="shared" ca="1" si="386"/>
        <v>-7.5666678861638099E-4</v>
      </c>
      <c r="AM602" s="16">
        <f t="shared" ca="1" si="387"/>
        <v>-7.1044087155614302E-4</v>
      </c>
      <c r="AO602" s="16">
        <f t="shared" ca="1" si="388"/>
        <v>-2.5571900228201259E-4</v>
      </c>
      <c r="AP602" s="16">
        <f t="shared" ca="1" si="389"/>
        <v>-1.1440078647411744E-4</v>
      </c>
      <c r="AQ602" s="16">
        <f t="shared" ca="1" si="390"/>
        <v>0</v>
      </c>
      <c r="AR602" s="16">
        <f t="shared" ca="1" si="391"/>
        <v>-4.9849194485867925E-4</v>
      </c>
      <c r="AS602" s="16">
        <f t="shared" ca="1" si="392"/>
        <v>-7.5666678861638099E-4</v>
      </c>
    </row>
    <row r="603" spans="1:45" x14ac:dyDescent="0.25">
      <c r="A603" s="69">
        <f t="shared" ca="1" si="393"/>
        <v>2451.7388701185523</v>
      </c>
      <c r="B603" s="69">
        <f t="shared" ca="1" si="394"/>
        <v>2138.1323650106988</v>
      </c>
      <c r="C603" s="69">
        <f t="shared" ca="1" si="395"/>
        <v>2230.9778185669147</v>
      </c>
      <c r="D603" s="69">
        <f t="shared" ca="1" si="396"/>
        <v>2903.6354698362843</v>
      </c>
      <c r="E603" s="69">
        <f t="shared" ca="1" si="397"/>
        <v>1932.3627021889947</v>
      </c>
      <c r="F603" s="69">
        <f t="shared" ca="1" si="398"/>
        <v>1220.6859632761484</v>
      </c>
      <c r="G603" s="69">
        <f t="shared" ca="1" si="399"/>
        <v>966.5056605240967</v>
      </c>
      <c r="H603" s="69">
        <f t="shared" ca="1" si="400"/>
        <v>1189.4905991260982</v>
      </c>
      <c r="I603" s="69">
        <f t="shared" ca="1" si="401"/>
        <v>1050.9868194546018</v>
      </c>
      <c r="J603" s="69">
        <f t="shared" ca="1" si="402"/>
        <v>1144.9091014059352</v>
      </c>
      <c r="K603" s="69">
        <f t="shared" ca="1" si="403"/>
        <v>1174.4011585609258</v>
      </c>
      <c r="L603" s="69">
        <f t="shared" ca="1" si="404"/>
        <v>956.9415471333956</v>
      </c>
      <c r="M603" s="69">
        <f t="shared" ca="1" si="405"/>
        <v>993.34525507988678</v>
      </c>
      <c r="N603" s="69">
        <f t="shared" ca="1" si="406"/>
        <v>575.97895133968109</v>
      </c>
      <c r="O603" s="69">
        <f t="shared" ca="1" si="407"/>
        <v>631.39065613152263</v>
      </c>
      <c r="P603" s="69">
        <f t="shared" ca="1" si="408"/>
        <v>723.55638113844407</v>
      </c>
      <c r="Q603" s="69">
        <f t="shared" ca="1" si="409"/>
        <v>959.80463377096737</v>
      </c>
      <c r="R603" s="69">
        <f t="shared" ca="1" si="410"/>
        <v>781.60017358521975</v>
      </c>
      <c r="S603" s="69">
        <f t="shared" ca="1" si="411"/>
        <v>701.77658344181339</v>
      </c>
      <c r="T603" s="69">
        <f t="shared" ca="1" si="412"/>
        <v>795.38061655236049</v>
      </c>
      <c r="U603" s="69">
        <f t="shared" ca="1" si="413"/>
        <v>1693.3977405646301</v>
      </c>
      <c r="V603" s="69">
        <f t="shared" ca="1" si="414"/>
        <v>1916.475155951643</v>
      </c>
      <c r="W603" s="69">
        <f t="shared" ca="1" si="415"/>
        <v>1181.7656134225795</v>
      </c>
      <c r="X603" s="69">
        <f t="shared" ca="1" si="416"/>
        <v>1489.8761419393559</v>
      </c>
      <c r="Y603" s="69">
        <f t="shared" ca="1" si="417"/>
        <v>1204.8549855948108</v>
      </c>
      <c r="AA603" s="20">
        <f t="shared" ca="1" si="377"/>
        <v>6.5619783254558072E+16</v>
      </c>
      <c r="AB603" s="20">
        <f t="shared" ca="1" si="378"/>
        <v>1688642221682859.8</v>
      </c>
      <c r="AC603" s="20">
        <f t="shared" ca="1" si="379"/>
        <v>405982082093044.75</v>
      </c>
      <c r="AD603" s="20">
        <f t="shared" ca="1" si="380"/>
        <v>302979847899520.94</v>
      </c>
      <c r="AE603" s="20">
        <f t="shared" ca="1" si="381"/>
        <v>6884596048979390</v>
      </c>
      <c r="AG603" s="16">
        <f t="shared" ca="1" si="382"/>
        <v>2.4475809428201143E-4</v>
      </c>
      <c r="AH603" s="16">
        <f t="shared" ca="1" si="383"/>
        <v>-2.3714178682093391E-4</v>
      </c>
      <c r="AI603" s="16">
        <f t="shared" ca="1" si="384"/>
        <v>3.9980627815719384E-4</v>
      </c>
      <c r="AJ603" s="16">
        <f t="shared" ca="1" si="385"/>
        <v>-1.7894323588304591E-4</v>
      </c>
      <c r="AK603" s="16">
        <f t="shared" ca="1" si="386"/>
        <v>2.0387928773552715E-4</v>
      </c>
      <c r="AM603" s="16">
        <f t="shared" ca="1" si="387"/>
        <v>2.2847934973522547E-4</v>
      </c>
      <c r="AO603" s="16">
        <f t="shared" ca="1" si="388"/>
        <v>0</v>
      </c>
      <c r="AP603" s="16">
        <f t="shared" ca="1" si="389"/>
        <v>-2.3714178682093391E-4</v>
      </c>
      <c r="AQ603" s="16">
        <f t="shared" ca="1" si="390"/>
        <v>0</v>
      </c>
      <c r="AR603" s="16">
        <f t="shared" ca="1" si="391"/>
        <v>-1.7894323588304591E-4</v>
      </c>
      <c r="AS603" s="16">
        <f t="shared" ca="1" si="392"/>
        <v>0</v>
      </c>
    </row>
    <row r="604" spans="1:45" x14ac:dyDescent="0.25">
      <c r="A604" s="69">
        <f t="shared" ca="1" si="393"/>
        <v>2452.1860272262447</v>
      </c>
      <c r="B604" s="69">
        <f t="shared" ca="1" si="394"/>
        <v>2137.8666828969358</v>
      </c>
      <c r="C604" s="69">
        <f t="shared" ca="1" si="395"/>
        <v>2231.3462802693753</v>
      </c>
      <c r="D604" s="69">
        <f t="shared" ca="1" si="396"/>
        <v>2903.1585993242984</v>
      </c>
      <c r="E604" s="69">
        <f t="shared" ca="1" si="397"/>
        <v>1932.7216913315542</v>
      </c>
      <c r="F604" s="69">
        <f t="shared" ca="1" si="398"/>
        <v>1220.8678835283365</v>
      </c>
      <c r="G604" s="69">
        <f t="shared" ca="1" si="399"/>
        <v>966.5056605240967</v>
      </c>
      <c r="H604" s="69">
        <f t="shared" ca="1" si="400"/>
        <v>1189.4905991260982</v>
      </c>
      <c r="I604" s="69">
        <f t="shared" ca="1" si="401"/>
        <v>1050.5810467935664</v>
      </c>
      <c r="J604" s="69">
        <f t="shared" ca="1" si="402"/>
        <v>1144.9091014059352</v>
      </c>
      <c r="K604" s="69">
        <f t="shared" ca="1" si="403"/>
        <v>1174.4011585609258</v>
      </c>
      <c r="L604" s="69">
        <f t="shared" ca="1" si="404"/>
        <v>956.86331244757037</v>
      </c>
      <c r="M604" s="69">
        <f t="shared" ca="1" si="405"/>
        <v>993.82373013647782</v>
      </c>
      <c r="N604" s="69">
        <f t="shared" ca="1" si="406"/>
        <v>575.97895133968109</v>
      </c>
      <c r="O604" s="69">
        <f t="shared" ca="1" si="407"/>
        <v>631.39065613152263</v>
      </c>
      <c r="P604" s="69">
        <f t="shared" ca="1" si="408"/>
        <v>723.55638113844407</v>
      </c>
      <c r="Q604" s="69">
        <f t="shared" ca="1" si="409"/>
        <v>959.47809818225699</v>
      </c>
      <c r="R604" s="69">
        <f t="shared" ca="1" si="410"/>
        <v>781.60017358521975</v>
      </c>
      <c r="S604" s="69">
        <f t="shared" ca="1" si="411"/>
        <v>702.18656033498758</v>
      </c>
      <c r="T604" s="69">
        <f t="shared" ca="1" si="412"/>
        <v>795.04447791224504</v>
      </c>
      <c r="U604" s="69">
        <f t="shared" ca="1" si="413"/>
        <v>1693.7429515277975</v>
      </c>
      <c r="V604" s="69">
        <f t="shared" ca="1" si="414"/>
        <v>1916.8700618764503</v>
      </c>
      <c r="W604" s="69">
        <f t="shared" ca="1" si="415"/>
        <v>1181.9865382484891</v>
      </c>
      <c r="X604" s="69">
        <f t="shared" ca="1" si="416"/>
        <v>1489.8761419393559</v>
      </c>
      <c r="Y604" s="69">
        <f t="shared" ca="1" si="417"/>
        <v>1204.3816652882238</v>
      </c>
      <c r="AA604" s="20">
        <f t="shared" ca="1" si="377"/>
        <v>6.5635846193341608E+16</v>
      </c>
      <c r="AB604" s="20">
        <f t="shared" ca="1" si="378"/>
        <v>1688241821526789.3</v>
      </c>
      <c r="AC604" s="20">
        <f t="shared" ca="1" si="379"/>
        <v>406144428729724.69</v>
      </c>
      <c r="AD604" s="20">
        <f t="shared" ca="1" si="380"/>
        <v>302925636555651.75</v>
      </c>
      <c r="AE604" s="20">
        <f t="shared" ca="1" si="381"/>
        <v>6885999818613116</v>
      </c>
      <c r="AG604" s="16">
        <f t="shared" ca="1" si="382"/>
        <v>-1.6412642331641044E-4</v>
      </c>
      <c r="AH604" s="16">
        <f t="shared" ca="1" si="383"/>
        <v>-8.5529575731001712E-6</v>
      </c>
      <c r="AI604" s="16">
        <f t="shared" ca="1" si="384"/>
        <v>-2.025118899207856E-3</v>
      </c>
      <c r="AJ604" s="16">
        <f t="shared" ca="1" si="385"/>
        <v>-2.323767486948069E-4</v>
      </c>
      <c r="AK604" s="16">
        <f t="shared" ca="1" si="386"/>
        <v>-2.1421951708731673E-4</v>
      </c>
      <c r="AM604" s="16">
        <f t="shared" ca="1" si="387"/>
        <v>-2.4301750287921736E-3</v>
      </c>
      <c r="AO604" s="16">
        <f t="shared" ca="1" si="388"/>
        <v>-1.6412642331641044E-4</v>
      </c>
      <c r="AP604" s="16">
        <f t="shared" ca="1" si="389"/>
        <v>-8.5529575731001712E-6</v>
      </c>
      <c r="AQ604" s="16">
        <f t="shared" ca="1" si="390"/>
        <v>-2.025118899207856E-3</v>
      </c>
      <c r="AR604" s="16">
        <f t="shared" ca="1" si="391"/>
        <v>-2.323767486948069E-4</v>
      </c>
      <c r="AS604" s="16">
        <f t="shared" ca="1" si="392"/>
        <v>-2.1421951708731673E-4</v>
      </c>
    </row>
    <row r="605" spans="1:45" x14ac:dyDescent="0.25">
      <c r="A605" s="69">
        <f t="shared" ca="1" si="393"/>
        <v>2451.8215588728572</v>
      </c>
      <c r="B605" s="69">
        <f t="shared" ca="1" si="394"/>
        <v>2137.568500880011</v>
      </c>
      <c r="C605" s="69">
        <f t="shared" ca="1" si="395"/>
        <v>2231.5284583475059</v>
      </c>
      <c r="D605" s="69">
        <f t="shared" ca="1" si="396"/>
        <v>2902.8280998410755</v>
      </c>
      <c r="E605" s="69">
        <f t="shared" ca="1" si="397"/>
        <v>1933.023619577956</v>
      </c>
      <c r="F605" s="69">
        <f t="shared" ca="1" si="398"/>
        <v>1220.8574415417816</v>
      </c>
      <c r="G605" s="69">
        <f t="shared" ca="1" si="399"/>
        <v>966.5056605240967</v>
      </c>
      <c r="H605" s="69">
        <f t="shared" ca="1" si="400"/>
        <v>1189.4905991260982</v>
      </c>
      <c r="I605" s="69">
        <f t="shared" ca="1" si="401"/>
        <v>1050.5810467935664</v>
      </c>
      <c r="J605" s="69">
        <f t="shared" ca="1" si="402"/>
        <v>1144.9091014059352</v>
      </c>
      <c r="K605" s="69">
        <f t="shared" ca="1" si="403"/>
        <v>1173.98726166807</v>
      </c>
      <c r="L605" s="69">
        <f t="shared" ca="1" si="404"/>
        <v>956.86331244757037</v>
      </c>
      <c r="M605" s="69">
        <f t="shared" ca="1" si="405"/>
        <v>993.44058342752771</v>
      </c>
      <c r="N605" s="69">
        <f t="shared" ca="1" si="406"/>
        <v>575.53404729438637</v>
      </c>
      <c r="O605" s="69">
        <f t="shared" ca="1" si="407"/>
        <v>631.0660199757798</v>
      </c>
      <c r="P605" s="69">
        <f t="shared" ca="1" si="408"/>
        <v>723.55638113844407</v>
      </c>
      <c r="Q605" s="69">
        <f t="shared" ca="1" si="409"/>
        <v>958.99897832522743</v>
      </c>
      <c r="R605" s="69">
        <f t="shared" ca="1" si="410"/>
        <v>781.49481613160413</v>
      </c>
      <c r="S605" s="69">
        <f t="shared" ca="1" si="411"/>
        <v>702.18656033498758</v>
      </c>
      <c r="T605" s="69">
        <f t="shared" ca="1" si="412"/>
        <v>795.36407753303524</v>
      </c>
      <c r="U605" s="69">
        <f t="shared" ca="1" si="413"/>
        <v>1693.9096181532452</v>
      </c>
      <c r="V605" s="69">
        <f t="shared" ca="1" si="414"/>
        <v>1916.8246478543028</v>
      </c>
      <c r="W605" s="69">
        <f t="shared" ca="1" si="415"/>
        <v>1182.0058584646154</v>
      </c>
      <c r="X605" s="69">
        <f t="shared" ca="1" si="416"/>
        <v>1489.4213977279376</v>
      </c>
      <c r="Y605" s="69">
        <f t="shared" ca="1" si="417"/>
        <v>1204.3816652882238</v>
      </c>
      <c r="AA605" s="20">
        <f t="shared" ca="1" si="377"/>
        <v>6.5625074500648424E+16</v>
      </c>
      <c r="AB605" s="20">
        <f t="shared" ca="1" si="378"/>
        <v>1688227382127866.5</v>
      </c>
      <c r="AC605" s="20">
        <f t="shared" ca="1" si="379"/>
        <v>405322770230183.25</v>
      </c>
      <c r="AD605" s="20">
        <f t="shared" ca="1" si="380"/>
        <v>302855251859332.81</v>
      </c>
      <c r="AE605" s="20">
        <f t="shared" ca="1" si="381"/>
        <v>6884524861045299</v>
      </c>
      <c r="AG605" s="16">
        <f t="shared" ca="1" si="382"/>
        <v>3.0608090703797194E-4</v>
      </c>
      <c r="AH605" s="16">
        <f t="shared" ca="1" si="383"/>
        <v>-3.0973122280339346E-4</v>
      </c>
      <c r="AI605" s="16">
        <f t="shared" ca="1" si="384"/>
        <v>9.3613481510103618E-4</v>
      </c>
      <c r="AJ605" s="16">
        <f t="shared" ca="1" si="385"/>
        <v>-3.5630786688753977E-4</v>
      </c>
      <c r="AK605" s="16">
        <f t="shared" ca="1" si="386"/>
        <v>-2.5416772194551489E-4</v>
      </c>
      <c r="AM605" s="16">
        <f t="shared" ca="1" si="387"/>
        <v>5.7617663244807489E-4</v>
      </c>
      <c r="AO605" s="16">
        <f t="shared" ca="1" si="388"/>
        <v>0</v>
      </c>
      <c r="AP605" s="16">
        <f t="shared" ca="1" si="389"/>
        <v>-3.0973122280339346E-4</v>
      </c>
      <c r="AQ605" s="16">
        <f t="shared" ca="1" si="390"/>
        <v>0</v>
      </c>
      <c r="AR605" s="16">
        <f t="shared" ca="1" si="391"/>
        <v>-3.5630786688753977E-4</v>
      </c>
      <c r="AS605" s="16">
        <f t="shared" ca="1" si="392"/>
        <v>-2.5416772194551489E-4</v>
      </c>
    </row>
    <row r="606" spans="1:45" x14ac:dyDescent="0.25">
      <c r="A606" s="69">
        <f t="shared" ca="1" si="393"/>
        <v>2452.2700035846901</v>
      </c>
      <c r="B606" s="69">
        <f t="shared" ca="1" si="394"/>
        <v>2137.709687414917</v>
      </c>
      <c r="C606" s="69">
        <f t="shared" ca="1" si="395"/>
        <v>2231.8136632315936</v>
      </c>
      <c r="D606" s="69">
        <f t="shared" ca="1" si="396"/>
        <v>2903.1510343924801</v>
      </c>
      <c r="E606" s="69">
        <f t="shared" ca="1" si="397"/>
        <v>1932.6720465688063</v>
      </c>
      <c r="F606" s="69">
        <f t="shared" ca="1" si="398"/>
        <v>1220.8669712603858</v>
      </c>
      <c r="G606" s="69">
        <f t="shared" ca="1" si="399"/>
        <v>966.1988079845737</v>
      </c>
      <c r="H606" s="69">
        <f t="shared" ca="1" si="400"/>
        <v>1189.4905991260982</v>
      </c>
      <c r="I606" s="69">
        <f t="shared" ca="1" si="401"/>
        <v>1050.5810467935664</v>
      </c>
      <c r="J606" s="69">
        <f t="shared" ca="1" si="402"/>
        <v>1144.9091014059352</v>
      </c>
      <c r="K606" s="69">
        <f t="shared" ca="1" si="403"/>
        <v>1173.98726166807</v>
      </c>
      <c r="L606" s="69">
        <f t="shared" ca="1" si="404"/>
        <v>957.11154295167557</v>
      </c>
      <c r="M606" s="69">
        <f t="shared" ca="1" si="405"/>
        <v>993.62365624718598</v>
      </c>
      <c r="N606" s="69">
        <f t="shared" ca="1" si="406"/>
        <v>575.81755770106781</v>
      </c>
      <c r="O606" s="69">
        <f t="shared" ca="1" si="407"/>
        <v>631.0660199757798</v>
      </c>
      <c r="P606" s="69">
        <f t="shared" ca="1" si="408"/>
        <v>723.75643582046871</v>
      </c>
      <c r="Q606" s="69">
        <f t="shared" ca="1" si="409"/>
        <v>958.99897832522743</v>
      </c>
      <c r="R606" s="69">
        <f t="shared" ca="1" si="410"/>
        <v>781.17349019448477</v>
      </c>
      <c r="S606" s="69">
        <f t="shared" ca="1" si="411"/>
        <v>702.03103988078851</v>
      </c>
      <c r="T606" s="69">
        <f t="shared" ca="1" si="412"/>
        <v>795.36407753303524</v>
      </c>
      <c r="U606" s="69">
        <f t="shared" ca="1" si="413"/>
        <v>1693.9376664028086</v>
      </c>
      <c r="V606" s="69">
        <f t="shared" ca="1" si="414"/>
        <v>1916.3600858764501</v>
      </c>
      <c r="W606" s="69">
        <f t="shared" ca="1" si="415"/>
        <v>1181.9831583292469</v>
      </c>
      <c r="X606" s="69">
        <f t="shared" ca="1" si="416"/>
        <v>1489.4077973243211</v>
      </c>
      <c r="Y606" s="69">
        <f t="shared" ca="1" si="417"/>
        <v>1204.3816652882238</v>
      </c>
      <c r="AA606" s="20">
        <f t="shared" ca="1" si="377"/>
        <v>6.5645164157349344E+16</v>
      </c>
      <c r="AB606" s="20">
        <f t="shared" ca="1" si="378"/>
        <v>1687704566366792</v>
      </c>
      <c r="AC606" s="20">
        <f t="shared" ca="1" si="379"/>
        <v>405702384644160.63</v>
      </c>
      <c r="AD606" s="20">
        <f t="shared" ca="1" si="380"/>
        <v>302747361372823.13</v>
      </c>
      <c r="AE606" s="20">
        <f t="shared" ca="1" si="381"/>
        <v>6882775259400241</v>
      </c>
      <c r="AG606" s="16">
        <f t="shared" ca="1" si="382"/>
        <v>6.0773329571257991E-4</v>
      </c>
      <c r="AH606" s="16">
        <f t="shared" ca="1" si="383"/>
        <v>3.7305201423942493E-4</v>
      </c>
      <c r="AI606" s="16">
        <f t="shared" ca="1" si="384"/>
        <v>-1.0037535190372728E-3</v>
      </c>
      <c r="AJ606" s="16">
        <f t="shared" ca="1" si="385"/>
        <v>-1.1094775867960124E-3</v>
      </c>
      <c r="AK606" s="16">
        <f t="shared" ca="1" si="386"/>
        <v>-3.5525207552895269E-4</v>
      </c>
      <c r="AM606" s="16">
        <f t="shared" ca="1" si="387"/>
        <v>-1.1324457958812803E-3</v>
      </c>
      <c r="AO606" s="16">
        <f t="shared" ca="1" si="388"/>
        <v>0</v>
      </c>
      <c r="AP606" s="16">
        <f t="shared" ca="1" si="389"/>
        <v>0</v>
      </c>
      <c r="AQ606" s="16">
        <f t="shared" ca="1" si="390"/>
        <v>-1.0037535190372728E-3</v>
      </c>
      <c r="AR606" s="16">
        <f t="shared" ca="1" si="391"/>
        <v>-1.1094775867960124E-3</v>
      </c>
      <c r="AS606" s="16">
        <f t="shared" ca="1" si="392"/>
        <v>-3.5525207552895269E-4</v>
      </c>
    </row>
    <row r="607" spans="1:45" x14ac:dyDescent="0.25">
      <c r="A607" s="69">
        <f t="shared" ca="1" si="393"/>
        <v>2452.5717529354133</v>
      </c>
      <c r="B607" s="69">
        <f t="shared" ca="1" si="394"/>
        <v>2138.1792246889386</v>
      </c>
      <c r="C607" s="69">
        <f t="shared" ca="1" si="395"/>
        <v>2231.8136632315936</v>
      </c>
      <c r="D607" s="69">
        <f t="shared" ca="1" si="396"/>
        <v>2903.2233747881996</v>
      </c>
      <c r="E607" s="69">
        <f t="shared" ca="1" si="397"/>
        <v>1933.1362400683968</v>
      </c>
      <c r="F607" s="69">
        <f t="shared" ca="1" si="398"/>
        <v>1221.0465720159523</v>
      </c>
      <c r="G607" s="69">
        <f t="shared" ca="1" si="399"/>
        <v>966.1988079845737</v>
      </c>
      <c r="H607" s="69">
        <f t="shared" ca="1" si="400"/>
        <v>1189.7992237955107</v>
      </c>
      <c r="I607" s="69">
        <f t="shared" ca="1" si="401"/>
        <v>1050.4446618188467</v>
      </c>
      <c r="J607" s="69">
        <f t="shared" ca="1" si="402"/>
        <v>1145.0194242158652</v>
      </c>
      <c r="K607" s="69">
        <f t="shared" ca="1" si="403"/>
        <v>1173.4983403176725</v>
      </c>
      <c r="L607" s="69">
        <f t="shared" ca="1" si="404"/>
        <v>956.67643361982414</v>
      </c>
      <c r="M607" s="69">
        <f t="shared" ca="1" si="405"/>
        <v>993.70035156626057</v>
      </c>
      <c r="N607" s="69">
        <f t="shared" ca="1" si="406"/>
        <v>575.65023997323874</v>
      </c>
      <c r="O607" s="69">
        <f t="shared" ca="1" si="407"/>
        <v>631.11709891348789</v>
      </c>
      <c r="P607" s="69">
        <f t="shared" ca="1" si="408"/>
        <v>723.75643582046871</v>
      </c>
      <c r="Q607" s="69">
        <f t="shared" ca="1" si="409"/>
        <v>958.99897832522743</v>
      </c>
      <c r="R607" s="69">
        <f t="shared" ca="1" si="410"/>
        <v>781.17349019448477</v>
      </c>
      <c r="S607" s="69">
        <f t="shared" ca="1" si="411"/>
        <v>701.59955538002748</v>
      </c>
      <c r="T607" s="69">
        <f t="shared" ca="1" si="412"/>
        <v>794.97073564319055</v>
      </c>
      <c r="U607" s="69">
        <f t="shared" ca="1" si="413"/>
        <v>1694.1942386986389</v>
      </c>
      <c r="V607" s="69">
        <f t="shared" ca="1" si="414"/>
        <v>1915.8947147072849</v>
      </c>
      <c r="W607" s="69">
        <f t="shared" ca="1" si="415"/>
        <v>1181.8819779476285</v>
      </c>
      <c r="X607" s="69">
        <f t="shared" ca="1" si="416"/>
        <v>1489.5818302266459</v>
      </c>
      <c r="Y607" s="69">
        <f t="shared" ca="1" si="417"/>
        <v>1204.0263416879966</v>
      </c>
      <c r="AA607" s="20">
        <f t="shared" ca="1" si="377"/>
        <v>6.5685071034450984E+16</v>
      </c>
      <c r="AB607" s="20">
        <f t="shared" ca="1" si="378"/>
        <v>1688334285406391.3</v>
      </c>
      <c r="AC607" s="20">
        <f t="shared" ca="1" si="379"/>
        <v>405295363756389.94</v>
      </c>
      <c r="AD607" s="20">
        <f t="shared" ca="1" si="380"/>
        <v>302411656224023.63</v>
      </c>
      <c r="AE607" s="20">
        <f t="shared" ca="1" si="381"/>
        <v>6880330573469526</v>
      </c>
      <c r="AG607" s="16">
        <f t="shared" ca="1" si="382"/>
        <v>2.636048085029005E-4</v>
      </c>
      <c r="AH607" s="16">
        <f t="shared" ca="1" si="383"/>
        <v>6.1268946854522654E-5</v>
      </c>
      <c r="AI607" s="16">
        <f t="shared" ca="1" si="384"/>
        <v>-3.5505651974302902E-4</v>
      </c>
      <c r="AJ607" s="16">
        <f t="shared" ca="1" si="385"/>
        <v>1.0096174450196535E-3</v>
      </c>
      <c r="AK607" s="16">
        <f t="shared" ca="1" si="386"/>
        <v>3.6170399456750507E-4</v>
      </c>
      <c r="AM607" s="16">
        <f t="shared" ca="1" si="387"/>
        <v>9.7943468063404755E-4</v>
      </c>
      <c r="AO607" s="16">
        <f t="shared" ca="1" si="388"/>
        <v>0</v>
      </c>
      <c r="AP607" s="16">
        <f t="shared" ca="1" si="389"/>
        <v>0</v>
      </c>
      <c r="AQ607" s="16">
        <f t="shared" ca="1" si="390"/>
        <v>-3.5505651974302902E-4</v>
      </c>
      <c r="AR607" s="16">
        <f t="shared" ca="1" si="391"/>
        <v>0</v>
      </c>
      <c r="AS607" s="16">
        <f t="shared" ca="1" si="392"/>
        <v>0</v>
      </c>
    </row>
    <row r="608" spans="1:45" x14ac:dyDescent="0.25">
      <c r="A608" s="69">
        <f t="shared" ca="1" si="393"/>
        <v>2453.0577740867948</v>
      </c>
      <c r="B608" s="69">
        <f t="shared" ca="1" si="394"/>
        <v>2138.1220553656694</v>
      </c>
      <c r="C608" s="69">
        <f t="shared" ca="1" si="395"/>
        <v>2231.6216858503335</v>
      </c>
      <c r="D608" s="69">
        <f t="shared" ca="1" si="396"/>
        <v>2903.2233747881996</v>
      </c>
      <c r="E608" s="69">
        <f t="shared" ca="1" si="397"/>
        <v>1933.4807874919218</v>
      </c>
      <c r="F608" s="69">
        <f t="shared" ca="1" si="398"/>
        <v>1220.8333396624548</v>
      </c>
      <c r="G608" s="69">
        <f t="shared" ca="1" si="399"/>
        <v>966.1988079845737</v>
      </c>
      <c r="H608" s="69">
        <f t="shared" ca="1" si="400"/>
        <v>1189.7992237955107</v>
      </c>
      <c r="I608" s="69">
        <f t="shared" ca="1" si="401"/>
        <v>1050.4446618188467</v>
      </c>
      <c r="J608" s="69">
        <f t="shared" ca="1" si="402"/>
        <v>1145.2895833483992</v>
      </c>
      <c r="K608" s="69">
        <f t="shared" ca="1" si="403"/>
        <v>1173.906021949771</v>
      </c>
      <c r="L608" s="69">
        <f t="shared" ca="1" si="404"/>
        <v>956.67643361982414</v>
      </c>
      <c r="M608" s="69">
        <f t="shared" ca="1" si="405"/>
        <v>993.51158799970665</v>
      </c>
      <c r="N608" s="69">
        <f t="shared" ca="1" si="406"/>
        <v>575.65023997323874</v>
      </c>
      <c r="O608" s="69">
        <f t="shared" ca="1" si="407"/>
        <v>630.79378159545695</v>
      </c>
      <c r="P608" s="69">
        <f t="shared" ca="1" si="408"/>
        <v>723.8312174970705</v>
      </c>
      <c r="Q608" s="69">
        <f t="shared" ca="1" si="409"/>
        <v>958.99897832522743</v>
      </c>
      <c r="R608" s="69">
        <f t="shared" ca="1" si="410"/>
        <v>781.41494192362291</v>
      </c>
      <c r="S608" s="69">
        <f t="shared" ca="1" si="411"/>
        <v>701.81838744107881</v>
      </c>
      <c r="T608" s="69">
        <f t="shared" ca="1" si="412"/>
        <v>795.19765411601099</v>
      </c>
      <c r="U608" s="69">
        <f t="shared" ca="1" si="413"/>
        <v>1694.5557681131643</v>
      </c>
      <c r="V608" s="69">
        <f t="shared" ca="1" si="414"/>
        <v>1915.9436932457538</v>
      </c>
      <c r="W608" s="69">
        <f t="shared" ca="1" si="415"/>
        <v>1182.1393670228101</v>
      </c>
      <c r="X608" s="69">
        <f t="shared" ca="1" si="416"/>
        <v>1489.3293702619637</v>
      </c>
      <c r="Y608" s="69">
        <f t="shared" ca="1" si="417"/>
        <v>1204.1160600390247</v>
      </c>
      <c r="AA608" s="20">
        <f t="shared" ca="1" si="377"/>
        <v>6.5702388217368584E+16</v>
      </c>
      <c r="AB608" s="20">
        <f t="shared" ca="1" si="378"/>
        <v>1688437731038966.8</v>
      </c>
      <c r="AC608" s="20">
        <f t="shared" ca="1" si="379"/>
        <v>405151486538850.19</v>
      </c>
      <c r="AD608" s="20">
        <f t="shared" ca="1" si="380"/>
        <v>302717130487849.38</v>
      </c>
      <c r="AE608" s="20">
        <f t="shared" ca="1" si="381"/>
        <v>6882819666652231</v>
      </c>
      <c r="AG608" s="16">
        <f t="shared" ca="1" si="382"/>
        <v>-1.7775226579515139E-4</v>
      </c>
      <c r="AH608" s="16">
        <f t="shared" ca="1" si="383"/>
        <v>-3.113803625372707E-4</v>
      </c>
      <c r="AI608" s="16">
        <f t="shared" ca="1" si="384"/>
        <v>-5.284631837114595E-5</v>
      </c>
      <c r="AJ608" s="16">
        <f t="shared" ca="1" si="385"/>
        <v>1.8135664573385194E-4</v>
      </c>
      <c r="AK608" s="16">
        <f t="shared" ca="1" si="386"/>
        <v>2.6274177073950866E-4</v>
      </c>
      <c r="AM608" s="16">
        <f t="shared" ca="1" si="387"/>
        <v>-3.6062230096971606E-4</v>
      </c>
      <c r="AO608" s="16">
        <f t="shared" ca="1" si="388"/>
        <v>-1.7775226579515139E-4</v>
      </c>
      <c r="AP608" s="16">
        <f t="shared" ca="1" si="389"/>
        <v>-3.113803625372707E-4</v>
      </c>
      <c r="AQ608" s="16">
        <f t="shared" ca="1" si="390"/>
        <v>-5.284631837114595E-5</v>
      </c>
      <c r="AR608" s="16">
        <f t="shared" ca="1" si="391"/>
        <v>0</v>
      </c>
      <c r="AS608" s="16">
        <f t="shared" ca="1" si="392"/>
        <v>0</v>
      </c>
    </row>
    <row r="609" spans="1:45" x14ac:dyDescent="0.25">
      <c r="A609" s="69">
        <f t="shared" ca="1" si="393"/>
        <v>2452.6555524165747</v>
      </c>
      <c r="B609" s="69">
        <f t="shared" ca="1" si="394"/>
        <v>2138.1220553656694</v>
      </c>
      <c r="C609" s="69">
        <f t="shared" ca="1" si="395"/>
        <v>2232.0751164064059</v>
      </c>
      <c r="D609" s="69">
        <f t="shared" ca="1" si="396"/>
        <v>2903.2233747881996</v>
      </c>
      <c r="E609" s="69">
        <f t="shared" ca="1" si="397"/>
        <v>1933.0613932428962</v>
      </c>
      <c r="F609" s="69">
        <f t="shared" ca="1" si="398"/>
        <v>1220.8333396624548</v>
      </c>
      <c r="G609" s="69">
        <f t="shared" ca="1" si="399"/>
        <v>966.0076316160671</v>
      </c>
      <c r="H609" s="69">
        <f t="shared" ca="1" si="400"/>
        <v>1189.4263916020914</v>
      </c>
      <c r="I609" s="69">
        <f t="shared" ca="1" si="401"/>
        <v>1050.4446618188467</v>
      </c>
      <c r="J609" s="69">
        <f t="shared" ca="1" si="402"/>
        <v>1145.5185610497801</v>
      </c>
      <c r="K609" s="69">
        <f t="shared" ca="1" si="403"/>
        <v>1174.0342403155748</v>
      </c>
      <c r="L609" s="69">
        <f t="shared" ca="1" si="404"/>
        <v>956.67643361982414</v>
      </c>
      <c r="M609" s="69">
        <f t="shared" ca="1" si="405"/>
        <v>993.35049840259546</v>
      </c>
      <c r="N609" s="69">
        <f t="shared" ca="1" si="406"/>
        <v>575.28752159452335</v>
      </c>
      <c r="O609" s="69">
        <f t="shared" ca="1" si="407"/>
        <v>631.19155389744685</v>
      </c>
      <c r="P609" s="69">
        <f t="shared" ca="1" si="408"/>
        <v>723.91358999642398</v>
      </c>
      <c r="Q609" s="69">
        <f t="shared" ca="1" si="409"/>
        <v>959.06377280615231</v>
      </c>
      <c r="R609" s="69">
        <f t="shared" ca="1" si="410"/>
        <v>781.41494192362291</v>
      </c>
      <c r="S609" s="69">
        <f t="shared" ca="1" si="411"/>
        <v>701.81838744107881</v>
      </c>
      <c r="T609" s="69">
        <f t="shared" ca="1" si="412"/>
        <v>795.19765411601099</v>
      </c>
      <c r="U609" s="69">
        <f t="shared" ca="1" si="413"/>
        <v>1694.8420709125869</v>
      </c>
      <c r="V609" s="69">
        <f t="shared" ca="1" si="414"/>
        <v>1916.2532147741908</v>
      </c>
      <c r="W609" s="69">
        <f t="shared" ca="1" si="415"/>
        <v>1181.8898267610839</v>
      </c>
      <c r="X609" s="69">
        <f t="shared" ca="1" si="416"/>
        <v>1489.0717274209042</v>
      </c>
      <c r="Y609" s="69">
        <f t="shared" ca="1" si="417"/>
        <v>1204.4970858045754</v>
      </c>
      <c r="AA609" s="20">
        <f t="shared" ca="1" si="377"/>
        <v>6.5690710506895288E+16</v>
      </c>
      <c r="AB609" s="20">
        <f t="shared" ca="1" si="378"/>
        <v>1687912066531204</v>
      </c>
      <c r="AC609" s="20">
        <f t="shared" ca="1" si="379"/>
        <v>405130076340134.06</v>
      </c>
      <c r="AD609" s="20">
        <f t="shared" ca="1" si="380"/>
        <v>302772035229760.25</v>
      </c>
      <c r="AE609" s="20">
        <f t="shared" ca="1" si="381"/>
        <v>6884628308471600</v>
      </c>
      <c r="AG609" s="16">
        <f t="shared" ca="1" si="382"/>
        <v>1.1786906815003883E-4</v>
      </c>
      <c r="AH609" s="16">
        <f t="shared" ca="1" si="383"/>
        <v>-1.3343850004737638E-4</v>
      </c>
      <c r="AI609" s="16">
        <f t="shared" ca="1" si="384"/>
        <v>6.7792104574822135E-4</v>
      </c>
      <c r="AJ609" s="16">
        <f t="shared" ca="1" si="385"/>
        <v>-5.0949912824786074E-4</v>
      </c>
      <c r="AK609" s="16">
        <f t="shared" ca="1" si="386"/>
        <v>-5.8335807601264645E-4</v>
      </c>
      <c r="AM609" s="16">
        <f t="shared" ca="1" si="387"/>
        <v>1.5285248560302305E-4</v>
      </c>
      <c r="AO609" s="16">
        <f t="shared" ca="1" si="388"/>
        <v>0</v>
      </c>
      <c r="AP609" s="16">
        <f t="shared" ca="1" si="389"/>
        <v>-1.3343850004737638E-4</v>
      </c>
      <c r="AQ609" s="16">
        <f t="shared" ca="1" si="390"/>
        <v>0</v>
      </c>
      <c r="AR609" s="16">
        <f t="shared" ca="1" si="391"/>
        <v>-5.0949912824786074E-4</v>
      </c>
      <c r="AS609" s="16">
        <f t="shared" ca="1" si="392"/>
        <v>-5.8335807601264645E-4</v>
      </c>
    </row>
    <row r="610" spans="1:45" x14ac:dyDescent="0.25">
      <c r="A610" s="69">
        <f t="shared" ca="1" si="393"/>
        <v>2452.6555524165747</v>
      </c>
      <c r="B610" s="69">
        <f t="shared" ca="1" si="394"/>
        <v>2138.1220553656694</v>
      </c>
      <c r="C610" s="69">
        <f t="shared" ca="1" si="395"/>
        <v>2232.0751164064059</v>
      </c>
      <c r="D610" s="69">
        <f t="shared" ca="1" si="396"/>
        <v>2903.2233747881996</v>
      </c>
      <c r="E610" s="69">
        <f t="shared" ca="1" si="397"/>
        <v>1933.2892548166465</v>
      </c>
      <c r="F610" s="69">
        <f t="shared" ca="1" si="398"/>
        <v>1220.8333396624548</v>
      </c>
      <c r="G610" s="69">
        <f t="shared" ca="1" si="399"/>
        <v>966.08240535258551</v>
      </c>
      <c r="H610" s="69">
        <f t="shared" ca="1" si="400"/>
        <v>1189.4263916020914</v>
      </c>
      <c r="I610" s="69">
        <f t="shared" ca="1" si="401"/>
        <v>1050.4230188793729</v>
      </c>
      <c r="J610" s="69">
        <f t="shared" ca="1" si="402"/>
        <v>1145.3006622122139</v>
      </c>
      <c r="K610" s="69">
        <f t="shared" ca="1" si="403"/>
        <v>1174.2065315353482</v>
      </c>
      <c r="L610" s="69">
        <f t="shared" ca="1" si="404"/>
        <v>957.07603495900548</v>
      </c>
      <c r="M610" s="69">
        <f t="shared" ca="1" si="405"/>
        <v>993.35049840259546</v>
      </c>
      <c r="N610" s="69">
        <f t="shared" ca="1" si="406"/>
        <v>575.35286076402758</v>
      </c>
      <c r="O610" s="69">
        <f t="shared" ca="1" si="407"/>
        <v>631.19155389744685</v>
      </c>
      <c r="P610" s="69">
        <f t="shared" ca="1" si="408"/>
        <v>723.91358999642398</v>
      </c>
      <c r="Q610" s="69">
        <f t="shared" ca="1" si="409"/>
        <v>958.97704709503216</v>
      </c>
      <c r="R610" s="69">
        <f t="shared" ca="1" si="410"/>
        <v>781.3825015207949</v>
      </c>
      <c r="S610" s="69">
        <f t="shared" ca="1" si="411"/>
        <v>701.69784986595198</v>
      </c>
      <c r="T610" s="69">
        <f t="shared" ca="1" si="412"/>
        <v>795.03402991099745</v>
      </c>
      <c r="U610" s="69">
        <f t="shared" ca="1" si="413"/>
        <v>1694.8420709125869</v>
      </c>
      <c r="V610" s="69">
        <f t="shared" ca="1" si="414"/>
        <v>1915.9181657233019</v>
      </c>
      <c r="W610" s="69">
        <f t="shared" ca="1" si="415"/>
        <v>1181.8898267610839</v>
      </c>
      <c r="X610" s="69">
        <f t="shared" ca="1" si="416"/>
        <v>1488.9527755231438</v>
      </c>
      <c r="Y610" s="69">
        <f t="shared" ca="1" si="417"/>
        <v>1204.1013405320771</v>
      </c>
      <c r="AA610" s="20">
        <f t="shared" ca="1" si="377"/>
        <v>6.5698453866071152E+16</v>
      </c>
      <c r="AB610" s="20">
        <f t="shared" ca="1" si="378"/>
        <v>1687686849103506.3</v>
      </c>
      <c r="AC610" s="20">
        <f t="shared" ca="1" si="379"/>
        <v>405404815660412.31</v>
      </c>
      <c r="AD610" s="20">
        <f t="shared" ca="1" si="380"/>
        <v>302617812433279.25</v>
      </c>
      <c r="AE610" s="20">
        <f t="shared" ca="1" si="381"/>
        <v>6880613276162131</v>
      </c>
      <c r="AG610" s="16">
        <f t="shared" ca="1" si="382"/>
        <v>3.114089605170389E-4</v>
      </c>
      <c r="AH610" s="16">
        <f t="shared" ca="1" si="383"/>
        <v>-5.8016390404637863E-4</v>
      </c>
      <c r="AI610" s="16">
        <f t="shared" ca="1" si="384"/>
        <v>-5.4187191758499158E-4</v>
      </c>
      <c r="AJ610" s="16">
        <f t="shared" ca="1" si="385"/>
        <v>-1.2852141216437474E-4</v>
      </c>
      <c r="AK610" s="16">
        <f t="shared" ca="1" si="386"/>
        <v>2.6352434051607602E-5</v>
      </c>
      <c r="AM610" s="16">
        <f t="shared" ca="1" si="387"/>
        <v>-9.3914827327870609E-4</v>
      </c>
      <c r="AO610" s="16">
        <f t="shared" ca="1" si="388"/>
        <v>0</v>
      </c>
      <c r="AP610" s="16">
        <f t="shared" ca="1" si="389"/>
        <v>-5.8016390404637863E-4</v>
      </c>
      <c r="AQ610" s="16">
        <f t="shared" ca="1" si="390"/>
        <v>-5.4187191758499158E-4</v>
      </c>
      <c r="AR610" s="16">
        <f t="shared" ca="1" si="391"/>
        <v>-1.2852141216437474E-4</v>
      </c>
      <c r="AS610" s="16">
        <f t="shared" ca="1" si="392"/>
        <v>0</v>
      </c>
    </row>
    <row r="611" spans="1:45" x14ac:dyDescent="0.25">
      <c r="A611" s="69">
        <f t="shared" ca="1" si="393"/>
        <v>2452.9703953027911</v>
      </c>
      <c r="B611" s="69">
        <f t="shared" ca="1" si="394"/>
        <v>2138.6220193982376</v>
      </c>
      <c r="C611" s="69">
        <f t="shared" ca="1" si="395"/>
        <v>2231.8677359379826</v>
      </c>
      <c r="D611" s="69">
        <f t="shared" ca="1" si="396"/>
        <v>2903.2233747881996</v>
      </c>
      <c r="E611" s="69">
        <f t="shared" ca="1" si="397"/>
        <v>1933.3707576403806</v>
      </c>
      <c r="F611" s="69">
        <f t="shared" ca="1" si="398"/>
        <v>1220.8778952747823</v>
      </c>
      <c r="G611" s="69">
        <f t="shared" ca="1" si="399"/>
        <v>965.84320035456631</v>
      </c>
      <c r="H611" s="69">
        <f t="shared" ca="1" si="400"/>
        <v>1188.9875438585143</v>
      </c>
      <c r="I611" s="69">
        <f t="shared" ca="1" si="401"/>
        <v>1050.4230188793729</v>
      </c>
      <c r="J611" s="69">
        <f t="shared" ca="1" si="402"/>
        <v>1145.3006622122139</v>
      </c>
      <c r="K611" s="69">
        <f t="shared" ca="1" si="403"/>
        <v>1174.2065315353482</v>
      </c>
      <c r="L611" s="69">
        <f t="shared" ca="1" si="404"/>
        <v>956.9034278202397</v>
      </c>
      <c r="M611" s="69">
        <f t="shared" ca="1" si="405"/>
        <v>993.35049840259546</v>
      </c>
      <c r="N611" s="69">
        <f t="shared" ca="1" si="406"/>
        <v>575.14490412740827</v>
      </c>
      <c r="O611" s="69">
        <f t="shared" ca="1" si="407"/>
        <v>631.19155389744685</v>
      </c>
      <c r="P611" s="69">
        <f t="shared" ca="1" si="408"/>
        <v>723.91358999642398</v>
      </c>
      <c r="Q611" s="69">
        <f t="shared" ca="1" si="409"/>
        <v>959.07245625477924</v>
      </c>
      <c r="R611" s="69">
        <f t="shared" ca="1" si="410"/>
        <v>780.98484965394323</v>
      </c>
      <c r="S611" s="69">
        <f t="shared" ca="1" si="411"/>
        <v>701.89325921482225</v>
      </c>
      <c r="T611" s="69">
        <f t="shared" ca="1" si="412"/>
        <v>795.03608794423974</v>
      </c>
      <c r="U611" s="69">
        <f t="shared" ca="1" si="413"/>
        <v>1694.8420709125869</v>
      </c>
      <c r="V611" s="69">
        <f t="shared" ca="1" si="414"/>
        <v>1916.3432276303629</v>
      </c>
      <c r="W611" s="69">
        <f t="shared" ca="1" si="415"/>
        <v>1181.5457582039326</v>
      </c>
      <c r="X611" s="69">
        <f t="shared" ca="1" si="416"/>
        <v>1488.9527755231438</v>
      </c>
      <c r="Y611" s="69">
        <f t="shared" ca="1" si="417"/>
        <v>1204.216552820149</v>
      </c>
      <c r="AA611" s="20">
        <f t="shared" ca="1" si="377"/>
        <v>6.57189161391994E+16</v>
      </c>
      <c r="AB611" s="20">
        <f t="shared" ca="1" si="378"/>
        <v>1686707998086792.3</v>
      </c>
      <c r="AC611" s="20">
        <f t="shared" ca="1" si="379"/>
        <v>405185197683333.19</v>
      </c>
      <c r="AD611" s="20">
        <f t="shared" ca="1" si="380"/>
        <v>302578922063855.38</v>
      </c>
      <c r="AE611" s="20">
        <f t="shared" ca="1" si="381"/>
        <v>6880794599458871</v>
      </c>
      <c r="AG611" s="16">
        <f t="shared" ca="1" si="382"/>
        <v>3.1442059761180421E-4</v>
      </c>
      <c r="AH611" s="16">
        <f t="shared" ca="1" si="383"/>
        <v>-8.7549562888139239E-4</v>
      </c>
      <c r="AI611" s="16">
        <f t="shared" ca="1" si="384"/>
        <v>6.8527264981764154E-4</v>
      </c>
      <c r="AJ611" s="16">
        <f t="shared" ca="1" si="385"/>
        <v>-1.4457514490877135E-4</v>
      </c>
      <c r="AK611" s="16">
        <f t="shared" ca="1" si="386"/>
        <v>6.2479776283929679E-4</v>
      </c>
      <c r="AM611" s="16">
        <f t="shared" ca="1" si="387"/>
        <v>-2.0377526360717922E-5</v>
      </c>
      <c r="AO611" s="16">
        <f t="shared" ca="1" si="388"/>
        <v>0</v>
      </c>
      <c r="AP611" s="16">
        <f t="shared" ca="1" si="389"/>
        <v>-8.7549562888139239E-4</v>
      </c>
      <c r="AQ611" s="16">
        <f t="shared" ca="1" si="390"/>
        <v>0</v>
      </c>
      <c r="AR611" s="16">
        <f t="shared" ca="1" si="391"/>
        <v>-1.4457514490877135E-4</v>
      </c>
      <c r="AS611" s="16">
        <f t="shared" ca="1" si="392"/>
        <v>0</v>
      </c>
    </row>
    <row r="612" spans="1:45" x14ac:dyDescent="0.25">
      <c r="A612" s="69">
        <f t="shared" ca="1" si="393"/>
        <v>2452.9703953027911</v>
      </c>
      <c r="B612" s="69">
        <f t="shared" ca="1" si="394"/>
        <v>2138.513778131573</v>
      </c>
      <c r="C612" s="69">
        <f t="shared" ca="1" si="395"/>
        <v>2232.1188879426395</v>
      </c>
      <c r="D612" s="69">
        <f t="shared" ca="1" si="396"/>
        <v>2903.2233747881996</v>
      </c>
      <c r="E612" s="69">
        <f t="shared" ca="1" si="397"/>
        <v>1933.8590164017025</v>
      </c>
      <c r="F612" s="69">
        <f t="shared" ca="1" si="398"/>
        <v>1220.8778952747823</v>
      </c>
      <c r="G612" s="69">
        <f t="shared" ca="1" si="399"/>
        <v>965.47816971927728</v>
      </c>
      <c r="H612" s="69">
        <f t="shared" ca="1" si="400"/>
        <v>1188.5693297680878</v>
      </c>
      <c r="I612" s="69">
        <f t="shared" ca="1" si="401"/>
        <v>1050.2700014672785</v>
      </c>
      <c r="J612" s="69">
        <f t="shared" ca="1" si="402"/>
        <v>1145.3006622122139</v>
      </c>
      <c r="K612" s="69">
        <f t="shared" ca="1" si="403"/>
        <v>1174.2792642696479</v>
      </c>
      <c r="L612" s="69">
        <f t="shared" ca="1" si="404"/>
        <v>956.9034278202397</v>
      </c>
      <c r="M612" s="69">
        <f t="shared" ca="1" si="405"/>
        <v>993.48895655583192</v>
      </c>
      <c r="N612" s="69">
        <f t="shared" ca="1" si="406"/>
        <v>575.14490412740827</v>
      </c>
      <c r="O612" s="69">
        <f t="shared" ca="1" si="407"/>
        <v>631.49709756083303</v>
      </c>
      <c r="P612" s="69">
        <f t="shared" ca="1" si="408"/>
        <v>723.53442663385169</v>
      </c>
      <c r="Q612" s="69">
        <f t="shared" ca="1" si="409"/>
        <v>959.47044612847628</v>
      </c>
      <c r="R612" s="69">
        <f t="shared" ca="1" si="410"/>
        <v>781.13001356298628</v>
      </c>
      <c r="S612" s="69">
        <f t="shared" ca="1" si="411"/>
        <v>701.73786855935532</v>
      </c>
      <c r="T612" s="69">
        <f t="shared" ca="1" si="412"/>
        <v>795.03608794423974</v>
      </c>
      <c r="U612" s="69">
        <f t="shared" ca="1" si="413"/>
        <v>1694.6299605285501</v>
      </c>
      <c r="V612" s="69">
        <f t="shared" ca="1" si="414"/>
        <v>1916.2580541493471</v>
      </c>
      <c r="W612" s="69">
        <f t="shared" ca="1" si="415"/>
        <v>1182.0062440479635</v>
      </c>
      <c r="X612" s="69">
        <f t="shared" ca="1" si="416"/>
        <v>1488.9527755231438</v>
      </c>
      <c r="Y612" s="69">
        <f t="shared" ca="1" si="417"/>
        <v>1204.7040547137974</v>
      </c>
      <c r="AA612" s="20">
        <f t="shared" ca="1" si="377"/>
        <v>6.5739582768923056E+16</v>
      </c>
      <c r="AB612" s="20">
        <f t="shared" ca="1" si="378"/>
        <v>1685231938843258.3</v>
      </c>
      <c r="AC612" s="20">
        <f t="shared" ca="1" si="379"/>
        <v>405462955176353.63</v>
      </c>
      <c r="AD612" s="20">
        <f t="shared" ca="1" si="380"/>
        <v>302535179834447.44</v>
      </c>
      <c r="AE612" s="20">
        <f t="shared" ca="1" si="381"/>
        <v>6885095047846538</v>
      </c>
      <c r="AG612" s="16">
        <f t="shared" ca="1" si="382"/>
        <v>-1.148610958159686E-4</v>
      </c>
      <c r="AH612" s="16">
        <f t="shared" ca="1" si="383"/>
        <v>-7.2485473204692312E-4</v>
      </c>
      <c r="AI612" s="16">
        <f t="shared" ca="1" si="384"/>
        <v>-9.7769657792792352E-4</v>
      </c>
      <c r="AJ612" s="16">
        <f t="shared" ca="1" si="385"/>
        <v>4.5938974066145777E-4</v>
      </c>
      <c r="AK612" s="16">
        <f t="shared" ca="1" si="386"/>
        <v>3.3614046584304688E-4</v>
      </c>
      <c r="AM612" s="16">
        <f t="shared" ca="1" si="387"/>
        <v>-1.3580226651293574E-3</v>
      </c>
      <c r="AO612" s="16">
        <f t="shared" ca="1" si="388"/>
        <v>-1.148610958159686E-4</v>
      </c>
      <c r="AP612" s="16">
        <f t="shared" ca="1" si="389"/>
        <v>-7.2485473204692312E-4</v>
      </c>
      <c r="AQ612" s="16">
        <f t="shared" ca="1" si="390"/>
        <v>-9.7769657792792352E-4</v>
      </c>
      <c r="AR612" s="16">
        <f t="shared" ca="1" si="391"/>
        <v>0</v>
      </c>
      <c r="AS612" s="16">
        <f t="shared" ca="1" si="392"/>
        <v>0</v>
      </c>
    </row>
    <row r="613" spans="1:45" x14ac:dyDescent="0.25">
      <c r="A613" s="69">
        <f t="shared" ca="1" si="393"/>
        <v>2452.7506921252702</v>
      </c>
      <c r="B613" s="69">
        <f t="shared" ca="1" si="394"/>
        <v>2138.513778131573</v>
      </c>
      <c r="C613" s="69">
        <f t="shared" ca="1" si="395"/>
        <v>2232.1188879426395</v>
      </c>
      <c r="D613" s="69">
        <f t="shared" ca="1" si="396"/>
        <v>2903.1499505591396</v>
      </c>
      <c r="E613" s="69">
        <f t="shared" ca="1" si="397"/>
        <v>1933.8590164017025</v>
      </c>
      <c r="F613" s="69">
        <f t="shared" ca="1" si="398"/>
        <v>1220.8778952747823</v>
      </c>
      <c r="G613" s="69">
        <f t="shared" ca="1" si="399"/>
        <v>965.47816971927728</v>
      </c>
      <c r="H613" s="69">
        <f t="shared" ca="1" si="400"/>
        <v>1188.1599078057022</v>
      </c>
      <c r="I613" s="69">
        <f t="shared" ca="1" si="401"/>
        <v>1050.2700014672785</v>
      </c>
      <c r="J613" s="69">
        <f t="shared" ca="1" si="402"/>
        <v>1144.8651537645112</v>
      </c>
      <c r="K613" s="69">
        <f t="shared" ca="1" si="403"/>
        <v>1173.8790243121571</v>
      </c>
      <c r="L613" s="69">
        <f t="shared" ca="1" si="404"/>
        <v>956.9034278202397</v>
      </c>
      <c r="M613" s="69">
        <f t="shared" ca="1" si="405"/>
        <v>993.19515305722803</v>
      </c>
      <c r="N613" s="69">
        <f t="shared" ca="1" si="406"/>
        <v>574.73653091762196</v>
      </c>
      <c r="O613" s="69">
        <f t="shared" ca="1" si="407"/>
        <v>631.73032762773164</v>
      </c>
      <c r="P613" s="69">
        <f t="shared" ca="1" si="408"/>
        <v>723.53442663385169</v>
      </c>
      <c r="Q613" s="69">
        <f t="shared" ca="1" si="409"/>
        <v>959.39786493795646</v>
      </c>
      <c r="R613" s="69">
        <f t="shared" ca="1" si="410"/>
        <v>780.93206253715937</v>
      </c>
      <c r="S613" s="69">
        <f t="shared" ca="1" si="411"/>
        <v>701.99403014732604</v>
      </c>
      <c r="T613" s="69">
        <f t="shared" ca="1" si="412"/>
        <v>795.37286963320969</v>
      </c>
      <c r="U613" s="69">
        <f t="shared" ca="1" si="413"/>
        <v>1694.6299605285501</v>
      </c>
      <c r="V613" s="69">
        <f t="shared" ca="1" si="414"/>
        <v>1916.7202333445996</v>
      </c>
      <c r="W613" s="69">
        <f t="shared" ca="1" si="415"/>
        <v>1182.1516159260605</v>
      </c>
      <c r="X613" s="69">
        <f t="shared" ca="1" si="416"/>
        <v>1488.9110873890886</v>
      </c>
      <c r="Y613" s="69">
        <f t="shared" ca="1" si="417"/>
        <v>1204.7040547137974</v>
      </c>
      <c r="AA613" s="20">
        <f t="shared" ca="1" si="377"/>
        <v>6.5732032282044632E+16</v>
      </c>
      <c r="AB613" s="20">
        <f t="shared" ca="1" si="378"/>
        <v>1684010833113390</v>
      </c>
      <c r="AC613" s="20">
        <f t="shared" ca="1" si="379"/>
        <v>405066729158574.38</v>
      </c>
      <c r="AD613" s="20">
        <f t="shared" ca="1" si="380"/>
        <v>302674193320492.44</v>
      </c>
      <c r="AE613" s="20">
        <f t="shared" ca="1" si="381"/>
        <v>6887409795921747</v>
      </c>
      <c r="AG613" s="16">
        <f t="shared" ca="1" si="382"/>
        <v>-3.0460705771184483E-4</v>
      </c>
      <c r="AH613" s="16">
        <f t="shared" ca="1" si="383"/>
        <v>-5.2016148442712356E-6</v>
      </c>
      <c r="AI613" s="16">
        <f t="shared" ca="1" si="384"/>
        <v>5.3724885089346793E-4</v>
      </c>
      <c r="AJ613" s="16">
        <f t="shared" ca="1" si="385"/>
        <v>3.9499669859614968E-4</v>
      </c>
      <c r="AK613" s="16">
        <f t="shared" ca="1" si="386"/>
        <v>-2.2744316074662691E-7</v>
      </c>
      <c r="AM613" s="16">
        <f t="shared" ca="1" si="387"/>
        <v>6.2243687693350159E-4</v>
      </c>
      <c r="AO613" s="16">
        <f t="shared" ca="1" si="388"/>
        <v>-3.0460705771184483E-4</v>
      </c>
      <c r="AP613" s="16">
        <f t="shared" ca="1" si="389"/>
        <v>-5.2016148442712356E-6</v>
      </c>
      <c r="AQ613" s="16">
        <f t="shared" ca="1" si="390"/>
        <v>0</v>
      </c>
      <c r="AR613" s="16">
        <f t="shared" ca="1" si="391"/>
        <v>0</v>
      </c>
      <c r="AS613" s="16">
        <f t="shared" ca="1" si="392"/>
        <v>-2.2744316074662691E-7</v>
      </c>
    </row>
    <row r="614" spans="1:45" x14ac:dyDescent="0.25">
      <c r="A614" s="69">
        <f t="shared" ca="1" si="393"/>
        <v>2452.3087702070188</v>
      </c>
      <c r="B614" s="69">
        <f t="shared" ca="1" si="394"/>
        <v>2138.1700211237676</v>
      </c>
      <c r="C614" s="69">
        <f t="shared" ca="1" si="395"/>
        <v>2232.1188879426395</v>
      </c>
      <c r="D614" s="69">
        <f t="shared" ca="1" si="396"/>
        <v>2903.2196058187133</v>
      </c>
      <c r="E614" s="69">
        <f t="shared" ca="1" si="397"/>
        <v>1933.8828980633696</v>
      </c>
      <c r="F614" s="69">
        <f t="shared" ca="1" si="398"/>
        <v>1221.3506029459325</v>
      </c>
      <c r="G614" s="69">
        <f t="shared" ca="1" si="399"/>
        <v>965.13449628076864</v>
      </c>
      <c r="H614" s="69">
        <f t="shared" ca="1" si="400"/>
        <v>1188.1599078057022</v>
      </c>
      <c r="I614" s="69">
        <f t="shared" ca="1" si="401"/>
        <v>1050.2700014672785</v>
      </c>
      <c r="J614" s="69">
        <f t="shared" ca="1" si="402"/>
        <v>1144.8236095333173</v>
      </c>
      <c r="K614" s="69">
        <f t="shared" ca="1" si="403"/>
        <v>1173.5741739435457</v>
      </c>
      <c r="L614" s="69">
        <f t="shared" ca="1" si="404"/>
        <v>957.22195967330458</v>
      </c>
      <c r="M614" s="69">
        <f t="shared" ca="1" si="405"/>
        <v>993.67818819486104</v>
      </c>
      <c r="N614" s="69">
        <f t="shared" ca="1" si="406"/>
        <v>574.73653091762196</v>
      </c>
      <c r="O614" s="69">
        <f t="shared" ca="1" si="407"/>
        <v>631.71638466683828</v>
      </c>
      <c r="P614" s="69">
        <f t="shared" ca="1" si="408"/>
        <v>723.68637185764237</v>
      </c>
      <c r="Q614" s="69">
        <f t="shared" ca="1" si="409"/>
        <v>959.63538787638572</v>
      </c>
      <c r="R614" s="69">
        <f t="shared" ca="1" si="410"/>
        <v>780.88323256720173</v>
      </c>
      <c r="S614" s="69">
        <f t="shared" ca="1" si="411"/>
        <v>701.99403014732604</v>
      </c>
      <c r="T614" s="69">
        <f t="shared" ca="1" si="412"/>
        <v>795.37286963320969</v>
      </c>
      <c r="U614" s="69">
        <f t="shared" ca="1" si="413"/>
        <v>1694.8034109763653</v>
      </c>
      <c r="V614" s="69">
        <f t="shared" ca="1" si="414"/>
        <v>1917.1804456885691</v>
      </c>
      <c r="W614" s="69">
        <f t="shared" ca="1" si="415"/>
        <v>1182.1516159260605</v>
      </c>
      <c r="X614" s="69">
        <f t="shared" ca="1" si="416"/>
        <v>1488.9110873890886</v>
      </c>
      <c r="Y614" s="69">
        <f t="shared" ca="1" si="417"/>
        <v>1204.2913330344381</v>
      </c>
      <c r="AA614" s="20">
        <f t="shared" ca="1" si="377"/>
        <v>6.5712012890272584E+16</v>
      </c>
      <c r="AB614" s="20">
        <f t="shared" ca="1" si="378"/>
        <v>1684002073560424.5</v>
      </c>
      <c r="AC614" s="20">
        <f t="shared" ca="1" si="379"/>
        <v>405284409262306.94</v>
      </c>
      <c r="AD614" s="20">
        <f t="shared" ca="1" si="380"/>
        <v>302793772242689.25</v>
      </c>
      <c r="AE614" s="20">
        <f t="shared" ca="1" si="381"/>
        <v>6887408229427672</v>
      </c>
      <c r="AG614" s="16">
        <f t="shared" ca="1" si="382"/>
        <v>3.2763349330947852E-4</v>
      </c>
      <c r="AH614" s="16">
        <f t="shared" ca="1" si="383"/>
        <v>-1.1899527092142322E-4</v>
      </c>
      <c r="AI614" s="16">
        <f t="shared" ca="1" si="384"/>
        <v>-8.2013251732165893E-4</v>
      </c>
      <c r="AJ614" s="16">
        <f t="shared" ca="1" si="385"/>
        <v>2.6380238667454052E-4</v>
      </c>
      <c r="AK614" s="16">
        <f t="shared" ca="1" si="386"/>
        <v>3.996955902137939E-4</v>
      </c>
      <c r="AM614" s="16">
        <f t="shared" ca="1" si="387"/>
        <v>-3.4769190825906303E-4</v>
      </c>
      <c r="AO614" s="16">
        <f t="shared" ca="1" si="388"/>
        <v>0</v>
      </c>
      <c r="AP614" s="16">
        <f t="shared" ca="1" si="389"/>
        <v>-1.1899527092142322E-4</v>
      </c>
      <c r="AQ614" s="16">
        <f t="shared" ca="1" si="390"/>
        <v>-8.2013251732165893E-4</v>
      </c>
      <c r="AR614" s="16">
        <f t="shared" ca="1" si="391"/>
        <v>0</v>
      </c>
      <c r="AS614" s="16">
        <f t="shared" ca="1" si="392"/>
        <v>0</v>
      </c>
    </row>
    <row r="615" spans="1:45" x14ac:dyDescent="0.25">
      <c r="A615" s="69">
        <f t="shared" ca="1" si="393"/>
        <v>2452.2516462427739</v>
      </c>
      <c r="B615" s="69">
        <f t="shared" ca="1" si="394"/>
        <v>2138.5792345698487</v>
      </c>
      <c r="C615" s="69">
        <f t="shared" ca="1" si="395"/>
        <v>2232.1188879426395</v>
      </c>
      <c r="D615" s="69">
        <f t="shared" ca="1" si="396"/>
        <v>2903.2702301903496</v>
      </c>
      <c r="E615" s="69">
        <f t="shared" ca="1" si="397"/>
        <v>1934.1577687004526</v>
      </c>
      <c r="F615" s="69">
        <f t="shared" ca="1" si="398"/>
        <v>1221.5720818612765</v>
      </c>
      <c r="G615" s="69">
        <f t="shared" ca="1" si="399"/>
        <v>964.87591980661966</v>
      </c>
      <c r="H615" s="69">
        <f t="shared" ca="1" si="400"/>
        <v>1188.0721595650125</v>
      </c>
      <c r="I615" s="69">
        <f t="shared" ca="1" si="401"/>
        <v>1050.3135783041496</v>
      </c>
      <c r="J615" s="69">
        <f t="shared" ca="1" si="402"/>
        <v>1144.8236095333173</v>
      </c>
      <c r="K615" s="69">
        <f t="shared" ca="1" si="403"/>
        <v>1173.0891742512017</v>
      </c>
      <c r="L615" s="69">
        <f t="shared" ca="1" si="404"/>
        <v>957.22195967330458</v>
      </c>
      <c r="M615" s="69">
        <f t="shared" ca="1" si="405"/>
        <v>993.22286132634679</v>
      </c>
      <c r="N615" s="69">
        <f t="shared" ca="1" si="406"/>
        <v>574.76615864393125</v>
      </c>
      <c r="O615" s="69">
        <f t="shared" ca="1" si="407"/>
        <v>631.71638466683828</v>
      </c>
      <c r="P615" s="69">
        <f t="shared" ca="1" si="408"/>
        <v>724.08719894940236</v>
      </c>
      <c r="Q615" s="69">
        <f t="shared" ca="1" si="409"/>
        <v>959.63538787638572</v>
      </c>
      <c r="R615" s="69">
        <f t="shared" ca="1" si="410"/>
        <v>780.88323256720173</v>
      </c>
      <c r="S615" s="69">
        <f t="shared" ca="1" si="411"/>
        <v>701.76178222456156</v>
      </c>
      <c r="T615" s="69">
        <f t="shared" ca="1" si="412"/>
        <v>795.40546647591793</v>
      </c>
      <c r="U615" s="69">
        <f t="shared" ca="1" si="413"/>
        <v>1694.8034109763653</v>
      </c>
      <c r="V615" s="69">
        <f t="shared" ca="1" si="414"/>
        <v>1917.1785502453565</v>
      </c>
      <c r="W615" s="69">
        <f t="shared" ca="1" si="415"/>
        <v>1182.6253803713578</v>
      </c>
      <c r="X615" s="69">
        <f t="shared" ca="1" si="416"/>
        <v>1488.9110873890886</v>
      </c>
      <c r="Y615" s="69">
        <f t="shared" ca="1" si="417"/>
        <v>1204.2913330344381</v>
      </c>
      <c r="AA615" s="20">
        <f t="shared" ca="1" si="377"/>
        <v>6.5733545873878928E+16</v>
      </c>
      <c r="AB615" s="20">
        <f t="shared" ca="1" si="378"/>
        <v>1683801697199605</v>
      </c>
      <c r="AC615" s="20">
        <f t="shared" ca="1" si="379"/>
        <v>404952158602915.38</v>
      </c>
      <c r="AD615" s="20">
        <f t="shared" ca="1" si="380"/>
        <v>302873660499370.13</v>
      </c>
      <c r="AE615" s="20">
        <f t="shared" ca="1" si="381"/>
        <v>6890161646352621</v>
      </c>
      <c r="AG615" s="16">
        <f t="shared" ca="1" si="382"/>
        <v>-1.6237047074597985E-4</v>
      </c>
      <c r="AH615" s="16">
        <f t="shared" ca="1" si="383"/>
        <v>3.3536307993984547E-4</v>
      </c>
      <c r="AI615" s="16">
        <f t="shared" ca="1" si="384"/>
        <v>1.4256217130208604E-4</v>
      </c>
      <c r="AJ615" s="16">
        <f t="shared" ca="1" si="385"/>
        <v>-1.7559621005915978E-3</v>
      </c>
      <c r="AK615" s="16">
        <f t="shared" ca="1" si="386"/>
        <v>1.1175558272475547E-4</v>
      </c>
      <c r="AM615" s="16">
        <f t="shared" ca="1" si="387"/>
        <v>-1.4404073200956461E-3</v>
      </c>
      <c r="AO615" s="16">
        <f t="shared" ca="1" si="388"/>
        <v>-1.6237047074597985E-4</v>
      </c>
      <c r="AP615" s="16">
        <f t="shared" ca="1" si="389"/>
        <v>0</v>
      </c>
      <c r="AQ615" s="16">
        <f t="shared" ca="1" si="390"/>
        <v>0</v>
      </c>
      <c r="AR615" s="16">
        <f t="shared" ca="1" si="391"/>
        <v>-1.7559621005915978E-3</v>
      </c>
      <c r="AS615" s="16">
        <f t="shared" ca="1" si="392"/>
        <v>0</v>
      </c>
    </row>
    <row r="616" spans="1:45" x14ac:dyDescent="0.25">
      <c r="A616" s="69">
        <f t="shared" ca="1" si="393"/>
        <v>2452.2516462427739</v>
      </c>
      <c r="B616" s="69">
        <f t="shared" ca="1" si="394"/>
        <v>2138.1562559550553</v>
      </c>
      <c r="C616" s="69">
        <f t="shared" ca="1" si="395"/>
        <v>2232.1188879426395</v>
      </c>
      <c r="D616" s="69">
        <f t="shared" ca="1" si="396"/>
        <v>2903.3770619680977</v>
      </c>
      <c r="E616" s="69">
        <f t="shared" ca="1" si="397"/>
        <v>1934.1551335833758</v>
      </c>
      <c r="F616" s="69">
        <f t="shared" ca="1" si="398"/>
        <v>1221.8807617554069</v>
      </c>
      <c r="G616" s="69">
        <f t="shared" ca="1" si="399"/>
        <v>964.87591980661966</v>
      </c>
      <c r="H616" s="69">
        <f t="shared" ca="1" si="400"/>
        <v>1187.8545864379562</v>
      </c>
      <c r="I616" s="69">
        <f t="shared" ca="1" si="401"/>
        <v>1050.2220425401968</v>
      </c>
      <c r="J616" s="69">
        <f t="shared" ca="1" si="402"/>
        <v>1145.2278116291991</v>
      </c>
      <c r="K616" s="69">
        <f t="shared" ca="1" si="403"/>
        <v>1173.2807710706734</v>
      </c>
      <c r="L616" s="69">
        <f t="shared" ca="1" si="404"/>
        <v>957.47353208051175</v>
      </c>
      <c r="M616" s="69">
        <f t="shared" ca="1" si="405"/>
        <v>993.26663601849327</v>
      </c>
      <c r="N616" s="69">
        <f t="shared" ca="1" si="406"/>
        <v>574.50140320883406</v>
      </c>
      <c r="O616" s="69">
        <f t="shared" ca="1" si="407"/>
        <v>631.80049285331609</v>
      </c>
      <c r="P616" s="69">
        <f t="shared" ca="1" si="408"/>
        <v>723.62188740545912</v>
      </c>
      <c r="Q616" s="69">
        <f t="shared" ca="1" si="409"/>
        <v>959.63538787638572</v>
      </c>
      <c r="R616" s="69">
        <f t="shared" ca="1" si="410"/>
        <v>780.41266582778985</v>
      </c>
      <c r="S616" s="69">
        <f t="shared" ca="1" si="411"/>
        <v>701.40373125589599</v>
      </c>
      <c r="T616" s="69">
        <f t="shared" ca="1" si="412"/>
        <v>795.40546647591793</v>
      </c>
      <c r="U616" s="69">
        <f t="shared" ca="1" si="413"/>
        <v>1694.6832953466192</v>
      </c>
      <c r="V616" s="69">
        <f t="shared" ca="1" si="414"/>
        <v>1917.1785502453565</v>
      </c>
      <c r="W616" s="69">
        <f t="shared" ca="1" si="415"/>
        <v>1182.6253803713578</v>
      </c>
      <c r="X616" s="69">
        <f t="shared" ca="1" si="416"/>
        <v>1489.1830335310194</v>
      </c>
      <c r="Y616" s="69">
        <f t="shared" ca="1" si="417"/>
        <v>1204.2913330344381</v>
      </c>
      <c r="AA616" s="20">
        <f t="shared" ca="1" si="377"/>
        <v>6.5722873553549872E+16</v>
      </c>
      <c r="AB616" s="20">
        <f t="shared" ca="1" si="378"/>
        <v>1684366476820609.3</v>
      </c>
      <c r="AC616" s="20">
        <f t="shared" ca="1" si="379"/>
        <v>405009893577233.13</v>
      </c>
      <c r="AD616" s="20">
        <f t="shared" ca="1" si="380"/>
        <v>302342292497837</v>
      </c>
      <c r="AE616" s="20">
        <f t="shared" ca="1" si="381"/>
        <v>6890931703410763</v>
      </c>
      <c r="AG616" s="16">
        <f t="shared" ca="1" si="382"/>
        <v>-2.657853855401895E-4</v>
      </c>
      <c r="AH616" s="16">
        <f t="shared" ca="1" si="383"/>
        <v>5.4876417493905519E-4</v>
      </c>
      <c r="AI616" s="16">
        <f t="shared" ca="1" si="384"/>
        <v>8.0325536359587238E-4</v>
      </c>
      <c r="AJ616" s="16">
        <f t="shared" ca="1" si="385"/>
        <v>5.2426518078388504E-4</v>
      </c>
      <c r="AK616" s="16">
        <f t="shared" ca="1" si="386"/>
        <v>-7.0647483835212764E-4</v>
      </c>
      <c r="AM616" s="16">
        <f t="shared" ca="1" si="387"/>
        <v>1.6104993337786233E-3</v>
      </c>
      <c r="AO616" s="16">
        <f t="shared" ca="1" si="388"/>
        <v>-2.657853855401895E-4</v>
      </c>
      <c r="AP616" s="16">
        <f t="shared" ca="1" si="389"/>
        <v>0</v>
      </c>
      <c r="AQ616" s="16">
        <f t="shared" ca="1" si="390"/>
        <v>0</v>
      </c>
      <c r="AR616" s="16">
        <f t="shared" ca="1" si="391"/>
        <v>0</v>
      </c>
      <c r="AS616" s="16">
        <f t="shared" ca="1" si="392"/>
        <v>-7.0647483835212764E-4</v>
      </c>
    </row>
    <row r="617" spans="1:45" x14ac:dyDescent="0.25">
      <c r="A617" s="69">
        <f t="shared" ca="1" si="393"/>
        <v>2452.0965537496618</v>
      </c>
      <c r="B617" s="69">
        <f t="shared" ca="1" si="394"/>
        <v>2137.7232409501403</v>
      </c>
      <c r="C617" s="69">
        <f t="shared" ca="1" si="395"/>
        <v>2232.1188879426395</v>
      </c>
      <c r="D617" s="69">
        <f t="shared" ca="1" si="396"/>
        <v>2903.3770619680977</v>
      </c>
      <c r="E617" s="69">
        <f t="shared" ca="1" si="397"/>
        <v>1934.1551335833758</v>
      </c>
      <c r="F617" s="69">
        <f t="shared" ca="1" si="398"/>
        <v>1221.4377784260973</v>
      </c>
      <c r="G617" s="69">
        <f t="shared" ca="1" si="399"/>
        <v>965.21527696736609</v>
      </c>
      <c r="H617" s="69">
        <f t="shared" ca="1" si="400"/>
        <v>1187.8545864379562</v>
      </c>
      <c r="I617" s="69">
        <f t="shared" ca="1" si="401"/>
        <v>1050.4163007773559</v>
      </c>
      <c r="J617" s="69">
        <f t="shared" ca="1" si="402"/>
        <v>1145.6570909664811</v>
      </c>
      <c r="K617" s="69">
        <f t="shared" ca="1" si="403"/>
        <v>1173.2255263531622</v>
      </c>
      <c r="L617" s="69">
        <f t="shared" ca="1" si="404"/>
        <v>957.74033631942802</v>
      </c>
      <c r="M617" s="69">
        <f t="shared" ca="1" si="405"/>
        <v>993.26663601849327</v>
      </c>
      <c r="N617" s="69">
        <f t="shared" ca="1" si="406"/>
        <v>574.50140320883406</v>
      </c>
      <c r="O617" s="69">
        <f t="shared" ca="1" si="407"/>
        <v>632.1618132395439</v>
      </c>
      <c r="P617" s="69">
        <f t="shared" ca="1" si="408"/>
        <v>723.31061387844613</v>
      </c>
      <c r="Q617" s="69">
        <f t="shared" ca="1" si="409"/>
        <v>960.08332146301393</v>
      </c>
      <c r="R617" s="69">
        <f t="shared" ca="1" si="410"/>
        <v>780.69927241143569</v>
      </c>
      <c r="S617" s="69">
        <f t="shared" ca="1" si="411"/>
        <v>701.30730486509128</v>
      </c>
      <c r="T617" s="69">
        <f t="shared" ca="1" si="412"/>
        <v>795.61083124506183</v>
      </c>
      <c r="U617" s="69">
        <f t="shared" ca="1" si="413"/>
        <v>1694.6832953466192</v>
      </c>
      <c r="V617" s="69">
        <f t="shared" ca="1" si="414"/>
        <v>1917.124056372016</v>
      </c>
      <c r="W617" s="69">
        <f t="shared" ca="1" si="415"/>
        <v>1182.3445450009087</v>
      </c>
      <c r="X617" s="69">
        <f t="shared" ca="1" si="416"/>
        <v>1488.9800092976461</v>
      </c>
      <c r="Y617" s="69">
        <f t="shared" ca="1" si="417"/>
        <v>1203.9250281755972</v>
      </c>
      <c r="AA617" s="20">
        <f t="shared" ca="1" si="377"/>
        <v>6.5705407695451368E+16</v>
      </c>
      <c r="AB617" s="20">
        <f t="shared" ca="1" si="378"/>
        <v>1685291050463800.8</v>
      </c>
      <c r="AC617" s="20">
        <f t="shared" ca="1" si="379"/>
        <v>405335350641625.44</v>
      </c>
      <c r="AD617" s="20">
        <f t="shared" ca="1" si="380"/>
        <v>302500841591725.19</v>
      </c>
      <c r="AE617" s="20">
        <f t="shared" ca="1" si="381"/>
        <v>6886065152799689</v>
      </c>
      <c r="AG617" s="16">
        <f t="shared" ca="1" si="382"/>
        <v>-2.3714085105985095E-4</v>
      </c>
      <c r="AH617" s="16">
        <f t="shared" ca="1" si="383"/>
        <v>-4.602069014288755E-4</v>
      </c>
      <c r="AI617" s="16">
        <f t="shared" ca="1" si="384"/>
        <v>-9.6729425786101417E-4</v>
      </c>
      <c r="AJ617" s="16">
        <f t="shared" ca="1" si="385"/>
        <v>9.3138047333585032E-4</v>
      </c>
      <c r="AK617" s="16">
        <f t="shared" ca="1" si="386"/>
        <v>-4.6486317049336744E-5</v>
      </c>
      <c r="AM617" s="16">
        <f t="shared" ca="1" si="387"/>
        <v>-7.332615370138903E-4</v>
      </c>
      <c r="AO617" s="16">
        <f t="shared" ca="1" si="388"/>
        <v>-2.3714085105985095E-4</v>
      </c>
      <c r="AP617" s="16">
        <f t="shared" ca="1" si="389"/>
        <v>-4.602069014288755E-4</v>
      </c>
      <c r="AQ617" s="16">
        <f t="shared" ca="1" si="390"/>
        <v>-9.6729425786101417E-4</v>
      </c>
      <c r="AR617" s="16">
        <f t="shared" ca="1" si="391"/>
        <v>0</v>
      </c>
      <c r="AS617" s="16">
        <f t="shared" ca="1" si="392"/>
        <v>-4.6486317049336744E-5</v>
      </c>
    </row>
    <row r="618" spans="1:45" x14ac:dyDescent="0.25">
      <c r="A618" s="69">
        <f t="shared" ca="1" si="393"/>
        <v>2451.8765939225023</v>
      </c>
      <c r="B618" s="69">
        <f t="shared" ca="1" si="394"/>
        <v>2137.9112407210196</v>
      </c>
      <c r="C618" s="69">
        <f t="shared" ca="1" si="395"/>
        <v>2232.1188879426395</v>
      </c>
      <c r="D618" s="69">
        <f t="shared" ca="1" si="396"/>
        <v>2903.3797699090433</v>
      </c>
      <c r="E618" s="69">
        <f t="shared" ca="1" si="397"/>
        <v>1933.6981335484961</v>
      </c>
      <c r="F618" s="69">
        <f t="shared" ca="1" si="398"/>
        <v>1221.4377784260973</v>
      </c>
      <c r="G618" s="69">
        <f t="shared" ca="1" si="399"/>
        <v>965.21527696736609</v>
      </c>
      <c r="H618" s="69">
        <f t="shared" ca="1" si="400"/>
        <v>1187.5923545070216</v>
      </c>
      <c r="I618" s="69">
        <f t="shared" ca="1" si="401"/>
        <v>1050.4163007773559</v>
      </c>
      <c r="J618" s="69">
        <f t="shared" ca="1" si="402"/>
        <v>1145.3828287920326</v>
      </c>
      <c r="K618" s="69">
        <f t="shared" ca="1" si="403"/>
        <v>1173.0794906506369</v>
      </c>
      <c r="L618" s="69">
        <f t="shared" ca="1" si="404"/>
        <v>957.68331940870985</v>
      </c>
      <c r="M618" s="69">
        <f t="shared" ca="1" si="405"/>
        <v>992.87579668493845</v>
      </c>
      <c r="N618" s="69">
        <f t="shared" ca="1" si="406"/>
        <v>574.50140320883406</v>
      </c>
      <c r="O618" s="69">
        <f t="shared" ca="1" si="407"/>
        <v>631.91550017070369</v>
      </c>
      <c r="P618" s="69">
        <f t="shared" ca="1" si="408"/>
        <v>723.38589460920196</v>
      </c>
      <c r="Q618" s="69">
        <f t="shared" ca="1" si="409"/>
        <v>960.08332146301393</v>
      </c>
      <c r="R618" s="69">
        <f t="shared" ca="1" si="410"/>
        <v>781.04483972955882</v>
      </c>
      <c r="S618" s="69">
        <f t="shared" ca="1" si="411"/>
        <v>701.54273368239421</v>
      </c>
      <c r="T618" s="69">
        <f t="shared" ca="1" si="412"/>
        <v>795.64991580300489</v>
      </c>
      <c r="U618" s="69">
        <f t="shared" ca="1" si="413"/>
        <v>1694.6832953466192</v>
      </c>
      <c r="V618" s="69">
        <f t="shared" ca="1" si="414"/>
        <v>1916.7717013160218</v>
      </c>
      <c r="W618" s="69">
        <f t="shared" ca="1" si="415"/>
        <v>1182.3042040792106</v>
      </c>
      <c r="X618" s="69">
        <f t="shared" ca="1" si="416"/>
        <v>1489.2353080898115</v>
      </c>
      <c r="Y618" s="69">
        <f t="shared" ca="1" si="417"/>
        <v>1203.9250281755972</v>
      </c>
      <c r="AA618" s="20">
        <f t="shared" ca="1" si="377"/>
        <v>6.5689828106502736E+16</v>
      </c>
      <c r="AB618" s="20">
        <f t="shared" ca="1" si="378"/>
        <v>1684515646328313.5</v>
      </c>
      <c r="AC618" s="20">
        <f t="shared" ca="1" si="379"/>
        <v>404943461650983.06</v>
      </c>
      <c r="AD618" s="20">
        <f t="shared" ca="1" si="380"/>
        <v>302782716214634.75</v>
      </c>
      <c r="AE618" s="20">
        <f t="shared" ca="1" si="381"/>
        <v>6885745052431975</v>
      </c>
      <c r="AG618" s="16">
        <f t="shared" ca="1" si="382"/>
        <v>-1.730772558662232E-4</v>
      </c>
      <c r="AH618" s="16">
        <f t="shared" ca="1" si="383"/>
        <v>-3.1886769206640339E-4</v>
      </c>
      <c r="AI618" s="16">
        <f t="shared" ca="1" si="384"/>
        <v>2.2320770929103677E-4</v>
      </c>
      <c r="AJ618" s="16">
        <f t="shared" ca="1" si="385"/>
        <v>3.5317332374144476E-4</v>
      </c>
      <c r="AK618" s="16">
        <f t="shared" ca="1" si="386"/>
        <v>2.1210158126581426E-4</v>
      </c>
      <c r="AM618" s="16">
        <f t="shared" ca="1" si="387"/>
        <v>8.4436085099854914E-5</v>
      </c>
      <c r="AO618" s="16">
        <f t="shared" ca="1" si="388"/>
        <v>-1.730772558662232E-4</v>
      </c>
      <c r="AP618" s="16">
        <f t="shared" ca="1" si="389"/>
        <v>-3.1886769206640339E-4</v>
      </c>
      <c r="AQ618" s="16">
        <f t="shared" ca="1" si="390"/>
        <v>0</v>
      </c>
      <c r="AR618" s="16">
        <f t="shared" ca="1" si="391"/>
        <v>0</v>
      </c>
      <c r="AS618" s="16">
        <f t="shared" ca="1" si="392"/>
        <v>0</v>
      </c>
    </row>
    <row r="619" spans="1:45" x14ac:dyDescent="0.25">
      <c r="A619" s="69">
        <f t="shared" ca="1" si="393"/>
        <v>2452.3078251798265</v>
      </c>
      <c r="B619" s="69">
        <f t="shared" ca="1" si="394"/>
        <v>2138.0002642242275</v>
      </c>
      <c r="C619" s="69">
        <f t="shared" ca="1" si="395"/>
        <v>2231.826268759904</v>
      </c>
      <c r="D619" s="69">
        <f t="shared" ca="1" si="396"/>
        <v>2903.0063498573745</v>
      </c>
      <c r="E619" s="69">
        <f t="shared" ca="1" si="397"/>
        <v>1933.4451216987688</v>
      </c>
      <c r="F619" s="69">
        <f t="shared" ca="1" si="398"/>
        <v>1221.0483634699115</v>
      </c>
      <c r="G619" s="69">
        <f t="shared" ca="1" si="399"/>
        <v>965.21527696736609</v>
      </c>
      <c r="H619" s="69">
        <f t="shared" ca="1" si="400"/>
        <v>1187.5923545070216</v>
      </c>
      <c r="I619" s="69">
        <f t="shared" ca="1" si="401"/>
        <v>1050.4163007773559</v>
      </c>
      <c r="J619" s="69">
        <f t="shared" ca="1" si="402"/>
        <v>1145.3828287920326</v>
      </c>
      <c r="K619" s="69">
        <f t="shared" ca="1" si="403"/>
        <v>1173.4312321195487</v>
      </c>
      <c r="L619" s="69">
        <f t="shared" ca="1" si="404"/>
        <v>957.53691133954385</v>
      </c>
      <c r="M619" s="69">
        <f t="shared" ca="1" si="405"/>
        <v>992.95155315916395</v>
      </c>
      <c r="N619" s="69">
        <f t="shared" ca="1" si="406"/>
        <v>574.50140320883406</v>
      </c>
      <c r="O619" s="69">
        <f t="shared" ca="1" si="407"/>
        <v>631.91550017070369</v>
      </c>
      <c r="P619" s="69">
        <f t="shared" ca="1" si="408"/>
        <v>723.38589460920196</v>
      </c>
      <c r="Q619" s="69">
        <f t="shared" ca="1" si="409"/>
        <v>960.22071217192843</v>
      </c>
      <c r="R619" s="69">
        <f t="shared" ca="1" si="410"/>
        <v>781.51470027693404</v>
      </c>
      <c r="S619" s="69">
        <f t="shared" ca="1" si="411"/>
        <v>701.26826113045718</v>
      </c>
      <c r="T619" s="69">
        <f t="shared" ca="1" si="412"/>
        <v>795.64991580300489</v>
      </c>
      <c r="U619" s="69">
        <f t="shared" ca="1" si="413"/>
        <v>1694.5834990602882</v>
      </c>
      <c r="V619" s="69">
        <f t="shared" ca="1" si="414"/>
        <v>1916.7717013160218</v>
      </c>
      <c r="W619" s="69">
        <f t="shared" ca="1" si="415"/>
        <v>1182.4547102078593</v>
      </c>
      <c r="X619" s="69">
        <f t="shared" ca="1" si="416"/>
        <v>1489.2353080898115</v>
      </c>
      <c r="Y619" s="69">
        <f t="shared" ca="1" si="417"/>
        <v>1204.0980449908955</v>
      </c>
      <c r="AA619" s="20">
        <f t="shared" ca="1" si="377"/>
        <v>6.5678459675152568E+16</v>
      </c>
      <c r="AB619" s="20">
        <f t="shared" ca="1" si="378"/>
        <v>1683978594340733.5</v>
      </c>
      <c r="AC619" s="20">
        <f t="shared" ca="1" si="379"/>
        <v>405033858241683.25</v>
      </c>
      <c r="AD619" s="20">
        <f t="shared" ca="1" si="380"/>
        <v>302889669878370.5</v>
      </c>
      <c r="AE619" s="20">
        <f t="shared" ca="1" si="381"/>
        <v>6887205684741525</v>
      </c>
      <c r="AG619" s="16">
        <f t="shared" ca="1" si="382"/>
        <v>-9.3184211586080682E-5</v>
      </c>
      <c r="AH619" s="16">
        <f t="shared" ca="1" si="383"/>
        <v>3.1135355687417638E-4</v>
      </c>
      <c r="AI619" s="16">
        <f t="shared" ca="1" si="384"/>
        <v>-5.9154706731304608E-4</v>
      </c>
      <c r="AJ619" s="16">
        <f t="shared" ca="1" si="385"/>
        <v>-5.475057160597293E-4</v>
      </c>
      <c r="AK619" s="16">
        <f t="shared" ca="1" si="386"/>
        <v>2.9783161864396801E-4</v>
      </c>
      <c r="AM619" s="16">
        <f t="shared" ca="1" si="387"/>
        <v>-9.208834380846797E-4</v>
      </c>
      <c r="AO619" s="16">
        <f t="shared" ca="1" si="388"/>
        <v>-9.3184211586080682E-5</v>
      </c>
      <c r="AP619" s="16">
        <f t="shared" ca="1" si="389"/>
        <v>0</v>
      </c>
      <c r="AQ619" s="16">
        <f t="shared" ca="1" si="390"/>
        <v>-5.9154706731304608E-4</v>
      </c>
      <c r="AR619" s="16">
        <f t="shared" ca="1" si="391"/>
        <v>-5.475057160597293E-4</v>
      </c>
      <c r="AS619" s="16">
        <f t="shared" ca="1" si="392"/>
        <v>0</v>
      </c>
    </row>
    <row r="620" spans="1:45" x14ac:dyDescent="0.25">
      <c r="A620" s="69">
        <f t="shared" ca="1" si="393"/>
        <v>2452.2438922314223</v>
      </c>
      <c r="B620" s="69">
        <f t="shared" ca="1" si="394"/>
        <v>2138.0002642242275</v>
      </c>
      <c r="C620" s="69">
        <f t="shared" ca="1" si="395"/>
        <v>2231.4949181000552</v>
      </c>
      <c r="D620" s="69">
        <f t="shared" ca="1" si="396"/>
        <v>2903.2425591719425</v>
      </c>
      <c r="E620" s="69">
        <f t="shared" ca="1" si="397"/>
        <v>1933.4451216987688</v>
      </c>
      <c r="F620" s="69">
        <f t="shared" ca="1" si="398"/>
        <v>1221.0483634699115</v>
      </c>
      <c r="G620" s="69">
        <f t="shared" ca="1" si="399"/>
        <v>965.21527696736609</v>
      </c>
      <c r="H620" s="69">
        <f t="shared" ca="1" si="400"/>
        <v>1187.7701613900922</v>
      </c>
      <c r="I620" s="69">
        <f t="shared" ca="1" si="401"/>
        <v>1050.3089447155473</v>
      </c>
      <c r="J620" s="69">
        <f t="shared" ca="1" si="402"/>
        <v>1145.6850812075616</v>
      </c>
      <c r="K620" s="69">
        <f t="shared" ca="1" si="403"/>
        <v>1173.8562819855604</v>
      </c>
      <c r="L620" s="69">
        <f t="shared" ca="1" si="404"/>
        <v>957.17223383072042</v>
      </c>
      <c r="M620" s="69">
        <f t="shared" ca="1" si="405"/>
        <v>993.08434888459908</v>
      </c>
      <c r="N620" s="69">
        <f t="shared" ca="1" si="406"/>
        <v>574.50140320883406</v>
      </c>
      <c r="O620" s="69">
        <f t="shared" ca="1" si="407"/>
        <v>631.46919880802841</v>
      </c>
      <c r="P620" s="69">
        <f t="shared" ca="1" si="408"/>
        <v>722.95751805440625</v>
      </c>
      <c r="Q620" s="69">
        <f t="shared" ca="1" si="409"/>
        <v>960.65844802458048</v>
      </c>
      <c r="R620" s="69">
        <f t="shared" ca="1" si="410"/>
        <v>781.51470027693404</v>
      </c>
      <c r="S620" s="69">
        <f t="shared" ca="1" si="411"/>
        <v>701.21784615166393</v>
      </c>
      <c r="T620" s="69">
        <f t="shared" ca="1" si="412"/>
        <v>795.38022019423283</v>
      </c>
      <c r="U620" s="69">
        <f t="shared" ca="1" si="413"/>
        <v>1694.1083611473441</v>
      </c>
      <c r="V620" s="69">
        <f t="shared" ca="1" si="414"/>
        <v>1916.7717013160218</v>
      </c>
      <c r="W620" s="69">
        <f t="shared" ca="1" si="415"/>
        <v>1182.7299619419553</v>
      </c>
      <c r="X620" s="69">
        <f t="shared" ca="1" si="416"/>
        <v>1489.2353080898115</v>
      </c>
      <c r="Y620" s="69">
        <f t="shared" ca="1" si="417"/>
        <v>1204.5141379626159</v>
      </c>
      <c r="AA620" s="20">
        <f t="shared" ca="1" si="377"/>
        <v>6.5672339764813488E+16</v>
      </c>
      <c r="AB620" s="20">
        <f t="shared" ca="1" si="378"/>
        <v>1684502988697569.3</v>
      </c>
      <c r="AC620" s="20">
        <f t="shared" ca="1" si="379"/>
        <v>404794332503036.75</v>
      </c>
      <c r="AD620" s="20">
        <f t="shared" ca="1" si="380"/>
        <v>302723881441976.38</v>
      </c>
      <c r="AE620" s="20">
        <f t="shared" ca="1" si="381"/>
        <v>6889257217849093</v>
      </c>
      <c r="AG620" s="16">
        <f t="shared" ca="1" si="382"/>
        <v>-2.1956076604785212E-4</v>
      </c>
      <c r="AH620" s="16">
        <f t="shared" ca="1" si="383"/>
        <v>7.3130376589287423E-5</v>
      </c>
      <c r="AI620" s="16">
        <f t="shared" ca="1" si="384"/>
        <v>1.0874764628452417E-3</v>
      </c>
      <c r="AJ620" s="16">
        <f t="shared" ca="1" si="385"/>
        <v>-9.0215497930008206E-4</v>
      </c>
      <c r="AK620" s="16">
        <f t="shared" ca="1" si="386"/>
        <v>7.4323133094308523E-5</v>
      </c>
      <c r="AM620" s="16">
        <f t="shared" ca="1" si="387"/>
        <v>3.8891094086594951E-5</v>
      </c>
      <c r="AO620" s="16">
        <f t="shared" ca="1" si="388"/>
        <v>-2.1956076604785212E-4</v>
      </c>
      <c r="AP620" s="16">
        <f t="shared" ca="1" si="389"/>
        <v>0</v>
      </c>
      <c r="AQ620" s="16">
        <f t="shared" ca="1" si="390"/>
        <v>0</v>
      </c>
      <c r="AR620" s="16">
        <f t="shared" ca="1" si="391"/>
        <v>-9.0215497930008206E-4</v>
      </c>
      <c r="AS620" s="16">
        <f t="shared" ca="1" si="392"/>
        <v>0</v>
      </c>
    </row>
    <row r="621" spans="1:45" x14ac:dyDescent="0.25">
      <c r="A621" s="69">
        <f t="shared" ca="1" si="393"/>
        <v>2452.2438922314223</v>
      </c>
      <c r="B621" s="69">
        <f t="shared" ca="1" si="394"/>
        <v>2138.0841878278752</v>
      </c>
      <c r="C621" s="69">
        <f t="shared" ca="1" si="395"/>
        <v>2231.2624373421449</v>
      </c>
      <c r="D621" s="69">
        <f t="shared" ca="1" si="396"/>
        <v>2903.2425591719425</v>
      </c>
      <c r="E621" s="69">
        <f t="shared" ca="1" si="397"/>
        <v>1933.1461834133722</v>
      </c>
      <c r="F621" s="69">
        <f t="shared" ca="1" si="398"/>
        <v>1220.8057541614753</v>
      </c>
      <c r="G621" s="69">
        <f t="shared" ca="1" si="399"/>
        <v>965.21527696736609</v>
      </c>
      <c r="H621" s="69">
        <f t="shared" ca="1" si="400"/>
        <v>1187.8376892797551</v>
      </c>
      <c r="I621" s="69">
        <f t="shared" ca="1" si="401"/>
        <v>1050.3741957213886</v>
      </c>
      <c r="J621" s="69">
        <f t="shared" ca="1" si="402"/>
        <v>1145.8602295416147</v>
      </c>
      <c r="K621" s="69">
        <f t="shared" ca="1" si="403"/>
        <v>1173.3692748543513</v>
      </c>
      <c r="L621" s="69">
        <f t="shared" ca="1" si="404"/>
        <v>957.43868005728939</v>
      </c>
      <c r="M621" s="69">
        <f t="shared" ca="1" si="405"/>
        <v>993.56222316011463</v>
      </c>
      <c r="N621" s="69">
        <f t="shared" ca="1" si="406"/>
        <v>574.92843062594591</v>
      </c>
      <c r="O621" s="69">
        <f t="shared" ca="1" si="407"/>
        <v>631.46919880802841</v>
      </c>
      <c r="P621" s="69">
        <f t="shared" ca="1" si="408"/>
        <v>723.04615454956775</v>
      </c>
      <c r="Q621" s="69">
        <f t="shared" ca="1" si="409"/>
        <v>960.65844802458048</v>
      </c>
      <c r="R621" s="69">
        <f t="shared" ca="1" si="410"/>
        <v>781.26283775797754</v>
      </c>
      <c r="S621" s="69">
        <f t="shared" ca="1" si="411"/>
        <v>700.72546733138142</v>
      </c>
      <c r="T621" s="69">
        <f t="shared" ca="1" si="412"/>
        <v>795.38022019423283</v>
      </c>
      <c r="U621" s="69">
        <f t="shared" ca="1" si="413"/>
        <v>1693.9618134261004</v>
      </c>
      <c r="V621" s="69">
        <f t="shared" ca="1" si="414"/>
        <v>1916.5623377778754</v>
      </c>
      <c r="W621" s="69">
        <f t="shared" ca="1" si="415"/>
        <v>1182.5832344813014</v>
      </c>
      <c r="X621" s="69">
        <f t="shared" ca="1" si="416"/>
        <v>1489.2353080898115</v>
      </c>
      <c r="Y621" s="69">
        <f t="shared" ca="1" si="417"/>
        <v>1204.9889670856239</v>
      </c>
      <c r="AA621" s="20">
        <f t="shared" ca="1" si="377"/>
        <v>6.5657922278401672E+16</v>
      </c>
      <c r="AB621" s="20">
        <f t="shared" ca="1" si="378"/>
        <v>1684626181540013</v>
      </c>
      <c r="AC621" s="20">
        <f t="shared" ca="1" si="379"/>
        <v>405234776254627.56</v>
      </c>
      <c r="AD621" s="20">
        <f t="shared" ca="1" si="380"/>
        <v>302450900738945.25</v>
      </c>
      <c r="AE621" s="20">
        <f t="shared" ca="1" si="381"/>
        <v>6889769268058569</v>
      </c>
      <c r="AG621" s="16">
        <f t="shared" ca="1" si="382"/>
        <v>-2.4320186412573171E-4</v>
      </c>
      <c r="AH621" s="16">
        <f t="shared" ca="1" si="383"/>
        <v>1.0132878028736849E-3</v>
      </c>
      <c r="AI621" s="16">
        <f t="shared" ca="1" si="384"/>
        <v>1.0988204189255658E-4</v>
      </c>
      <c r="AJ621" s="16">
        <f t="shared" ca="1" si="385"/>
        <v>-4.5588304731021778E-4</v>
      </c>
      <c r="AK621" s="16">
        <f t="shared" ca="1" si="386"/>
        <v>6.6343316523731694E-4</v>
      </c>
      <c r="AM621" s="16">
        <f t="shared" ca="1" si="387"/>
        <v>4.2408493333029204E-4</v>
      </c>
      <c r="AO621" s="16">
        <f t="shared" ca="1" si="388"/>
        <v>-2.4320186412573171E-4</v>
      </c>
      <c r="AP621" s="16">
        <f t="shared" ca="1" si="389"/>
        <v>0</v>
      </c>
      <c r="AQ621" s="16">
        <f t="shared" ca="1" si="390"/>
        <v>0</v>
      </c>
      <c r="AR621" s="16">
        <f t="shared" ca="1" si="391"/>
        <v>-4.5588304731021778E-4</v>
      </c>
      <c r="AS621" s="16">
        <f t="shared" ca="1" si="392"/>
        <v>0</v>
      </c>
    </row>
    <row r="622" spans="1:45" x14ac:dyDescent="0.25">
      <c r="A622" s="69">
        <f t="shared" ca="1" si="393"/>
        <v>2452.5436345786839</v>
      </c>
      <c r="B622" s="69">
        <f t="shared" ca="1" si="394"/>
        <v>2138.0841878278752</v>
      </c>
      <c r="C622" s="69">
        <f t="shared" ca="1" si="395"/>
        <v>2230.9743540228474</v>
      </c>
      <c r="D622" s="69">
        <f t="shared" ca="1" si="396"/>
        <v>2903.2425591719425</v>
      </c>
      <c r="E622" s="69">
        <f t="shared" ca="1" si="397"/>
        <v>1932.6894239743035</v>
      </c>
      <c r="F622" s="69">
        <f t="shared" ca="1" si="398"/>
        <v>1220.8057541614753</v>
      </c>
      <c r="G622" s="69">
        <f t="shared" ca="1" si="399"/>
        <v>965.63620383268665</v>
      </c>
      <c r="H622" s="69">
        <f t="shared" ca="1" si="400"/>
        <v>1188.0671382293949</v>
      </c>
      <c r="I622" s="69">
        <f t="shared" ca="1" si="401"/>
        <v>1050.3741957213886</v>
      </c>
      <c r="J622" s="69">
        <f t="shared" ca="1" si="402"/>
        <v>1146.3004847589057</v>
      </c>
      <c r="K622" s="69">
        <f t="shared" ca="1" si="403"/>
        <v>1173.7214554000207</v>
      </c>
      <c r="L622" s="69">
        <f t="shared" ca="1" si="404"/>
        <v>957.25657568603367</v>
      </c>
      <c r="M622" s="69">
        <f t="shared" ca="1" si="405"/>
        <v>993.56222316011463</v>
      </c>
      <c r="N622" s="69">
        <f t="shared" ca="1" si="406"/>
        <v>574.92843062594591</v>
      </c>
      <c r="O622" s="69">
        <f t="shared" ca="1" si="407"/>
        <v>631.46919880802841</v>
      </c>
      <c r="P622" s="69">
        <f t="shared" ca="1" si="408"/>
        <v>723.20196476771378</v>
      </c>
      <c r="Q622" s="69">
        <f t="shared" ca="1" si="409"/>
        <v>960.65844802458048</v>
      </c>
      <c r="R622" s="69">
        <f t="shared" ca="1" si="410"/>
        <v>781.38749721594138</v>
      </c>
      <c r="S622" s="69">
        <f t="shared" ca="1" si="411"/>
        <v>700.48083625522361</v>
      </c>
      <c r="T622" s="69">
        <f t="shared" ca="1" si="412"/>
        <v>794.99715565090594</v>
      </c>
      <c r="U622" s="69">
        <f t="shared" ca="1" si="413"/>
        <v>1694.1386458704519</v>
      </c>
      <c r="V622" s="69">
        <f t="shared" ca="1" si="414"/>
        <v>1916.5623377778754</v>
      </c>
      <c r="W622" s="69">
        <f t="shared" ca="1" si="415"/>
        <v>1182.5832344813014</v>
      </c>
      <c r="X622" s="69">
        <f t="shared" ca="1" si="416"/>
        <v>1489.4531792729306</v>
      </c>
      <c r="Y622" s="69">
        <f t="shared" ca="1" si="417"/>
        <v>1205.4864435206903</v>
      </c>
      <c r="AA622" s="20">
        <f t="shared" ca="1" si="377"/>
        <v>6.564195609089092E+16</v>
      </c>
      <c r="AB622" s="20">
        <f t="shared" ca="1" si="378"/>
        <v>1686334057841151</v>
      </c>
      <c r="AC622" s="20">
        <f t="shared" ca="1" si="379"/>
        <v>405279306725793.06</v>
      </c>
      <c r="AD622" s="20">
        <f t="shared" ca="1" si="380"/>
        <v>302313049924966.69</v>
      </c>
      <c r="AE622" s="20">
        <f t="shared" ca="1" si="381"/>
        <v>6894341686071000</v>
      </c>
      <c r="AG622" s="16">
        <f t="shared" ca="1" si="382"/>
        <v>2.8431812254491859E-4</v>
      </c>
      <c r="AH622" s="16">
        <f t="shared" ca="1" si="383"/>
        <v>-6.8600901929912286E-4</v>
      </c>
      <c r="AI622" s="16">
        <f t="shared" ca="1" si="384"/>
        <v>-1.300634540485417E-3</v>
      </c>
      <c r="AJ622" s="16">
        <f t="shared" ca="1" si="385"/>
        <v>-3.3049411153099372E-4</v>
      </c>
      <c r="AK622" s="16">
        <f t="shared" ca="1" si="386"/>
        <v>7.4751108531194432E-4</v>
      </c>
      <c r="AM622" s="16">
        <f t="shared" ca="1" si="387"/>
        <v>-2.0328195487706148E-3</v>
      </c>
      <c r="AO622" s="16">
        <f t="shared" ca="1" si="388"/>
        <v>0</v>
      </c>
      <c r="AP622" s="16">
        <f t="shared" ca="1" si="389"/>
        <v>-6.8600901929912286E-4</v>
      </c>
      <c r="AQ622" s="16">
        <f t="shared" ca="1" si="390"/>
        <v>-1.300634540485417E-3</v>
      </c>
      <c r="AR622" s="16">
        <f t="shared" ca="1" si="391"/>
        <v>-3.3049411153099372E-4</v>
      </c>
      <c r="AS622" s="16">
        <f t="shared" ca="1" si="392"/>
        <v>0</v>
      </c>
    </row>
    <row r="623" spans="1:45" x14ac:dyDescent="0.25">
      <c r="A623" s="69">
        <f t="shared" ca="1" si="393"/>
        <v>2453.0258647533201</v>
      </c>
      <c r="B623" s="69">
        <f t="shared" ca="1" si="394"/>
        <v>2138.0841878278752</v>
      </c>
      <c r="C623" s="69">
        <f t="shared" ca="1" si="395"/>
        <v>2231.1700479405235</v>
      </c>
      <c r="D623" s="69">
        <f t="shared" ca="1" si="396"/>
        <v>2903.2425591719425</v>
      </c>
      <c r="E623" s="69">
        <f t="shared" ca="1" si="397"/>
        <v>1932.6894239743035</v>
      </c>
      <c r="F623" s="69">
        <f t="shared" ca="1" si="398"/>
        <v>1220.8057541614753</v>
      </c>
      <c r="G623" s="69">
        <f t="shared" ca="1" si="399"/>
        <v>965.24913549085329</v>
      </c>
      <c r="H623" s="69">
        <f t="shared" ca="1" si="400"/>
        <v>1188.0671382293949</v>
      </c>
      <c r="I623" s="69">
        <f t="shared" ca="1" si="401"/>
        <v>1050.3741957213886</v>
      </c>
      <c r="J623" s="69">
        <f t="shared" ca="1" si="402"/>
        <v>1145.9737373029932</v>
      </c>
      <c r="K623" s="69">
        <f t="shared" ca="1" si="403"/>
        <v>1173.4925586323354</v>
      </c>
      <c r="L623" s="69">
        <f t="shared" ca="1" si="404"/>
        <v>957.17512943911117</v>
      </c>
      <c r="M623" s="69">
        <f t="shared" ca="1" si="405"/>
        <v>993.86656414697711</v>
      </c>
      <c r="N623" s="69">
        <f t="shared" ca="1" si="406"/>
        <v>574.49085079598956</v>
      </c>
      <c r="O623" s="69">
        <f t="shared" ca="1" si="407"/>
        <v>631.11227707705211</v>
      </c>
      <c r="P623" s="69">
        <f t="shared" ca="1" si="408"/>
        <v>723.20196476771378</v>
      </c>
      <c r="Q623" s="69">
        <f t="shared" ca="1" si="409"/>
        <v>960.47260737146723</v>
      </c>
      <c r="R623" s="69">
        <f t="shared" ca="1" si="410"/>
        <v>781.81511081900487</v>
      </c>
      <c r="S623" s="69">
        <f t="shared" ca="1" si="411"/>
        <v>700.00178475127336</v>
      </c>
      <c r="T623" s="69">
        <f t="shared" ca="1" si="412"/>
        <v>794.99715565090594</v>
      </c>
      <c r="U623" s="69">
        <f t="shared" ca="1" si="413"/>
        <v>1694.1386458704519</v>
      </c>
      <c r="V623" s="69">
        <f t="shared" ca="1" si="414"/>
        <v>1916.907310342674</v>
      </c>
      <c r="W623" s="69">
        <f t="shared" ca="1" si="415"/>
        <v>1182.7857792831351</v>
      </c>
      <c r="X623" s="69">
        <f t="shared" ca="1" si="416"/>
        <v>1489.4531792729306</v>
      </c>
      <c r="Y623" s="69">
        <f t="shared" ca="1" si="417"/>
        <v>1205.9642402450781</v>
      </c>
      <c r="AA623" s="20">
        <f t="shared" ca="1" si="377"/>
        <v>6.5660621942000992E+16</v>
      </c>
      <c r="AB623" s="20">
        <f t="shared" ca="1" si="378"/>
        <v>1685177614178664.8</v>
      </c>
      <c r="AC623" s="20">
        <f t="shared" ca="1" si="379"/>
        <v>404752529107764.38</v>
      </c>
      <c r="AD623" s="20">
        <f t="shared" ca="1" si="380"/>
        <v>302213153750585.5</v>
      </c>
      <c r="AE623" s="20">
        <f t="shared" ca="1" si="381"/>
        <v>6899497209572686</v>
      </c>
      <c r="AG623" s="16">
        <f t="shared" ca="1" si="382"/>
        <v>-3.9482484913288976E-4</v>
      </c>
      <c r="AH623" s="16">
        <f t="shared" ca="1" si="383"/>
        <v>-7.2136751399377896E-4</v>
      </c>
      <c r="AI623" s="16">
        <f t="shared" ca="1" si="384"/>
        <v>4.8628075433523578E-4</v>
      </c>
      <c r="AJ623" s="16">
        <f t="shared" ca="1" si="385"/>
        <v>-1.1709535027097362E-3</v>
      </c>
      <c r="AK623" s="16">
        <f t="shared" ca="1" si="386"/>
        <v>-8.5595417689755568E-5</v>
      </c>
      <c r="AM623" s="16">
        <f t="shared" ca="1" si="387"/>
        <v>-1.8008651115011692E-3</v>
      </c>
      <c r="AO623" s="16">
        <f t="shared" ca="1" si="388"/>
        <v>-3.9482484913288976E-4</v>
      </c>
      <c r="AP623" s="16">
        <f t="shared" ca="1" si="389"/>
        <v>-7.2136751399377896E-4</v>
      </c>
      <c r="AQ623" s="16">
        <f t="shared" ca="1" si="390"/>
        <v>0</v>
      </c>
      <c r="AR623" s="16">
        <f t="shared" ca="1" si="391"/>
        <v>-1.1709535027097362E-3</v>
      </c>
      <c r="AS623" s="16">
        <f t="shared" ca="1" si="392"/>
        <v>-8.5595417689755568E-5</v>
      </c>
    </row>
    <row r="624" spans="1:45" x14ac:dyDescent="0.25">
      <c r="A624" s="69">
        <f t="shared" ca="1" si="393"/>
        <v>2453.0258647533201</v>
      </c>
      <c r="B624" s="69">
        <f t="shared" ca="1" si="394"/>
        <v>2138.0841878278752</v>
      </c>
      <c r="C624" s="69">
        <f t="shared" ca="1" si="395"/>
        <v>2230.7283921951598</v>
      </c>
      <c r="D624" s="69">
        <f t="shared" ca="1" si="396"/>
        <v>2903.2425591719425</v>
      </c>
      <c r="E624" s="69">
        <f t="shared" ca="1" si="397"/>
        <v>1932.3089975696996</v>
      </c>
      <c r="F624" s="69">
        <f t="shared" ca="1" si="398"/>
        <v>1220.4924824565799</v>
      </c>
      <c r="G624" s="69">
        <f t="shared" ca="1" si="399"/>
        <v>965.2076163669434</v>
      </c>
      <c r="H624" s="69">
        <f t="shared" ca="1" si="400"/>
        <v>1187.5888723586859</v>
      </c>
      <c r="I624" s="69">
        <f t="shared" ca="1" si="401"/>
        <v>1050.3741957213886</v>
      </c>
      <c r="J624" s="69">
        <f t="shared" ca="1" si="402"/>
        <v>1145.9518836077254</v>
      </c>
      <c r="K624" s="69">
        <f t="shared" ca="1" si="403"/>
        <v>1173.0110781596518</v>
      </c>
      <c r="L624" s="69">
        <f t="shared" ca="1" si="404"/>
        <v>957.41345968609403</v>
      </c>
      <c r="M624" s="69">
        <f t="shared" ca="1" si="405"/>
        <v>993.86656414697711</v>
      </c>
      <c r="N624" s="69">
        <f t="shared" ca="1" si="406"/>
        <v>574.42760997343635</v>
      </c>
      <c r="O624" s="69">
        <f t="shared" ca="1" si="407"/>
        <v>631.59070710695823</v>
      </c>
      <c r="P624" s="69">
        <f t="shared" ca="1" si="408"/>
        <v>722.94368324391178</v>
      </c>
      <c r="Q624" s="69">
        <f t="shared" ca="1" si="409"/>
        <v>960.47560658046768</v>
      </c>
      <c r="R624" s="69">
        <f t="shared" ca="1" si="410"/>
        <v>781.81511081900487</v>
      </c>
      <c r="S624" s="69">
        <f t="shared" ca="1" si="411"/>
        <v>699.65350425586564</v>
      </c>
      <c r="T624" s="69">
        <f t="shared" ca="1" si="412"/>
        <v>794.74342499302861</v>
      </c>
      <c r="U624" s="69">
        <f t="shared" ca="1" si="413"/>
        <v>1693.6912239286844</v>
      </c>
      <c r="V624" s="69">
        <f t="shared" ca="1" si="414"/>
        <v>1916.907310342674</v>
      </c>
      <c r="W624" s="69">
        <f t="shared" ca="1" si="415"/>
        <v>1182.7857792831351</v>
      </c>
      <c r="X624" s="69">
        <f t="shared" ca="1" si="416"/>
        <v>1489.7191291184567</v>
      </c>
      <c r="Y624" s="69">
        <f t="shared" ca="1" si="417"/>
        <v>1205.9642402450781</v>
      </c>
      <c r="AA624" s="20">
        <f t="shared" ca="1" si="377"/>
        <v>6.5634702613982864E+16</v>
      </c>
      <c r="AB624" s="20">
        <f t="shared" ca="1" si="378"/>
        <v>1683962420145932</v>
      </c>
      <c r="AC624" s="20">
        <f t="shared" ca="1" si="379"/>
        <v>404949400336403.25</v>
      </c>
      <c r="AD624" s="20">
        <f t="shared" ca="1" si="380"/>
        <v>301859483305870.06</v>
      </c>
      <c r="AE624" s="20">
        <f t="shared" ca="1" si="381"/>
        <v>6898906669501306</v>
      </c>
      <c r="AG624" s="16">
        <f t="shared" ca="1" si="382"/>
        <v>-3.9821197876570172E-4</v>
      </c>
      <c r="AH624" s="16">
        <f t="shared" ca="1" si="383"/>
        <v>3.8545347693750746E-4</v>
      </c>
      <c r="AI624" s="16">
        <f t="shared" ca="1" si="384"/>
        <v>-4.9918471816846714E-4</v>
      </c>
      <c r="AJ624" s="16">
        <f t="shared" ca="1" si="385"/>
        <v>-1.5992286289025901E-4</v>
      </c>
      <c r="AK624" s="16">
        <f t="shared" ca="1" si="386"/>
        <v>-4.6484351332525182E-4</v>
      </c>
      <c r="AM624" s="16">
        <f t="shared" ca="1" si="387"/>
        <v>-6.7186608288692044E-4</v>
      </c>
      <c r="AO624" s="16">
        <f t="shared" ca="1" si="388"/>
        <v>-3.9821197876570172E-4</v>
      </c>
      <c r="AP624" s="16">
        <f t="shared" ca="1" si="389"/>
        <v>0</v>
      </c>
      <c r="AQ624" s="16">
        <f t="shared" ca="1" si="390"/>
        <v>-4.9918471816846714E-4</v>
      </c>
      <c r="AR624" s="16">
        <f t="shared" ca="1" si="391"/>
        <v>-1.5992286289025901E-4</v>
      </c>
      <c r="AS624" s="16">
        <f t="shared" ca="1" si="392"/>
        <v>-4.6484351332525182E-4</v>
      </c>
    </row>
    <row r="625" spans="1:45" x14ac:dyDescent="0.25">
      <c r="A625" s="69">
        <f t="shared" ca="1" si="393"/>
        <v>2452.907120946898</v>
      </c>
      <c r="B625" s="69">
        <f t="shared" ca="1" si="394"/>
        <v>2137.6059615697955</v>
      </c>
      <c r="C625" s="69">
        <f t="shared" ca="1" si="395"/>
        <v>2230.4650068404758</v>
      </c>
      <c r="D625" s="69">
        <f t="shared" ca="1" si="396"/>
        <v>2903.2192467146692</v>
      </c>
      <c r="E625" s="69">
        <f t="shared" ca="1" si="397"/>
        <v>1932.3089975696996</v>
      </c>
      <c r="F625" s="69">
        <f t="shared" ca="1" si="398"/>
        <v>1220.8270428833216</v>
      </c>
      <c r="G625" s="69">
        <f t="shared" ca="1" si="399"/>
        <v>965.2076163669434</v>
      </c>
      <c r="H625" s="69">
        <f t="shared" ca="1" si="400"/>
        <v>1187.8194078508077</v>
      </c>
      <c r="I625" s="69">
        <f t="shared" ca="1" si="401"/>
        <v>1050.63754179185</v>
      </c>
      <c r="J625" s="69">
        <f t="shared" ca="1" si="402"/>
        <v>1145.5698698007188</v>
      </c>
      <c r="K625" s="69">
        <f t="shared" ca="1" si="403"/>
        <v>1173.2290376120557</v>
      </c>
      <c r="L625" s="69">
        <f t="shared" ca="1" si="404"/>
        <v>957.41345968609403</v>
      </c>
      <c r="M625" s="69">
        <f t="shared" ca="1" si="405"/>
        <v>993.81440359651924</v>
      </c>
      <c r="N625" s="69">
        <f t="shared" ca="1" si="406"/>
        <v>574.06440193535047</v>
      </c>
      <c r="O625" s="69">
        <f t="shared" ca="1" si="407"/>
        <v>631.59070710695823</v>
      </c>
      <c r="P625" s="69">
        <f t="shared" ca="1" si="408"/>
        <v>722.70977192544342</v>
      </c>
      <c r="Q625" s="69">
        <f t="shared" ca="1" si="409"/>
        <v>960.60876456700441</v>
      </c>
      <c r="R625" s="69">
        <f t="shared" ca="1" si="410"/>
        <v>781.61108888542708</v>
      </c>
      <c r="S625" s="69">
        <f t="shared" ca="1" si="411"/>
        <v>699.85366800845793</v>
      </c>
      <c r="T625" s="69">
        <f t="shared" ca="1" si="412"/>
        <v>794.74342499302861</v>
      </c>
      <c r="U625" s="69">
        <f t="shared" ca="1" si="413"/>
        <v>1693.6912239286844</v>
      </c>
      <c r="V625" s="69">
        <f t="shared" ca="1" si="414"/>
        <v>1916.4317332150952</v>
      </c>
      <c r="W625" s="69">
        <f t="shared" ca="1" si="415"/>
        <v>1182.4232625506704</v>
      </c>
      <c r="X625" s="69">
        <f t="shared" ca="1" si="416"/>
        <v>1489.8529480824811</v>
      </c>
      <c r="Y625" s="69">
        <f t="shared" ca="1" si="417"/>
        <v>1205.9642402450781</v>
      </c>
      <c r="AA625" s="20">
        <f t="shared" ca="1" si="377"/>
        <v>6.5608571292427192E+16</v>
      </c>
      <c r="AB625" s="20">
        <f t="shared" ca="1" si="378"/>
        <v>1684611634428722.5</v>
      </c>
      <c r="AC625" s="20">
        <f t="shared" ca="1" si="379"/>
        <v>404747306229465.31</v>
      </c>
      <c r="AD625" s="20">
        <f t="shared" ca="1" si="380"/>
        <v>301811212932980.19</v>
      </c>
      <c r="AE625" s="20">
        <f t="shared" ca="1" si="381"/>
        <v>6895700502727598</v>
      </c>
      <c r="AG625" s="16">
        <f t="shared" ca="1" si="382"/>
        <v>-7.4839736316346992E-6</v>
      </c>
      <c r="AH625" s="16">
        <f t="shared" ca="1" si="383"/>
        <v>6.9205388672380103E-4</v>
      </c>
      <c r="AI625" s="16">
        <f t="shared" ca="1" si="384"/>
        <v>-4.3953210107330892E-4</v>
      </c>
      <c r="AJ625" s="16">
        <f t="shared" ca="1" si="385"/>
        <v>-4.8690313850949273E-4</v>
      </c>
      <c r="AK625" s="16">
        <f t="shared" ca="1" si="386"/>
        <v>-4.0652039769873793E-4</v>
      </c>
      <c r="AM625" s="16">
        <f t="shared" ca="1" si="387"/>
        <v>-2.4186532649063532E-4</v>
      </c>
      <c r="AO625" s="16">
        <f t="shared" ca="1" si="388"/>
        <v>-7.4839736316346992E-6</v>
      </c>
      <c r="AP625" s="16">
        <f t="shared" ca="1" si="389"/>
        <v>0</v>
      </c>
      <c r="AQ625" s="16">
        <f t="shared" ca="1" si="390"/>
        <v>-4.3953210107330892E-4</v>
      </c>
      <c r="AR625" s="16">
        <f t="shared" ca="1" si="391"/>
        <v>-4.8690313850949273E-4</v>
      </c>
      <c r="AS625" s="16">
        <f t="shared" ca="1" si="392"/>
        <v>-4.0652039769873793E-4</v>
      </c>
    </row>
    <row r="626" spans="1:45" x14ac:dyDescent="0.25">
      <c r="A626" s="69">
        <f t="shared" ca="1" si="393"/>
        <v>2452.4646471435108</v>
      </c>
      <c r="B626" s="69">
        <f t="shared" ca="1" si="394"/>
        <v>2137.6059615697955</v>
      </c>
      <c r="C626" s="69">
        <f t="shared" ca="1" si="395"/>
        <v>2230.6530979022455</v>
      </c>
      <c r="D626" s="69">
        <f t="shared" ca="1" si="396"/>
        <v>2903.4764693363682</v>
      </c>
      <c r="E626" s="69">
        <f t="shared" ca="1" si="397"/>
        <v>1932.3089975696996</v>
      </c>
      <c r="F626" s="69">
        <f t="shared" ca="1" si="398"/>
        <v>1221.3119370593463</v>
      </c>
      <c r="G626" s="69">
        <f t="shared" ca="1" si="399"/>
        <v>965.20515921615424</v>
      </c>
      <c r="H626" s="69">
        <f t="shared" ca="1" si="400"/>
        <v>1188.1431581922709</v>
      </c>
      <c r="I626" s="69">
        <f t="shared" ca="1" si="401"/>
        <v>1050.5157820220938</v>
      </c>
      <c r="J626" s="69">
        <f t="shared" ca="1" si="402"/>
        <v>1145.7312577061805</v>
      </c>
      <c r="K626" s="69">
        <f t="shared" ca="1" si="403"/>
        <v>1173.2290376120557</v>
      </c>
      <c r="L626" s="69">
        <f t="shared" ca="1" si="404"/>
        <v>957.10284568280429</v>
      </c>
      <c r="M626" s="69">
        <f t="shared" ca="1" si="405"/>
        <v>993.70007272890484</v>
      </c>
      <c r="N626" s="69">
        <f t="shared" ca="1" si="406"/>
        <v>574.06440193535047</v>
      </c>
      <c r="O626" s="69">
        <f t="shared" ca="1" si="407"/>
        <v>631.59070710695823</v>
      </c>
      <c r="P626" s="69">
        <f t="shared" ca="1" si="408"/>
        <v>722.70977192544342</v>
      </c>
      <c r="Q626" s="69">
        <f t="shared" ca="1" si="409"/>
        <v>960.90323580115592</v>
      </c>
      <c r="R626" s="69">
        <f t="shared" ca="1" si="410"/>
        <v>781.61108888542708</v>
      </c>
      <c r="S626" s="69">
        <f t="shared" ca="1" si="411"/>
        <v>699.70622637488884</v>
      </c>
      <c r="T626" s="69">
        <f t="shared" ca="1" si="412"/>
        <v>794.28045852743037</v>
      </c>
      <c r="U626" s="69">
        <f t="shared" ca="1" si="413"/>
        <v>1693.6912239286844</v>
      </c>
      <c r="V626" s="69">
        <f t="shared" ca="1" si="414"/>
        <v>1915.9620316638457</v>
      </c>
      <c r="W626" s="69">
        <f t="shared" ca="1" si="415"/>
        <v>1182.2546355173549</v>
      </c>
      <c r="X626" s="69">
        <f t="shared" ca="1" si="416"/>
        <v>1489.8249732719316</v>
      </c>
      <c r="Y626" s="69">
        <f t="shared" ca="1" si="417"/>
        <v>1205.9642402450781</v>
      </c>
      <c r="AA626" s="20">
        <f t="shared" ca="1" si="377"/>
        <v>6.5608080281446992E+16</v>
      </c>
      <c r="AB626" s="20">
        <f t="shared" ca="1" si="378"/>
        <v>1685777879963780</v>
      </c>
      <c r="AC626" s="20">
        <f t="shared" ca="1" si="379"/>
        <v>404569445886083.13</v>
      </c>
      <c r="AD626" s="20">
        <f t="shared" ca="1" si="380"/>
        <v>301664295876256.31</v>
      </c>
      <c r="AE626" s="20">
        <f t="shared" ca="1" si="381"/>
        <v>6892897829527327</v>
      </c>
      <c r="AG626" s="16">
        <f t="shared" ca="1" si="382"/>
        <v>7.3568869521274343E-5</v>
      </c>
      <c r="AH626" s="16">
        <f t="shared" ca="1" si="383"/>
        <v>-3.8641252206217977E-4</v>
      </c>
      <c r="AI626" s="16">
        <f t="shared" ca="1" si="384"/>
        <v>-2.7424115183063795E-4</v>
      </c>
      <c r="AJ626" s="16">
        <f t="shared" ca="1" si="385"/>
        <v>6.7091133463912918E-4</v>
      </c>
      <c r="AK626" s="16">
        <f t="shared" ca="1" si="386"/>
        <v>1.8752273986925882E-4</v>
      </c>
      <c r="AM626" s="16">
        <f t="shared" ca="1" si="387"/>
        <v>8.3826530267585762E-5</v>
      </c>
      <c r="AO626" s="16">
        <f t="shared" ca="1" si="388"/>
        <v>0</v>
      </c>
      <c r="AP626" s="16">
        <f t="shared" ca="1" si="389"/>
        <v>-3.8641252206217977E-4</v>
      </c>
      <c r="AQ626" s="16">
        <f t="shared" ca="1" si="390"/>
        <v>-2.7424115183063795E-4</v>
      </c>
      <c r="AR626" s="16">
        <f t="shared" ca="1" si="391"/>
        <v>0</v>
      </c>
      <c r="AS626" s="16">
        <f t="shared" ca="1" si="392"/>
        <v>0</v>
      </c>
    </row>
    <row r="627" spans="1:45" x14ac:dyDescent="0.25">
      <c r="A627" s="69">
        <f t="shared" ca="1" si="393"/>
        <v>2452.6896494407206</v>
      </c>
      <c r="B627" s="69">
        <f t="shared" ca="1" si="394"/>
        <v>2137.6792914894609</v>
      </c>
      <c r="C627" s="69">
        <f t="shared" ca="1" si="395"/>
        <v>2230.3125421581499</v>
      </c>
      <c r="D627" s="69">
        <f t="shared" ca="1" si="396"/>
        <v>2903.5568443037041</v>
      </c>
      <c r="E627" s="69">
        <f t="shared" ca="1" si="397"/>
        <v>1932.4491417744025</v>
      </c>
      <c r="F627" s="69">
        <f t="shared" ca="1" si="398"/>
        <v>1221.3119370593463</v>
      </c>
      <c r="G627" s="69">
        <f t="shared" ca="1" si="399"/>
        <v>965.28969387947086</v>
      </c>
      <c r="H627" s="69">
        <f t="shared" ca="1" si="400"/>
        <v>1187.8662367613881</v>
      </c>
      <c r="I627" s="69">
        <f t="shared" ca="1" si="401"/>
        <v>1050.108308306041</v>
      </c>
      <c r="J627" s="69">
        <f t="shared" ca="1" si="402"/>
        <v>1145.8997637278435</v>
      </c>
      <c r="K627" s="69">
        <f t="shared" ca="1" si="403"/>
        <v>1173.6229658740501</v>
      </c>
      <c r="L627" s="69">
        <f t="shared" ca="1" si="404"/>
        <v>957.10284568280429</v>
      </c>
      <c r="M627" s="69">
        <f t="shared" ca="1" si="405"/>
        <v>993.70007272890484</v>
      </c>
      <c r="N627" s="69">
        <f t="shared" ca="1" si="406"/>
        <v>573.71435871815856</v>
      </c>
      <c r="O627" s="69">
        <f t="shared" ca="1" si="407"/>
        <v>631.59070710695823</v>
      </c>
      <c r="P627" s="69">
        <f t="shared" ca="1" si="408"/>
        <v>722.70977192544342</v>
      </c>
      <c r="Q627" s="69">
        <f t="shared" ca="1" si="409"/>
        <v>960.64838062847366</v>
      </c>
      <c r="R627" s="69">
        <f t="shared" ca="1" si="410"/>
        <v>781.61108888542708</v>
      </c>
      <c r="S627" s="69">
        <f t="shared" ca="1" si="411"/>
        <v>699.9633097774929</v>
      </c>
      <c r="T627" s="69">
        <f t="shared" ca="1" si="412"/>
        <v>794.7323915589518</v>
      </c>
      <c r="U627" s="69">
        <f t="shared" ca="1" si="413"/>
        <v>1694.1354979086609</v>
      </c>
      <c r="V627" s="69">
        <f t="shared" ca="1" si="414"/>
        <v>1915.9620316638457</v>
      </c>
      <c r="W627" s="69">
        <f t="shared" ca="1" si="415"/>
        <v>1181.9596893735436</v>
      </c>
      <c r="X627" s="69">
        <f t="shared" ca="1" si="416"/>
        <v>1490.0853501752297</v>
      </c>
      <c r="Y627" s="69">
        <f t="shared" ca="1" si="417"/>
        <v>1205.9642402450781</v>
      </c>
      <c r="AA627" s="20">
        <f t="shared" ca="1" si="377"/>
        <v>6.5612907171297E+16</v>
      </c>
      <c r="AB627" s="20">
        <f t="shared" ca="1" si="378"/>
        <v>1685126600120993.8</v>
      </c>
      <c r="AC627" s="20">
        <f t="shared" ca="1" si="379"/>
        <v>404458511507329</v>
      </c>
      <c r="AD627" s="20">
        <f t="shared" ca="1" si="380"/>
        <v>301866753779672.5</v>
      </c>
      <c r="AE627" s="20">
        <f t="shared" ca="1" si="381"/>
        <v>6894190525815145</v>
      </c>
      <c r="AG627" s="16">
        <f t="shared" ca="1" si="382"/>
        <v>2.8960765977250675E-4</v>
      </c>
      <c r="AH627" s="16">
        <f t="shared" ca="1" si="383"/>
        <v>-1.272110411109783E-4</v>
      </c>
      <c r="AI627" s="16">
        <f t="shared" ca="1" si="384"/>
        <v>-9.5009770234236635E-4</v>
      </c>
      <c r="AJ627" s="16">
        <f t="shared" ca="1" si="385"/>
        <v>2.6894176470288074E-4</v>
      </c>
      <c r="AK627" s="16">
        <f t="shared" ca="1" si="386"/>
        <v>9.9044805688628467E-5</v>
      </c>
      <c r="AM627" s="16">
        <f t="shared" ca="1" si="387"/>
        <v>-5.1875931897795715E-4</v>
      </c>
      <c r="AO627" s="16">
        <f t="shared" ca="1" si="388"/>
        <v>0</v>
      </c>
      <c r="AP627" s="16">
        <f t="shared" ca="1" si="389"/>
        <v>-1.272110411109783E-4</v>
      </c>
      <c r="AQ627" s="16">
        <f t="shared" ca="1" si="390"/>
        <v>-9.5009770234236635E-4</v>
      </c>
      <c r="AR627" s="16">
        <f t="shared" ca="1" si="391"/>
        <v>0</v>
      </c>
      <c r="AS627" s="16">
        <f t="shared" ca="1" si="392"/>
        <v>0</v>
      </c>
    </row>
    <row r="628" spans="1:45" x14ac:dyDescent="0.25">
      <c r="A628" s="69">
        <f t="shared" ca="1" si="393"/>
        <v>2452.6896494407206</v>
      </c>
      <c r="B628" s="69">
        <f t="shared" ca="1" si="394"/>
        <v>2138.1678374057415</v>
      </c>
      <c r="C628" s="69">
        <f t="shared" ca="1" si="395"/>
        <v>2230.3125421581499</v>
      </c>
      <c r="D628" s="69">
        <f t="shared" ca="1" si="396"/>
        <v>2903.5568443037041</v>
      </c>
      <c r="E628" s="69">
        <f t="shared" ca="1" si="397"/>
        <v>1932.5672053617543</v>
      </c>
      <c r="F628" s="69">
        <f t="shared" ca="1" si="398"/>
        <v>1221.3119370593463</v>
      </c>
      <c r="G628" s="69">
        <f t="shared" ca="1" si="399"/>
        <v>965.06391313497431</v>
      </c>
      <c r="H628" s="69">
        <f t="shared" ca="1" si="400"/>
        <v>1187.690297663695</v>
      </c>
      <c r="I628" s="69">
        <f t="shared" ca="1" si="401"/>
        <v>1050.5121738269499</v>
      </c>
      <c r="J628" s="69">
        <f t="shared" ca="1" si="402"/>
        <v>1145.751173188678</v>
      </c>
      <c r="K628" s="69">
        <f t="shared" ca="1" si="403"/>
        <v>1173.3654099015789</v>
      </c>
      <c r="L628" s="69">
        <f t="shared" ca="1" si="404"/>
        <v>957.10284568280429</v>
      </c>
      <c r="M628" s="69">
        <f t="shared" ca="1" si="405"/>
        <v>993.70007272890484</v>
      </c>
      <c r="N628" s="69">
        <f t="shared" ca="1" si="406"/>
        <v>573.24249950220803</v>
      </c>
      <c r="O628" s="69">
        <f t="shared" ca="1" si="407"/>
        <v>631.64893122274896</v>
      </c>
      <c r="P628" s="69">
        <f t="shared" ca="1" si="408"/>
        <v>722.54596912055172</v>
      </c>
      <c r="Q628" s="69">
        <f t="shared" ca="1" si="409"/>
        <v>960.64838062847366</v>
      </c>
      <c r="R628" s="69">
        <f t="shared" ca="1" si="410"/>
        <v>781.73182918099508</v>
      </c>
      <c r="S628" s="69">
        <f t="shared" ca="1" si="411"/>
        <v>700.28831141694502</v>
      </c>
      <c r="T628" s="69">
        <f t="shared" ca="1" si="412"/>
        <v>794.63460531672365</v>
      </c>
      <c r="U628" s="69">
        <f t="shared" ca="1" si="413"/>
        <v>1694.1742469481469</v>
      </c>
      <c r="V628" s="69">
        <f t="shared" ca="1" si="414"/>
        <v>1916.1289100614765</v>
      </c>
      <c r="W628" s="69">
        <f t="shared" ca="1" si="415"/>
        <v>1181.9596893735436</v>
      </c>
      <c r="X628" s="69">
        <f t="shared" ca="1" si="416"/>
        <v>1490.0690746481471</v>
      </c>
      <c r="Y628" s="69">
        <f t="shared" ca="1" si="417"/>
        <v>1205.9642402450781</v>
      </c>
      <c r="AA628" s="20">
        <f t="shared" ca="1" si="377"/>
        <v>6.5631911923621848E+16</v>
      </c>
      <c r="AB628" s="20">
        <f t="shared" ca="1" si="378"/>
        <v>1684912247046116.5</v>
      </c>
      <c r="AC628" s="20">
        <f t="shared" ca="1" si="379"/>
        <v>404074418896499.5</v>
      </c>
      <c r="AD628" s="20">
        <f t="shared" ca="1" si="380"/>
        <v>301947949275079.63</v>
      </c>
      <c r="AE628" s="20">
        <f t="shared" ca="1" si="381"/>
        <v>6894873393392840</v>
      </c>
      <c r="AG628" s="16">
        <f t="shared" ca="1" si="382"/>
        <v>-3.0436881890856488E-4</v>
      </c>
      <c r="AH628" s="16">
        <f t="shared" ca="1" si="383"/>
        <v>3.863016642417596E-4</v>
      </c>
      <c r="AI628" s="16">
        <f t="shared" ca="1" si="384"/>
        <v>-1.7744116035548477E-4</v>
      </c>
      <c r="AJ628" s="16">
        <f t="shared" ca="1" si="385"/>
        <v>1.3503879645084392E-3</v>
      </c>
      <c r="AK628" s="16">
        <f t="shared" ca="1" si="386"/>
        <v>0</v>
      </c>
      <c r="AM628" s="16">
        <f t="shared" ca="1" si="387"/>
        <v>1.2548796494861493E-3</v>
      </c>
      <c r="AO628" s="16">
        <f t="shared" ca="1" si="388"/>
        <v>-3.0436881890856488E-4</v>
      </c>
      <c r="AP628" s="16">
        <f t="shared" ca="1" si="389"/>
        <v>0</v>
      </c>
      <c r="AQ628" s="16">
        <f t="shared" ca="1" si="390"/>
        <v>-1.7744116035548477E-4</v>
      </c>
      <c r="AR628" s="16">
        <f t="shared" ca="1" si="391"/>
        <v>0</v>
      </c>
      <c r="AS628" s="16">
        <f t="shared" ca="1" si="392"/>
        <v>0</v>
      </c>
    </row>
    <row r="629" spans="1:45" x14ac:dyDescent="0.25">
      <c r="A629" s="69">
        <f t="shared" ca="1" si="393"/>
        <v>2452.6183897120141</v>
      </c>
      <c r="B629" s="69">
        <f t="shared" ca="1" si="394"/>
        <v>2137.9067404421862</v>
      </c>
      <c r="C629" s="69">
        <f t="shared" ca="1" si="395"/>
        <v>2230.3125421581499</v>
      </c>
      <c r="D629" s="69">
        <f t="shared" ca="1" si="396"/>
        <v>2903.5568443037041</v>
      </c>
      <c r="E629" s="69">
        <f t="shared" ca="1" si="397"/>
        <v>1932.2711688706747</v>
      </c>
      <c r="F629" s="69">
        <f t="shared" ca="1" si="398"/>
        <v>1221.3119370593463</v>
      </c>
      <c r="G629" s="69">
        <f t="shared" ca="1" si="399"/>
        <v>965.52193670670692</v>
      </c>
      <c r="H629" s="69">
        <f t="shared" ca="1" si="400"/>
        <v>1187.8568767398565</v>
      </c>
      <c r="I629" s="69">
        <f t="shared" ca="1" si="401"/>
        <v>1050.5121738269499</v>
      </c>
      <c r="J629" s="69">
        <f t="shared" ca="1" si="402"/>
        <v>1145.4894734744719</v>
      </c>
      <c r="K629" s="69">
        <f t="shared" ca="1" si="403"/>
        <v>1173.7259564808242</v>
      </c>
      <c r="L629" s="69">
        <f t="shared" ca="1" si="404"/>
        <v>957.10284568280429</v>
      </c>
      <c r="M629" s="69">
        <f t="shared" ca="1" si="405"/>
        <v>993.21857322851736</v>
      </c>
      <c r="N629" s="69">
        <f t="shared" ca="1" si="406"/>
        <v>573.24249950220803</v>
      </c>
      <c r="O629" s="69">
        <f t="shared" ca="1" si="407"/>
        <v>631.64893122274896</v>
      </c>
      <c r="P629" s="69">
        <f t="shared" ca="1" si="408"/>
        <v>723.00435479175655</v>
      </c>
      <c r="Q629" s="69">
        <f t="shared" ca="1" si="409"/>
        <v>961.05027099486153</v>
      </c>
      <c r="R629" s="69">
        <f t="shared" ca="1" si="410"/>
        <v>781.73182918099508</v>
      </c>
      <c r="S629" s="69">
        <f t="shared" ca="1" si="411"/>
        <v>700.4969723093385</v>
      </c>
      <c r="T629" s="69">
        <f t="shared" ca="1" si="412"/>
        <v>794.63460531672365</v>
      </c>
      <c r="U629" s="69">
        <f t="shared" ca="1" si="413"/>
        <v>1694.1742469481469</v>
      </c>
      <c r="V629" s="69">
        <f t="shared" ca="1" si="414"/>
        <v>1916.1289100614765</v>
      </c>
      <c r="W629" s="69">
        <f t="shared" ca="1" si="415"/>
        <v>1181.9596893735436</v>
      </c>
      <c r="X629" s="69">
        <f t="shared" ca="1" si="416"/>
        <v>1490.0690746481471</v>
      </c>
      <c r="Y629" s="69">
        <f t="shared" ca="1" si="417"/>
        <v>1205.9642402450781</v>
      </c>
      <c r="AA629" s="20">
        <f t="shared" ca="1" si="377"/>
        <v>6.5611938655881096E+16</v>
      </c>
      <c r="AB629" s="20">
        <f t="shared" ca="1" si="378"/>
        <v>1685563257186306.3</v>
      </c>
      <c r="AC629" s="20">
        <f t="shared" ca="1" si="379"/>
        <v>404002725823579.69</v>
      </c>
      <c r="AD629" s="20">
        <f t="shared" ca="1" si="380"/>
        <v>302355971583892.25</v>
      </c>
      <c r="AE629" s="20">
        <f t="shared" ca="1" si="381"/>
        <v>6894873393392840</v>
      </c>
      <c r="AG629" s="16">
        <f t="shared" ca="1" si="382"/>
        <v>-5.5790442008630793E-5</v>
      </c>
      <c r="AH629" s="16">
        <f t="shared" ca="1" si="383"/>
        <v>-8.579503023507072E-4</v>
      </c>
      <c r="AI629" s="16">
        <f t="shared" ca="1" si="384"/>
        <v>4.5020981290394839E-4</v>
      </c>
      <c r="AJ629" s="16">
        <f t="shared" ca="1" si="385"/>
        <v>-6.050120229175903E-5</v>
      </c>
      <c r="AK629" s="16">
        <f t="shared" ca="1" si="386"/>
        <v>-2.1980720595203611E-4</v>
      </c>
      <c r="AM629" s="16">
        <f t="shared" ca="1" si="387"/>
        <v>-5.2403213374714857E-4</v>
      </c>
      <c r="AO629" s="16">
        <f t="shared" ca="1" si="388"/>
        <v>-5.5790442008630793E-5</v>
      </c>
      <c r="AP629" s="16">
        <f t="shared" ca="1" si="389"/>
        <v>-8.579503023507072E-4</v>
      </c>
      <c r="AQ629" s="16">
        <f t="shared" ca="1" si="390"/>
        <v>0</v>
      </c>
      <c r="AR629" s="16">
        <f t="shared" ca="1" si="391"/>
        <v>-6.050120229175903E-5</v>
      </c>
      <c r="AS629" s="16">
        <f t="shared" ca="1" si="392"/>
        <v>-2.1980720595203611E-4</v>
      </c>
    </row>
    <row r="630" spans="1:45" x14ac:dyDescent="0.25">
      <c r="A630" s="69">
        <f t="shared" ca="1" si="393"/>
        <v>2452.6183897120141</v>
      </c>
      <c r="B630" s="69">
        <f t="shared" ca="1" si="394"/>
        <v>2137.9067404421862</v>
      </c>
      <c r="C630" s="69">
        <f t="shared" ca="1" si="395"/>
        <v>2230.3750194709432</v>
      </c>
      <c r="D630" s="69">
        <f t="shared" ca="1" si="396"/>
        <v>2903.5104768968063</v>
      </c>
      <c r="E630" s="69">
        <f t="shared" ca="1" si="397"/>
        <v>1932.1401004965971</v>
      </c>
      <c r="F630" s="69">
        <f t="shared" ca="1" si="398"/>
        <v>1221.3119370593463</v>
      </c>
      <c r="G630" s="69">
        <f t="shared" ca="1" si="399"/>
        <v>965.09381676154874</v>
      </c>
      <c r="H630" s="69">
        <f t="shared" ca="1" si="400"/>
        <v>1187.765864712366</v>
      </c>
      <c r="I630" s="69">
        <f t="shared" ca="1" si="401"/>
        <v>1050.1573470480016</v>
      </c>
      <c r="J630" s="69">
        <f t="shared" ca="1" si="402"/>
        <v>1145.4894734744719</v>
      </c>
      <c r="K630" s="69">
        <f t="shared" ca="1" si="403"/>
        <v>1174.0140563261914</v>
      </c>
      <c r="L630" s="69">
        <f t="shared" ca="1" si="404"/>
        <v>956.69639919500332</v>
      </c>
      <c r="M630" s="69">
        <f t="shared" ca="1" si="405"/>
        <v>993.21857322851736</v>
      </c>
      <c r="N630" s="69">
        <f t="shared" ca="1" si="406"/>
        <v>573.24249950220803</v>
      </c>
      <c r="O630" s="69">
        <f t="shared" ca="1" si="407"/>
        <v>632.04670213063719</v>
      </c>
      <c r="P630" s="69">
        <f t="shared" ca="1" si="408"/>
        <v>723.00435479175655</v>
      </c>
      <c r="Q630" s="69">
        <f t="shared" ca="1" si="409"/>
        <v>961.05027099486153</v>
      </c>
      <c r="R630" s="69">
        <f t="shared" ca="1" si="410"/>
        <v>781.90090181484663</v>
      </c>
      <c r="S630" s="69">
        <f t="shared" ca="1" si="411"/>
        <v>700.49059869455971</v>
      </c>
      <c r="T630" s="69">
        <f t="shared" ca="1" si="412"/>
        <v>794.42194294928845</v>
      </c>
      <c r="U630" s="69">
        <f t="shared" ca="1" si="413"/>
        <v>1694.1434343461272</v>
      </c>
      <c r="V630" s="69">
        <f t="shared" ca="1" si="414"/>
        <v>1916.1289100614765</v>
      </c>
      <c r="W630" s="69">
        <f t="shared" ca="1" si="415"/>
        <v>1181.9596893735436</v>
      </c>
      <c r="X630" s="69">
        <f t="shared" ca="1" si="416"/>
        <v>1489.9101318384489</v>
      </c>
      <c r="Y630" s="69">
        <f t="shared" ca="1" si="417"/>
        <v>1205.8497443411272</v>
      </c>
      <c r="AA630" s="20">
        <f t="shared" ca="1" si="377"/>
        <v>6.5608278238931528E+16</v>
      </c>
      <c r="AB630" s="20">
        <f t="shared" ca="1" si="378"/>
        <v>1684117747856422.8</v>
      </c>
      <c r="AC630" s="20">
        <f t="shared" ca="1" si="379"/>
        <v>404184652764759.63</v>
      </c>
      <c r="AD630" s="20">
        <f t="shared" ca="1" si="380"/>
        <v>302337679237451.38</v>
      </c>
      <c r="AE630" s="20">
        <f t="shared" ca="1" si="381"/>
        <v>6893358017088262</v>
      </c>
      <c r="AG630" s="16">
        <f t="shared" ca="1" si="382"/>
        <v>-5.5472601395748536E-5</v>
      </c>
      <c r="AH630" s="16">
        <f t="shared" ca="1" si="383"/>
        <v>-8.2461068271743752E-4</v>
      </c>
      <c r="AI630" s="16">
        <f t="shared" ca="1" si="384"/>
        <v>8.7433008937148914E-4</v>
      </c>
      <c r="AJ630" s="16">
        <f t="shared" ca="1" si="385"/>
        <v>-5.6894428262805165E-4</v>
      </c>
      <c r="AK630" s="16">
        <f t="shared" ca="1" si="386"/>
        <v>6.9368214499027065E-5</v>
      </c>
      <c r="AM630" s="16">
        <f t="shared" ca="1" si="387"/>
        <v>-5.7469747736974854E-4</v>
      </c>
      <c r="AO630" s="16">
        <f t="shared" ca="1" si="388"/>
        <v>-5.5472601395748536E-5</v>
      </c>
      <c r="AP630" s="16">
        <f t="shared" ca="1" si="389"/>
        <v>-8.2461068271743752E-4</v>
      </c>
      <c r="AQ630" s="16">
        <f t="shared" ca="1" si="390"/>
        <v>0</v>
      </c>
      <c r="AR630" s="16">
        <f t="shared" ca="1" si="391"/>
        <v>-5.6894428262805165E-4</v>
      </c>
      <c r="AS630" s="16">
        <f t="shared" ca="1" si="392"/>
        <v>0</v>
      </c>
    </row>
    <row r="631" spans="1:45" x14ac:dyDescent="0.25">
      <c r="A631" s="69">
        <f t="shared" ca="1" si="393"/>
        <v>2452.3923122847054</v>
      </c>
      <c r="B631" s="69">
        <f t="shared" ca="1" si="394"/>
        <v>2137.5606207138226</v>
      </c>
      <c r="C631" s="69">
        <f t="shared" ca="1" si="395"/>
        <v>2230.7435609901604</v>
      </c>
      <c r="D631" s="69">
        <f t="shared" ca="1" si="396"/>
        <v>2903.6074426295913</v>
      </c>
      <c r="E631" s="69">
        <f t="shared" ca="1" si="397"/>
        <v>1932.1401004965971</v>
      </c>
      <c r="F631" s="69">
        <f t="shared" ca="1" si="398"/>
        <v>1220.8679641455353</v>
      </c>
      <c r="G631" s="69">
        <f t="shared" ca="1" si="399"/>
        <v>965.40155812816272</v>
      </c>
      <c r="H631" s="69">
        <f t="shared" ca="1" si="400"/>
        <v>1187.6186838118422</v>
      </c>
      <c r="I631" s="69">
        <f t="shared" ca="1" si="401"/>
        <v>1049.7493669593171</v>
      </c>
      <c r="J631" s="69">
        <f t="shared" ca="1" si="402"/>
        <v>1145.1832644220938</v>
      </c>
      <c r="K631" s="69">
        <f t="shared" ca="1" si="403"/>
        <v>1173.9633467264325</v>
      </c>
      <c r="L631" s="69">
        <f t="shared" ca="1" si="404"/>
        <v>956.8456132853604</v>
      </c>
      <c r="M631" s="69">
        <f t="shared" ca="1" si="405"/>
        <v>993.21857322851736</v>
      </c>
      <c r="N631" s="69">
        <f t="shared" ca="1" si="406"/>
        <v>573.67922919093951</v>
      </c>
      <c r="O631" s="69">
        <f t="shared" ca="1" si="407"/>
        <v>632.04670213063719</v>
      </c>
      <c r="P631" s="69">
        <f t="shared" ca="1" si="408"/>
        <v>723.00435479175655</v>
      </c>
      <c r="Q631" s="69">
        <f t="shared" ca="1" si="409"/>
        <v>960.7838328262967</v>
      </c>
      <c r="R631" s="69">
        <f t="shared" ca="1" si="410"/>
        <v>781.62957121692671</v>
      </c>
      <c r="S631" s="69">
        <f t="shared" ca="1" si="411"/>
        <v>700.49059869455971</v>
      </c>
      <c r="T631" s="69">
        <f t="shared" ca="1" si="412"/>
        <v>794.46595902119338</v>
      </c>
      <c r="U631" s="69">
        <f t="shared" ca="1" si="413"/>
        <v>1693.7746023865968</v>
      </c>
      <c r="V631" s="69">
        <f t="shared" ca="1" si="414"/>
        <v>1916.3984346424406</v>
      </c>
      <c r="W631" s="69">
        <f t="shared" ca="1" si="415"/>
        <v>1182.4219890231057</v>
      </c>
      <c r="X631" s="69">
        <f t="shared" ca="1" si="416"/>
        <v>1489.9101318384489</v>
      </c>
      <c r="Y631" s="69">
        <f t="shared" ca="1" si="417"/>
        <v>1205.5548265446153</v>
      </c>
      <c r="AA631" s="20">
        <f t="shared" ca="1" si="377"/>
        <v>6.5604638878007864E+16</v>
      </c>
      <c r="AB631" s="20">
        <f t="shared" ca="1" si="378"/>
        <v>1682729578798764.5</v>
      </c>
      <c r="AC631" s="20">
        <f t="shared" ca="1" si="379"/>
        <v>404538198103475.38</v>
      </c>
      <c r="AD631" s="20">
        <f t="shared" ca="1" si="380"/>
        <v>302165714867137.56</v>
      </c>
      <c r="AE631" s="20">
        <f t="shared" ca="1" si="381"/>
        <v>6893836213611438</v>
      </c>
      <c r="AG631" s="16">
        <f t="shared" ca="1" si="382"/>
        <v>-2.3099606845013908E-4</v>
      </c>
      <c r="AH631" s="16">
        <f t="shared" ca="1" si="383"/>
        <v>-4.0307743248431621E-4</v>
      </c>
      <c r="AI631" s="16">
        <f t="shared" ca="1" si="384"/>
        <v>3.1880810206161574E-5</v>
      </c>
      <c r="AJ631" s="16">
        <f t="shared" ca="1" si="385"/>
        <v>1.0032010779396318E-3</v>
      </c>
      <c r="AK631" s="16">
        <f t="shared" ca="1" si="386"/>
        <v>5.1463073741133119E-4</v>
      </c>
      <c r="AM631" s="16">
        <f t="shared" ca="1" si="387"/>
        <v>4.0100838721133798E-4</v>
      </c>
      <c r="AO631" s="16">
        <f t="shared" ca="1" si="388"/>
        <v>-2.3099606845013908E-4</v>
      </c>
      <c r="AP631" s="16">
        <f t="shared" ca="1" si="389"/>
        <v>-4.0307743248431621E-4</v>
      </c>
      <c r="AQ631" s="16">
        <f t="shared" ca="1" si="390"/>
        <v>0</v>
      </c>
      <c r="AR631" s="16">
        <f t="shared" ca="1" si="391"/>
        <v>0</v>
      </c>
      <c r="AS631" s="16">
        <f t="shared" ca="1" si="392"/>
        <v>0</v>
      </c>
    </row>
    <row r="632" spans="1:45" x14ac:dyDescent="0.25">
      <c r="A632" s="69">
        <f t="shared" ca="1" si="393"/>
        <v>2452.748403428554</v>
      </c>
      <c r="B632" s="69">
        <f t="shared" ca="1" si="394"/>
        <v>2137.5606207138226</v>
      </c>
      <c r="C632" s="69">
        <f t="shared" ca="1" si="395"/>
        <v>2230.5150412688295</v>
      </c>
      <c r="D632" s="69">
        <f t="shared" ca="1" si="396"/>
        <v>2903.4389501076234</v>
      </c>
      <c r="E632" s="69">
        <f t="shared" ca="1" si="397"/>
        <v>1931.7233627336288</v>
      </c>
      <c r="F632" s="69">
        <f t="shared" ca="1" si="398"/>
        <v>1220.8679641455353</v>
      </c>
      <c r="G632" s="69">
        <f t="shared" ca="1" si="399"/>
        <v>965.20703135586973</v>
      </c>
      <c r="H632" s="69">
        <f t="shared" ca="1" si="400"/>
        <v>1187.6186838118422</v>
      </c>
      <c r="I632" s="69">
        <f t="shared" ca="1" si="401"/>
        <v>1049.6693698614915</v>
      </c>
      <c r="J632" s="69">
        <f t="shared" ca="1" si="402"/>
        <v>1145.0397246698276</v>
      </c>
      <c r="K632" s="69">
        <f t="shared" ca="1" si="403"/>
        <v>1174.335350044289</v>
      </c>
      <c r="L632" s="69">
        <f t="shared" ca="1" si="404"/>
        <v>957.31336826197355</v>
      </c>
      <c r="M632" s="69">
        <f t="shared" ca="1" si="405"/>
        <v>993.52573770157517</v>
      </c>
      <c r="N632" s="69">
        <f t="shared" ca="1" si="406"/>
        <v>573.19717545295839</v>
      </c>
      <c r="O632" s="69">
        <f t="shared" ca="1" si="407"/>
        <v>631.89360424481049</v>
      </c>
      <c r="P632" s="69">
        <f t="shared" ca="1" si="408"/>
        <v>722.96477037539046</v>
      </c>
      <c r="Q632" s="69">
        <f t="shared" ca="1" si="409"/>
        <v>960.9933863647949</v>
      </c>
      <c r="R632" s="69">
        <f t="shared" ca="1" si="410"/>
        <v>781.62957121692671</v>
      </c>
      <c r="S632" s="69">
        <f t="shared" ca="1" si="411"/>
        <v>700.67119065821737</v>
      </c>
      <c r="T632" s="69">
        <f t="shared" ca="1" si="412"/>
        <v>794.92854814608359</v>
      </c>
      <c r="U632" s="69">
        <f t="shared" ca="1" si="413"/>
        <v>1694.1143848912852</v>
      </c>
      <c r="V632" s="69">
        <f t="shared" ca="1" si="414"/>
        <v>1916.2564496552093</v>
      </c>
      <c r="W632" s="69">
        <f t="shared" ca="1" si="415"/>
        <v>1182.6287866461507</v>
      </c>
      <c r="X632" s="69">
        <f t="shared" ca="1" si="416"/>
        <v>1490.2279016516839</v>
      </c>
      <c r="Y632" s="69">
        <f t="shared" ca="1" si="417"/>
        <v>1205.5548265446153</v>
      </c>
      <c r="AA632" s="20">
        <f t="shared" ca="1" si="377"/>
        <v>6.5589486214525176E+16</v>
      </c>
      <c r="AB632" s="20">
        <f t="shared" ca="1" si="378"/>
        <v>1682051445159941.3</v>
      </c>
      <c r="AC632" s="20">
        <f t="shared" ca="1" si="379"/>
        <v>404551095314575.94</v>
      </c>
      <c r="AD632" s="20">
        <f t="shared" ca="1" si="380"/>
        <v>302468999940529.13</v>
      </c>
      <c r="AE632" s="20">
        <f t="shared" ca="1" si="381"/>
        <v>6897384906680586</v>
      </c>
      <c r="AG632" s="16">
        <f t="shared" ca="1" si="382"/>
        <v>1.2206521141180159E-4</v>
      </c>
      <c r="AH632" s="16">
        <f t="shared" ca="1" si="383"/>
        <v>5.2060250158671053E-5</v>
      </c>
      <c r="AI632" s="16">
        <f t="shared" ca="1" si="384"/>
        <v>-7.1402991053226306E-5</v>
      </c>
      <c r="AJ632" s="16">
        <f t="shared" ca="1" si="385"/>
        <v>-6.9746489906816515E-4</v>
      </c>
      <c r="AK632" s="16">
        <f t="shared" ca="1" si="386"/>
        <v>7.8596005476068988E-6</v>
      </c>
      <c r="AM632" s="16">
        <f t="shared" ca="1" si="387"/>
        <v>-5.9474242855091881E-4</v>
      </c>
      <c r="AO632" s="16">
        <f t="shared" ca="1" si="388"/>
        <v>0</v>
      </c>
      <c r="AP632" s="16">
        <f t="shared" ca="1" si="389"/>
        <v>0</v>
      </c>
      <c r="AQ632" s="16">
        <f t="shared" ca="1" si="390"/>
        <v>-7.1402991053226306E-5</v>
      </c>
      <c r="AR632" s="16">
        <f t="shared" ca="1" si="391"/>
        <v>-6.9746489906816515E-4</v>
      </c>
      <c r="AS632" s="16">
        <f t="shared" ca="1" si="392"/>
        <v>0</v>
      </c>
    </row>
    <row r="633" spans="1:45" x14ac:dyDescent="0.25">
      <c r="A633" s="69">
        <f t="shared" ca="1" si="393"/>
        <v>2453.132294992316</v>
      </c>
      <c r="B633" s="69">
        <f t="shared" ca="1" si="394"/>
        <v>2137.7833251230536</v>
      </c>
      <c r="C633" s="69">
        <f t="shared" ca="1" si="395"/>
        <v>2230.5150412688295</v>
      </c>
      <c r="D633" s="69">
        <f t="shared" ca="1" si="396"/>
        <v>2903.0598008402553</v>
      </c>
      <c r="E633" s="69">
        <f t="shared" ca="1" si="397"/>
        <v>1931.707863778721</v>
      </c>
      <c r="F633" s="69">
        <f t="shared" ca="1" si="398"/>
        <v>1220.7942490286616</v>
      </c>
      <c r="G633" s="69">
        <f t="shared" ca="1" si="399"/>
        <v>965.20703135586973</v>
      </c>
      <c r="H633" s="69">
        <f t="shared" ca="1" si="400"/>
        <v>1187.9249458684646</v>
      </c>
      <c r="I633" s="69">
        <f t="shared" ca="1" si="401"/>
        <v>1049.7383533129394</v>
      </c>
      <c r="J633" s="69">
        <f t="shared" ca="1" si="402"/>
        <v>1144.7980075820835</v>
      </c>
      <c r="K633" s="69">
        <f t="shared" ca="1" si="403"/>
        <v>1173.8538563146005</v>
      </c>
      <c r="L633" s="69">
        <f t="shared" ca="1" si="404"/>
        <v>957.03450825362745</v>
      </c>
      <c r="M633" s="69">
        <f t="shared" ca="1" si="405"/>
        <v>993.84204091357321</v>
      </c>
      <c r="N633" s="69">
        <f t="shared" ca="1" si="406"/>
        <v>573.12696820108977</v>
      </c>
      <c r="O633" s="69">
        <f t="shared" ca="1" si="407"/>
        <v>632.16803778190422</v>
      </c>
      <c r="P633" s="69">
        <f t="shared" ca="1" si="408"/>
        <v>722.55587223522866</v>
      </c>
      <c r="Q633" s="69">
        <f t="shared" ca="1" si="409"/>
        <v>960.9933863647949</v>
      </c>
      <c r="R633" s="69">
        <f t="shared" ca="1" si="410"/>
        <v>781.52662195137395</v>
      </c>
      <c r="S633" s="69">
        <f t="shared" ca="1" si="411"/>
        <v>700.67119065821737</v>
      </c>
      <c r="T633" s="69">
        <f t="shared" ca="1" si="412"/>
        <v>794.92854814608359</v>
      </c>
      <c r="U633" s="69">
        <f t="shared" ca="1" si="413"/>
        <v>1694.4707015271242</v>
      </c>
      <c r="V633" s="69">
        <f t="shared" ca="1" si="414"/>
        <v>1916.1786764131107</v>
      </c>
      <c r="W633" s="69">
        <f t="shared" ca="1" si="415"/>
        <v>1182.6287866461507</v>
      </c>
      <c r="X633" s="69">
        <f t="shared" ca="1" si="416"/>
        <v>1490.2279016516839</v>
      </c>
      <c r="Y633" s="69">
        <f t="shared" ca="1" si="417"/>
        <v>1205.3597140916095</v>
      </c>
      <c r="AA633" s="20">
        <f t="shared" ca="1" si="377"/>
        <v>6.5597492897685136E+16</v>
      </c>
      <c r="AB633" s="20">
        <f t="shared" ca="1" si="378"/>
        <v>1682139015458402</v>
      </c>
      <c r="AC633" s="20">
        <f t="shared" ca="1" si="379"/>
        <v>404522210187591.13</v>
      </c>
      <c r="AD633" s="20">
        <f t="shared" ca="1" si="380"/>
        <v>302258111982037.69</v>
      </c>
      <c r="AE633" s="20">
        <f t="shared" ca="1" si="381"/>
        <v>6897439117583814</v>
      </c>
      <c r="AG633" s="16">
        <f t="shared" ca="1" si="382"/>
        <v>-8.6741657782179394E-5</v>
      </c>
      <c r="AH633" s="16">
        <f t="shared" ca="1" si="383"/>
        <v>1.4089186039017003E-4</v>
      </c>
      <c r="AI633" s="16">
        <f t="shared" ca="1" si="384"/>
        <v>-1.8395120159946509E-3</v>
      </c>
      <c r="AJ633" s="16">
        <f t="shared" ca="1" si="385"/>
        <v>-2.9178673448475718E-4</v>
      </c>
      <c r="AK633" s="16">
        <f t="shared" ca="1" si="386"/>
        <v>1.6646686871001521E-4</v>
      </c>
      <c r="AM633" s="16">
        <f t="shared" ca="1" si="387"/>
        <v>-2.0771485478714175E-3</v>
      </c>
      <c r="AO633" s="16">
        <f t="shared" ca="1" si="388"/>
        <v>-8.6741657782179394E-5</v>
      </c>
      <c r="AP633" s="16">
        <f t="shared" ca="1" si="389"/>
        <v>0</v>
      </c>
      <c r="AQ633" s="16">
        <f t="shared" ca="1" si="390"/>
        <v>-1.8395120159946509E-3</v>
      </c>
      <c r="AR633" s="16">
        <f t="shared" ca="1" si="391"/>
        <v>-2.9178673448475718E-4</v>
      </c>
      <c r="AS633" s="16">
        <f t="shared" ca="1" si="392"/>
        <v>0</v>
      </c>
    </row>
    <row r="634" spans="1:45" x14ac:dyDescent="0.25">
      <c r="A634" s="69">
        <f t="shared" ca="1" si="393"/>
        <v>2453.0146440241642</v>
      </c>
      <c r="B634" s="69">
        <f t="shared" ca="1" si="394"/>
        <v>2137.5264871339518</v>
      </c>
      <c r="C634" s="69">
        <f t="shared" ca="1" si="395"/>
        <v>2230.5150412688295</v>
      </c>
      <c r="D634" s="69">
        <f t="shared" ca="1" si="396"/>
        <v>2903.0598008402553</v>
      </c>
      <c r="E634" s="69">
        <f t="shared" ca="1" si="397"/>
        <v>1931.8650501448412</v>
      </c>
      <c r="F634" s="69">
        <f t="shared" ca="1" si="398"/>
        <v>1220.3399440938945</v>
      </c>
      <c r="G634" s="69">
        <f t="shared" ca="1" si="399"/>
        <v>965.43442843816069</v>
      </c>
      <c r="H634" s="69">
        <f t="shared" ca="1" si="400"/>
        <v>1187.9249458684646</v>
      </c>
      <c r="I634" s="69">
        <f t="shared" ca="1" si="401"/>
        <v>1049.7383533129394</v>
      </c>
      <c r="J634" s="69">
        <f t="shared" ca="1" si="402"/>
        <v>1145.1157715777908</v>
      </c>
      <c r="K634" s="69">
        <f t="shared" ca="1" si="403"/>
        <v>1173.3683803148986</v>
      </c>
      <c r="L634" s="69">
        <f t="shared" ca="1" si="404"/>
        <v>956.57004359568737</v>
      </c>
      <c r="M634" s="69">
        <f t="shared" ca="1" si="405"/>
        <v>993.84204091357321</v>
      </c>
      <c r="N634" s="69">
        <f t="shared" ca="1" si="406"/>
        <v>572.99446483108659</v>
      </c>
      <c r="O634" s="69">
        <f t="shared" ca="1" si="407"/>
        <v>631.71986492616929</v>
      </c>
      <c r="P634" s="69">
        <f t="shared" ca="1" si="408"/>
        <v>722.55587223522866</v>
      </c>
      <c r="Q634" s="69">
        <f t="shared" ca="1" si="409"/>
        <v>961.2362562523117</v>
      </c>
      <c r="R634" s="69">
        <f t="shared" ca="1" si="410"/>
        <v>781.10121000984896</v>
      </c>
      <c r="S634" s="69">
        <f t="shared" ca="1" si="411"/>
        <v>700.67119065821737</v>
      </c>
      <c r="T634" s="69">
        <f t="shared" ca="1" si="412"/>
        <v>794.92854814608359</v>
      </c>
      <c r="U634" s="69">
        <f t="shared" ca="1" si="413"/>
        <v>1694.4707015271242</v>
      </c>
      <c r="V634" s="69">
        <f t="shared" ca="1" si="414"/>
        <v>1916.2627395199713</v>
      </c>
      <c r="W634" s="69">
        <f t="shared" ca="1" si="415"/>
        <v>1182.6287866461507</v>
      </c>
      <c r="X634" s="69">
        <f t="shared" ca="1" si="416"/>
        <v>1489.8163165884559</v>
      </c>
      <c r="Y634" s="69">
        <f t="shared" ca="1" si="417"/>
        <v>1205.8405377221322</v>
      </c>
      <c r="AA634" s="20">
        <f t="shared" ca="1" si="377"/>
        <v>6.5591803109179248E+16</v>
      </c>
      <c r="AB634" s="20">
        <f t="shared" ca="1" si="378"/>
        <v>1682376031850173</v>
      </c>
      <c r="AC634" s="20">
        <f t="shared" ca="1" si="379"/>
        <v>403778770713774.75</v>
      </c>
      <c r="AD634" s="20">
        <f t="shared" ca="1" si="380"/>
        <v>302169929940371.56</v>
      </c>
      <c r="AE634" s="20">
        <f t="shared" ca="1" si="381"/>
        <v>6898587408249360</v>
      </c>
      <c r="AG634" s="16">
        <f t="shared" ca="1" si="382"/>
        <v>9.3681681412107905E-5</v>
      </c>
      <c r="AH634" s="16">
        <f t="shared" ca="1" si="383"/>
        <v>-5.7647413373390014E-4</v>
      </c>
      <c r="AI634" s="16">
        <f t="shared" ca="1" si="384"/>
        <v>1.6903553015912777E-3</v>
      </c>
      <c r="AJ634" s="16">
        <f t="shared" ca="1" si="385"/>
        <v>5.1055911770781642E-4</v>
      </c>
      <c r="AK634" s="16">
        <f t="shared" ca="1" si="386"/>
        <v>-3.5837739246483304E-4</v>
      </c>
      <c r="AM634" s="16">
        <f t="shared" ca="1" si="387"/>
        <v>1.718121966977302E-3</v>
      </c>
      <c r="AO634" s="16">
        <f t="shared" ca="1" si="388"/>
        <v>0</v>
      </c>
      <c r="AP634" s="16">
        <f t="shared" ca="1" si="389"/>
        <v>-5.7647413373390014E-4</v>
      </c>
      <c r="AQ634" s="16">
        <f t="shared" ca="1" si="390"/>
        <v>0</v>
      </c>
      <c r="AR634" s="16">
        <f t="shared" ca="1" si="391"/>
        <v>0</v>
      </c>
      <c r="AS634" s="16">
        <f t="shared" ca="1" si="392"/>
        <v>-3.5837739246483304E-4</v>
      </c>
    </row>
    <row r="635" spans="1:45" x14ac:dyDescent="0.25">
      <c r="A635" s="69">
        <f t="shared" ca="1" si="393"/>
        <v>2452.5425888908271</v>
      </c>
      <c r="B635" s="69">
        <f t="shared" ca="1" si="394"/>
        <v>2137.5264871339518</v>
      </c>
      <c r="C635" s="69">
        <f t="shared" ca="1" si="395"/>
        <v>2230.7989937093384</v>
      </c>
      <c r="D635" s="69">
        <f t="shared" ca="1" si="396"/>
        <v>2903.1354110517791</v>
      </c>
      <c r="E635" s="69">
        <f t="shared" ca="1" si="397"/>
        <v>1932.1216166939851</v>
      </c>
      <c r="F635" s="69">
        <f t="shared" ca="1" si="398"/>
        <v>1220.3399440938945</v>
      </c>
      <c r="G635" s="69">
        <f t="shared" ca="1" si="399"/>
        <v>965.17249468915486</v>
      </c>
      <c r="H635" s="69">
        <f t="shared" ca="1" si="400"/>
        <v>1188.1198012828056</v>
      </c>
      <c r="I635" s="69">
        <f t="shared" ca="1" si="401"/>
        <v>1049.6195874591374</v>
      </c>
      <c r="J635" s="69">
        <f t="shared" ca="1" si="402"/>
        <v>1144.708186105162</v>
      </c>
      <c r="K635" s="69">
        <f t="shared" ca="1" si="403"/>
        <v>1173.1822738928024</v>
      </c>
      <c r="L635" s="69">
        <f t="shared" ca="1" si="404"/>
        <v>956.79884804345693</v>
      </c>
      <c r="M635" s="69">
        <f t="shared" ca="1" si="405"/>
        <v>993.84204091357321</v>
      </c>
      <c r="N635" s="69">
        <f t="shared" ca="1" si="406"/>
        <v>573.47374656773093</v>
      </c>
      <c r="O635" s="69">
        <f t="shared" ca="1" si="407"/>
        <v>632.20882287579332</v>
      </c>
      <c r="P635" s="69">
        <f t="shared" ca="1" si="408"/>
        <v>722.82314554923153</v>
      </c>
      <c r="Q635" s="69">
        <f t="shared" ca="1" si="409"/>
        <v>961.37153829676822</v>
      </c>
      <c r="R635" s="69">
        <f t="shared" ca="1" si="410"/>
        <v>781.10121000984896</v>
      </c>
      <c r="S635" s="69">
        <f t="shared" ca="1" si="411"/>
        <v>700.67119065821737</v>
      </c>
      <c r="T635" s="69">
        <f t="shared" ca="1" si="412"/>
        <v>794.92854814608359</v>
      </c>
      <c r="U635" s="69">
        <f t="shared" ca="1" si="413"/>
        <v>1694.1803525239281</v>
      </c>
      <c r="V635" s="69">
        <f t="shared" ca="1" si="414"/>
        <v>1916.1547190927588</v>
      </c>
      <c r="W635" s="69">
        <f t="shared" ca="1" si="415"/>
        <v>1182.5345604455192</v>
      </c>
      <c r="X635" s="69">
        <f t="shared" ca="1" si="416"/>
        <v>1489.7403952254792</v>
      </c>
      <c r="Y635" s="69">
        <f t="shared" ca="1" si="417"/>
        <v>1205.8405377221322</v>
      </c>
      <c r="AA635" s="20">
        <f t="shared" ca="1" si="377"/>
        <v>6.5597948147415632E+16</v>
      </c>
      <c r="AB635" s="20">
        <f t="shared" ca="1" si="378"/>
        <v>1681406465076531.3</v>
      </c>
      <c r="AC635" s="20">
        <f t="shared" ca="1" si="379"/>
        <v>404461877483442.13</v>
      </c>
      <c r="AD635" s="20">
        <f t="shared" ca="1" si="380"/>
        <v>302324244943313.5</v>
      </c>
      <c r="AE635" s="20">
        <f t="shared" ca="1" si="381"/>
        <v>6896115553437198</v>
      </c>
      <c r="AG635" s="16">
        <f t="shared" ca="1" si="382"/>
        <v>2.051654104998551E-4</v>
      </c>
      <c r="AH635" s="16">
        <f t="shared" ca="1" si="383"/>
        <v>-1.1035858160787016E-4</v>
      </c>
      <c r="AI635" s="16">
        <f t="shared" ca="1" si="384"/>
        <v>1.0097802077191438E-3</v>
      </c>
      <c r="AJ635" s="16">
        <f t="shared" ca="1" si="385"/>
        <v>3.5023305793203062E-4</v>
      </c>
      <c r="AK635" s="16">
        <f t="shared" ca="1" si="386"/>
        <v>-4.1212431206557221E-4</v>
      </c>
      <c r="AM635" s="16">
        <f t="shared" ca="1" si="387"/>
        <v>1.4548200945431594E-3</v>
      </c>
      <c r="AO635" s="16">
        <f t="shared" ca="1" si="388"/>
        <v>0</v>
      </c>
      <c r="AP635" s="16">
        <f t="shared" ca="1" si="389"/>
        <v>-1.1035858160787016E-4</v>
      </c>
      <c r="AQ635" s="16">
        <f t="shared" ca="1" si="390"/>
        <v>0</v>
      </c>
      <c r="AR635" s="16">
        <f t="shared" ca="1" si="391"/>
        <v>0</v>
      </c>
      <c r="AS635" s="16">
        <f t="shared" ca="1" si="392"/>
        <v>-4.1212431206557221E-4</v>
      </c>
    </row>
    <row r="636" spans="1:45" x14ac:dyDescent="0.25">
      <c r="A636" s="69">
        <f t="shared" ca="1" si="393"/>
        <v>2452.5425888908271</v>
      </c>
      <c r="B636" s="69">
        <f t="shared" ca="1" si="394"/>
        <v>2137.7735881205613</v>
      </c>
      <c r="C636" s="69">
        <f t="shared" ca="1" si="395"/>
        <v>2230.7989937093384</v>
      </c>
      <c r="D636" s="69">
        <f t="shared" ca="1" si="396"/>
        <v>2902.8789446911574</v>
      </c>
      <c r="E636" s="69">
        <f t="shared" ca="1" si="397"/>
        <v>1932.4654022185171</v>
      </c>
      <c r="F636" s="69">
        <f t="shared" ca="1" si="398"/>
        <v>1220.3399440938945</v>
      </c>
      <c r="G636" s="69">
        <f t="shared" ca="1" si="399"/>
        <v>965.62492640207574</v>
      </c>
      <c r="H636" s="69">
        <f t="shared" ca="1" si="400"/>
        <v>1187.8334516298082</v>
      </c>
      <c r="I636" s="69">
        <f t="shared" ca="1" si="401"/>
        <v>1049.2649113414413</v>
      </c>
      <c r="J636" s="69">
        <f t="shared" ca="1" si="402"/>
        <v>1144.708186105162</v>
      </c>
      <c r="K636" s="69">
        <f t="shared" ca="1" si="403"/>
        <v>1173.1822738928024</v>
      </c>
      <c r="L636" s="69">
        <f t="shared" ca="1" si="404"/>
        <v>956.79884804345693</v>
      </c>
      <c r="M636" s="69">
        <f t="shared" ca="1" si="405"/>
        <v>994.29013825999073</v>
      </c>
      <c r="N636" s="69">
        <f t="shared" ca="1" si="406"/>
        <v>573.59080486175014</v>
      </c>
      <c r="O636" s="69">
        <f t="shared" ca="1" si="407"/>
        <v>632.4332382797337</v>
      </c>
      <c r="P636" s="69">
        <f t="shared" ca="1" si="408"/>
        <v>723.28952711365912</v>
      </c>
      <c r="Q636" s="69">
        <f t="shared" ca="1" si="409"/>
        <v>961.37153829676822</v>
      </c>
      <c r="R636" s="69">
        <f t="shared" ca="1" si="410"/>
        <v>781.12573191168394</v>
      </c>
      <c r="S636" s="69">
        <f t="shared" ca="1" si="411"/>
        <v>700.67119065821737</v>
      </c>
      <c r="T636" s="69">
        <f t="shared" ca="1" si="412"/>
        <v>794.66930490273035</v>
      </c>
      <c r="U636" s="69">
        <f t="shared" ca="1" si="413"/>
        <v>1694.3179948382651</v>
      </c>
      <c r="V636" s="69">
        <f t="shared" ca="1" si="414"/>
        <v>1915.8354663281573</v>
      </c>
      <c r="W636" s="69">
        <f t="shared" ca="1" si="415"/>
        <v>1182.5345604455192</v>
      </c>
      <c r="X636" s="69">
        <f t="shared" ca="1" si="416"/>
        <v>1489.4158479171886</v>
      </c>
      <c r="Y636" s="69">
        <f t="shared" ca="1" si="417"/>
        <v>1205.709275276012</v>
      </c>
      <c r="AA636" s="20">
        <f t="shared" ca="1" si="377"/>
        <v>6.5611407958071824E+16</v>
      </c>
      <c r="AB636" s="20">
        <f t="shared" ca="1" si="378"/>
        <v>1681220917682501</v>
      </c>
      <c r="AC636" s="20">
        <f t="shared" ca="1" si="379"/>
        <v>404870501357530.75</v>
      </c>
      <c r="AD636" s="20">
        <f t="shared" ca="1" si="380"/>
        <v>302430147432300.75</v>
      </c>
      <c r="AE636" s="20">
        <f t="shared" ca="1" si="381"/>
        <v>6893274082118737</v>
      </c>
      <c r="AG636" s="16">
        <f t="shared" ca="1" si="382"/>
        <v>-1.2475798977415074E-4</v>
      </c>
      <c r="AH636" s="16">
        <f t="shared" ca="1" si="383"/>
        <v>6.357651856753818E-4</v>
      </c>
      <c r="AI636" s="16">
        <f t="shared" ca="1" si="384"/>
        <v>-3.9558521790302592E-4</v>
      </c>
      <c r="AJ636" s="16">
        <f t="shared" ca="1" si="385"/>
        <v>-7.3429160890232416E-4</v>
      </c>
      <c r="AK636" s="16">
        <f t="shared" ca="1" si="386"/>
        <v>-5.265526245202361E-4</v>
      </c>
      <c r="AM636" s="16">
        <f t="shared" ca="1" si="387"/>
        <v>-6.1886963090411907E-4</v>
      </c>
      <c r="AO636" s="16">
        <f t="shared" ca="1" si="388"/>
        <v>-1.2475798977415074E-4</v>
      </c>
      <c r="AP636" s="16">
        <f t="shared" ca="1" si="389"/>
        <v>0</v>
      </c>
      <c r="AQ636" s="16">
        <f t="shared" ca="1" si="390"/>
        <v>-3.9558521790302592E-4</v>
      </c>
      <c r="AR636" s="16">
        <f t="shared" ca="1" si="391"/>
        <v>-7.3429160890232416E-4</v>
      </c>
      <c r="AS636" s="16">
        <f t="shared" ca="1" si="392"/>
        <v>-5.265526245202361E-4</v>
      </c>
    </row>
    <row r="637" spans="1:45" x14ac:dyDescent="0.25">
      <c r="A637" s="69">
        <f t="shared" ca="1" si="393"/>
        <v>2452.4475676209545</v>
      </c>
      <c r="B637" s="69">
        <f t="shared" ca="1" si="394"/>
        <v>2137.7159592321314</v>
      </c>
      <c r="C637" s="69">
        <f t="shared" ca="1" si="395"/>
        <v>2230.7989937093384</v>
      </c>
      <c r="D637" s="69">
        <f t="shared" ca="1" si="396"/>
        <v>2902.8789446911574</v>
      </c>
      <c r="E637" s="69">
        <f t="shared" ca="1" si="397"/>
        <v>1932.3512829565905</v>
      </c>
      <c r="F637" s="69">
        <f t="shared" ca="1" si="398"/>
        <v>1220.4094972244482</v>
      </c>
      <c r="G637" s="69">
        <f t="shared" ca="1" si="399"/>
        <v>965.62492640207574</v>
      </c>
      <c r="H637" s="69">
        <f t="shared" ca="1" si="400"/>
        <v>1188.0885081602019</v>
      </c>
      <c r="I637" s="69">
        <f t="shared" ca="1" si="401"/>
        <v>1049.3963777678409</v>
      </c>
      <c r="J637" s="69">
        <f t="shared" ca="1" si="402"/>
        <v>1144.9815577015622</v>
      </c>
      <c r="K637" s="69">
        <f t="shared" ca="1" si="403"/>
        <v>1173.5216353846058</v>
      </c>
      <c r="L637" s="69">
        <f t="shared" ca="1" si="404"/>
        <v>956.3414073667559</v>
      </c>
      <c r="M637" s="69">
        <f t="shared" ca="1" si="405"/>
        <v>994.20390030130955</v>
      </c>
      <c r="N637" s="69">
        <f t="shared" ca="1" si="406"/>
        <v>573.40737774938043</v>
      </c>
      <c r="O637" s="69">
        <f t="shared" ca="1" si="407"/>
        <v>632.55972212741653</v>
      </c>
      <c r="P637" s="69">
        <f t="shared" ca="1" si="408"/>
        <v>723.47449204564532</v>
      </c>
      <c r="Q637" s="69">
        <f t="shared" ca="1" si="409"/>
        <v>961.00826658822427</v>
      </c>
      <c r="R637" s="69">
        <f t="shared" ca="1" si="410"/>
        <v>781.06807590873098</v>
      </c>
      <c r="S637" s="69">
        <f t="shared" ca="1" si="411"/>
        <v>700.71515037356107</v>
      </c>
      <c r="T637" s="69">
        <f t="shared" ca="1" si="412"/>
        <v>794.19187594504911</v>
      </c>
      <c r="U637" s="69">
        <f t="shared" ca="1" si="413"/>
        <v>1694.1358312032892</v>
      </c>
      <c r="V637" s="69">
        <f t="shared" ca="1" si="414"/>
        <v>1915.461258231712</v>
      </c>
      <c r="W637" s="69">
        <f t="shared" ca="1" si="415"/>
        <v>1182.5897428790915</v>
      </c>
      <c r="X637" s="69">
        <f t="shared" ca="1" si="416"/>
        <v>1489.2759352612964</v>
      </c>
      <c r="Y637" s="69">
        <f t="shared" ca="1" si="417"/>
        <v>1205.4965939903523</v>
      </c>
      <c r="AA637" s="20">
        <f t="shared" ca="1" si="377"/>
        <v>6.5603222921293704E+16</v>
      </c>
      <c r="AB637" s="20">
        <f t="shared" ca="1" si="378"/>
        <v>1682290119255947.3</v>
      </c>
      <c r="AC637" s="20">
        <f t="shared" ca="1" si="379"/>
        <v>404710372246471.56</v>
      </c>
      <c r="AD637" s="20">
        <f t="shared" ca="1" si="380"/>
        <v>302208157025583.06</v>
      </c>
      <c r="AE637" s="20">
        <f t="shared" ca="1" si="381"/>
        <v>6889645365998099</v>
      </c>
      <c r="AG637" s="16">
        <f t="shared" ca="1" si="382"/>
        <v>5.4908173819565422E-4</v>
      </c>
      <c r="AH637" s="16">
        <f t="shared" ca="1" si="383"/>
        <v>1.0185383430076948E-3</v>
      </c>
      <c r="AI637" s="16">
        <f t="shared" ca="1" si="384"/>
        <v>-5.4268062031411681E-5</v>
      </c>
      <c r="AJ637" s="16">
        <f t="shared" ca="1" si="385"/>
        <v>-3.7608814091270865E-4</v>
      </c>
      <c r="AK637" s="16">
        <f t="shared" ca="1" si="386"/>
        <v>-2.5304061007758985E-4</v>
      </c>
      <c r="AM637" s="16">
        <f t="shared" ca="1" si="387"/>
        <v>1.1372638782592287E-3</v>
      </c>
      <c r="AO637" s="16">
        <f t="shared" ca="1" si="388"/>
        <v>0</v>
      </c>
      <c r="AP637" s="16">
        <f t="shared" ca="1" si="389"/>
        <v>0</v>
      </c>
      <c r="AQ637" s="16">
        <f t="shared" ca="1" si="390"/>
        <v>-5.4268062031411681E-5</v>
      </c>
      <c r="AR637" s="16">
        <f t="shared" ca="1" si="391"/>
        <v>-3.7608814091270865E-4</v>
      </c>
      <c r="AS637" s="16">
        <f t="shared" ca="1" si="392"/>
        <v>-2.5304061007758985E-4</v>
      </c>
    </row>
    <row r="638" spans="1:45" x14ac:dyDescent="0.25">
      <c r="A638" s="69">
        <f t="shared" ca="1" si="393"/>
        <v>2452.7809879452229</v>
      </c>
      <c r="B638" s="69">
        <f t="shared" ca="1" si="394"/>
        <v>2138.0753555239826</v>
      </c>
      <c r="C638" s="69">
        <f t="shared" ca="1" si="395"/>
        <v>2230.7989937093384</v>
      </c>
      <c r="D638" s="69">
        <f t="shared" ca="1" si="396"/>
        <v>2903.1946337759091</v>
      </c>
      <c r="E638" s="69">
        <f t="shared" ca="1" si="397"/>
        <v>1932.6146512799819</v>
      </c>
      <c r="F638" s="69">
        <f t="shared" ca="1" si="398"/>
        <v>1220.7773336164921</v>
      </c>
      <c r="G638" s="69">
        <f t="shared" ca="1" si="399"/>
        <v>965.73386865289694</v>
      </c>
      <c r="H638" s="69">
        <f t="shared" ca="1" si="400"/>
        <v>1188.4818493736127</v>
      </c>
      <c r="I638" s="69">
        <f t="shared" ca="1" si="401"/>
        <v>1049.3963777678409</v>
      </c>
      <c r="J638" s="69">
        <f t="shared" ca="1" si="402"/>
        <v>1145.2945808987606</v>
      </c>
      <c r="K638" s="69">
        <f t="shared" ca="1" si="403"/>
        <v>1173.332551960862</v>
      </c>
      <c r="L638" s="69">
        <f t="shared" ca="1" si="404"/>
        <v>956.44361675432799</v>
      </c>
      <c r="M638" s="69">
        <f t="shared" ca="1" si="405"/>
        <v>994.20390030130955</v>
      </c>
      <c r="N638" s="69">
        <f t="shared" ca="1" si="406"/>
        <v>573.40737774938043</v>
      </c>
      <c r="O638" s="69">
        <f t="shared" ca="1" si="407"/>
        <v>632.55972212741653</v>
      </c>
      <c r="P638" s="69">
        <f t="shared" ca="1" si="408"/>
        <v>723.27243834080502</v>
      </c>
      <c r="Q638" s="69">
        <f t="shared" ca="1" si="409"/>
        <v>960.88202791658341</v>
      </c>
      <c r="R638" s="69">
        <f t="shared" ca="1" si="410"/>
        <v>781.11392935353933</v>
      </c>
      <c r="S638" s="69">
        <f t="shared" ca="1" si="411"/>
        <v>700.57788021680619</v>
      </c>
      <c r="T638" s="69">
        <f t="shared" ca="1" si="412"/>
        <v>794.32834371574302</v>
      </c>
      <c r="U638" s="69">
        <f t="shared" ca="1" si="413"/>
        <v>1694.1358312032892</v>
      </c>
      <c r="V638" s="69">
        <f t="shared" ca="1" si="414"/>
        <v>1915.110790454831</v>
      </c>
      <c r="W638" s="69">
        <f t="shared" ca="1" si="415"/>
        <v>1182.5897428790915</v>
      </c>
      <c r="X638" s="69">
        <f t="shared" ca="1" si="416"/>
        <v>1488.9633822621865</v>
      </c>
      <c r="Y638" s="69">
        <f t="shared" ca="1" si="417"/>
        <v>1205.6651764880153</v>
      </c>
      <c r="AA638" s="20">
        <f t="shared" ca="1" si="377"/>
        <v>6.5639254344159448E+16</v>
      </c>
      <c r="AB638" s="20">
        <f t="shared" ca="1" si="378"/>
        <v>1684004469163821.3</v>
      </c>
      <c r="AC638" s="20">
        <f t="shared" ca="1" si="379"/>
        <v>404688409994815.56</v>
      </c>
      <c r="AD638" s="20">
        <f t="shared" ca="1" si="380"/>
        <v>302094521491466.44</v>
      </c>
      <c r="AE638" s="20">
        <f t="shared" ca="1" si="381"/>
        <v>6887902226483313</v>
      </c>
      <c r="AG638" s="16">
        <f t="shared" ca="1" si="382"/>
        <v>-3.0789155701805497E-4</v>
      </c>
      <c r="AH638" s="16">
        <f t="shared" ca="1" si="383"/>
        <v>-2.1391640652856225E-4</v>
      </c>
      <c r="AI638" s="16">
        <f t="shared" ca="1" si="384"/>
        <v>-4.3823931038240526E-4</v>
      </c>
      <c r="AJ638" s="16">
        <f t="shared" ca="1" si="385"/>
        <v>-8.8387618867791804E-5</v>
      </c>
      <c r="AK638" s="16">
        <f t="shared" ca="1" si="386"/>
        <v>-1.637245798946432E-4</v>
      </c>
      <c r="AM638" s="16">
        <f t="shared" ca="1" si="387"/>
        <v>-1.0484348927968143E-3</v>
      </c>
      <c r="AO638" s="16">
        <f t="shared" ca="1" si="388"/>
        <v>-3.0789155701805497E-4</v>
      </c>
      <c r="AP638" s="16">
        <f t="shared" ca="1" si="389"/>
        <v>-2.1391640652856225E-4</v>
      </c>
      <c r="AQ638" s="16">
        <f t="shared" ca="1" si="390"/>
        <v>-4.3823931038240526E-4</v>
      </c>
      <c r="AR638" s="16">
        <f t="shared" ca="1" si="391"/>
        <v>-8.8387618867791804E-5</v>
      </c>
      <c r="AS638" s="16">
        <f t="shared" ca="1" si="392"/>
        <v>-1.637245798946432E-4</v>
      </c>
    </row>
    <row r="639" spans="1:45" x14ac:dyDescent="0.25">
      <c r="A639" s="69">
        <f t="shared" ca="1" si="393"/>
        <v>2452.7809879452229</v>
      </c>
      <c r="B639" s="69">
        <f t="shared" ca="1" si="394"/>
        <v>2137.7343512861044</v>
      </c>
      <c r="C639" s="69">
        <f t="shared" ca="1" si="395"/>
        <v>2230.7523434536374</v>
      </c>
      <c r="D639" s="69">
        <f t="shared" ca="1" si="396"/>
        <v>2903.460155726631</v>
      </c>
      <c r="E639" s="69">
        <f t="shared" ca="1" si="397"/>
        <v>1932.1915905395306</v>
      </c>
      <c r="F639" s="69">
        <f t="shared" ca="1" si="398"/>
        <v>1220.7773336164921</v>
      </c>
      <c r="G639" s="69">
        <f t="shared" ca="1" si="399"/>
        <v>966.10811320919925</v>
      </c>
      <c r="H639" s="69">
        <f t="shared" ca="1" si="400"/>
        <v>1188.2112348551136</v>
      </c>
      <c r="I639" s="69">
        <f t="shared" ca="1" si="401"/>
        <v>1049.2561400267166</v>
      </c>
      <c r="J639" s="69">
        <f t="shared" ca="1" si="402"/>
        <v>1145.0197480531981</v>
      </c>
      <c r="K639" s="69">
        <f t="shared" ca="1" si="403"/>
        <v>1173.1376586871384</v>
      </c>
      <c r="L639" s="69">
        <f t="shared" ca="1" si="404"/>
        <v>956.82011518652257</v>
      </c>
      <c r="M639" s="69">
        <f t="shared" ca="1" si="405"/>
        <v>994.41524896709461</v>
      </c>
      <c r="N639" s="69">
        <f t="shared" ca="1" si="406"/>
        <v>573.31029127652346</v>
      </c>
      <c r="O639" s="69">
        <f t="shared" ca="1" si="407"/>
        <v>632.11144759728677</v>
      </c>
      <c r="P639" s="69">
        <f t="shared" ca="1" si="408"/>
        <v>723.27243834080502</v>
      </c>
      <c r="Q639" s="69">
        <f t="shared" ca="1" si="409"/>
        <v>960.58198324063835</v>
      </c>
      <c r="R639" s="69">
        <f t="shared" ca="1" si="410"/>
        <v>781.55139155819154</v>
      </c>
      <c r="S639" s="69">
        <f t="shared" ca="1" si="411"/>
        <v>700.34254547160162</v>
      </c>
      <c r="T639" s="69">
        <f t="shared" ca="1" si="412"/>
        <v>794.32834371574302</v>
      </c>
      <c r="U639" s="69">
        <f t="shared" ca="1" si="413"/>
        <v>1694.0670021060582</v>
      </c>
      <c r="V639" s="69">
        <f t="shared" ca="1" si="414"/>
        <v>1915.6056435983512</v>
      </c>
      <c r="W639" s="69">
        <f t="shared" ca="1" si="415"/>
        <v>1182.5897428790915</v>
      </c>
      <c r="X639" s="69">
        <f t="shared" ca="1" si="416"/>
        <v>1488.9633822621865</v>
      </c>
      <c r="Y639" s="69">
        <f t="shared" ca="1" si="417"/>
        <v>1205.2053553408743</v>
      </c>
      <c r="AA639" s="20">
        <f t="shared" ca="1" si="377"/>
        <v>6.561904768282776E+16</v>
      </c>
      <c r="AB639" s="20">
        <f t="shared" ca="1" si="378"/>
        <v>1683644271506667.5</v>
      </c>
      <c r="AC639" s="20">
        <f t="shared" ca="1" si="379"/>
        <v>404511098480375.38</v>
      </c>
      <c r="AD639" s="20">
        <f t="shared" ca="1" si="380"/>
        <v>302067821256041.31</v>
      </c>
      <c r="AE639" s="20">
        <f t="shared" ca="1" si="381"/>
        <v>6886774599897540</v>
      </c>
      <c r="AG639" s="16">
        <f t="shared" ca="1" si="382"/>
        <v>4.8688738228139651E-4</v>
      </c>
      <c r="AH639" s="16">
        <f t="shared" ca="1" si="383"/>
        <v>5.0277191397682559E-4</v>
      </c>
      <c r="AI639" s="16">
        <f t="shared" ca="1" si="384"/>
        <v>-6.4808330554557998E-4</v>
      </c>
      <c r="AJ639" s="16">
        <f t="shared" ca="1" si="385"/>
        <v>-1.4482536343269676E-4</v>
      </c>
      <c r="AK639" s="16">
        <f t="shared" ca="1" si="386"/>
        <v>1.1566333878926089E-4</v>
      </c>
      <c r="AM639" s="16">
        <f t="shared" ca="1" si="387"/>
        <v>1.9675062727994537E-4</v>
      </c>
      <c r="AO639" s="16">
        <f t="shared" ca="1" si="388"/>
        <v>0</v>
      </c>
      <c r="AP639" s="16">
        <f t="shared" ca="1" si="389"/>
        <v>0</v>
      </c>
      <c r="AQ639" s="16">
        <f t="shared" ca="1" si="390"/>
        <v>-6.4808330554557998E-4</v>
      </c>
      <c r="AR639" s="16">
        <f t="shared" ca="1" si="391"/>
        <v>-1.4482536343269676E-4</v>
      </c>
      <c r="AS639" s="16">
        <f t="shared" ca="1" si="392"/>
        <v>0</v>
      </c>
    </row>
    <row r="640" spans="1:45" x14ac:dyDescent="0.25">
      <c r="A640" s="69">
        <f t="shared" ca="1" si="393"/>
        <v>2452.6402162412828</v>
      </c>
      <c r="B640" s="69">
        <f t="shared" ca="1" si="394"/>
        <v>2137.8144197300758</v>
      </c>
      <c r="C640" s="69">
        <f t="shared" ca="1" si="395"/>
        <v>2231.1799572905152</v>
      </c>
      <c r="D640" s="69">
        <f t="shared" ca="1" si="396"/>
        <v>2903.6660605686429</v>
      </c>
      <c r="E640" s="69">
        <f t="shared" ca="1" si="397"/>
        <v>1932.6635686316902</v>
      </c>
      <c r="F640" s="69">
        <f t="shared" ca="1" si="398"/>
        <v>1221.0395178042641</v>
      </c>
      <c r="G640" s="69">
        <f t="shared" ca="1" si="399"/>
        <v>966.10811320919925</v>
      </c>
      <c r="H640" s="69">
        <f t="shared" ca="1" si="400"/>
        <v>1188.2112348551136</v>
      </c>
      <c r="I640" s="69">
        <f t="shared" ca="1" si="401"/>
        <v>1049.3098277677216</v>
      </c>
      <c r="J640" s="69">
        <f t="shared" ca="1" si="402"/>
        <v>1145.2909902638305</v>
      </c>
      <c r="K640" s="69">
        <f t="shared" ca="1" si="403"/>
        <v>1173.1376586871384</v>
      </c>
      <c r="L640" s="69">
        <f t="shared" ca="1" si="404"/>
        <v>956.35417159223664</v>
      </c>
      <c r="M640" s="69">
        <f t="shared" ca="1" si="405"/>
        <v>994.06696367980169</v>
      </c>
      <c r="N640" s="69">
        <f t="shared" ca="1" si="406"/>
        <v>573.31029127652346</v>
      </c>
      <c r="O640" s="69">
        <f t="shared" ca="1" si="407"/>
        <v>632.23112324341014</v>
      </c>
      <c r="P640" s="69">
        <f t="shared" ca="1" si="408"/>
        <v>722.8429088861127</v>
      </c>
      <c r="Q640" s="69">
        <f t="shared" ca="1" si="409"/>
        <v>960.30045320119075</v>
      </c>
      <c r="R640" s="69">
        <f t="shared" ca="1" si="410"/>
        <v>781.88400304588322</v>
      </c>
      <c r="S640" s="69">
        <f t="shared" ca="1" si="411"/>
        <v>700.44779167884587</v>
      </c>
      <c r="T640" s="69">
        <f t="shared" ca="1" si="412"/>
        <v>794.46068302349499</v>
      </c>
      <c r="U640" s="69">
        <f t="shared" ca="1" si="413"/>
        <v>1694.2675758901055</v>
      </c>
      <c r="V640" s="69">
        <f t="shared" ca="1" si="414"/>
        <v>1915.6056435983512</v>
      </c>
      <c r="W640" s="69">
        <f t="shared" ca="1" si="415"/>
        <v>1182.5897428790915</v>
      </c>
      <c r="X640" s="69">
        <f t="shared" ca="1" si="416"/>
        <v>1488.9593212098437</v>
      </c>
      <c r="Y640" s="69">
        <f t="shared" ca="1" si="417"/>
        <v>1205.2053553408743</v>
      </c>
      <c r="AA640" s="20">
        <f t="shared" ca="1" si="377"/>
        <v>6.5651004548247816E+16</v>
      </c>
      <c r="AB640" s="20">
        <f t="shared" ca="1" si="378"/>
        <v>1684490973390636.5</v>
      </c>
      <c r="AC640" s="20">
        <f t="shared" ca="1" si="379"/>
        <v>404249026521945.69</v>
      </c>
      <c r="AD640" s="20">
        <f t="shared" ca="1" si="380"/>
        <v>302024077341737.19</v>
      </c>
      <c r="AE640" s="20">
        <f t="shared" ca="1" si="381"/>
        <v>6887571193308692</v>
      </c>
      <c r="AG640" s="16">
        <f t="shared" ca="1" si="382"/>
        <v>6.4106082341135686E-5</v>
      </c>
      <c r="AH640" s="16">
        <f t="shared" ca="1" si="383"/>
        <v>6.2061449534901397E-5</v>
      </c>
      <c r="AI640" s="16">
        <f t="shared" ca="1" si="384"/>
        <v>-1.5177435952026369E-4</v>
      </c>
      <c r="AJ640" s="16">
        <f t="shared" ca="1" si="385"/>
        <v>5.7058615366379576E-4</v>
      </c>
      <c r="AK640" s="16">
        <f t="shared" ca="1" si="386"/>
        <v>-6.1519399782083517E-4</v>
      </c>
      <c r="AM640" s="16">
        <f t="shared" ca="1" si="387"/>
        <v>5.449793260195691E-4</v>
      </c>
      <c r="AO640" s="16">
        <f t="shared" ca="1" si="388"/>
        <v>0</v>
      </c>
      <c r="AP640" s="16">
        <f t="shared" ca="1" si="389"/>
        <v>0</v>
      </c>
      <c r="AQ640" s="16">
        <f t="shared" ca="1" si="390"/>
        <v>-1.5177435952026369E-4</v>
      </c>
      <c r="AR640" s="16">
        <f t="shared" ca="1" si="391"/>
        <v>0</v>
      </c>
      <c r="AS640" s="16">
        <f t="shared" ca="1" si="392"/>
        <v>-6.1519399782083517E-4</v>
      </c>
    </row>
    <row r="641" spans="1:45" x14ac:dyDescent="0.25">
      <c r="A641" s="69">
        <f t="shared" ca="1" si="393"/>
        <v>2452.6402162412828</v>
      </c>
      <c r="B641" s="69">
        <f t="shared" ca="1" si="394"/>
        <v>2138.0085006225158</v>
      </c>
      <c r="C641" s="69">
        <f t="shared" ca="1" si="395"/>
        <v>2231.4792468018195</v>
      </c>
      <c r="D641" s="69">
        <f t="shared" ca="1" si="396"/>
        <v>2903.1991738224979</v>
      </c>
      <c r="E641" s="69">
        <f t="shared" ca="1" si="397"/>
        <v>1932.6635686316902</v>
      </c>
      <c r="F641" s="69">
        <f t="shared" ca="1" si="398"/>
        <v>1221.2949182870157</v>
      </c>
      <c r="G641" s="69">
        <f t="shared" ca="1" si="399"/>
        <v>965.71225452076362</v>
      </c>
      <c r="H641" s="69">
        <f t="shared" ca="1" si="400"/>
        <v>1188.699468931711</v>
      </c>
      <c r="I641" s="69">
        <f t="shared" ca="1" si="401"/>
        <v>1049.3098277677216</v>
      </c>
      <c r="J641" s="69">
        <f t="shared" ca="1" si="402"/>
        <v>1145.1214225722326</v>
      </c>
      <c r="K641" s="69">
        <f t="shared" ca="1" si="403"/>
        <v>1173.3726269533927</v>
      </c>
      <c r="L641" s="69">
        <f t="shared" ca="1" si="404"/>
        <v>956.52418726902204</v>
      </c>
      <c r="M641" s="69">
        <f t="shared" ca="1" si="405"/>
        <v>994.06696367980169</v>
      </c>
      <c r="N641" s="69">
        <f t="shared" ca="1" si="406"/>
        <v>573.006629778106</v>
      </c>
      <c r="O641" s="69">
        <f t="shared" ca="1" si="407"/>
        <v>632.23112324341014</v>
      </c>
      <c r="P641" s="69">
        <f t="shared" ca="1" si="408"/>
        <v>722.81335830452099</v>
      </c>
      <c r="Q641" s="69">
        <f t="shared" ca="1" si="409"/>
        <v>960.30045320119075</v>
      </c>
      <c r="R641" s="69">
        <f t="shared" ca="1" si="410"/>
        <v>782.36224632939889</v>
      </c>
      <c r="S641" s="69">
        <f t="shared" ca="1" si="411"/>
        <v>700.44779167884587</v>
      </c>
      <c r="T641" s="69">
        <f t="shared" ca="1" si="412"/>
        <v>794.46068302349499</v>
      </c>
      <c r="U641" s="69">
        <f t="shared" ca="1" si="413"/>
        <v>1694.2675758901055</v>
      </c>
      <c r="V641" s="69">
        <f t="shared" ca="1" si="414"/>
        <v>1915.8960762523184</v>
      </c>
      <c r="W641" s="69">
        <f t="shared" ca="1" si="415"/>
        <v>1182.3921724904158</v>
      </c>
      <c r="X641" s="69">
        <f t="shared" ca="1" si="416"/>
        <v>1488.6285301334628</v>
      </c>
      <c r="Y641" s="69">
        <f t="shared" ca="1" si="417"/>
        <v>1204.7504407611575</v>
      </c>
      <c r="AA641" s="20">
        <f t="shared" ca="1" si="377"/>
        <v>6.56552133118534E+16</v>
      </c>
      <c r="AB641" s="20">
        <f t="shared" ca="1" si="378"/>
        <v>1684595518586253.3</v>
      </c>
      <c r="AC641" s="20">
        <f t="shared" ca="1" si="379"/>
        <v>404187676540653.44</v>
      </c>
      <c r="AD641" s="20">
        <f t="shared" ca="1" si="380"/>
        <v>302196457272465.5</v>
      </c>
      <c r="AE641" s="20">
        <f t="shared" ca="1" si="381"/>
        <v>6883335303931459</v>
      </c>
      <c r="AG641" s="16">
        <f t="shared" ca="1" si="382"/>
        <v>4.4540153097684566E-4</v>
      </c>
      <c r="AH641" s="16">
        <f t="shared" ca="1" si="383"/>
        <v>-2.3647469395924963E-4</v>
      </c>
      <c r="AI641" s="16">
        <f t="shared" ca="1" si="384"/>
        <v>2.175579532963077E-4</v>
      </c>
      <c r="AJ641" s="16">
        <f t="shared" ca="1" si="385"/>
        <v>2.9494215226160358E-4</v>
      </c>
      <c r="AK641" s="16">
        <f t="shared" ca="1" si="386"/>
        <v>-1.935361774915889E-4</v>
      </c>
      <c r="AM641" s="16">
        <f t="shared" ca="1" si="387"/>
        <v>7.2142694257550728E-4</v>
      </c>
      <c r="AO641" s="16">
        <f t="shared" ca="1" si="388"/>
        <v>0</v>
      </c>
      <c r="AP641" s="16">
        <f t="shared" ca="1" si="389"/>
        <v>-2.3647469395924963E-4</v>
      </c>
      <c r="AQ641" s="16">
        <f t="shared" ca="1" si="390"/>
        <v>0</v>
      </c>
      <c r="AR641" s="16">
        <f t="shared" ca="1" si="391"/>
        <v>0</v>
      </c>
      <c r="AS641" s="16">
        <f t="shared" ca="1" si="392"/>
        <v>-1.935361774915889E-4</v>
      </c>
    </row>
    <row r="642" spans="1:45" x14ac:dyDescent="0.25">
      <c r="A642" s="69">
        <f t="shared" ca="1" si="393"/>
        <v>2452.9826848550533</v>
      </c>
      <c r="B642" s="69">
        <f t="shared" ca="1" si="394"/>
        <v>2138.4487332501058</v>
      </c>
      <c r="C642" s="69">
        <f t="shared" ca="1" si="395"/>
        <v>2231.6483921335644</v>
      </c>
      <c r="D642" s="69">
        <f t="shared" ca="1" si="396"/>
        <v>2903.5570011945879</v>
      </c>
      <c r="E642" s="69">
        <f t="shared" ca="1" si="397"/>
        <v>1932.4719546992751</v>
      </c>
      <c r="F642" s="69">
        <f t="shared" ca="1" si="398"/>
        <v>1221.2949182870157</v>
      </c>
      <c r="G642" s="69">
        <f t="shared" ca="1" si="399"/>
        <v>965.71225452076362</v>
      </c>
      <c r="H642" s="69">
        <f t="shared" ca="1" si="400"/>
        <v>1188.699468931711</v>
      </c>
      <c r="I642" s="69">
        <f t="shared" ca="1" si="401"/>
        <v>1049.3098277677216</v>
      </c>
      <c r="J642" s="69">
        <f t="shared" ca="1" si="402"/>
        <v>1144.8506623495159</v>
      </c>
      <c r="K642" s="69">
        <f t="shared" ca="1" si="403"/>
        <v>1173.2280027059301</v>
      </c>
      <c r="L642" s="69">
        <f t="shared" ca="1" si="404"/>
        <v>956.81377540044457</v>
      </c>
      <c r="M642" s="69">
        <f t="shared" ca="1" si="405"/>
        <v>994.06696367980169</v>
      </c>
      <c r="N642" s="69">
        <f t="shared" ca="1" si="406"/>
        <v>573.3636738742581</v>
      </c>
      <c r="O642" s="69">
        <f t="shared" ca="1" si="407"/>
        <v>631.86150493588741</v>
      </c>
      <c r="P642" s="69">
        <f t="shared" ca="1" si="408"/>
        <v>722.84441018384075</v>
      </c>
      <c r="Q642" s="69">
        <f t="shared" ca="1" si="409"/>
        <v>960.30045320119075</v>
      </c>
      <c r="R642" s="69">
        <f t="shared" ca="1" si="410"/>
        <v>782.37720898992416</v>
      </c>
      <c r="S642" s="69">
        <f t="shared" ca="1" si="411"/>
        <v>700.48902305666354</v>
      </c>
      <c r="T642" s="69">
        <f t="shared" ca="1" si="412"/>
        <v>794.59892799344311</v>
      </c>
      <c r="U642" s="69">
        <f t="shared" ca="1" si="413"/>
        <v>1693.8091364658565</v>
      </c>
      <c r="V642" s="69">
        <f t="shared" ca="1" si="414"/>
        <v>1915.888075892115</v>
      </c>
      <c r="W642" s="69">
        <f t="shared" ca="1" si="415"/>
        <v>1182.7906974624175</v>
      </c>
      <c r="X642" s="69">
        <f t="shared" ca="1" si="416"/>
        <v>1488.7793375069889</v>
      </c>
      <c r="Y642" s="69">
        <f t="shared" ca="1" si="417"/>
        <v>1204.3203792430238</v>
      </c>
      <c r="AA642" s="20">
        <f t="shared" ca="1" si="377"/>
        <v>6.568446275776956E+16</v>
      </c>
      <c r="AB642" s="20">
        <f t="shared" ca="1" si="378"/>
        <v>1684197201474365.3</v>
      </c>
      <c r="AC642" s="20">
        <f t="shared" ca="1" si="379"/>
        <v>404275620350400</v>
      </c>
      <c r="AD642" s="20">
        <f t="shared" ca="1" si="380"/>
        <v>302285600891438.5</v>
      </c>
      <c r="AE642" s="20">
        <f t="shared" ca="1" si="381"/>
        <v>6882003258431998</v>
      </c>
      <c r="AG642" s="16">
        <f t="shared" ca="1" si="382"/>
        <v>-1.394981916613096E-4</v>
      </c>
      <c r="AH642" s="16">
        <f t="shared" ca="1" si="383"/>
        <v>-2.3514739258679036E-4</v>
      </c>
      <c r="AI642" s="16">
        <f t="shared" ca="1" si="384"/>
        <v>-4.4752567947259483E-4</v>
      </c>
      <c r="AJ642" s="16">
        <f t="shared" ca="1" si="385"/>
        <v>1.0059790256121449E-3</v>
      </c>
      <c r="AK642" s="16">
        <f t="shared" ca="1" si="386"/>
        <v>2.8094723295475648E-4</v>
      </c>
      <c r="AM642" s="16">
        <f t="shared" ca="1" si="387"/>
        <v>1.8380776189145013E-4</v>
      </c>
      <c r="AO642" s="16">
        <f t="shared" ca="1" si="388"/>
        <v>-1.394981916613096E-4</v>
      </c>
      <c r="AP642" s="16">
        <f t="shared" ca="1" si="389"/>
        <v>-2.3514739258679036E-4</v>
      </c>
      <c r="AQ642" s="16">
        <f t="shared" ca="1" si="390"/>
        <v>-4.4752567947259483E-4</v>
      </c>
      <c r="AR642" s="16">
        <f t="shared" ca="1" si="391"/>
        <v>0</v>
      </c>
      <c r="AS642" s="16">
        <f t="shared" ca="1" si="392"/>
        <v>0</v>
      </c>
    </row>
    <row r="643" spans="1:45" x14ac:dyDescent="0.25">
      <c r="A643" s="69">
        <f t="shared" ca="1" si="393"/>
        <v>2452.9826848550533</v>
      </c>
      <c r="B643" s="69">
        <f t="shared" ca="1" si="394"/>
        <v>2138.4487332501058</v>
      </c>
      <c r="C643" s="69">
        <f t="shared" ca="1" si="395"/>
        <v>2231.6483921335644</v>
      </c>
      <c r="D643" s="69">
        <f t="shared" ca="1" si="396"/>
        <v>2903.5570011945879</v>
      </c>
      <c r="E643" s="69">
        <f t="shared" ca="1" si="397"/>
        <v>1932.2023971579902</v>
      </c>
      <c r="F643" s="69">
        <f t="shared" ca="1" si="398"/>
        <v>1221.378265868276</v>
      </c>
      <c r="G643" s="69">
        <f t="shared" ca="1" si="399"/>
        <v>965.61711948676475</v>
      </c>
      <c r="H643" s="69">
        <f t="shared" ca="1" si="400"/>
        <v>1188.2687381214041</v>
      </c>
      <c r="I643" s="69">
        <f t="shared" ca="1" si="401"/>
        <v>1049.4751571340591</v>
      </c>
      <c r="J643" s="69">
        <f t="shared" ca="1" si="402"/>
        <v>1144.8506623495159</v>
      </c>
      <c r="K643" s="69">
        <f t="shared" ca="1" si="403"/>
        <v>1172.8333598859026</v>
      </c>
      <c r="L643" s="69">
        <f t="shared" ca="1" si="404"/>
        <v>956.70665709506511</v>
      </c>
      <c r="M643" s="69">
        <f t="shared" ca="1" si="405"/>
        <v>994.13150563857198</v>
      </c>
      <c r="N643" s="69">
        <f t="shared" ca="1" si="406"/>
        <v>573.3636738742581</v>
      </c>
      <c r="O643" s="69">
        <f t="shared" ca="1" si="407"/>
        <v>631.82102839791958</v>
      </c>
      <c r="P643" s="69">
        <f t="shared" ca="1" si="408"/>
        <v>723.02135571834071</v>
      </c>
      <c r="Q643" s="69">
        <f t="shared" ca="1" si="409"/>
        <v>960.30045320119075</v>
      </c>
      <c r="R643" s="69">
        <f t="shared" ca="1" si="410"/>
        <v>782.37720898992416</v>
      </c>
      <c r="S643" s="69">
        <f t="shared" ca="1" si="411"/>
        <v>700.72439068656251</v>
      </c>
      <c r="T643" s="69">
        <f t="shared" ca="1" si="412"/>
        <v>794.93691898895781</v>
      </c>
      <c r="U643" s="69">
        <f t="shared" ca="1" si="413"/>
        <v>1693.6611793199086</v>
      </c>
      <c r="V643" s="69">
        <f t="shared" ca="1" si="414"/>
        <v>1916.3349096849813</v>
      </c>
      <c r="W643" s="69">
        <f t="shared" ca="1" si="415"/>
        <v>1182.5285611052027</v>
      </c>
      <c r="X643" s="69">
        <f t="shared" ca="1" si="416"/>
        <v>1488.8404302300726</v>
      </c>
      <c r="Y643" s="69">
        <f t="shared" ca="1" si="417"/>
        <v>1204.7006670844453</v>
      </c>
      <c r="AA643" s="20">
        <f t="shared" ref="AA643:AA706" ca="1" si="418">A643*B643*C643*D643*E643</f>
        <v>6.5675300533066352E+16</v>
      </c>
      <c r="AB643" s="20">
        <f t="shared" ref="AB643:AB706" ca="1" si="419">F643*G643*H643*I643*J643</f>
        <v>1683801213453436.5</v>
      </c>
      <c r="AC643" s="20">
        <f t="shared" ref="AC643:AC706" ca="1" si="420">K643*L643*M643*N643*O643</f>
        <v>404094737106675.69</v>
      </c>
      <c r="AD643" s="20">
        <f t="shared" ref="AD643:AD706" ca="1" si="421">P643*Q643*R643*S643*T643</f>
        <v>302589846872559.75</v>
      </c>
      <c r="AE643" s="20">
        <f t="shared" ref="AE643:AE706" ca="1" si="422">U643*V643*W643*X643*Y643</f>
        <v>6883937009832974</v>
      </c>
      <c r="AG643" s="16">
        <f t="shared" ca="1" si="382"/>
        <v>-2.6258595150152547E-5</v>
      </c>
      <c r="AH643" s="16">
        <f t="shared" ca="1" si="383"/>
        <v>3.4608179202588464E-4</v>
      </c>
      <c r="AI643" s="16">
        <f t="shared" ca="1" si="384"/>
        <v>-3.7187893629940906E-4</v>
      </c>
      <c r="AJ643" s="16">
        <f t="shared" ca="1" si="385"/>
        <v>1.2560846482132532E-3</v>
      </c>
      <c r="AK643" s="16">
        <f t="shared" ca="1" si="386"/>
        <v>-3.848325014876975E-4</v>
      </c>
      <c r="AM643" s="16">
        <f t="shared" ca="1" si="387"/>
        <v>1.2040289087895764E-3</v>
      </c>
      <c r="AO643" s="16">
        <f t="shared" ca="1" si="388"/>
        <v>-2.6258595150152547E-5</v>
      </c>
      <c r="AP643" s="16">
        <f t="shared" ca="1" si="389"/>
        <v>0</v>
      </c>
      <c r="AQ643" s="16">
        <f t="shared" ca="1" si="390"/>
        <v>-3.7187893629940906E-4</v>
      </c>
      <c r="AR643" s="16">
        <f t="shared" ca="1" si="391"/>
        <v>0</v>
      </c>
      <c r="AS643" s="16">
        <f t="shared" ca="1" si="392"/>
        <v>-3.848325014876975E-4</v>
      </c>
    </row>
    <row r="644" spans="1:45" x14ac:dyDescent="0.25">
      <c r="A644" s="69">
        <f t="shared" ca="1" si="393"/>
        <v>2452.9929083875295</v>
      </c>
      <c r="B644" s="69">
        <f t="shared" ca="1" si="394"/>
        <v>2138.5260363399079</v>
      </c>
      <c r="C644" s="69">
        <f t="shared" ca="1" si="395"/>
        <v>2231.8527636839772</v>
      </c>
      <c r="D644" s="69">
        <f t="shared" ca="1" si="396"/>
        <v>2903.5570011945879</v>
      </c>
      <c r="E644" s="69">
        <f t="shared" ca="1" si="397"/>
        <v>1931.8968446298566</v>
      </c>
      <c r="F644" s="69">
        <f t="shared" ca="1" si="398"/>
        <v>1220.9469644070859</v>
      </c>
      <c r="G644" s="69">
        <f t="shared" ca="1" si="399"/>
        <v>966.03486801956899</v>
      </c>
      <c r="H644" s="69">
        <f t="shared" ca="1" si="400"/>
        <v>1188.2687381214041</v>
      </c>
      <c r="I644" s="69">
        <f t="shared" ca="1" si="401"/>
        <v>1049.7723592625021</v>
      </c>
      <c r="J644" s="69">
        <f t="shared" ca="1" si="402"/>
        <v>1144.8318755992925</v>
      </c>
      <c r="K644" s="69">
        <f t="shared" ca="1" si="403"/>
        <v>1172.8333598859026</v>
      </c>
      <c r="L644" s="69">
        <f t="shared" ca="1" si="404"/>
        <v>956.89580923927031</v>
      </c>
      <c r="M644" s="69">
        <f t="shared" ca="1" si="405"/>
        <v>993.71606818411317</v>
      </c>
      <c r="N644" s="69">
        <f t="shared" ca="1" si="406"/>
        <v>573.3636738742581</v>
      </c>
      <c r="O644" s="69">
        <f t="shared" ca="1" si="407"/>
        <v>631.72525540466143</v>
      </c>
      <c r="P644" s="69">
        <f t="shared" ca="1" si="408"/>
        <v>723.38324368297651</v>
      </c>
      <c r="Q644" s="69">
        <f t="shared" ca="1" si="409"/>
        <v>960.70471080846687</v>
      </c>
      <c r="R644" s="69">
        <f t="shared" ca="1" si="410"/>
        <v>782.37720898992416</v>
      </c>
      <c r="S644" s="69">
        <f t="shared" ca="1" si="411"/>
        <v>700.95903719169462</v>
      </c>
      <c r="T644" s="69">
        <f t="shared" ca="1" si="412"/>
        <v>794.93691898895781</v>
      </c>
      <c r="U644" s="69">
        <f t="shared" ca="1" si="413"/>
        <v>1693.6611793199086</v>
      </c>
      <c r="V644" s="69">
        <f t="shared" ca="1" si="414"/>
        <v>1915.8772065604912</v>
      </c>
      <c r="W644" s="69">
        <f t="shared" ca="1" si="415"/>
        <v>1182.4692890431652</v>
      </c>
      <c r="X644" s="69">
        <f t="shared" ca="1" si="416"/>
        <v>1488.6977516751433</v>
      </c>
      <c r="Y644" s="69">
        <f t="shared" ca="1" si="417"/>
        <v>1204.7006670844453</v>
      </c>
      <c r="AA644" s="20">
        <f t="shared" ca="1" si="418"/>
        <v>6.5673576014580104E+16</v>
      </c>
      <c r="AB644" s="20">
        <f t="shared" ca="1" si="419"/>
        <v>1684384047243067.8</v>
      </c>
      <c r="AC644" s="20">
        <f t="shared" ca="1" si="420"/>
        <v>403944490724140.25</v>
      </c>
      <c r="AD644" s="20">
        <f t="shared" ca="1" si="421"/>
        <v>302970164139257.88</v>
      </c>
      <c r="AE644" s="20">
        <f t="shared" ca="1" si="422"/>
        <v>6881288356809968</v>
      </c>
      <c r="AG644" s="16">
        <f t="shared" ref="AG644:AG707" ca="1" si="423">LN(AA645/AA644)</f>
        <v>6.5845847946554136E-5</v>
      </c>
      <c r="AH644" s="16">
        <f t="shared" ref="AH644:AH707" ca="1" si="424">LN(AB645/AB644)</f>
        <v>1.3940674394043533E-3</v>
      </c>
      <c r="AI644" s="16">
        <f t="shared" ref="AI644:AI707" ca="1" si="425">LN(AC645/AC644)</f>
        <v>-7.7627122592632976E-4</v>
      </c>
      <c r="AJ644" s="16">
        <f t="shared" ref="AJ644:AJ707" ca="1" si="426">LN(AD645/AD644)</f>
        <v>0</v>
      </c>
      <c r="AK644" s="16">
        <f t="shared" ref="AK644:AK707" ca="1" si="427">LN(AE645/AE644)</f>
        <v>-1.0308899373531004E-4</v>
      </c>
      <c r="AM644" s="16">
        <f t="shared" ref="AM644:AM707" ca="1" si="428">AG644+AH644+AI644+AJ644</f>
        <v>6.8364206142457759E-4</v>
      </c>
      <c r="AO644" s="16">
        <f t="shared" ref="AO644:AO707" ca="1" si="429">MIN(AG644,0)</f>
        <v>0</v>
      </c>
      <c r="AP644" s="16">
        <f t="shared" ref="AP644:AP707" ca="1" si="430">MIN(AH644,0)</f>
        <v>0</v>
      </c>
      <c r="AQ644" s="16">
        <f t="shared" ref="AQ644:AQ707" ca="1" si="431">MIN(AI644,0)</f>
        <v>-7.7627122592632976E-4</v>
      </c>
      <c r="AR644" s="16">
        <f t="shared" ref="AR644:AR707" ca="1" si="432">MIN(AJ644,0)</f>
        <v>0</v>
      </c>
      <c r="AS644" s="16">
        <f t="shared" ref="AS644:AS707" ca="1" si="433">MIN(AK644,0)</f>
        <v>-1.0308899373531004E-4</v>
      </c>
    </row>
    <row r="645" spans="1:45" x14ac:dyDescent="0.25">
      <c r="A645" s="69">
        <f t="shared" ref="A645:A708" ca="1" si="434">A644+ $A$1 * RAND()  * RANDBETWEEN(-1,1)</f>
        <v>2452.862916352728</v>
      </c>
      <c r="B645" s="69">
        <f t="shared" ref="B645:B708" ca="1" si="435">B644+ $A$1 * RAND()  * RANDBETWEEN(-1,1)</f>
        <v>2138.5260363399079</v>
      </c>
      <c r="C645" s="69">
        <f t="shared" ref="C645:C708" ca="1" si="436">C644+ $A$1 * RAND()  * RANDBETWEEN(-1,1)</f>
        <v>2232.2839810164551</v>
      </c>
      <c r="D645" s="69">
        <f t="shared" ref="D645:D708" ca="1" si="437">D644+ $A$1 * RAND()  * RANDBETWEEN(-1,1)</f>
        <v>2903.5518492311758</v>
      </c>
      <c r="E645" s="69">
        <f t="shared" ref="E645:E708" ca="1" si="438">E644+ $A$1 * RAND()  * RANDBETWEEN(-1,1)</f>
        <v>1931.7566385204093</v>
      </c>
      <c r="F645" s="69">
        <f t="shared" ref="F645:F708" ca="1" si="439">F644+ $A$1 * RAND()  * RANDBETWEEN(-1,1)</f>
        <v>1221.4368764992107</v>
      </c>
      <c r="G645" s="69">
        <f t="shared" ref="G645:G708" ca="1" si="440">G644+ $A$1 * RAND()  * RANDBETWEEN(-1,1)</f>
        <v>966.03486801956899</v>
      </c>
      <c r="H645" s="69">
        <f t="shared" ref="H645:H708" ca="1" si="441">H644+ $A$1 * RAND()  * RANDBETWEEN(-1,1)</f>
        <v>1188.7315593174949</v>
      </c>
      <c r="I645" s="69">
        <f t="shared" ref="I645:I708" ca="1" si="442">I644+ $A$1 * RAND()  * RANDBETWEEN(-1,1)</f>
        <v>1050.0716423928818</v>
      </c>
      <c r="J645" s="69">
        <f t="shared" ref="J645:J708" ca="1" si="443">J644+ $A$1 * RAND()  * RANDBETWEEN(-1,1)</f>
        <v>1145.1964746345432</v>
      </c>
      <c r="K645" s="69">
        <f t="shared" ref="K645:K708" ca="1" si="444">K644+ $A$1 * RAND()  * RANDBETWEEN(-1,1)</f>
        <v>1173.2968041294448</v>
      </c>
      <c r="L645" s="69">
        <f t="shared" ref="L645:L708" ca="1" si="445">L644+ $A$1 * RAND()  * RANDBETWEEN(-1,1)</f>
        <v>956.89580923927031</v>
      </c>
      <c r="M645" s="69">
        <f t="shared" ref="M645:M708" ca="1" si="446">M644+ $A$1 * RAND()  * RANDBETWEEN(-1,1)</f>
        <v>993.63080646125445</v>
      </c>
      <c r="N645" s="69">
        <f t="shared" ref="N645:N708" ca="1" si="447">N644+ $A$1 * RAND()  * RANDBETWEEN(-1,1)</f>
        <v>573.11678311283242</v>
      </c>
      <c r="O645" s="69">
        <f t="shared" ref="O645:O708" ca="1" si="448">O644+ $A$1 * RAND()  * RANDBETWEEN(-1,1)</f>
        <v>631.31170901279393</v>
      </c>
      <c r="P645" s="69">
        <f t="shared" ref="P645:P708" ca="1" si="449">P644+ $A$1 * RAND()  * RANDBETWEEN(-1,1)</f>
        <v>723.38324368297651</v>
      </c>
      <c r="Q645" s="69">
        <f t="shared" ref="Q645:Q708" ca="1" si="450">Q644+ $A$1 * RAND()  * RANDBETWEEN(-1,1)</f>
        <v>960.70471080846687</v>
      </c>
      <c r="R645" s="69">
        <f t="shared" ref="R645:R708" ca="1" si="451">R644+ $A$1 * RAND()  * RANDBETWEEN(-1,1)</f>
        <v>782.37720898992416</v>
      </c>
      <c r="S645" s="69">
        <f t="shared" ref="S645:S708" ca="1" si="452">S644+ $A$1 * RAND()  * RANDBETWEEN(-1,1)</f>
        <v>700.95903719169462</v>
      </c>
      <c r="T645" s="69">
        <f t="shared" ref="T645:T708" ca="1" si="453">T644+ $A$1 * RAND()  * RANDBETWEEN(-1,1)</f>
        <v>794.93691898895781</v>
      </c>
      <c r="U645" s="69">
        <f t="shared" ref="U645:U708" ca="1" si="454">U644+ $A$1 * RAND()  * RANDBETWEEN(-1,1)</f>
        <v>1693.2192335713275</v>
      </c>
      <c r="V645" s="69">
        <f t="shared" ref="V645:V708" ca="1" si="455">V644+ $A$1 * RAND()  * RANDBETWEEN(-1,1)</f>
        <v>1915.7823479679269</v>
      </c>
      <c r="W645" s="69">
        <f t="shared" ref="W645:W708" ca="1" si="456">W644+ $A$1 * RAND()  * RANDBETWEEN(-1,1)</f>
        <v>1182.4692890431652</v>
      </c>
      <c r="X645" s="69">
        <f t="shared" ref="X645:X708" ca="1" si="457">X644+ $A$1 * RAND()  * RANDBETWEEN(-1,1)</f>
        <v>1488.6977516751433</v>
      </c>
      <c r="Y645" s="69">
        <f t="shared" ref="Y645:Y708" ca="1" si="458">Y644+ $A$1 * RAND()  * RANDBETWEEN(-1,1)</f>
        <v>1204.9505469255803</v>
      </c>
      <c r="AA645" s="20">
        <f t="shared" ca="1" si="418"/>
        <v>6.5677900489253248E+16</v>
      </c>
      <c r="AB645" s="20">
        <f t="shared" ca="1" si="419"/>
        <v>1686733829695833</v>
      </c>
      <c r="AC645" s="20">
        <f t="shared" ca="1" si="420"/>
        <v>403631041915505.38</v>
      </c>
      <c r="AD645" s="20">
        <f t="shared" ca="1" si="421"/>
        <v>302970164139257.88</v>
      </c>
      <c r="AE645" s="20">
        <f t="shared" ca="1" si="422"/>
        <v>6880579008281303</v>
      </c>
      <c r="AG645" s="16">
        <f t="shared" ca="1" si="423"/>
        <v>-2.3985986726594911E-4</v>
      </c>
      <c r="AH645" s="16">
        <f t="shared" ca="1" si="424"/>
        <v>5.3283523403873084E-4</v>
      </c>
      <c r="AI645" s="16">
        <f t="shared" ca="1" si="425"/>
        <v>1.5814975493019263E-3</v>
      </c>
      <c r="AJ645" s="16">
        <f t="shared" ca="1" si="426"/>
        <v>1.6929287705451113E-4</v>
      </c>
      <c r="AK645" s="16">
        <f t="shared" ca="1" si="427"/>
        <v>-1.0255360273708554E-4</v>
      </c>
      <c r="AM645" s="16">
        <f t="shared" ca="1" si="428"/>
        <v>2.0437657931292193E-3</v>
      </c>
      <c r="AO645" s="16">
        <f t="shared" ca="1" si="429"/>
        <v>-2.3985986726594911E-4</v>
      </c>
      <c r="AP645" s="16">
        <f t="shared" ca="1" si="430"/>
        <v>0</v>
      </c>
      <c r="AQ645" s="16">
        <f t="shared" ca="1" si="431"/>
        <v>0</v>
      </c>
      <c r="AR645" s="16">
        <f t="shared" ca="1" si="432"/>
        <v>0</v>
      </c>
      <c r="AS645" s="16">
        <f t="shared" ca="1" si="433"/>
        <v>-1.0255360273708554E-4</v>
      </c>
    </row>
    <row r="646" spans="1:45" x14ac:dyDescent="0.25">
      <c r="A646" s="69">
        <f t="shared" ca="1" si="434"/>
        <v>2452.9890251458887</v>
      </c>
      <c r="B646" s="69">
        <f t="shared" ca="1" si="435"/>
        <v>2138.1977821330483</v>
      </c>
      <c r="C646" s="69">
        <f t="shared" ca="1" si="436"/>
        <v>2232.3258007796094</v>
      </c>
      <c r="D646" s="69">
        <f t="shared" ca="1" si="437"/>
        <v>2903.0974846767031</v>
      </c>
      <c r="E646" s="69">
        <f t="shared" ca="1" si="438"/>
        <v>1931.7566385204093</v>
      </c>
      <c r="F646" s="69">
        <f t="shared" ca="1" si="439"/>
        <v>1221.4368764992107</v>
      </c>
      <c r="G646" s="69">
        <f t="shared" ca="1" si="440"/>
        <v>966.41744802930043</v>
      </c>
      <c r="H646" s="69">
        <f t="shared" ca="1" si="441"/>
        <v>1188.7315593174949</v>
      </c>
      <c r="I646" s="69">
        <f t="shared" ca="1" si="442"/>
        <v>1050.0716423928818</v>
      </c>
      <c r="J646" s="69">
        <f t="shared" ca="1" si="443"/>
        <v>1145.3532425710666</v>
      </c>
      <c r="K646" s="69">
        <f t="shared" ca="1" si="444"/>
        <v>1173.7739314560997</v>
      </c>
      <c r="L646" s="69">
        <f t="shared" ca="1" si="445"/>
        <v>956.58843948331946</v>
      </c>
      <c r="M646" s="69">
        <f t="shared" ca="1" si="446"/>
        <v>993.77476084149566</v>
      </c>
      <c r="N646" s="69">
        <f t="shared" ca="1" si="447"/>
        <v>573.55606681958238</v>
      </c>
      <c r="O646" s="69">
        <f t="shared" ca="1" si="448"/>
        <v>631.68122093575232</v>
      </c>
      <c r="P646" s="69">
        <f t="shared" ca="1" si="449"/>
        <v>723.2290799823935</v>
      </c>
      <c r="Q646" s="69">
        <f t="shared" ca="1" si="450"/>
        <v>961.04342442620384</v>
      </c>
      <c r="R646" s="69">
        <f t="shared" ca="1" si="451"/>
        <v>781.88811380971197</v>
      </c>
      <c r="S646" s="69">
        <f t="shared" ca="1" si="452"/>
        <v>701.41849814848013</v>
      </c>
      <c r="T646" s="69">
        <f t="shared" ca="1" si="453"/>
        <v>794.93691898895781</v>
      </c>
      <c r="U646" s="69">
        <f t="shared" ca="1" si="454"/>
        <v>1692.7466674887435</v>
      </c>
      <c r="V646" s="69">
        <f t="shared" ca="1" si="455"/>
        <v>1915.9649171607796</v>
      </c>
      <c r="W646" s="69">
        <f t="shared" ca="1" si="456"/>
        <v>1182.3853137734809</v>
      </c>
      <c r="X646" s="69">
        <f t="shared" ca="1" si="457"/>
        <v>1488.7839511091236</v>
      </c>
      <c r="Y646" s="69">
        <f t="shared" ca="1" si="458"/>
        <v>1205.0643046744519</v>
      </c>
      <c r="AA646" s="20">
        <f t="shared" ca="1" si="418"/>
        <v>6.5662148885923848E+16</v>
      </c>
      <c r="AB646" s="20">
        <f t="shared" ca="1" si="419"/>
        <v>1687632820396430.8</v>
      </c>
      <c r="AC646" s="20">
        <f t="shared" ca="1" si="420"/>
        <v>404269888453080.31</v>
      </c>
      <c r="AD646" s="20">
        <f t="shared" ca="1" si="421"/>
        <v>303021459171826</v>
      </c>
      <c r="AE646" s="20">
        <f t="shared" ca="1" si="422"/>
        <v>6879873416296205</v>
      </c>
      <c r="AG646" s="16">
        <f t="shared" ca="1" si="423"/>
        <v>6.0063190614918517E-6</v>
      </c>
      <c r="AH646" s="16">
        <f t="shared" ca="1" si="424"/>
        <v>-6.1420441995893831E-4</v>
      </c>
      <c r="AI646" s="16">
        <f t="shared" ca="1" si="425"/>
        <v>-6.18170393627902E-4</v>
      </c>
      <c r="AJ646" s="16">
        <f t="shared" ca="1" si="426"/>
        <v>-4.4610590452404212E-4</v>
      </c>
      <c r="AK646" s="16">
        <f t="shared" ca="1" si="427"/>
        <v>1.4762885962578152E-4</v>
      </c>
      <c r="AM646" s="16">
        <f t="shared" ca="1" si="428"/>
        <v>-1.6724743990493905E-3</v>
      </c>
      <c r="AO646" s="16">
        <f t="shared" ca="1" si="429"/>
        <v>0</v>
      </c>
      <c r="AP646" s="16">
        <f t="shared" ca="1" si="430"/>
        <v>-6.1420441995893831E-4</v>
      </c>
      <c r="AQ646" s="16">
        <f t="shared" ca="1" si="431"/>
        <v>-6.18170393627902E-4</v>
      </c>
      <c r="AR646" s="16">
        <f t="shared" ca="1" si="432"/>
        <v>-4.4610590452404212E-4</v>
      </c>
      <c r="AS646" s="16">
        <f t="shared" ca="1" si="433"/>
        <v>0</v>
      </c>
    </row>
    <row r="647" spans="1:45" x14ac:dyDescent="0.25">
      <c r="A647" s="69">
        <f t="shared" ca="1" si="434"/>
        <v>2453.0094181463687</v>
      </c>
      <c r="B647" s="69">
        <f t="shared" ca="1" si="435"/>
        <v>2138.2453478008797</v>
      </c>
      <c r="C647" s="69">
        <f t="shared" ca="1" si="436"/>
        <v>2232.6899822008986</v>
      </c>
      <c r="D647" s="69">
        <f t="shared" ca="1" si="437"/>
        <v>2903.1960338699182</v>
      </c>
      <c r="E647" s="69">
        <f t="shared" ca="1" si="438"/>
        <v>1931.3285606668942</v>
      </c>
      <c r="F647" s="69">
        <f t="shared" ca="1" si="439"/>
        <v>1221.4368764992107</v>
      </c>
      <c r="G647" s="69">
        <f t="shared" ca="1" si="440"/>
        <v>966.17408464001812</v>
      </c>
      <c r="H647" s="69">
        <f t="shared" ca="1" si="441"/>
        <v>1188.5124853387067</v>
      </c>
      <c r="I647" s="69">
        <f t="shared" ca="1" si="442"/>
        <v>1050.3068917752705</v>
      </c>
      <c r="J647" s="69">
        <f t="shared" ca="1" si="443"/>
        <v>1144.8928458523251</v>
      </c>
      <c r="K647" s="69">
        <f t="shared" ca="1" si="444"/>
        <v>1173.7448050475034</v>
      </c>
      <c r="L647" s="69">
        <f t="shared" ca="1" si="445"/>
        <v>956.58843948331946</v>
      </c>
      <c r="M647" s="69">
        <f t="shared" ca="1" si="446"/>
        <v>993.50098617230549</v>
      </c>
      <c r="N647" s="69">
        <f t="shared" ca="1" si="447"/>
        <v>573.55606681958238</v>
      </c>
      <c r="O647" s="69">
        <f t="shared" ca="1" si="448"/>
        <v>631.48048676458188</v>
      </c>
      <c r="P647" s="69">
        <f t="shared" ca="1" si="449"/>
        <v>723.2290799823935</v>
      </c>
      <c r="Q647" s="69">
        <f t="shared" ca="1" si="450"/>
        <v>961.31994658594499</v>
      </c>
      <c r="R647" s="69">
        <f t="shared" ca="1" si="451"/>
        <v>781.77613798761115</v>
      </c>
      <c r="S647" s="69">
        <f t="shared" ca="1" si="452"/>
        <v>701.43483854642795</v>
      </c>
      <c r="T647" s="69">
        <f t="shared" ca="1" si="453"/>
        <v>794.44908135997912</v>
      </c>
      <c r="U647" s="69">
        <f t="shared" ca="1" si="454"/>
        <v>1692.7466674887435</v>
      </c>
      <c r="V647" s="69">
        <f t="shared" ca="1" si="455"/>
        <v>1915.9649171607796</v>
      </c>
      <c r="W647" s="69">
        <f t="shared" ca="1" si="456"/>
        <v>1182.3394317885445</v>
      </c>
      <c r="X647" s="69">
        <f t="shared" ca="1" si="457"/>
        <v>1488.7839511091236</v>
      </c>
      <c r="Y647" s="69">
        <f t="shared" ca="1" si="458"/>
        <v>1205.2889908288091</v>
      </c>
      <c r="AA647" s="20">
        <f t="shared" ca="1" si="418"/>
        <v>6.5662543274924728E+16</v>
      </c>
      <c r="AB647" s="20">
        <f t="shared" ca="1" si="419"/>
        <v>1686596587120980.8</v>
      </c>
      <c r="AC647" s="20">
        <f t="shared" ca="1" si="420"/>
        <v>404020058003852.69</v>
      </c>
      <c r="AD647" s="20">
        <f t="shared" ca="1" si="421"/>
        <v>302886309657431.5</v>
      </c>
      <c r="AE647" s="20">
        <f t="shared" ca="1" si="422"/>
        <v>6880889159137657</v>
      </c>
      <c r="AG647" s="16">
        <f t="shared" ca="1" si="423"/>
        <v>-1.859004707511797E-4</v>
      </c>
      <c r="AH647" s="16">
        <f t="shared" ca="1" si="424"/>
        <v>-1.4685809307864479E-5</v>
      </c>
      <c r="AI647" s="16">
        <f t="shared" ca="1" si="425"/>
        <v>4.4705163372125886E-4</v>
      </c>
      <c r="AJ647" s="16">
        <f t="shared" ca="1" si="426"/>
        <v>-8.7796590538515777E-4</v>
      </c>
      <c r="AK647" s="16">
        <f t="shared" ca="1" si="427"/>
        <v>-5.0098698991603535E-4</v>
      </c>
      <c r="AM647" s="16">
        <f t="shared" ca="1" si="428"/>
        <v>-6.3150055172294306E-4</v>
      </c>
      <c r="AO647" s="16">
        <f t="shared" ca="1" si="429"/>
        <v>-1.859004707511797E-4</v>
      </c>
      <c r="AP647" s="16">
        <f t="shared" ca="1" si="430"/>
        <v>-1.4685809307864479E-5</v>
      </c>
      <c r="AQ647" s="16">
        <f t="shared" ca="1" si="431"/>
        <v>0</v>
      </c>
      <c r="AR647" s="16">
        <f t="shared" ca="1" si="432"/>
        <v>-8.7796590538515777E-4</v>
      </c>
      <c r="AS647" s="16">
        <f t="shared" ca="1" si="433"/>
        <v>-5.0098698991603535E-4</v>
      </c>
    </row>
    <row r="648" spans="1:45" x14ac:dyDescent="0.25">
      <c r="A648" s="69">
        <f t="shared" ca="1" si="434"/>
        <v>2452.6621972373264</v>
      </c>
      <c r="B648" s="69">
        <f t="shared" ca="1" si="435"/>
        <v>2138.2453478008797</v>
      </c>
      <c r="C648" s="69">
        <f t="shared" ca="1" si="436"/>
        <v>2232.6899822008986</v>
      </c>
      <c r="D648" s="69">
        <f t="shared" ca="1" si="437"/>
        <v>2903.1093123988139</v>
      </c>
      <c r="E648" s="69">
        <f t="shared" ca="1" si="438"/>
        <v>1931.3006145067579</v>
      </c>
      <c r="F648" s="69">
        <f t="shared" ca="1" si="439"/>
        <v>1220.9978902368789</v>
      </c>
      <c r="G648" s="69">
        <f t="shared" ca="1" si="440"/>
        <v>966.62767116218515</v>
      </c>
      <c r="H648" s="69">
        <f t="shared" ca="1" si="441"/>
        <v>1188.534213641271</v>
      </c>
      <c r="I648" s="69">
        <f t="shared" ca="1" si="442"/>
        <v>1050.3068917752705</v>
      </c>
      <c r="J648" s="69">
        <f t="shared" ca="1" si="443"/>
        <v>1144.7293004833391</v>
      </c>
      <c r="K648" s="69">
        <f t="shared" ca="1" si="444"/>
        <v>1173.6256000382236</v>
      </c>
      <c r="L648" s="69">
        <f t="shared" ca="1" si="445"/>
        <v>956.87760778888719</v>
      </c>
      <c r="M648" s="69">
        <f t="shared" ca="1" si="446"/>
        <v>993.09661034637406</v>
      </c>
      <c r="N648" s="69">
        <f t="shared" ca="1" si="447"/>
        <v>573.93099369434162</v>
      </c>
      <c r="O648" s="69">
        <f t="shared" ca="1" si="448"/>
        <v>631.48048676458188</v>
      </c>
      <c r="P648" s="69">
        <f t="shared" ca="1" si="449"/>
        <v>722.91200310339104</v>
      </c>
      <c r="Q648" s="69">
        <f t="shared" ca="1" si="450"/>
        <v>960.89758595093872</v>
      </c>
      <c r="R648" s="69">
        <f t="shared" ca="1" si="451"/>
        <v>781.77613798761115</v>
      </c>
      <c r="S648" s="69">
        <f t="shared" ca="1" si="452"/>
        <v>701.43483854642795</v>
      </c>
      <c r="T648" s="69">
        <f t="shared" ca="1" si="453"/>
        <v>794.44908135997912</v>
      </c>
      <c r="U648" s="69">
        <f t="shared" ca="1" si="454"/>
        <v>1692.7466674887435</v>
      </c>
      <c r="V648" s="69">
        <f t="shared" ca="1" si="455"/>
        <v>1915.518312123869</v>
      </c>
      <c r="W648" s="69">
        <f t="shared" ca="1" si="456"/>
        <v>1182.3127916155108</v>
      </c>
      <c r="X648" s="69">
        <f t="shared" ca="1" si="457"/>
        <v>1488.9090619851634</v>
      </c>
      <c r="Y648" s="69">
        <f t="shared" ca="1" si="458"/>
        <v>1204.8920783150218</v>
      </c>
      <c r="AA648" s="20">
        <f t="shared" ca="1" si="418"/>
        <v>6.565033771176432E+16</v>
      </c>
      <c r="AB648" s="20">
        <f t="shared" ca="1" si="419"/>
        <v>1686571818266998.8</v>
      </c>
      <c r="AC648" s="20">
        <f t="shared" ca="1" si="420"/>
        <v>404200716209603.69</v>
      </c>
      <c r="AD648" s="20">
        <f t="shared" ca="1" si="421"/>
        <v>302620502506226.63</v>
      </c>
      <c r="AE648" s="20">
        <f t="shared" ca="1" si="422"/>
        <v>6877442786555871</v>
      </c>
      <c r="AG648" s="16">
        <f t="shared" ca="1" si="423"/>
        <v>-1.5662349914300354E-4</v>
      </c>
      <c r="AH648" s="16">
        <f t="shared" ca="1" si="424"/>
        <v>4.6708534708873043E-4</v>
      </c>
      <c r="AI648" s="16">
        <f t="shared" ca="1" si="425"/>
        <v>-1.4767155386249235E-3</v>
      </c>
      <c r="AJ648" s="16">
        <f t="shared" ca="1" si="426"/>
        <v>-1.4648052917635461E-3</v>
      </c>
      <c r="AK648" s="16">
        <f t="shared" ca="1" si="427"/>
        <v>3.1252457827836037E-4</v>
      </c>
      <c r="AM648" s="16">
        <f t="shared" ca="1" si="428"/>
        <v>-2.6310589824427425E-3</v>
      </c>
      <c r="AO648" s="16">
        <f t="shared" ca="1" si="429"/>
        <v>-1.5662349914300354E-4</v>
      </c>
      <c r="AP648" s="16">
        <f t="shared" ca="1" si="430"/>
        <v>0</v>
      </c>
      <c r="AQ648" s="16">
        <f t="shared" ca="1" si="431"/>
        <v>-1.4767155386249235E-3</v>
      </c>
      <c r="AR648" s="16">
        <f t="shared" ca="1" si="432"/>
        <v>-1.4648052917635461E-3</v>
      </c>
      <c r="AS648" s="16">
        <f t="shared" ca="1" si="433"/>
        <v>0</v>
      </c>
    </row>
    <row r="649" spans="1:45" x14ac:dyDescent="0.25">
      <c r="A649" s="69">
        <f t="shared" ca="1" si="434"/>
        <v>2452.4366585236858</v>
      </c>
      <c r="B649" s="69">
        <f t="shared" ca="1" si="435"/>
        <v>2137.8661596896209</v>
      </c>
      <c r="C649" s="69">
        <f t="shared" ca="1" si="436"/>
        <v>2232.6430345405875</v>
      </c>
      <c r="D649" s="69">
        <f t="shared" ca="1" si="437"/>
        <v>2903.043737821783</v>
      </c>
      <c r="E649" s="69">
        <f t="shared" ca="1" si="438"/>
        <v>1931.602509734071</v>
      </c>
      <c r="F649" s="69">
        <f t="shared" ca="1" si="439"/>
        <v>1220.9978902368789</v>
      </c>
      <c r="G649" s="69">
        <f t="shared" ca="1" si="440"/>
        <v>967.10430796431717</v>
      </c>
      <c r="H649" s="69">
        <f t="shared" ca="1" si="441"/>
        <v>1188.534213641271</v>
      </c>
      <c r="I649" s="69">
        <f t="shared" ca="1" si="442"/>
        <v>1050.3068917752705</v>
      </c>
      <c r="J649" s="69">
        <f t="shared" ca="1" si="443"/>
        <v>1144.6996688985391</v>
      </c>
      <c r="K649" s="69">
        <f t="shared" ca="1" si="444"/>
        <v>1173.6256000382236</v>
      </c>
      <c r="L649" s="69">
        <f t="shared" ca="1" si="445"/>
        <v>956.43082454625528</v>
      </c>
      <c r="M649" s="69">
        <f t="shared" ca="1" si="446"/>
        <v>993.09661034637406</v>
      </c>
      <c r="N649" s="69">
        <f t="shared" ca="1" si="447"/>
        <v>573.76503270118553</v>
      </c>
      <c r="O649" s="69">
        <f t="shared" ca="1" si="448"/>
        <v>631.02568067182312</v>
      </c>
      <c r="P649" s="69">
        <f t="shared" ca="1" si="449"/>
        <v>722.43146030578907</v>
      </c>
      <c r="Q649" s="69">
        <f t="shared" ca="1" si="450"/>
        <v>960.50430683926891</v>
      </c>
      <c r="R649" s="69">
        <f t="shared" ca="1" si="451"/>
        <v>781.63499163033464</v>
      </c>
      <c r="S649" s="69">
        <f t="shared" ca="1" si="452"/>
        <v>701.65171312061614</v>
      </c>
      <c r="T649" s="69">
        <f t="shared" ca="1" si="453"/>
        <v>794.03681959253527</v>
      </c>
      <c r="U649" s="69">
        <f t="shared" ca="1" si="454"/>
        <v>1692.7466674887435</v>
      </c>
      <c r="V649" s="69">
        <f t="shared" ca="1" si="455"/>
        <v>1915.9536073148881</v>
      </c>
      <c r="W649" s="69">
        <f t="shared" ca="1" si="456"/>
        <v>1182.3127916155108</v>
      </c>
      <c r="X649" s="69">
        <f t="shared" ca="1" si="457"/>
        <v>1488.9063391310074</v>
      </c>
      <c r="Y649" s="69">
        <f t="shared" ca="1" si="458"/>
        <v>1204.9970681082968</v>
      </c>
      <c r="AA649" s="20">
        <f t="shared" ca="1" si="418"/>
        <v>6.5640056131341552E+16</v>
      </c>
      <c r="AB649" s="20">
        <f t="shared" ca="1" si="419"/>
        <v>1687359775257380.5</v>
      </c>
      <c r="AC649" s="20">
        <f t="shared" ca="1" si="420"/>
        <v>403604267232379.13</v>
      </c>
      <c r="AD649" s="20">
        <f t="shared" ca="1" si="421"/>
        <v>302177546893824.38</v>
      </c>
      <c r="AE649" s="20">
        <f t="shared" ca="1" si="422"/>
        <v>6879592492362826</v>
      </c>
      <c r="AG649" s="16">
        <f t="shared" ca="1" si="423"/>
        <v>1.2935642556820208E-4</v>
      </c>
      <c r="AH649" s="16">
        <f t="shared" ca="1" si="424"/>
        <v>-2.302889162512411E-4</v>
      </c>
      <c r="AI649" s="16">
        <f t="shared" ca="1" si="425"/>
        <v>-4.5821269593174734E-4</v>
      </c>
      <c r="AJ649" s="16">
        <f t="shared" ca="1" si="426"/>
        <v>-9.3232769163871624E-5</v>
      </c>
      <c r="AK649" s="16">
        <f t="shared" ca="1" si="427"/>
        <v>2.5022970393350798E-4</v>
      </c>
      <c r="AM649" s="16">
        <f t="shared" ca="1" si="428"/>
        <v>-6.5237795577865803E-4</v>
      </c>
      <c r="AO649" s="16">
        <f t="shared" ca="1" si="429"/>
        <v>0</v>
      </c>
      <c r="AP649" s="16">
        <f t="shared" ca="1" si="430"/>
        <v>-2.302889162512411E-4</v>
      </c>
      <c r="AQ649" s="16">
        <f t="shared" ca="1" si="431"/>
        <v>-4.5821269593174734E-4</v>
      </c>
      <c r="AR649" s="16">
        <f t="shared" ca="1" si="432"/>
        <v>-9.3232769163871624E-5</v>
      </c>
      <c r="AS649" s="16">
        <f t="shared" ca="1" si="433"/>
        <v>0</v>
      </c>
    </row>
    <row r="650" spans="1:45" x14ac:dyDescent="0.25">
      <c r="A650" s="69">
        <f t="shared" ca="1" si="434"/>
        <v>2452.0818160144618</v>
      </c>
      <c r="B650" s="69">
        <f t="shared" ca="1" si="435"/>
        <v>2137.8067513539604</v>
      </c>
      <c r="C650" s="69">
        <f t="shared" ca="1" si="436"/>
        <v>2233.0068514566383</v>
      </c>
      <c r="D650" s="69">
        <f t="shared" ca="1" si="437"/>
        <v>2903.1809773436225</v>
      </c>
      <c r="E650" s="69">
        <f t="shared" ca="1" si="438"/>
        <v>1931.7795149126814</v>
      </c>
      <c r="F650" s="69">
        <f t="shared" ca="1" si="439"/>
        <v>1220.8497960628119</v>
      </c>
      <c r="G650" s="69">
        <f t="shared" ca="1" si="440"/>
        <v>966.81611158584576</v>
      </c>
      <c r="H650" s="69">
        <f t="shared" ca="1" si="441"/>
        <v>1188.847468904743</v>
      </c>
      <c r="I650" s="69">
        <f t="shared" ca="1" si="442"/>
        <v>1050.2286698728915</v>
      </c>
      <c r="J650" s="69">
        <f t="shared" ca="1" si="443"/>
        <v>1144.6996688985391</v>
      </c>
      <c r="K650" s="69">
        <f t="shared" ca="1" si="444"/>
        <v>1173.6256000382236</v>
      </c>
      <c r="L650" s="69">
        <f t="shared" ca="1" si="445"/>
        <v>956.79982390039572</v>
      </c>
      <c r="M650" s="69">
        <f t="shared" ca="1" si="446"/>
        <v>992.88887100193381</v>
      </c>
      <c r="N650" s="69">
        <f t="shared" ca="1" si="447"/>
        <v>573.4009556617475</v>
      </c>
      <c r="O650" s="69">
        <f t="shared" ca="1" si="448"/>
        <v>631.02568067182312</v>
      </c>
      <c r="P650" s="69">
        <f t="shared" ca="1" si="449"/>
        <v>722.43146030578907</v>
      </c>
      <c r="Q650" s="69">
        <f t="shared" ca="1" si="450"/>
        <v>960.70354381465609</v>
      </c>
      <c r="R650" s="69">
        <f t="shared" ca="1" si="451"/>
        <v>781.71760457215692</v>
      </c>
      <c r="S650" s="69">
        <f t="shared" ca="1" si="452"/>
        <v>701.65171312061614</v>
      </c>
      <c r="T650" s="69">
        <f t="shared" ca="1" si="453"/>
        <v>793.71424597431849</v>
      </c>
      <c r="U650" s="69">
        <f t="shared" ca="1" si="454"/>
        <v>1693.1891896940965</v>
      </c>
      <c r="V650" s="69">
        <f t="shared" ca="1" si="455"/>
        <v>1915.9536073148881</v>
      </c>
      <c r="W650" s="69">
        <f t="shared" ca="1" si="456"/>
        <v>1182.3381013840124</v>
      </c>
      <c r="X650" s="69">
        <f t="shared" ca="1" si="457"/>
        <v>1488.9063391310074</v>
      </c>
      <c r="Y650" s="69">
        <f t="shared" ca="1" si="458"/>
        <v>1204.9578274353307</v>
      </c>
      <c r="AA650" s="20">
        <f t="shared" ca="1" si="418"/>
        <v>6.5648547643580792E+16</v>
      </c>
      <c r="AB650" s="20">
        <f t="shared" ca="1" si="419"/>
        <v>1686971239742839</v>
      </c>
      <c r="AC650" s="20">
        <f t="shared" ca="1" si="420"/>
        <v>403419372996679.13</v>
      </c>
      <c r="AD650" s="20">
        <f t="shared" ca="1" si="421"/>
        <v>302149375357623.88</v>
      </c>
      <c r="AE650" s="20">
        <f t="shared" ca="1" si="422"/>
        <v>6881314186155853</v>
      </c>
      <c r="AG650" s="16">
        <f t="shared" ca="1" si="423"/>
        <v>-1.7619766174306235E-4</v>
      </c>
      <c r="AH650" s="16">
        <f t="shared" ca="1" si="424"/>
        <v>3.3022449277136733E-4</v>
      </c>
      <c r="AI650" s="16">
        <f t="shared" ca="1" si="425"/>
        <v>-6.1917269216574396E-4</v>
      </c>
      <c r="AJ650" s="16">
        <f t="shared" ca="1" si="426"/>
        <v>-4.796877047406813E-4</v>
      </c>
      <c r="AK650" s="16">
        <f t="shared" ca="1" si="427"/>
        <v>4.952844029012972E-4</v>
      </c>
      <c r="AM650" s="16">
        <f t="shared" ca="1" si="428"/>
        <v>-9.4483356587812025E-4</v>
      </c>
      <c r="AO650" s="16">
        <f t="shared" ca="1" si="429"/>
        <v>-1.7619766174306235E-4</v>
      </c>
      <c r="AP650" s="16">
        <f t="shared" ca="1" si="430"/>
        <v>0</v>
      </c>
      <c r="AQ650" s="16">
        <f t="shared" ca="1" si="431"/>
        <v>-6.1917269216574396E-4</v>
      </c>
      <c r="AR650" s="16">
        <f t="shared" ca="1" si="432"/>
        <v>-4.796877047406813E-4</v>
      </c>
      <c r="AS650" s="16">
        <f t="shared" ca="1" si="433"/>
        <v>0</v>
      </c>
    </row>
    <row r="651" spans="1:45" x14ac:dyDescent="0.25">
      <c r="A651" s="69">
        <f t="shared" ca="1" si="434"/>
        <v>2452.2117407057262</v>
      </c>
      <c r="B651" s="69">
        <f t="shared" ca="1" si="435"/>
        <v>2137.6530312240243</v>
      </c>
      <c r="C651" s="69">
        <f t="shared" ca="1" si="436"/>
        <v>2232.6556860344308</v>
      </c>
      <c r="D651" s="69">
        <f t="shared" ca="1" si="437"/>
        <v>2903.1809773436225</v>
      </c>
      <c r="E651" s="69">
        <f t="shared" ca="1" si="438"/>
        <v>1931.7795149126814</v>
      </c>
      <c r="F651" s="69">
        <f t="shared" ca="1" si="439"/>
        <v>1220.8115986286471</v>
      </c>
      <c r="G651" s="69">
        <f t="shared" ca="1" si="440"/>
        <v>966.81611158584576</v>
      </c>
      <c r="H651" s="69">
        <f t="shared" ca="1" si="441"/>
        <v>1188.847468904743</v>
      </c>
      <c r="I651" s="69">
        <f t="shared" ca="1" si="442"/>
        <v>1050.5247123564607</v>
      </c>
      <c r="J651" s="69">
        <f t="shared" ca="1" si="443"/>
        <v>1144.790868978846</v>
      </c>
      <c r="K651" s="69">
        <f t="shared" ca="1" si="444"/>
        <v>1173.6256000382236</v>
      </c>
      <c r="L651" s="69">
        <f t="shared" ca="1" si="445"/>
        <v>956.79982390039572</v>
      </c>
      <c r="M651" s="69">
        <f t="shared" ca="1" si="446"/>
        <v>992.88887100193381</v>
      </c>
      <c r="N651" s="69">
        <f t="shared" ca="1" si="447"/>
        <v>573.04603133940327</v>
      </c>
      <c r="O651" s="69">
        <f t="shared" ca="1" si="448"/>
        <v>631.02568067182312</v>
      </c>
      <c r="P651" s="69">
        <f t="shared" ca="1" si="449"/>
        <v>722.43146030578907</v>
      </c>
      <c r="Q651" s="69">
        <f t="shared" ca="1" si="450"/>
        <v>960.70354381465609</v>
      </c>
      <c r="R651" s="69">
        <f t="shared" ca="1" si="451"/>
        <v>781.3866668616987</v>
      </c>
      <c r="S651" s="69">
        <f t="shared" ca="1" si="452"/>
        <v>701.61224548951202</v>
      </c>
      <c r="T651" s="69">
        <f t="shared" ca="1" si="453"/>
        <v>793.71424597431849</v>
      </c>
      <c r="U651" s="69">
        <f t="shared" ca="1" si="454"/>
        <v>1693.1891896940965</v>
      </c>
      <c r="V651" s="69">
        <f t="shared" ca="1" si="455"/>
        <v>1915.9536073148881</v>
      </c>
      <c r="W651" s="69">
        <f t="shared" ca="1" si="456"/>
        <v>1182.3381013840124</v>
      </c>
      <c r="X651" s="69">
        <f t="shared" ca="1" si="457"/>
        <v>1489.3096228767386</v>
      </c>
      <c r="Y651" s="69">
        <f t="shared" ca="1" si="458"/>
        <v>1205.2283250794924</v>
      </c>
      <c r="AA651" s="20">
        <f t="shared" ca="1" si="418"/>
        <v>6.563698154197912E+16</v>
      </c>
      <c r="AB651" s="20">
        <f t="shared" ca="1" si="419"/>
        <v>1687528410955530.3</v>
      </c>
      <c r="AC651" s="20">
        <f t="shared" ca="1" si="420"/>
        <v>403169664051886.44</v>
      </c>
      <c r="AD651" s="20">
        <f t="shared" ca="1" si="421"/>
        <v>302004472774042.13</v>
      </c>
      <c r="AE651" s="20">
        <f t="shared" ca="1" si="422"/>
        <v>6884723237899110</v>
      </c>
      <c r="AG651" s="16">
        <f t="shared" ca="1" si="423"/>
        <v>2.333199900304225E-4</v>
      </c>
      <c r="AH651" s="16">
        <f t="shared" ca="1" si="424"/>
        <v>-4.0271039654642566E-4</v>
      </c>
      <c r="AI651" s="16">
        <f t="shared" ca="1" si="425"/>
        <v>-5.1711959392034164E-4</v>
      </c>
      <c r="AJ651" s="16">
        <f t="shared" ca="1" si="426"/>
        <v>6.431671668662098E-4</v>
      </c>
      <c r="AK651" s="16">
        <f t="shared" ca="1" si="427"/>
        <v>-3.5936941585748669E-4</v>
      </c>
      <c r="AM651" s="16">
        <f t="shared" ca="1" si="428"/>
        <v>-4.3342833570134934E-5</v>
      </c>
      <c r="AO651" s="16">
        <f t="shared" ca="1" si="429"/>
        <v>0</v>
      </c>
      <c r="AP651" s="16">
        <f t="shared" ca="1" si="430"/>
        <v>-4.0271039654642566E-4</v>
      </c>
      <c r="AQ651" s="16">
        <f t="shared" ca="1" si="431"/>
        <v>-5.1711959392034164E-4</v>
      </c>
      <c r="AR651" s="16">
        <f t="shared" ca="1" si="432"/>
        <v>0</v>
      </c>
      <c r="AS651" s="16">
        <f t="shared" ca="1" si="433"/>
        <v>-3.5936941585748669E-4</v>
      </c>
    </row>
    <row r="652" spans="1:45" x14ac:dyDescent="0.25">
      <c r="A652" s="69">
        <f t="shared" ca="1" si="434"/>
        <v>2452.2117407057262</v>
      </c>
      <c r="B652" s="69">
        <f t="shared" ca="1" si="435"/>
        <v>2138.0116825354171</v>
      </c>
      <c r="C652" s="69">
        <f t="shared" ca="1" si="436"/>
        <v>2232.6556860344308</v>
      </c>
      <c r="D652" s="69">
        <f t="shared" ca="1" si="437"/>
        <v>2903.371304478901</v>
      </c>
      <c r="E652" s="69">
        <f t="shared" ca="1" si="438"/>
        <v>1931.7795149126814</v>
      </c>
      <c r="F652" s="69">
        <f t="shared" ca="1" si="439"/>
        <v>1220.3116336360576</v>
      </c>
      <c r="G652" s="69">
        <f t="shared" ca="1" si="440"/>
        <v>966.75188153377906</v>
      </c>
      <c r="H652" s="69">
        <f t="shared" ca="1" si="441"/>
        <v>1189.2538336643643</v>
      </c>
      <c r="I652" s="69">
        <f t="shared" ca="1" si="442"/>
        <v>1050.3771209431452</v>
      </c>
      <c r="J652" s="69">
        <f t="shared" ca="1" si="443"/>
        <v>1144.6444510147544</v>
      </c>
      <c r="K652" s="69">
        <f t="shared" ca="1" si="444"/>
        <v>1173.186923006848</v>
      </c>
      <c r="L652" s="69">
        <f t="shared" ca="1" si="445"/>
        <v>956.54156548332423</v>
      </c>
      <c r="M652" s="69">
        <f t="shared" ca="1" si="446"/>
        <v>992.73334565660844</v>
      </c>
      <c r="N652" s="69">
        <f t="shared" ca="1" si="447"/>
        <v>573.06535740891741</v>
      </c>
      <c r="O652" s="69">
        <f t="shared" ca="1" si="448"/>
        <v>631.18321188035861</v>
      </c>
      <c r="P652" s="69">
        <f t="shared" ca="1" si="449"/>
        <v>722.43146030578907</v>
      </c>
      <c r="Q652" s="69">
        <f t="shared" ca="1" si="450"/>
        <v>960.70354381465609</v>
      </c>
      <c r="R652" s="69">
        <f t="shared" ca="1" si="451"/>
        <v>781.44715547531712</v>
      </c>
      <c r="S652" s="69">
        <f t="shared" ca="1" si="452"/>
        <v>701.59492421706705</v>
      </c>
      <c r="T652" s="69">
        <f t="shared" ca="1" si="453"/>
        <v>794.18303007423515</v>
      </c>
      <c r="U652" s="69">
        <f t="shared" ca="1" si="454"/>
        <v>1693.0728312685267</v>
      </c>
      <c r="V652" s="69">
        <f t="shared" ca="1" si="455"/>
        <v>1915.9536073148881</v>
      </c>
      <c r="W652" s="69">
        <f t="shared" ca="1" si="456"/>
        <v>1182.3381013840124</v>
      </c>
      <c r="X652" s="69">
        <f t="shared" ca="1" si="457"/>
        <v>1489.4946374283195</v>
      </c>
      <c r="Y652" s="69">
        <f t="shared" ca="1" si="458"/>
        <v>1204.7284201878363</v>
      </c>
      <c r="AA652" s="20">
        <f t="shared" ca="1" si="418"/>
        <v>6.5652297748577224E+16</v>
      </c>
      <c r="AB652" s="20">
        <f t="shared" ca="1" si="419"/>
        <v>1686848962539624</v>
      </c>
      <c r="AC652" s="20">
        <f t="shared" ca="1" si="420"/>
        <v>402961231015979.19</v>
      </c>
      <c r="AD652" s="20">
        <f t="shared" ca="1" si="421"/>
        <v>302198774612760.69</v>
      </c>
      <c r="AE652" s="20">
        <f t="shared" ca="1" si="422"/>
        <v>6882249523446047</v>
      </c>
      <c r="AG652" s="16">
        <f t="shared" ca="1" si="423"/>
        <v>-8.0408892011095135E-5</v>
      </c>
      <c r="AH652" s="16">
        <f t="shared" ca="1" si="424"/>
        <v>-1.2048803892547549E-3</v>
      </c>
      <c r="AI652" s="16">
        <f t="shared" ca="1" si="425"/>
        <v>1.9157939315267097E-4</v>
      </c>
      <c r="AJ652" s="16">
        <f t="shared" ca="1" si="426"/>
        <v>-1.144501256996445E-3</v>
      </c>
      <c r="AK652" s="16">
        <f t="shared" ca="1" si="427"/>
        <v>-1.1613977184782014E-4</v>
      </c>
      <c r="AM652" s="16">
        <f t="shared" ca="1" si="428"/>
        <v>-2.2382111451096243E-3</v>
      </c>
      <c r="AO652" s="16">
        <f t="shared" ca="1" si="429"/>
        <v>-8.0408892011095135E-5</v>
      </c>
      <c r="AP652" s="16">
        <f t="shared" ca="1" si="430"/>
        <v>-1.2048803892547549E-3</v>
      </c>
      <c r="AQ652" s="16">
        <f t="shared" ca="1" si="431"/>
        <v>0</v>
      </c>
      <c r="AR652" s="16">
        <f t="shared" ca="1" si="432"/>
        <v>-1.144501256996445E-3</v>
      </c>
      <c r="AS652" s="16">
        <f t="shared" ca="1" si="433"/>
        <v>-1.1613977184782014E-4</v>
      </c>
    </row>
    <row r="653" spans="1:45" x14ac:dyDescent="0.25">
      <c r="A653" s="69">
        <f t="shared" ca="1" si="434"/>
        <v>2452.5441503139891</v>
      </c>
      <c r="B653" s="69">
        <f t="shared" ca="1" si="435"/>
        <v>2138.1674797894157</v>
      </c>
      <c r="C653" s="69">
        <f t="shared" ca="1" si="436"/>
        <v>2232.6556860344308</v>
      </c>
      <c r="D653" s="69">
        <f t="shared" ca="1" si="437"/>
        <v>2903.1374196690654</v>
      </c>
      <c r="E653" s="69">
        <f t="shared" ca="1" si="438"/>
        <v>1931.3772391894697</v>
      </c>
      <c r="F653" s="69">
        <f t="shared" ca="1" si="439"/>
        <v>1220.0314333608515</v>
      </c>
      <c r="G653" s="69">
        <f t="shared" ca="1" si="440"/>
        <v>966.47607830937568</v>
      </c>
      <c r="H653" s="69">
        <f t="shared" ca="1" si="441"/>
        <v>1188.9392848727387</v>
      </c>
      <c r="I653" s="69">
        <f t="shared" ca="1" si="442"/>
        <v>1049.9304028245795</v>
      </c>
      <c r="J653" s="69">
        <f t="shared" ca="1" si="443"/>
        <v>1144.6444510147544</v>
      </c>
      <c r="K653" s="69">
        <f t="shared" ca="1" si="444"/>
        <v>1173.2228257413979</v>
      </c>
      <c r="L653" s="69">
        <f t="shared" ca="1" si="445"/>
        <v>956.54156548332423</v>
      </c>
      <c r="M653" s="69">
        <f t="shared" ca="1" si="446"/>
        <v>992.84351473237052</v>
      </c>
      <c r="N653" s="69">
        <f t="shared" ca="1" si="447"/>
        <v>573.06535740891741</v>
      </c>
      <c r="O653" s="69">
        <f t="shared" ca="1" si="448"/>
        <v>631.21477674221558</v>
      </c>
      <c r="P653" s="69">
        <f t="shared" ca="1" si="449"/>
        <v>722.2555580558402</v>
      </c>
      <c r="Q653" s="69">
        <f t="shared" ca="1" si="450"/>
        <v>960.37935436636769</v>
      </c>
      <c r="R653" s="69">
        <f t="shared" ca="1" si="451"/>
        <v>781.77349002908568</v>
      </c>
      <c r="S653" s="69">
        <f t="shared" ca="1" si="452"/>
        <v>701.11749170236419</v>
      </c>
      <c r="T653" s="69">
        <f t="shared" ca="1" si="453"/>
        <v>793.9445994998074</v>
      </c>
      <c r="U653" s="69">
        <f t="shared" ca="1" si="454"/>
        <v>1693.3400516602328</v>
      </c>
      <c r="V653" s="69">
        <f t="shared" ca="1" si="455"/>
        <v>1916.0460897119933</v>
      </c>
      <c r="W653" s="69">
        <f t="shared" ca="1" si="456"/>
        <v>1182.0007350709336</v>
      </c>
      <c r="X653" s="69">
        <f t="shared" ca="1" si="457"/>
        <v>1489.4397529392065</v>
      </c>
      <c r="Y653" s="69">
        <f t="shared" ca="1" si="458"/>
        <v>1204.7284201878363</v>
      </c>
      <c r="AA653" s="20">
        <f t="shared" ca="1" si="418"/>
        <v>6.5647018932292008E+16</v>
      </c>
      <c r="AB653" s="20">
        <f t="shared" ca="1" si="419"/>
        <v>1684817735243726.8</v>
      </c>
      <c r="AC653" s="20">
        <f t="shared" ca="1" si="420"/>
        <v>403038437479428.88</v>
      </c>
      <c r="AD653" s="20">
        <f t="shared" ca="1" si="421"/>
        <v>301853105582405.63</v>
      </c>
      <c r="AE653" s="20">
        <f t="shared" ca="1" si="422"/>
        <v>6881450266970225</v>
      </c>
      <c r="AG653" s="16">
        <f t="shared" ca="1" si="423"/>
        <v>1.6370556650125966E-4</v>
      </c>
      <c r="AH653" s="16">
        <f t="shared" ca="1" si="424"/>
        <v>1.0929944111227458E-4</v>
      </c>
      <c r="AI653" s="16">
        <f t="shared" ca="1" si="425"/>
        <v>8.8735904646736327E-4</v>
      </c>
      <c r="AJ653" s="16">
        <f t="shared" ca="1" si="426"/>
        <v>-7.8423802590434338E-4</v>
      </c>
      <c r="AK653" s="16">
        <f t="shared" ca="1" si="427"/>
        <v>-1.7017899618935865E-4</v>
      </c>
      <c r="AM653" s="16">
        <f t="shared" ca="1" si="428"/>
        <v>3.7612602817655404E-4</v>
      </c>
      <c r="AO653" s="16">
        <f t="shared" ca="1" si="429"/>
        <v>0</v>
      </c>
      <c r="AP653" s="16">
        <f t="shared" ca="1" si="430"/>
        <v>0</v>
      </c>
      <c r="AQ653" s="16">
        <f t="shared" ca="1" si="431"/>
        <v>0</v>
      </c>
      <c r="AR653" s="16">
        <f t="shared" ca="1" si="432"/>
        <v>-7.8423802590434338E-4</v>
      </c>
      <c r="AS653" s="16">
        <f t="shared" ca="1" si="433"/>
        <v>-1.7017899618935865E-4</v>
      </c>
    </row>
    <row r="654" spans="1:45" x14ac:dyDescent="0.25">
      <c r="A654" s="69">
        <f t="shared" ca="1" si="434"/>
        <v>2452.7660521884854</v>
      </c>
      <c r="B654" s="69">
        <f t="shared" ca="1" si="435"/>
        <v>2138.1200953093221</v>
      </c>
      <c r="C654" s="69">
        <f t="shared" ca="1" si="436"/>
        <v>2232.7481450712794</v>
      </c>
      <c r="D654" s="69">
        <f t="shared" ca="1" si="437"/>
        <v>2902.7525020903104</v>
      </c>
      <c r="E654" s="69">
        <f t="shared" ca="1" si="438"/>
        <v>1931.7376237574513</v>
      </c>
      <c r="F654" s="69">
        <f t="shared" ca="1" si="439"/>
        <v>1219.644633729858</v>
      </c>
      <c r="G654" s="69">
        <f t="shared" ca="1" si="440"/>
        <v>966.69024810583323</v>
      </c>
      <c r="H654" s="69">
        <f t="shared" ca="1" si="441"/>
        <v>1189.432333302349</v>
      </c>
      <c r="I654" s="69">
        <f t="shared" ca="1" si="442"/>
        <v>1049.4616739775765</v>
      </c>
      <c r="J654" s="69">
        <f t="shared" ca="1" si="443"/>
        <v>1144.9154707140426</v>
      </c>
      <c r="K654" s="69">
        <f t="shared" ca="1" si="444"/>
        <v>1173.2228257413979</v>
      </c>
      <c r="L654" s="69">
        <f t="shared" ca="1" si="445"/>
        <v>956.54156548332423</v>
      </c>
      <c r="M654" s="69">
        <f t="shared" ca="1" si="446"/>
        <v>992.84351473237052</v>
      </c>
      <c r="N654" s="69">
        <f t="shared" ca="1" si="447"/>
        <v>573.41250270805176</v>
      </c>
      <c r="O654" s="69">
        <f t="shared" ca="1" si="448"/>
        <v>631.39266129045052</v>
      </c>
      <c r="P654" s="69">
        <f t="shared" ca="1" si="449"/>
        <v>721.9676690134454</v>
      </c>
      <c r="Q654" s="69">
        <f t="shared" ca="1" si="450"/>
        <v>959.9546657042157</v>
      </c>
      <c r="R654" s="69">
        <f t="shared" ca="1" si="451"/>
        <v>781.91395449705681</v>
      </c>
      <c r="S654" s="69">
        <f t="shared" ca="1" si="452"/>
        <v>701.11749170236419</v>
      </c>
      <c r="T654" s="69">
        <f t="shared" ca="1" si="453"/>
        <v>793.84701996454953</v>
      </c>
      <c r="U654" s="69">
        <f t="shared" ca="1" si="454"/>
        <v>1693.5824943580244</v>
      </c>
      <c r="V654" s="69">
        <f t="shared" ca="1" si="455"/>
        <v>1916.0460897119933</v>
      </c>
      <c r="W654" s="69">
        <f t="shared" ca="1" si="456"/>
        <v>1182.0007350709336</v>
      </c>
      <c r="X654" s="69">
        <f t="shared" ca="1" si="457"/>
        <v>1489.4116605513907</v>
      </c>
      <c r="Y654" s="69">
        <f t="shared" ca="1" si="458"/>
        <v>1204.3737018499089</v>
      </c>
      <c r="AA654" s="20">
        <f t="shared" ca="1" si="418"/>
        <v>6.5657766594417496E+16</v>
      </c>
      <c r="AB654" s="20">
        <f t="shared" ca="1" si="419"/>
        <v>1685001894944657.8</v>
      </c>
      <c r="AC654" s="20">
        <f t="shared" ca="1" si="420"/>
        <v>403396236007402.94</v>
      </c>
      <c r="AD654" s="20">
        <f t="shared" ca="1" si="421"/>
        <v>301616473698759.19</v>
      </c>
      <c r="AE654" s="20">
        <f t="shared" ca="1" si="422"/>
        <v>6880279288312277</v>
      </c>
      <c r="AG654" s="16">
        <f t="shared" ca="1" si="423"/>
        <v>-1.6087893934770662E-4</v>
      </c>
      <c r="AH654" s="16">
        <f t="shared" ca="1" si="424"/>
        <v>-9.1131096238892628E-4</v>
      </c>
      <c r="AI654" s="16">
        <f t="shared" ca="1" si="425"/>
        <v>-3.649286330614566E-4</v>
      </c>
      <c r="AJ654" s="16">
        <f t="shared" ca="1" si="426"/>
        <v>-3.449849319496359E-4</v>
      </c>
      <c r="AK654" s="16">
        <f t="shared" ca="1" si="427"/>
        <v>-2.2795926698374494E-4</v>
      </c>
      <c r="AM654" s="16">
        <f t="shared" ca="1" si="428"/>
        <v>-1.7821034667477255E-3</v>
      </c>
      <c r="AO654" s="16">
        <f t="shared" ca="1" si="429"/>
        <v>-1.6087893934770662E-4</v>
      </c>
      <c r="AP654" s="16">
        <f t="shared" ca="1" si="430"/>
        <v>-9.1131096238892628E-4</v>
      </c>
      <c r="AQ654" s="16">
        <f t="shared" ca="1" si="431"/>
        <v>-3.649286330614566E-4</v>
      </c>
      <c r="AR654" s="16">
        <f t="shared" ca="1" si="432"/>
        <v>-3.449849319496359E-4</v>
      </c>
      <c r="AS654" s="16">
        <f t="shared" ca="1" si="433"/>
        <v>-2.2795926698374494E-4</v>
      </c>
    </row>
    <row r="655" spans="1:45" x14ac:dyDescent="0.25">
      <c r="A655" s="69">
        <f t="shared" ca="1" si="434"/>
        <v>2452.5910569629609</v>
      </c>
      <c r="B655" s="69">
        <f t="shared" ca="1" si="435"/>
        <v>2138.1200953093221</v>
      </c>
      <c r="C655" s="69">
        <f t="shared" ca="1" si="436"/>
        <v>2232.5482553608927</v>
      </c>
      <c r="D655" s="69">
        <f t="shared" ca="1" si="437"/>
        <v>2902.7525020903104</v>
      </c>
      <c r="E655" s="69">
        <f t="shared" ca="1" si="438"/>
        <v>1931.7376237574513</v>
      </c>
      <c r="F655" s="69">
        <f t="shared" ca="1" si="439"/>
        <v>1219.644633729858</v>
      </c>
      <c r="G655" s="69">
        <f t="shared" ca="1" si="440"/>
        <v>966.69024810583323</v>
      </c>
      <c r="H655" s="69">
        <f t="shared" ca="1" si="441"/>
        <v>1188.9492869785738</v>
      </c>
      <c r="I655" s="69">
        <f t="shared" ca="1" si="442"/>
        <v>1049.1096298690832</v>
      </c>
      <c r="J655" s="69">
        <f t="shared" ca="1" si="443"/>
        <v>1144.7213036750538</v>
      </c>
      <c r="K655" s="69">
        <f t="shared" ca="1" si="444"/>
        <v>1173.1974982783436</v>
      </c>
      <c r="L655" s="69">
        <f t="shared" ca="1" si="445"/>
        <v>956.9271452882515</v>
      </c>
      <c r="M655" s="69">
        <f t="shared" ca="1" si="446"/>
        <v>992.83989936463115</v>
      </c>
      <c r="N655" s="69">
        <f t="shared" ca="1" si="447"/>
        <v>573.25987717748626</v>
      </c>
      <c r="O655" s="69">
        <f t="shared" ca="1" si="448"/>
        <v>631.09186828881707</v>
      </c>
      <c r="P655" s="69">
        <f t="shared" ca="1" si="449"/>
        <v>721.69024485891032</v>
      </c>
      <c r="Q655" s="69">
        <f t="shared" ca="1" si="450"/>
        <v>960.2189238719543</v>
      </c>
      <c r="R655" s="69">
        <f t="shared" ca="1" si="451"/>
        <v>781.91395449705681</v>
      </c>
      <c r="S655" s="69">
        <f t="shared" ca="1" si="452"/>
        <v>701.32565532544811</v>
      </c>
      <c r="T655" s="69">
        <f t="shared" ca="1" si="453"/>
        <v>793.42420862109793</v>
      </c>
      <c r="U655" s="69">
        <f t="shared" ca="1" si="454"/>
        <v>1693.5824943580244</v>
      </c>
      <c r="V655" s="69">
        <f t="shared" ca="1" si="455"/>
        <v>1915.6440414886076</v>
      </c>
      <c r="W655" s="69">
        <f t="shared" ca="1" si="456"/>
        <v>1182.3649232291091</v>
      </c>
      <c r="X655" s="69">
        <f t="shared" ca="1" si="457"/>
        <v>1489.2824721052327</v>
      </c>
      <c r="Y655" s="69">
        <f t="shared" ca="1" si="458"/>
        <v>1204.0853761668061</v>
      </c>
      <c r="AA655" s="20">
        <f t="shared" ca="1" si="418"/>
        <v>6.5647204492200528E+16</v>
      </c>
      <c r="AB655" s="20">
        <f t="shared" ca="1" si="419"/>
        <v>1683467033720302</v>
      </c>
      <c r="AC655" s="20">
        <f t="shared" ca="1" si="420"/>
        <v>403249052027872.25</v>
      </c>
      <c r="AD655" s="20">
        <f t="shared" ca="1" si="421"/>
        <v>301512438506424</v>
      </c>
      <c r="AE655" s="20">
        <f t="shared" ca="1" si="422"/>
        <v>6878711043643814</v>
      </c>
      <c r="AG655" s="16">
        <f t="shared" ca="1" si="423"/>
        <v>-2.1363538481115002E-5</v>
      </c>
      <c r="AH655" s="16">
        <f t="shared" ca="1" si="424"/>
        <v>3.8717631260659771E-4</v>
      </c>
      <c r="AI655" s="16">
        <f t="shared" ca="1" si="425"/>
        <v>2.9016609214055128E-4</v>
      </c>
      <c r="AJ655" s="16">
        <f t="shared" ca="1" si="426"/>
        <v>1.1017243699183497E-4</v>
      </c>
      <c r="AK655" s="16">
        <f t="shared" ca="1" si="427"/>
        <v>5.0261388512167231E-4</v>
      </c>
      <c r="AM655" s="16">
        <f t="shared" ca="1" si="428"/>
        <v>7.6615130325786887E-4</v>
      </c>
      <c r="AO655" s="16">
        <f t="shared" ca="1" si="429"/>
        <v>-2.1363538481115002E-5</v>
      </c>
      <c r="AP655" s="16">
        <f t="shared" ca="1" si="430"/>
        <v>0</v>
      </c>
      <c r="AQ655" s="16">
        <f t="shared" ca="1" si="431"/>
        <v>0</v>
      </c>
      <c r="AR655" s="16">
        <f t="shared" ca="1" si="432"/>
        <v>0</v>
      </c>
      <c r="AS655" s="16">
        <f t="shared" ca="1" si="433"/>
        <v>0</v>
      </c>
    </row>
    <row r="656" spans="1:45" x14ac:dyDescent="0.25">
      <c r="A656" s="69">
        <f t="shared" ca="1" si="434"/>
        <v>2452.5910569629609</v>
      </c>
      <c r="B656" s="69">
        <f t="shared" ca="1" si="435"/>
        <v>2137.8991676110991</v>
      </c>
      <c r="C656" s="69">
        <f t="shared" ca="1" si="436"/>
        <v>2232.5482553608927</v>
      </c>
      <c r="D656" s="69">
        <f t="shared" ca="1" si="437"/>
        <v>2902.990449919108</v>
      </c>
      <c r="E656" s="69">
        <f t="shared" ca="1" si="438"/>
        <v>1931.7376237574513</v>
      </c>
      <c r="F656" s="69">
        <f t="shared" ca="1" si="439"/>
        <v>1219.644633729858</v>
      </c>
      <c r="G656" s="69">
        <f t="shared" ca="1" si="440"/>
        <v>966.82936644806409</v>
      </c>
      <c r="H656" s="69">
        <f t="shared" ca="1" si="441"/>
        <v>1189.1152065244005</v>
      </c>
      <c r="I656" s="69">
        <f t="shared" ca="1" si="442"/>
        <v>1048.7709762704819</v>
      </c>
      <c r="J656" s="69">
        <f t="shared" ca="1" si="443"/>
        <v>1145.2097299903892</v>
      </c>
      <c r="K656" s="69">
        <f t="shared" ca="1" si="444"/>
        <v>1172.9677383237258</v>
      </c>
      <c r="L656" s="69">
        <f t="shared" ca="1" si="445"/>
        <v>956.9271452882515</v>
      </c>
      <c r="M656" s="69">
        <f t="shared" ca="1" si="446"/>
        <v>992.83403170088411</v>
      </c>
      <c r="N656" s="69">
        <f t="shared" ca="1" si="447"/>
        <v>573.25987717748626</v>
      </c>
      <c r="O656" s="69">
        <f t="shared" ca="1" si="448"/>
        <v>631.40240152617412</v>
      </c>
      <c r="P656" s="69">
        <f t="shared" ca="1" si="449"/>
        <v>722.01375996331569</v>
      </c>
      <c r="Q656" s="69">
        <f t="shared" ca="1" si="450"/>
        <v>960.2189238719543</v>
      </c>
      <c r="R656" s="69">
        <f t="shared" ca="1" si="451"/>
        <v>781.93953360381431</v>
      </c>
      <c r="S656" s="69">
        <f t="shared" ca="1" si="452"/>
        <v>701.06571211736889</v>
      </c>
      <c r="T656" s="69">
        <f t="shared" ca="1" si="453"/>
        <v>793.42420862109793</v>
      </c>
      <c r="U656" s="69">
        <f t="shared" ca="1" si="454"/>
        <v>1693.5824943580244</v>
      </c>
      <c r="V656" s="69">
        <f t="shared" ca="1" si="455"/>
        <v>1915.4948387798199</v>
      </c>
      <c r="W656" s="69">
        <f t="shared" ca="1" si="456"/>
        <v>1182.3649232291091</v>
      </c>
      <c r="X656" s="69">
        <f t="shared" ca="1" si="457"/>
        <v>1489.6679969219745</v>
      </c>
      <c r="Y656" s="69">
        <f t="shared" ca="1" si="458"/>
        <v>1204.4727574754515</v>
      </c>
      <c r="AA656" s="20">
        <f t="shared" ca="1" si="418"/>
        <v>6.5645802050601792E+16</v>
      </c>
      <c r="AB656" s="20">
        <f t="shared" ca="1" si="419"/>
        <v>1684118958475580</v>
      </c>
      <c r="AC656" s="20">
        <f t="shared" ca="1" si="420"/>
        <v>403366078207152.06</v>
      </c>
      <c r="AD656" s="20">
        <f t="shared" ca="1" si="421"/>
        <v>301545658696498.63</v>
      </c>
      <c r="AE656" s="20">
        <f t="shared" ca="1" si="422"/>
        <v>6882169248324133</v>
      </c>
      <c r="AG656" s="16">
        <f t="shared" ca="1" si="423"/>
        <v>3.825777164857756E-4</v>
      </c>
      <c r="AH656" s="16">
        <f t="shared" ca="1" si="424"/>
        <v>-5.7551830168800098E-4</v>
      </c>
      <c r="AI656" s="16">
        <f t="shared" ca="1" si="425"/>
        <v>-2.6067124457157428E-4</v>
      </c>
      <c r="AJ656" s="16">
        <f t="shared" ca="1" si="426"/>
        <v>-1.1185658360788103E-3</v>
      </c>
      <c r="AK656" s="16">
        <f t="shared" ca="1" si="427"/>
        <v>9.5961357604145618E-4</v>
      </c>
      <c r="AM656" s="16">
        <f t="shared" ca="1" si="428"/>
        <v>-1.5721776658526099E-3</v>
      </c>
      <c r="AO656" s="16">
        <f t="shared" ca="1" si="429"/>
        <v>0</v>
      </c>
      <c r="AP656" s="16">
        <f t="shared" ca="1" si="430"/>
        <v>-5.7551830168800098E-4</v>
      </c>
      <c r="AQ656" s="16">
        <f t="shared" ca="1" si="431"/>
        <v>-2.6067124457157428E-4</v>
      </c>
      <c r="AR656" s="16">
        <f t="shared" ca="1" si="432"/>
        <v>-1.1185658360788103E-3</v>
      </c>
      <c r="AS656" s="16">
        <f t="shared" ca="1" si="433"/>
        <v>0</v>
      </c>
    </row>
    <row r="657" spans="1:45" x14ac:dyDescent="0.25">
      <c r="A657" s="69">
        <f t="shared" ca="1" si="434"/>
        <v>2452.5910569629609</v>
      </c>
      <c r="B657" s="69">
        <f t="shared" ca="1" si="435"/>
        <v>2138.2676091739422</v>
      </c>
      <c r="C657" s="69">
        <f t="shared" ca="1" si="436"/>
        <v>2233.0177078644583</v>
      </c>
      <c r="D657" s="69">
        <f t="shared" ca="1" si="437"/>
        <v>2902.990449919108</v>
      </c>
      <c r="E657" s="69">
        <f t="shared" ca="1" si="438"/>
        <v>1931.7376237574513</v>
      </c>
      <c r="F657" s="69">
        <f t="shared" ca="1" si="439"/>
        <v>1219.4278911012352</v>
      </c>
      <c r="G657" s="69">
        <f t="shared" ca="1" si="440"/>
        <v>966.68344289988647</v>
      </c>
      <c r="H657" s="69">
        <f t="shared" ca="1" si="441"/>
        <v>1189.2250253500695</v>
      </c>
      <c r="I657" s="69">
        <f t="shared" ca="1" si="442"/>
        <v>1048.8208741801454</v>
      </c>
      <c r="J657" s="69">
        <f t="shared" ca="1" si="443"/>
        <v>1144.7668748816359</v>
      </c>
      <c r="K657" s="69">
        <f t="shared" ca="1" si="444"/>
        <v>1173.4010060125233</v>
      </c>
      <c r="L657" s="69">
        <f t="shared" ca="1" si="445"/>
        <v>957.35537143821216</v>
      </c>
      <c r="M657" s="69">
        <f t="shared" ca="1" si="446"/>
        <v>992.37372305802546</v>
      </c>
      <c r="N657" s="69">
        <f t="shared" ca="1" si="447"/>
        <v>573.25987717748626</v>
      </c>
      <c r="O657" s="69">
        <f t="shared" ca="1" si="448"/>
        <v>631.0150646790305</v>
      </c>
      <c r="P657" s="69">
        <f t="shared" ca="1" si="449"/>
        <v>721.66933376081715</v>
      </c>
      <c r="Q657" s="69">
        <f t="shared" ca="1" si="450"/>
        <v>960.66762602129302</v>
      </c>
      <c r="R657" s="69">
        <f t="shared" ca="1" si="451"/>
        <v>781.6070882467227</v>
      </c>
      <c r="S657" s="69">
        <f t="shared" ca="1" si="452"/>
        <v>700.60953494698833</v>
      </c>
      <c r="T657" s="69">
        <f t="shared" ca="1" si="453"/>
        <v>793.39846176449907</v>
      </c>
      <c r="U657" s="69">
        <f t="shared" ca="1" si="454"/>
        <v>1693.9796446732532</v>
      </c>
      <c r="V657" s="69">
        <f t="shared" ca="1" si="455"/>
        <v>1915.4948387798199</v>
      </c>
      <c r="W657" s="69">
        <f t="shared" ca="1" si="456"/>
        <v>1182.7921093368516</v>
      </c>
      <c r="X657" s="69">
        <f t="shared" ca="1" si="457"/>
        <v>1489.8181777689613</v>
      </c>
      <c r="Y657" s="69">
        <f t="shared" ca="1" si="458"/>
        <v>1204.7896903096439</v>
      </c>
      <c r="AA657" s="20">
        <f t="shared" ca="1" si="418"/>
        <v>6.5670921476407088E+16</v>
      </c>
      <c r="AB657" s="20">
        <f t="shared" ca="1" si="419"/>
        <v>1683149996047308.3</v>
      </c>
      <c r="AC657" s="20">
        <f t="shared" ca="1" si="420"/>
        <v>403260945972598.38</v>
      </c>
      <c r="AD657" s="20">
        <f t="shared" ca="1" si="421"/>
        <v>301208548599730.5</v>
      </c>
      <c r="AE657" s="20">
        <f t="shared" ca="1" si="422"/>
        <v>6888776641132321</v>
      </c>
      <c r="AG657" s="16">
        <f t="shared" ca="1" si="423"/>
        <v>6.1052718030284113E-5</v>
      </c>
      <c r="AH657" s="16">
        <f t="shared" ca="1" si="424"/>
        <v>-2.2445179124096538E-4</v>
      </c>
      <c r="AI657" s="16">
        <f t="shared" ca="1" si="425"/>
        <v>7.0452993493675398E-5</v>
      </c>
      <c r="AJ657" s="16">
        <f t="shared" ca="1" si="426"/>
        <v>1.0132111011500562E-3</v>
      </c>
      <c r="AK657" s="16">
        <f t="shared" ca="1" si="427"/>
        <v>1.317431212713161E-4</v>
      </c>
      <c r="AM657" s="16">
        <f t="shared" ca="1" si="428"/>
        <v>9.2026502143305029E-4</v>
      </c>
      <c r="AO657" s="16">
        <f t="shared" ca="1" si="429"/>
        <v>0</v>
      </c>
      <c r="AP657" s="16">
        <f t="shared" ca="1" si="430"/>
        <v>-2.2445179124096538E-4</v>
      </c>
      <c r="AQ657" s="16">
        <f t="shared" ca="1" si="431"/>
        <v>0</v>
      </c>
      <c r="AR657" s="16">
        <f t="shared" ca="1" si="432"/>
        <v>0</v>
      </c>
      <c r="AS657" s="16">
        <f t="shared" ca="1" si="433"/>
        <v>0</v>
      </c>
    </row>
    <row r="658" spans="1:45" x14ac:dyDescent="0.25">
      <c r="A658" s="69">
        <f t="shared" ca="1" si="434"/>
        <v>2452.2397448949855</v>
      </c>
      <c r="B658" s="69">
        <f t="shared" ca="1" si="435"/>
        <v>2138.3021768344306</v>
      </c>
      <c r="C658" s="69">
        <f t="shared" ca="1" si="436"/>
        <v>2233.4378630999613</v>
      </c>
      <c r="D658" s="69">
        <f t="shared" ca="1" si="437"/>
        <v>2902.990449919108</v>
      </c>
      <c r="E658" s="69">
        <f t="shared" ca="1" si="438"/>
        <v>1931.7376237574513</v>
      </c>
      <c r="F658" s="69">
        <f t="shared" ca="1" si="439"/>
        <v>1219.4278911012352</v>
      </c>
      <c r="G658" s="69">
        <f t="shared" ca="1" si="440"/>
        <v>966.54471035724885</v>
      </c>
      <c r="H658" s="69">
        <f t="shared" ca="1" si="441"/>
        <v>1188.981903338788</v>
      </c>
      <c r="I658" s="69">
        <f t="shared" ca="1" si="442"/>
        <v>1048.8265344849754</v>
      </c>
      <c r="J658" s="69">
        <f t="shared" ca="1" si="443"/>
        <v>1144.9021186192499</v>
      </c>
      <c r="K658" s="69">
        <f t="shared" ca="1" si="444"/>
        <v>1173.4836785381945</v>
      </c>
      <c r="L658" s="69">
        <f t="shared" ca="1" si="445"/>
        <v>957.35537143821216</v>
      </c>
      <c r="M658" s="69">
        <f t="shared" ca="1" si="446"/>
        <v>992.37372305802546</v>
      </c>
      <c r="N658" s="69">
        <f t="shared" ca="1" si="447"/>
        <v>573.25987717748626</v>
      </c>
      <c r="O658" s="69">
        <f t="shared" ca="1" si="448"/>
        <v>631.0150646790305</v>
      </c>
      <c r="P658" s="69">
        <f t="shared" ca="1" si="449"/>
        <v>721.66933376081715</v>
      </c>
      <c r="Q658" s="69">
        <f t="shared" ca="1" si="450"/>
        <v>960.45774600284358</v>
      </c>
      <c r="R658" s="69">
        <f t="shared" ca="1" si="451"/>
        <v>781.6070882467227</v>
      </c>
      <c r="S658" s="69">
        <f t="shared" ca="1" si="452"/>
        <v>701.10806874102389</v>
      </c>
      <c r="T658" s="69">
        <f t="shared" ca="1" si="453"/>
        <v>793.81144550130944</v>
      </c>
      <c r="U658" s="69">
        <f t="shared" ca="1" si="454"/>
        <v>1694.4382342398301</v>
      </c>
      <c r="V658" s="69">
        <f t="shared" ca="1" si="455"/>
        <v>1915.4948387798199</v>
      </c>
      <c r="W658" s="69">
        <f t="shared" ca="1" si="456"/>
        <v>1182.7921093368516</v>
      </c>
      <c r="X658" s="69">
        <f t="shared" ca="1" si="457"/>
        <v>1489.8181777689613</v>
      </c>
      <c r="Y658" s="69">
        <f t="shared" ca="1" si="458"/>
        <v>1204.6223114407048</v>
      </c>
      <c r="AA658" s="20">
        <f t="shared" ca="1" si="418"/>
        <v>6.5674930987053296E+16</v>
      </c>
      <c r="AB658" s="20">
        <f t="shared" ca="1" si="419"/>
        <v>1682772252409972</v>
      </c>
      <c r="AC658" s="20">
        <f t="shared" ca="1" si="420"/>
        <v>403289357914242.63</v>
      </c>
      <c r="AD658" s="20">
        <f t="shared" ca="1" si="421"/>
        <v>301513891107020.06</v>
      </c>
      <c r="AE658" s="20">
        <f t="shared" ca="1" si="422"/>
        <v>6889684249853055</v>
      </c>
      <c r="AG658" s="16">
        <f t="shared" ca="1" si="423"/>
        <v>4.2057041223075667E-5</v>
      </c>
      <c r="AH658" s="16">
        <f t="shared" ca="1" si="424"/>
        <v>1.7758428590844015E-4</v>
      </c>
      <c r="AI658" s="16">
        <f t="shared" ca="1" si="425"/>
        <v>-4.8961321609093526E-4</v>
      </c>
      <c r="AJ658" s="16">
        <f t="shared" ca="1" si="426"/>
        <v>8.833247365627255E-5</v>
      </c>
      <c r="AK658" s="16">
        <f t="shared" ca="1" si="427"/>
        <v>8.900024480537879E-5</v>
      </c>
      <c r="AM658" s="16">
        <f t="shared" ca="1" si="428"/>
        <v>-1.8163941530314689E-4</v>
      </c>
      <c r="AO658" s="16">
        <f t="shared" ca="1" si="429"/>
        <v>0</v>
      </c>
      <c r="AP658" s="16">
        <f t="shared" ca="1" si="430"/>
        <v>0</v>
      </c>
      <c r="AQ658" s="16">
        <f t="shared" ca="1" si="431"/>
        <v>-4.8961321609093526E-4</v>
      </c>
      <c r="AR658" s="16">
        <f t="shared" ca="1" si="432"/>
        <v>0</v>
      </c>
      <c r="AS658" s="16">
        <f t="shared" ca="1" si="433"/>
        <v>0</v>
      </c>
    </row>
    <row r="659" spans="1:45" x14ac:dyDescent="0.25">
      <c r="A659" s="69">
        <f t="shared" ca="1" si="434"/>
        <v>2452.1284660912024</v>
      </c>
      <c r="B659" s="69">
        <f t="shared" ca="1" si="435"/>
        <v>2138.0193798557116</v>
      </c>
      <c r="C659" s="69">
        <f t="shared" ca="1" si="436"/>
        <v>2233.5055540550734</v>
      </c>
      <c r="D659" s="69">
        <f t="shared" ca="1" si="437"/>
        <v>2902.990449919108</v>
      </c>
      <c r="E659" s="69">
        <f t="shared" ca="1" si="438"/>
        <v>1932.1035117285155</v>
      </c>
      <c r="F659" s="69">
        <f t="shared" ca="1" si="439"/>
        <v>1219.4278911012352</v>
      </c>
      <c r="G659" s="69">
        <f t="shared" ca="1" si="440"/>
        <v>966.52019978718783</v>
      </c>
      <c r="H659" s="69">
        <f t="shared" ca="1" si="441"/>
        <v>1188.981903338788</v>
      </c>
      <c r="I659" s="69">
        <f t="shared" ca="1" si="442"/>
        <v>1048.7690718888321</v>
      </c>
      <c r="J659" s="69">
        <f t="shared" ca="1" si="443"/>
        <v>1145.1972352269252</v>
      </c>
      <c r="K659" s="69">
        <f t="shared" ca="1" si="444"/>
        <v>1173.6639542405967</v>
      </c>
      <c r="L659" s="69">
        <f t="shared" ca="1" si="445"/>
        <v>957.14829573616532</v>
      </c>
      <c r="M659" s="69">
        <f t="shared" ca="1" si="446"/>
        <v>992.59929756453391</v>
      </c>
      <c r="N659" s="69">
        <f t="shared" ca="1" si="447"/>
        <v>573.25375163675722</v>
      </c>
      <c r="O659" s="69">
        <f t="shared" ca="1" si="448"/>
        <v>630.60913751067812</v>
      </c>
      <c r="P659" s="69">
        <f t="shared" ca="1" si="449"/>
        <v>721.23007208264153</v>
      </c>
      <c r="Q659" s="69">
        <f t="shared" ca="1" si="450"/>
        <v>960.85191854232619</v>
      </c>
      <c r="R659" s="69">
        <f t="shared" ca="1" si="451"/>
        <v>781.83134450411694</v>
      </c>
      <c r="S659" s="69">
        <f t="shared" ca="1" si="452"/>
        <v>701.10806874102389</v>
      </c>
      <c r="T659" s="69">
        <f t="shared" ca="1" si="453"/>
        <v>793.81144550130944</v>
      </c>
      <c r="U659" s="69">
        <f t="shared" ca="1" si="454"/>
        <v>1693.9884009282489</v>
      </c>
      <c r="V659" s="69">
        <f t="shared" ca="1" si="455"/>
        <v>1915.4948387798199</v>
      </c>
      <c r="W659" s="69">
        <f t="shared" ca="1" si="456"/>
        <v>1183.2325246927869</v>
      </c>
      <c r="X659" s="69">
        <f t="shared" ca="1" si="457"/>
        <v>1489.4412528981156</v>
      </c>
      <c r="Y659" s="69">
        <f t="shared" ca="1" si="458"/>
        <v>1204.9057459915346</v>
      </c>
      <c r="AA659" s="20">
        <f t="shared" ca="1" si="418"/>
        <v>6.5677693138416688E+16</v>
      </c>
      <c r="AB659" s="20">
        <f t="shared" ca="1" si="419"/>
        <v>1683071112854436.8</v>
      </c>
      <c r="AC659" s="20">
        <f t="shared" ca="1" si="420"/>
        <v>403091950445295.44</v>
      </c>
      <c r="AD659" s="20">
        <f t="shared" ca="1" si="421"/>
        <v>301540525751197.94</v>
      </c>
      <c r="AE659" s="20">
        <f t="shared" ca="1" si="422"/>
        <v>6890297460725478</v>
      </c>
      <c r="AG659" s="16">
        <f t="shared" ca="1" si="423"/>
        <v>8.9305455321094521E-5</v>
      </c>
      <c r="AH659" s="16">
        <f t="shared" ca="1" si="424"/>
        <v>-1.4252642056371111E-4</v>
      </c>
      <c r="AI659" s="16">
        <f t="shared" ca="1" si="425"/>
        <v>-2.7139094225873576E-4</v>
      </c>
      <c r="AJ659" s="16">
        <f t="shared" ca="1" si="426"/>
        <v>1.9490331915411396E-4</v>
      </c>
      <c r="AK659" s="16">
        <f t="shared" ca="1" si="427"/>
        <v>6.0999737588564209E-4</v>
      </c>
      <c r="AM659" s="16">
        <f t="shared" ca="1" si="428"/>
        <v>-1.2970858834723836E-4</v>
      </c>
      <c r="AO659" s="16">
        <f t="shared" ca="1" si="429"/>
        <v>0</v>
      </c>
      <c r="AP659" s="16">
        <f t="shared" ca="1" si="430"/>
        <v>-1.4252642056371111E-4</v>
      </c>
      <c r="AQ659" s="16">
        <f t="shared" ca="1" si="431"/>
        <v>-2.7139094225873576E-4</v>
      </c>
      <c r="AR659" s="16">
        <f t="shared" ca="1" si="432"/>
        <v>0</v>
      </c>
      <c r="AS659" s="16">
        <f t="shared" ca="1" si="433"/>
        <v>0</v>
      </c>
    </row>
    <row r="660" spans="1:45" x14ac:dyDescent="0.25">
      <c r="A660" s="69">
        <f t="shared" ca="1" si="434"/>
        <v>2452.0491683485711</v>
      </c>
      <c r="B660" s="69">
        <f t="shared" ca="1" si="435"/>
        <v>2138.3661729682713</v>
      </c>
      <c r="C660" s="69">
        <f t="shared" ca="1" si="436"/>
        <v>2233.5055540550734</v>
      </c>
      <c r="D660" s="69">
        <f t="shared" ca="1" si="437"/>
        <v>2902.5025589180027</v>
      </c>
      <c r="E660" s="69">
        <f t="shared" ca="1" si="438"/>
        <v>1932.34993551547</v>
      </c>
      <c r="F660" s="69">
        <f t="shared" ca="1" si="439"/>
        <v>1219.4278911012352</v>
      </c>
      <c r="G660" s="69">
        <f t="shared" ca="1" si="440"/>
        <v>966.38245493908278</v>
      </c>
      <c r="H660" s="69">
        <f t="shared" ca="1" si="441"/>
        <v>1188.981903338788</v>
      </c>
      <c r="I660" s="69">
        <f t="shared" ca="1" si="442"/>
        <v>1048.7690718888321</v>
      </c>
      <c r="J660" s="69">
        <f t="shared" ca="1" si="443"/>
        <v>1145.1972352269252</v>
      </c>
      <c r="K660" s="69">
        <f t="shared" ca="1" si="444"/>
        <v>1173.3809354510652</v>
      </c>
      <c r="L660" s="69">
        <f t="shared" ca="1" si="445"/>
        <v>957.14829573616532</v>
      </c>
      <c r="M660" s="69">
        <f t="shared" ca="1" si="446"/>
        <v>992.66794151351462</v>
      </c>
      <c r="N660" s="69">
        <f t="shared" ca="1" si="447"/>
        <v>573.01313581108764</v>
      </c>
      <c r="O660" s="69">
        <f t="shared" ca="1" si="448"/>
        <v>630.81124932628563</v>
      </c>
      <c r="P660" s="69">
        <f t="shared" ca="1" si="449"/>
        <v>721.46192885093319</v>
      </c>
      <c r="Q660" s="69">
        <f t="shared" ca="1" si="450"/>
        <v>960.85191854232619</v>
      </c>
      <c r="R660" s="69">
        <f t="shared" ca="1" si="451"/>
        <v>781.66058725868265</v>
      </c>
      <c r="S660" s="69">
        <f t="shared" ca="1" si="452"/>
        <v>700.95069146823914</v>
      </c>
      <c r="T660" s="69">
        <f t="shared" ca="1" si="453"/>
        <v>794.0626519954277</v>
      </c>
      <c r="U660" s="69">
        <f t="shared" ca="1" si="454"/>
        <v>1693.9884009282489</v>
      </c>
      <c r="V660" s="69">
        <f t="shared" ca="1" si="455"/>
        <v>1915.4948387798199</v>
      </c>
      <c r="W660" s="69">
        <f t="shared" ca="1" si="456"/>
        <v>1183.2325246927869</v>
      </c>
      <c r="X660" s="69">
        <f t="shared" ca="1" si="457"/>
        <v>1489.8231464216422</v>
      </c>
      <c r="Y660" s="69">
        <f t="shared" ca="1" si="458"/>
        <v>1205.3319118126631</v>
      </c>
      <c r="AA660" s="20">
        <f t="shared" ca="1" si="418"/>
        <v>6.5683558776619704E+16</v>
      </c>
      <c r="AB660" s="20">
        <f t="shared" ca="1" si="419"/>
        <v>1682831247847124</v>
      </c>
      <c r="AC660" s="20">
        <f t="shared" ca="1" si="420"/>
        <v>402982569784178.88</v>
      </c>
      <c r="AD660" s="20">
        <f t="shared" ca="1" si="421"/>
        <v>301599302728254.25</v>
      </c>
      <c r="AE660" s="20">
        <f t="shared" ca="1" si="422"/>
        <v>6894501806285103</v>
      </c>
      <c r="AG660" s="16">
        <f t="shared" ca="1" si="423"/>
        <v>5.2633217922629007E-4</v>
      </c>
      <c r="AH660" s="16">
        <f t="shared" ca="1" si="424"/>
        <v>3.2940959908646161E-4</v>
      </c>
      <c r="AI660" s="16">
        <f t="shared" ca="1" si="425"/>
        <v>1.3081554349417971E-3</v>
      </c>
      <c r="AJ660" s="16">
        <f t="shared" ca="1" si="426"/>
        <v>-6.7741515090256313E-4</v>
      </c>
      <c r="AK660" s="16">
        <f t="shared" ca="1" si="427"/>
        <v>3.4797536493023391E-4</v>
      </c>
      <c r="AM660" s="16">
        <f t="shared" ca="1" si="428"/>
        <v>1.4864820623519855E-3</v>
      </c>
      <c r="AO660" s="16">
        <f t="shared" ca="1" si="429"/>
        <v>0</v>
      </c>
      <c r="AP660" s="16">
        <f t="shared" ca="1" si="430"/>
        <v>0</v>
      </c>
      <c r="AQ660" s="16">
        <f t="shared" ca="1" si="431"/>
        <v>0</v>
      </c>
      <c r="AR660" s="16">
        <f t="shared" ca="1" si="432"/>
        <v>-6.7741515090256313E-4</v>
      </c>
      <c r="AS660" s="16">
        <f t="shared" ca="1" si="433"/>
        <v>0</v>
      </c>
    </row>
    <row r="661" spans="1:45" x14ac:dyDescent="0.25">
      <c r="A661" s="69">
        <f t="shared" ca="1" si="434"/>
        <v>2452.1613098900261</v>
      </c>
      <c r="B661" s="69">
        <f t="shared" ca="1" si="435"/>
        <v>2138.7308918910635</v>
      </c>
      <c r="C661" s="69">
        <f t="shared" ca="1" si="436"/>
        <v>2233.5855623621001</v>
      </c>
      <c r="D661" s="69">
        <f t="shared" ca="1" si="437"/>
        <v>2902.9971959156333</v>
      </c>
      <c r="E661" s="69">
        <f t="shared" ca="1" si="438"/>
        <v>1932.550582270632</v>
      </c>
      <c r="F661" s="69">
        <f t="shared" ca="1" si="439"/>
        <v>1219.4150631359064</v>
      </c>
      <c r="G661" s="69">
        <f t="shared" ca="1" si="440"/>
        <v>966.69419392504733</v>
      </c>
      <c r="H661" s="69">
        <f t="shared" ca="1" si="441"/>
        <v>1189.4415821038629</v>
      </c>
      <c r="I661" s="69">
        <f t="shared" ca="1" si="442"/>
        <v>1048.7690718888321</v>
      </c>
      <c r="J661" s="69">
        <f t="shared" ca="1" si="443"/>
        <v>1144.7745718790679</v>
      </c>
      <c r="K661" s="69">
        <f t="shared" ca="1" si="444"/>
        <v>1173.1251343895515</v>
      </c>
      <c r="L661" s="69">
        <f t="shared" ca="1" si="445"/>
        <v>957.50494992104939</v>
      </c>
      <c r="M661" s="69">
        <f t="shared" ca="1" si="446"/>
        <v>992.72435068031825</v>
      </c>
      <c r="N661" s="69">
        <f t="shared" ca="1" si="447"/>
        <v>573.41008297823714</v>
      </c>
      <c r="O661" s="69">
        <f t="shared" ca="1" si="448"/>
        <v>631.06634381513481</v>
      </c>
      <c r="P661" s="69">
        <f t="shared" ca="1" si="449"/>
        <v>721.14831413206264</v>
      </c>
      <c r="Q661" s="69">
        <f t="shared" ca="1" si="450"/>
        <v>960.85191854232619</v>
      </c>
      <c r="R661" s="69">
        <f t="shared" ca="1" si="451"/>
        <v>781.28119359316315</v>
      </c>
      <c r="S661" s="69">
        <f t="shared" ca="1" si="452"/>
        <v>700.95069146823914</v>
      </c>
      <c r="T661" s="69">
        <f t="shared" ca="1" si="453"/>
        <v>794.25552096436718</v>
      </c>
      <c r="U661" s="69">
        <f t="shared" ca="1" si="454"/>
        <v>1693.8597061527241</v>
      </c>
      <c r="V661" s="69">
        <f t="shared" ca="1" si="455"/>
        <v>1915.7535491368185</v>
      </c>
      <c r="W661" s="69">
        <f t="shared" ca="1" si="456"/>
        <v>1183.2325246927869</v>
      </c>
      <c r="X661" s="69">
        <f t="shared" ca="1" si="457"/>
        <v>1490.1326342163409</v>
      </c>
      <c r="Y661" s="69">
        <f t="shared" ca="1" si="458"/>
        <v>1205.4297693648937</v>
      </c>
      <c r="AA661" s="20">
        <f t="shared" ca="1" si="418"/>
        <v>6.571813924685876E+16</v>
      </c>
      <c r="AB661" s="20">
        <f t="shared" ca="1" si="419"/>
        <v>1683385679926418.5</v>
      </c>
      <c r="AC661" s="20">
        <f t="shared" ca="1" si="420"/>
        <v>403510078579551.81</v>
      </c>
      <c r="AD661" s="20">
        <f t="shared" ca="1" si="421"/>
        <v>301395063976107.31</v>
      </c>
      <c r="AE661" s="20">
        <f t="shared" ca="1" si="422"/>
        <v>6896901340532347</v>
      </c>
      <c r="AG661" s="16">
        <f t="shared" ca="1" si="423"/>
        <v>-1.6739488509304382E-5</v>
      </c>
      <c r="AH661" s="16">
        <f t="shared" ca="1" si="424"/>
        <v>-2.0085803381540211E-4</v>
      </c>
      <c r="AI661" s="16">
        <f t="shared" ca="1" si="425"/>
        <v>2.6129621255873212E-5</v>
      </c>
      <c r="AJ661" s="16">
        <f t="shared" ca="1" si="426"/>
        <v>7.5276650406249453E-4</v>
      </c>
      <c r="AK661" s="16">
        <f t="shared" ca="1" si="427"/>
        <v>8.5891941113056254E-5</v>
      </c>
      <c r="AM661" s="16">
        <f t="shared" ca="1" si="428"/>
        <v>5.612986029936613E-4</v>
      </c>
      <c r="AO661" s="16">
        <f t="shared" ca="1" si="429"/>
        <v>-1.6739488509304382E-5</v>
      </c>
      <c r="AP661" s="16">
        <f t="shared" ca="1" si="430"/>
        <v>-2.0085803381540211E-4</v>
      </c>
      <c r="AQ661" s="16">
        <f t="shared" ca="1" si="431"/>
        <v>0</v>
      </c>
      <c r="AR661" s="16">
        <f t="shared" ca="1" si="432"/>
        <v>0</v>
      </c>
      <c r="AS661" s="16">
        <f t="shared" ca="1" si="433"/>
        <v>0</v>
      </c>
    </row>
    <row r="662" spans="1:45" x14ac:dyDescent="0.25">
      <c r="A662" s="69">
        <f t="shared" ca="1" si="434"/>
        <v>2452.1613098900261</v>
      </c>
      <c r="B662" s="69">
        <f t="shared" ca="1" si="435"/>
        <v>2138.7308918910635</v>
      </c>
      <c r="C662" s="69">
        <f t="shared" ca="1" si="436"/>
        <v>2233.5855623621001</v>
      </c>
      <c r="D662" s="69">
        <f t="shared" ca="1" si="437"/>
        <v>2902.9486016341525</v>
      </c>
      <c r="E662" s="69">
        <f t="shared" ca="1" si="438"/>
        <v>1932.550582270632</v>
      </c>
      <c r="F662" s="69">
        <f t="shared" ca="1" si="439"/>
        <v>1219.1701584202833</v>
      </c>
      <c r="G662" s="69">
        <f t="shared" ca="1" si="440"/>
        <v>966.69419392504733</v>
      </c>
      <c r="H662" s="69">
        <f t="shared" ca="1" si="441"/>
        <v>1189.4415821038629</v>
      </c>
      <c r="I662" s="69">
        <f t="shared" ca="1" si="442"/>
        <v>1048.7690718888321</v>
      </c>
      <c r="J662" s="69">
        <f t="shared" ca="1" si="443"/>
        <v>1144.7745718790679</v>
      </c>
      <c r="K662" s="69">
        <f t="shared" ca="1" si="444"/>
        <v>1173.1251343895515</v>
      </c>
      <c r="L662" s="69">
        <f t="shared" ca="1" si="445"/>
        <v>957.74943828110975</v>
      </c>
      <c r="M662" s="69">
        <f t="shared" ca="1" si="446"/>
        <v>992.72435068031825</v>
      </c>
      <c r="N662" s="69">
        <f t="shared" ca="1" si="447"/>
        <v>573.35313924705713</v>
      </c>
      <c r="O662" s="69">
        <f t="shared" ca="1" si="448"/>
        <v>630.98439590103487</v>
      </c>
      <c r="P662" s="69">
        <f t="shared" ca="1" si="449"/>
        <v>720.83874769263946</v>
      </c>
      <c r="Q662" s="69">
        <f t="shared" ca="1" si="450"/>
        <v>960.49427149878056</v>
      </c>
      <c r="R662" s="69">
        <f t="shared" ca="1" si="451"/>
        <v>781.6872101631501</v>
      </c>
      <c r="S662" s="69">
        <f t="shared" ca="1" si="452"/>
        <v>701.3357724962159</v>
      </c>
      <c r="T662" s="69">
        <f t="shared" ca="1" si="453"/>
        <v>794.64134574462571</v>
      </c>
      <c r="U662" s="69">
        <f t="shared" ca="1" si="454"/>
        <v>1693.9821052086131</v>
      </c>
      <c r="V662" s="69">
        <f t="shared" ca="1" si="455"/>
        <v>1916.1855003613896</v>
      </c>
      <c r="W662" s="69">
        <f t="shared" ca="1" si="456"/>
        <v>1183.4278834823215</v>
      </c>
      <c r="X662" s="69">
        <f t="shared" ca="1" si="457"/>
        <v>1489.9802500875692</v>
      </c>
      <c r="Y662" s="69">
        <f t="shared" ca="1" si="458"/>
        <v>1205.0987570723194</v>
      </c>
      <c r="AA662" s="20">
        <f t="shared" ca="1" si="418"/>
        <v>6.5717039168029392E+16</v>
      </c>
      <c r="AB662" s="20">
        <f t="shared" ca="1" si="419"/>
        <v>1683047592343535.8</v>
      </c>
      <c r="AC662" s="20">
        <f t="shared" ca="1" si="420"/>
        <v>403520622282828.94</v>
      </c>
      <c r="AD662" s="20">
        <f t="shared" ca="1" si="421"/>
        <v>301622029500062.69</v>
      </c>
      <c r="AE662" s="20">
        <f t="shared" ca="1" si="422"/>
        <v>6897493754217567</v>
      </c>
      <c r="AG662" s="16">
        <f t="shared" ca="1" si="423"/>
        <v>1.8896715407537703E-4</v>
      </c>
      <c r="AH662" s="16">
        <f t="shared" ca="1" si="424"/>
        <v>-2.5787312825854028E-4</v>
      </c>
      <c r="AI662" s="16">
        <f t="shared" ca="1" si="425"/>
        <v>-3.8685854132107202E-4</v>
      </c>
      <c r="AJ662" s="16">
        <f t="shared" ca="1" si="426"/>
        <v>3.3512897808494102E-4</v>
      </c>
      <c r="AK662" s="16">
        <f t="shared" ca="1" si="427"/>
        <v>6.2254810835796201E-5</v>
      </c>
      <c r="AM662" s="16">
        <f t="shared" ca="1" si="428"/>
        <v>-1.2063553741929425E-4</v>
      </c>
      <c r="AO662" s="16">
        <f t="shared" ca="1" si="429"/>
        <v>0</v>
      </c>
      <c r="AP662" s="16">
        <f t="shared" ca="1" si="430"/>
        <v>-2.5787312825854028E-4</v>
      </c>
      <c r="AQ662" s="16">
        <f t="shared" ca="1" si="431"/>
        <v>-3.8685854132107202E-4</v>
      </c>
      <c r="AR662" s="16">
        <f t="shared" ca="1" si="432"/>
        <v>0</v>
      </c>
      <c r="AS662" s="16">
        <f t="shared" ca="1" si="433"/>
        <v>0</v>
      </c>
    </row>
    <row r="663" spans="1:45" x14ac:dyDescent="0.25">
      <c r="A663" s="69">
        <f t="shared" ca="1" si="434"/>
        <v>2451.9136703538998</v>
      </c>
      <c r="B663" s="69">
        <f t="shared" ca="1" si="435"/>
        <v>2138.9891554552064</v>
      </c>
      <c r="C663" s="69">
        <f t="shared" ca="1" si="436"/>
        <v>2233.9635444815776</v>
      </c>
      <c r="D663" s="69">
        <f t="shared" ca="1" si="437"/>
        <v>2902.9486016341525</v>
      </c>
      <c r="E663" s="69">
        <f t="shared" ca="1" si="438"/>
        <v>1932.550582270632</v>
      </c>
      <c r="F663" s="69">
        <f t="shared" ca="1" si="439"/>
        <v>1219.1701584202833</v>
      </c>
      <c r="G663" s="69">
        <f t="shared" ca="1" si="440"/>
        <v>966.52717319220835</v>
      </c>
      <c r="H663" s="69">
        <f t="shared" ca="1" si="441"/>
        <v>1189.4415821038629</v>
      </c>
      <c r="I663" s="69">
        <f t="shared" ca="1" si="442"/>
        <v>1048.8017323805623</v>
      </c>
      <c r="J663" s="69">
        <f t="shared" ca="1" si="443"/>
        <v>1144.6415289808731</v>
      </c>
      <c r="K663" s="69">
        <f t="shared" ca="1" si="444"/>
        <v>1172.6255857684876</v>
      </c>
      <c r="L663" s="69">
        <f t="shared" ca="1" si="445"/>
        <v>958.11474458574492</v>
      </c>
      <c r="M663" s="69">
        <f t="shared" ca="1" si="446"/>
        <v>992.72435068031825</v>
      </c>
      <c r="N663" s="69">
        <f t="shared" ca="1" si="447"/>
        <v>573.35313924705713</v>
      </c>
      <c r="O663" s="69">
        <f t="shared" ca="1" si="448"/>
        <v>630.76845353746137</v>
      </c>
      <c r="P663" s="69">
        <f t="shared" ca="1" si="449"/>
        <v>720.99277262107171</v>
      </c>
      <c r="Q663" s="69">
        <f t="shared" ca="1" si="450"/>
        <v>960.60071515899017</v>
      </c>
      <c r="R663" s="69">
        <f t="shared" ca="1" si="451"/>
        <v>781.56426473813292</v>
      </c>
      <c r="S663" s="69">
        <f t="shared" ca="1" si="452"/>
        <v>701.54145239863499</v>
      </c>
      <c r="T663" s="69">
        <f t="shared" ca="1" si="453"/>
        <v>794.54180747993678</v>
      </c>
      <c r="U663" s="69">
        <f t="shared" ca="1" si="454"/>
        <v>1694.1732995711359</v>
      </c>
      <c r="V663" s="69">
        <f t="shared" ca="1" si="455"/>
        <v>1916.1855003613896</v>
      </c>
      <c r="W663" s="69">
        <f t="shared" ca="1" si="456"/>
        <v>1183.8180257340146</v>
      </c>
      <c r="X663" s="69">
        <f t="shared" ca="1" si="457"/>
        <v>1489.8504594880437</v>
      </c>
      <c r="Y663" s="69">
        <f t="shared" ca="1" si="458"/>
        <v>1204.7455824501706</v>
      </c>
      <c r="AA663" s="20">
        <f t="shared" ca="1" si="418"/>
        <v>6.5729458703300392E+16</v>
      </c>
      <c r="AB663" s="20">
        <f t="shared" ca="1" si="419"/>
        <v>1682613635551192.8</v>
      </c>
      <c r="AC663" s="20">
        <f t="shared" ca="1" si="420"/>
        <v>403364547074959.75</v>
      </c>
      <c r="AD663" s="20">
        <f t="shared" ca="1" si="421"/>
        <v>301723128722270.25</v>
      </c>
      <c r="AE663" s="20">
        <f t="shared" ca="1" si="422"/>
        <v>6897923169752929</v>
      </c>
      <c r="AG663" s="16">
        <f t="shared" ca="1" si="423"/>
        <v>-8.55078203661839E-6</v>
      </c>
      <c r="AH663" s="16">
        <f t="shared" ca="1" si="424"/>
        <v>7.1966864213179535E-4</v>
      </c>
      <c r="AI663" s="16">
        <f t="shared" ca="1" si="425"/>
        <v>-4.6826948629689392E-4</v>
      </c>
      <c r="AJ663" s="16">
        <f t="shared" ca="1" si="426"/>
        <v>-8.0406454901564984E-4</v>
      </c>
      <c r="AK663" s="16">
        <f t="shared" ca="1" si="427"/>
        <v>-1.2605391979703253E-4</v>
      </c>
      <c r="AM663" s="16">
        <f t="shared" ca="1" si="428"/>
        <v>-5.6121617521736678E-4</v>
      </c>
      <c r="AO663" s="16">
        <f t="shared" ca="1" si="429"/>
        <v>-8.55078203661839E-6</v>
      </c>
      <c r="AP663" s="16">
        <f t="shared" ca="1" si="430"/>
        <v>0</v>
      </c>
      <c r="AQ663" s="16">
        <f t="shared" ca="1" si="431"/>
        <v>-4.6826948629689392E-4</v>
      </c>
      <c r="AR663" s="16">
        <f t="shared" ca="1" si="432"/>
        <v>-8.0406454901564984E-4</v>
      </c>
      <c r="AS663" s="16">
        <f t="shared" ca="1" si="433"/>
        <v>-1.2605391979703253E-4</v>
      </c>
    </row>
    <row r="664" spans="1:45" x14ac:dyDescent="0.25">
      <c r="A664" s="69">
        <f t="shared" ca="1" si="434"/>
        <v>2451.9136703538998</v>
      </c>
      <c r="B664" s="69">
        <f t="shared" ca="1" si="435"/>
        <v>2138.8330410589597</v>
      </c>
      <c r="C664" s="69">
        <f t="shared" ca="1" si="436"/>
        <v>2233.9635444815776</v>
      </c>
      <c r="D664" s="69">
        <f t="shared" ca="1" si="437"/>
        <v>2903.1356649862</v>
      </c>
      <c r="E664" s="69">
        <f t="shared" ca="1" si="438"/>
        <v>1932.550582270632</v>
      </c>
      <c r="F664" s="69">
        <f t="shared" ca="1" si="439"/>
        <v>1219.20421838376</v>
      </c>
      <c r="G664" s="69">
        <f t="shared" ca="1" si="440"/>
        <v>966.52717319220835</v>
      </c>
      <c r="H664" s="69">
        <f t="shared" ca="1" si="441"/>
        <v>1189.743026774087</v>
      </c>
      <c r="I664" s="69">
        <f t="shared" ca="1" si="442"/>
        <v>1049.0142546072011</v>
      </c>
      <c r="J664" s="69">
        <f t="shared" ca="1" si="443"/>
        <v>1144.9113728465961</v>
      </c>
      <c r="K664" s="69">
        <f t="shared" ca="1" si="444"/>
        <v>1172.247347695454</v>
      </c>
      <c r="L664" s="69">
        <f t="shared" ca="1" si="445"/>
        <v>958.43207121636635</v>
      </c>
      <c r="M664" s="69">
        <f t="shared" ca="1" si="446"/>
        <v>992.49185776962577</v>
      </c>
      <c r="N664" s="69">
        <f t="shared" ca="1" si="447"/>
        <v>573.35313924705713</v>
      </c>
      <c r="O664" s="69">
        <f t="shared" ca="1" si="448"/>
        <v>630.61545979599282</v>
      </c>
      <c r="P664" s="69">
        <f t="shared" ca="1" si="449"/>
        <v>720.99277262107171</v>
      </c>
      <c r="Q664" s="69">
        <f t="shared" ca="1" si="450"/>
        <v>960.60071515899017</v>
      </c>
      <c r="R664" s="69">
        <f t="shared" ca="1" si="451"/>
        <v>781.56426473813292</v>
      </c>
      <c r="S664" s="69">
        <f t="shared" ca="1" si="452"/>
        <v>701.26951070666701</v>
      </c>
      <c r="T664" s="69">
        <f t="shared" ca="1" si="453"/>
        <v>794.21106498830454</v>
      </c>
      <c r="U664" s="69">
        <f t="shared" ca="1" si="454"/>
        <v>1694.5615135402386</v>
      </c>
      <c r="V664" s="69">
        <f t="shared" ca="1" si="455"/>
        <v>1916.1855003613896</v>
      </c>
      <c r="W664" s="69">
        <f t="shared" ca="1" si="456"/>
        <v>1183.6518016642476</v>
      </c>
      <c r="X664" s="69">
        <f t="shared" ca="1" si="457"/>
        <v>1489.5305472162661</v>
      </c>
      <c r="Y664" s="69">
        <f t="shared" ca="1" si="458"/>
        <v>1204.7455824501706</v>
      </c>
      <c r="AA664" s="20">
        <f t="shared" ca="1" si="418"/>
        <v>6.572889666742856E+16</v>
      </c>
      <c r="AB664" s="20">
        <f t="shared" ca="1" si="419"/>
        <v>1683824995658181.5</v>
      </c>
      <c r="AC664" s="20">
        <f t="shared" ca="1" si="420"/>
        <v>403175707982953.56</v>
      </c>
      <c r="AD664" s="20">
        <f t="shared" ca="1" si="421"/>
        <v>301480621359698.63</v>
      </c>
      <c r="AE664" s="20">
        <f t="shared" ca="1" si="422"/>
        <v>6897053714299208</v>
      </c>
      <c r="AG664" s="16">
        <f t="shared" ca="1" si="423"/>
        <v>-7.9191355558704232E-5</v>
      </c>
      <c r="AH664" s="16">
        <f t="shared" ca="1" si="424"/>
        <v>1.2754592196834082E-4</v>
      </c>
      <c r="AI664" s="16">
        <f t="shared" ca="1" si="425"/>
        <v>-7.9310499870541274E-4</v>
      </c>
      <c r="AJ664" s="16">
        <f t="shared" ca="1" si="426"/>
        <v>6.3698830245251606E-4</v>
      </c>
      <c r="AK664" s="16">
        <f t="shared" ca="1" si="427"/>
        <v>-2.3735015252966487E-4</v>
      </c>
      <c r="AM664" s="16">
        <f t="shared" ca="1" si="428"/>
        <v>-1.0776212984326013E-4</v>
      </c>
      <c r="AO664" s="16">
        <f t="shared" ca="1" si="429"/>
        <v>-7.9191355558704232E-5</v>
      </c>
      <c r="AP664" s="16">
        <f t="shared" ca="1" si="430"/>
        <v>0</v>
      </c>
      <c r="AQ664" s="16">
        <f t="shared" ca="1" si="431"/>
        <v>-7.9310499870541274E-4</v>
      </c>
      <c r="AR664" s="16">
        <f t="shared" ca="1" si="432"/>
        <v>0</v>
      </c>
      <c r="AS664" s="16">
        <f t="shared" ca="1" si="433"/>
        <v>-2.3735015252966487E-4</v>
      </c>
    </row>
    <row r="665" spans="1:45" x14ac:dyDescent="0.25">
      <c r="A665" s="69">
        <f t="shared" ca="1" si="434"/>
        <v>2451.8472412820397</v>
      </c>
      <c r="B665" s="69">
        <f t="shared" ca="1" si="435"/>
        <v>2138.8330410589597</v>
      </c>
      <c r="C665" s="69">
        <f t="shared" ca="1" si="436"/>
        <v>2233.9635444815776</v>
      </c>
      <c r="D665" s="69">
        <f t="shared" ca="1" si="437"/>
        <v>2903.1356649862</v>
      </c>
      <c r="E665" s="69">
        <f t="shared" ca="1" si="438"/>
        <v>1932.4499024024033</v>
      </c>
      <c r="F665" s="69">
        <f t="shared" ca="1" si="439"/>
        <v>1219.4463659519599</v>
      </c>
      <c r="G665" s="69">
        <f t="shared" ca="1" si="440"/>
        <v>966.70794406311677</v>
      </c>
      <c r="H665" s="69">
        <f t="shared" ca="1" si="441"/>
        <v>1189.6830256866861</v>
      </c>
      <c r="I665" s="69">
        <f t="shared" ca="1" si="442"/>
        <v>1048.9215279922823</v>
      </c>
      <c r="J665" s="69">
        <f t="shared" ca="1" si="443"/>
        <v>1144.7748752921427</v>
      </c>
      <c r="K665" s="69">
        <f t="shared" ca="1" si="444"/>
        <v>1172.247347695454</v>
      </c>
      <c r="L665" s="69">
        <f t="shared" ca="1" si="445"/>
        <v>958.48214538153798</v>
      </c>
      <c r="M665" s="69">
        <f t="shared" ca="1" si="446"/>
        <v>992.26888732159568</v>
      </c>
      <c r="N665" s="69">
        <f t="shared" ca="1" si="447"/>
        <v>573.34208369930423</v>
      </c>
      <c r="O665" s="69">
        <f t="shared" ca="1" si="448"/>
        <v>630.23633134684997</v>
      </c>
      <c r="P665" s="69">
        <f t="shared" ca="1" si="449"/>
        <v>720.99277262107171</v>
      </c>
      <c r="Q665" s="69">
        <f t="shared" ca="1" si="450"/>
        <v>960.60071515899017</v>
      </c>
      <c r="R665" s="69">
        <f t="shared" ca="1" si="451"/>
        <v>781.56426473813292</v>
      </c>
      <c r="S665" s="69">
        <f t="shared" ca="1" si="452"/>
        <v>701.71635348355562</v>
      </c>
      <c r="T665" s="69">
        <f t="shared" ca="1" si="453"/>
        <v>794.21106498830454</v>
      </c>
      <c r="U665" s="69">
        <f t="shared" ca="1" si="454"/>
        <v>1694.4772817037838</v>
      </c>
      <c r="V665" s="69">
        <f t="shared" ca="1" si="455"/>
        <v>1915.9809808734478</v>
      </c>
      <c r="W665" s="69">
        <f t="shared" ca="1" si="456"/>
        <v>1183.6518016642476</v>
      </c>
      <c r="X665" s="69">
        <f t="shared" ca="1" si="457"/>
        <v>1489.3598961381717</v>
      </c>
      <c r="Y665" s="69">
        <f t="shared" ca="1" si="458"/>
        <v>1204.7861470806799</v>
      </c>
      <c r="AA665" s="20">
        <f t="shared" ca="1" si="418"/>
        <v>6.5723691713098504E+16</v>
      </c>
      <c r="AB665" s="20">
        <f t="shared" ca="1" si="419"/>
        <v>1684039774366469.3</v>
      </c>
      <c r="AC665" s="20">
        <f t="shared" ca="1" si="420"/>
        <v>402856074081972.56</v>
      </c>
      <c r="AD665" s="20">
        <f t="shared" ca="1" si="421"/>
        <v>301672722165408.44</v>
      </c>
      <c r="AE665" s="20">
        <f t="shared" ca="1" si="422"/>
        <v>6895416891805832</v>
      </c>
      <c r="AG665" s="16">
        <f t="shared" ca="1" si="423"/>
        <v>-1.1777176265656027E-4</v>
      </c>
      <c r="AH665" s="16">
        <f t="shared" ca="1" si="424"/>
        <v>1.3094131895110268E-4</v>
      </c>
      <c r="AI665" s="16">
        <f t="shared" ca="1" si="425"/>
        <v>2.6329796183022225E-4</v>
      </c>
      <c r="AJ665" s="16">
        <f t="shared" ca="1" si="426"/>
        <v>-1.1483420083398836E-3</v>
      </c>
      <c r="AK665" s="16">
        <f t="shared" ca="1" si="427"/>
        <v>2.9797590771520323E-5</v>
      </c>
      <c r="AM665" s="16">
        <f t="shared" ca="1" si="428"/>
        <v>-8.7187449021511895E-4</v>
      </c>
      <c r="AO665" s="16">
        <f t="shared" ca="1" si="429"/>
        <v>-1.1777176265656027E-4</v>
      </c>
      <c r="AP665" s="16">
        <f t="shared" ca="1" si="430"/>
        <v>0</v>
      </c>
      <c r="AQ665" s="16">
        <f t="shared" ca="1" si="431"/>
        <v>0</v>
      </c>
      <c r="AR665" s="16">
        <f t="shared" ca="1" si="432"/>
        <v>-1.1483420083398836E-3</v>
      </c>
      <c r="AS665" s="16">
        <f t="shared" ca="1" si="433"/>
        <v>0</v>
      </c>
    </row>
    <row r="666" spans="1:45" x14ac:dyDescent="0.25">
      <c r="A666" s="69">
        <f t="shared" ca="1" si="434"/>
        <v>2451.8978831485979</v>
      </c>
      <c r="B666" s="69">
        <f t="shared" ca="1" si="435"/>
        <v>2138.8614552280728</v>
      </c>
      <c r="C666" s="69">
        <f t="shared" ca="1" si="436"/>
        <v>2233.9635444815776</v>
      </c>
      <c r="D666" s="69">
        <f t="shared" ca="1" si="437"/>
        <v>2903.1356649862</v>
      </c>
      <c r="E666" s="69">
        <f t="shared" ca="1" si="438"/>
        <v>1932.156750866025</v>
      </c>
      <c r="F666" s="69">
        <f t="shared" ca="1" si="439"/>
        <v>1219.442538199964</v>
      </c>
      <c r="G666" s="69">
        <f t="shared" ca="1" si="440"/>
        <v>966.96155981521997</v>
      </c>
      <c r="H666" s="69">
        <f t="shared" ca="1" si="441"/>
        <v>1189.5304761527411</v>
      </c>
      <c r="I666" s="69">
        <f t="shared" ca="1" si="442"/>
        <v>1048.9215279922823</v>
      </c>
      <c r="J666" s="69">
        <f t="shared" ca="1" si="443"/>
        <v>1144.7748752921427</v>
      </c>
      <c r="K666" s="69">
        <f t="shared" ca="1" si="444"/>
        <v>1172.247347695454</v>
      </c>
      <c r="L666" s="69">
        <f t="shared" ca="1" si="445"/>
        <v>958.71328796928367</v>
      </c>
      <c r="M666" s="69">
        <f t="shared" ca="1" si="446"/>
        <v>992.4805377603974</v>
      </c>
      <c r="N666" s="69">
        <f t="shared" ca="1" si="447"/>
        <v>573.23252590472759</v>
      </c>
      <c r="O666" s="69">
        <f t="shared" ca="1" si="448"/>
        <v>630.23633134684997</v>
      </c>
      <c r="P666" s="69">
        <f t="shared" ca="1" si="449"/>
        <v>721.09025124873654</v>
      </c>
      <c r="Q666" s="69">
        <f t="shared" ca="1" si="450"/>
        <v>960.60071515899017</v>
      </c>
      <c r="R666" s="69">
        <f t="shared" ca="1" si="451"/>
        <v>781.56426473813292</v>
      </c>
      <c r="S666" s="69">
        <f t="shared" ca="1" si="452"/>
        <v>701.24910373796308</v>
      </c>
      <c r="T666" s="69">
        <f t="shared" ca="1" si="453"/>
        <v>793.72083496136293</v>
      </c>
      <c r="U666" s="69">
        <f t="shared" ca="1" si="454"/>
        <v>1694.1147831440833</v>
      </c>
      <c r="V666" s="69">
        <f t="shared" ca="1" si="455"/>
        <v>1915.9809808734478</v>
      </c>
      <c r="W666" s="69">
        <f t="shared" ca="1" si="456"/>
        <v>1183.6518016642476</v>
      </c>
      <c r="X666" s="69">
        <f t="shared" ca="1" si="457"/>
        <v>1489.3598961381717</v>
      </c>
      <c r="Y666" s="69">
        <f t="shared" ca="1" si="458"/>
        <v>1205.0798493858917</v>
      </c>
      <c r="AA666" s="20">
        <f t="shared" ca="1" si="418"/>
        <v>6.5715951773859248E+16</v>
      </c>
      <c r="AB666" s="20">
        <f t="shared" ca="1" si="419"/>
        <v>1684260299193281.8</v>
      </c>
      <c r="AC666" s="20">
        <f t="shared" ca="1" si="420"/>
        <v>402962159230578.06</v>
      </c>
      <c r="AD666" s="20">
        <f t="shared" ca="1" si="421"/>
        <v>301326497535965.69</v>
      </c>
      <c r="AE666" s="20">
        <f t="shared" ca="1" si="422"/>
        <v>6895622361677812</v>
      </c>
      <c r="AG666" s="16">
        <f t="shared" ca="1" si="423"/>
        <v>1.5398618642656808E-4</v>
      </c>
      <c r="AH666" s="16">
        <f t="shared" ca="1" si="424"/>
        <v>-9.0861802804975353E-5</v>
      </c>
      <c r="AI666" s="16">
        <f t="shared" ca="1" si="425"/>
        <v>5.1350646833083413E-4</v>
      </c>
      <c r="AJ666" s="16">
        <f t="shared" ca="1" si="426"/>
        <v>1.7399864926660426E-4</v>
      </c>
      <c r="AK666" s="16">
        <f t="shared" ca="1" si="427"/>
        <v>1.8051632016522187E-4</v>
      </c>
      <c r="AM666" s="16">
        <f t="shared" ca="1" si="428"/>
        <v>7.5062950121903118E-4</v>
      </c>
      <c r="AO666" s="16">
        <f t="shared" ca="1" si="429"/>
        <v>0</v>
      </c>
      <c r="AP666" s="16">
        <f t="shared" ca="1" si="430"/>
        <v>-9.0861802804975353E-5</v>
      </c>
      <c r="AQ666" s="16">
        <f t="shared" ca="1" si="431"/>
        <v>0</v>
      </c>
      <c r="AR666" s="16">
        <f t="shared" ca="1" si="432"/>
        <v>0</v>
      </c>
      <c r="AS666" s="16">
        <f t="shared" ca="1" si="433"/>
        <v>0</v>
      </c>
    </row>
    <row r="667" spans="1:45" x14ac:dyDescent="0.25">
      <c r="A667" s="69">
        <f t="shared" ca="1" si="434"/>
        <v>2452.2711206315716</v>
      </c>
      <c r="B667" s="69">
        <f t="shared" ca="1" si="435"/>
        <v>2138.4280170177417</v>
      </c>
      <c r="C667" s="69">
        <f t="shared" ca="1" si="436"/>
        <v>2233.9635444815776</v>
      </c>
      <c r="D667" s="69">
        <f t="shared" ca="1" si="437"/>
        <v>2903.1356649862</v>
      </c>
      <c r="E667" s="69">
        <f t="shared" ca="1" si="438"/>
        <v>1932.5518080063187</v>
      </c>
      <c r="F667" s="69">
        <f t="shared" ca="1" si="439"/>
        <v>1219.0369403660868</v>
      </c>
      <c r="G667" s="69">
        <f t="shared" ca="1" si="440"/>
        <v>967.01206758479361</v>
      </c>
      <c r="H667" s="69">
        <f t="shared" ca="1" si="441"/>
        <v>1189.5304761527411</v>
      </c>
      <c r="I667" s="69">
        <f t="shared" ca="1" si="442"/>
        <v>1048.8559331937442</v>
      </c>
      <c r="J667" s="69">
        <f t="shared" ca="1" si="443"/>
        <v>1145.0635186378809</v>
      </c>
      <c r="K667" s="69">
        <f t="shared" ca="1" si="444"/>
        <v>1172.247347695454</v>
      </c>
      <c r="L667" s="69">
        <f t="shared" ca="1" si="445"/>
        <v>958.71328796928367</v>
      </c>
      <c r="M667" s="69">
        <f t="shared" ca="1" si="446"/>
        <v>992.8840492667257</v>
      </c>
      <c r="N667" s="69">
        <f t="shared" ca="1" si="447"/>
        <v>573.47196458406347</v>
      </c>
      <c r="O667" s="69">
        <f t="shared" ca="1" si="448"/>
        <v>630.04061574293735</v>
      </c>
      <c r="P667" s="69">
        <f t="shared" ca="1" si="449"/>
        <v>720.60724657178741</v>
      </c>
      <c r="Q667" s="69">
        <f t="shared" ca="1" si="450"/>
        <v>960.97907774546798</v>
      </c>
      <c r="R667" s="69">
        <f t="shared" ca="1" si="451"/>
        <v>781.56426473813292</v>
      </c>
      <c r="S667" s="69">
        <f t="shared" ca="1" si="452"/>
        <v>701.24910373796308</v>
      </c>
      <c r="T667" s="69">
        <f t="shared" ca="1" si="453"/>
        <v>794.07828423261356</v>
      </c>
      <c r="U667" s="69">
        <f t="shared" ca="1" si="454"/>
        <v>1694.2065843002629</v>
      </c>
      <c r="V667" s="69">
        <f t="shared" ca="1" si="455"/>
        <v>1916.3561079695169</v>
      </c>
      <c r="W667" s="69">
        <f t="shared" ca="1" si="456"/>
        <v>1183.6518016642476</v>
      </c>
      <c r="X667" s="69">
        <f t="shared" ca="1" si="457"/>
        <v>1489.2080940832093</v>
      </c>
      <c r="Y667" s="69">
        <f t="shared" ca="1" si="458"/>
        <v>1205.1190027111652</v>
      </c>
      <c r="AA667" s="20">
        <f t="shared" ca="1" si="418"/>
        <v>6.5726071901820248E+16</v>
      </c>
      <c r="AB667" s="20">
        <f t="shared" ca="1" si="419"/>
        <v>1684107271218408.3</v>
      </c>
      <c r="AC667" s="20">
        <f t="shared" ca="1" si="420"/>
        <v>403169136043253.44</v>
      </c>
      <c r="AD667" s="20">
        <f t="shared" ca="1" si="421"/>
        <v>301378932501199.44</v>
      </c>
      <c r="AE667" s="20">
        <f t="shared" ca="1" si="422"/>
        <v>6896867246409416</v>
      </c>
      <c r="AG667" s="16">
        <f t="shared" ca="1" si="423"/>
        <v>-2.3350545936329554E-4</v>
      </c>
      <c r="AH667" s="16">
        <f t="shared" ca="1" si="424"/>
        <v>-1.1880821782469489E-3</v>
      </c>
      <c r="AI667" s="16">
        <f t="shared" ca="1" si="425"/>
        <v>2.7355749655147616E-4</v>
      </c>
      <c r="AJ667" s="16">
        <f t="shared" ca="1" si="426"/>
        <v>-3.9077747022424775E-4</v>
      </c>
      <c r="AK667" s="16">
        <f t="shared" ca="1" si="427"/>
        <v>-1.0945211618764472E-4</v>
      </c>
      <c r="AM667" s="16">
        <f t="shared" ca="1" si="428"/>
        <v>-1.5388076112830161E-3</v>
      </c>
      <c r="AO667" s="16">
        <f t="shared" ca="1" si="429"/>
        <v>-2.3350545936329554E-4</v>
      </c>
      <c r="AP667" s="16">
        <f t="shared" ca="1" si="430"/>
        <v>-1.1880821782469489E-3</v>
      </c>
      <c r="AQ667" s="16">
        <f t="shared" ca="1" si="431"/>
        <v>0</v>
      </c>
      <c r="AR667" s="16">
        <f t="shared" ca="1" si="432"/>
        <v>-3.9077747022424775E-4</v>
      </c>
      <c r="AS667" s="16">
        <f t="shared" ca="1" si="433"/>
        <v>-1.0945211618764472E-4</v>
      </c>
    </row>
    <row r="668" spans="1:45" x14ac:dyDescent="0.25">
      <c r="A668" s="69">
        <f t="shared" ca="1" si="434"/>
        <v>2452.685306725652</v>
      </c>
      <c r="B668" s="69">
        <f t="shared" ca="1" si="435"/>
        <v>2137.9335696031153</v>
      </c>
      <c r="C668" s="69">
        <f t="shared" ca="1" si="436"/>
        <v>2233.721230733152</v>
      </c>
      <c r="D668" s="69">
        <f t="shared" ca="1" si="437"/>
        <v>2903.1356649862</v>
      </c>
      <c r="E668" s="69">
        <f t="shared" ca="1" si="438"/>
        <v>1932.4306998742502</v>
      </c>
      <c r="F668" s="69">
        <f t="shared" ca="1" si="439"/>
        <v>1218.6762408193517</v>
      </c>
      <c r="G668" s="69">
        <f t="shared" ca="1" si="440"/>
        <v>966.6181248310595</v>
      </c>
      <c r="H668" s="69">
        <f t="shared" ca="1" si="441"/>
        <v>1189.3473497733037</v>
      </c>
      <c r="I668" s="69">
        <f t="shared" ca="1" si="442"/>
        <v>1048.8559331937442</v>
      </c>
      <c r="J668" s="69">
        <f t="shared" ca="1" si="443"/>
        <v>1144.6848804400288</v>
      </c>
      <c r="K668" s="69">
        <f t="shared" ca="1" si="444"/>
        <v>1172.5314125325738</v>
      </c>
      <c r="L668" s="69">
        <f t="shared" ca="1" si="445"/>
        <v>958.71328796928367</v>
      </c>
      <c r="M668" s="69">
        <f t="shared" ca="1" si="446"/>
        <v>992.43520377072059</v>
      </c>
      <c r="N668" s="69">
        <f t="shared" ca="1" si="447"/>
        <v>573.7492631008115</v>
      </c>
      <c r="O668" s="69">
        <f t="shared" ca="1" si="448"/>
        <v>630.04061574293735</v>
      </c>
      <c r="P668" s="69">
        <f t="shared" ca="1" si="449"/>
        <v>720.60724657178741</v>
      </c>
      <c r="Q668" s="69">
        <f t="shared" ca="1" si="450"/>
        <v>961.08583906938884</v>
      </c>
      <c r="R668" s="69">
        <f t="shared" ca="1" si="451"/>
        <v>781.56426473813292</v>
      </c>
      <c r="S668" s="69">
        <f t="shared" ca="1" si="452"/>
        <v>701.24910373796308</v>
      </c>
      <c r="T668" s="69">
        <f t="shared" ca="1" si="453"/>
        <v>793.6798619703643</v>
      </c>
      <c r="U668" s="69">
        <f t="shared" ca="1" si="454"/>
        <v>1694.2065843002629</v>
      </c>
      <c r="V668" s="69">
        <f t="shared" ca="1" si="455"/>
        <v>1916.2648729256805</v>
      </c>
      <c r="W668" s="69">
        <f t="shared" ca="1" si="456"/>
        <v>1183.6518016642476</v>
      </c>
      <c r="X668" s="69">
        <f t="shared" ca="1" si="457"/>
        <v>1489.2080940832093</v>
      </c>
      <c r="Y668" s="69">
        <f t="shared" ca="1" si="458"/>
        <v>1205.0444775926537</v>
      </c>
      <c r="AA668" s="20">
        <f t="shared" ca="1" si="418"/>
        <v>6.5710726296919656E+16</v>
      </c>
      <c r="AB668" s="20">
        <f t="shared" ca="1" si="419"/>
        <v>1682107601504410</v>
      </c>
      <c r="AC668" s="20">
        <f t="shared" ca="1" si="420"/>
        <v>403279441069491.75</v>
      </c>
      <c r="AD668" s="20">
        <f t="shared" ca="1" si="421"/>
        <v>301261183412721.63</v>
      </c>
      <c r="AE668" s="20">
        <f t="shared" ca="1" si="422"/>
        <v>6896112411004151</v>
      </c>
      <c r="AG668" s="16">
        <f t="shared" ca="1" si="423"/>
        <v>-9.3321609344380475E-6</v>
      </c>
      <c r="AH668" s="16">
        <f t="shared" ca="1" si="424"/>
        <v>9.5233446842544534E-5</v>
      </c>
      <c r="AI668" s="16">
        <f t="shared" ca="1" si="425"/>
        <v>7.274258607776213E-5</v>
      </c>
      <c r="AJ668" s="16">
        <f t="shared" ca="1" si="426"/>
        <v>8.6250275243241424E-4</v>
      </c>
      <c r="AK668" s="16">
        <f t="shared" ca="1" si="427"/>
        <v>1.598653207245944E-4</v>
      </c>
      <c r="AM668" s="16">
        <f t="shared" ca="1" si="428"/>
        <v>1.0211466244182828E-3</v>
      </c>
      <c r="AO668" s="16">
        <f t="shared" ca="1" si="429"/>
        <v>-9.3321609344380475E-6</v>
      </c>
      <c r="AP668" s="16">
        <f t="shared" ca="1" si="430"/>
        <v>0</v>
      </c>
      <c r="AQ668" s="16">
        <f t="shared" ca="1" si="431"/>
        <v>0</v>
      </c>
      <c r="AR668" s="16">
        <f t="shared" ca="1" si="432"/>
        <v>0</v>
      </c>
      <c r="AS668" s="16">
        <f t="shared" ca="1" si="433"/>
        <v>0</v>
      </c>
    </row>
    <row r="669" spans="1:45" x14ac:dyDescent="0.25">
      <c r="A669" s="69">
        <f t="shared" ca="1" si="434"/>
        <v>2453.0079159928964</v>
      </c>
      <c r="B669" s="69">
        <f t="shared" ca="1" si="435"/>
        <v>2137.4516044665634</v>
      </c>
      <c r="C669" s="69">
        <f t="shared" ca="1" si="436"/>
        <v>2233.9102201561714</v>
      </c>
      <c r="D669" s="69">
        <f t="shared" ca="1" si="437"/>
        <v>2903.1356649862</v>
      </c>
      <c r="E669" s="69">
        <f t="shared" ca="1" si="438"/>
        <v>1932.4306998742502</v>
      </c>
      <c r="F669" s="69">
        <f t="shared" ca="1" si="439"/>
        <v>1218.8983699219107</v>
      </c>
      <c r="G669" s="69">
        <f t="shared" ca="1" si="440"/>
        <v>966.6181248310595</v>
      </c>
      <c r="H669" s="69">
        <f t="shared" ca="1" si="441"/>
        <v>1189.338213499595</v>
      </c>
      <c r="I669" s="69">
        <f t="shared" ca="1" si="442"/>
        <v>1049.0325639812795</v>
      </c>
      <c r="J669" s="69">
        <f t="shared" ca="1" si="443"/>
        <v>1144.4013449765962</v>
      </c>
      <c r="K669" s="69">
        <f t="shared" ca="1" si="444"/>
        <v>1172.5314125325738</v>
      </c>
      <c r="L669" s="69">
        <f t="shared" ca="1" si="445"/>
        <v>958.71328796928367</v>
      </c>
      <c r="M669" s="69">
        <f t="shared" ca="1" si="446"/>
        <v>992.43936895557329</v>
      </c>
      <c r="N669" s="69">
        <f t="shared" ca="1" si="447"/>
        <v>574.03592725867156</v>
      </c>
      <c r="O669" s="69">
        <f t="shared" ca="1" si="448"/>
        <v>629.76915022247852</v>
      </c>
      <c r="P669" s="69">
        <f t="shared" ca="1" si="449"/>
        <v>721.0283893238261</v>
      </c>
      <c r="Q669" s="69">
        <f t="shared" ca="1" si="450"/>
        <v>961.49355942271984</v>
      </c>
      <c r="R669" s="69">
        <f t="shared" ca="1" si="451"/>
        <v>781.51858337287683</v>
      </c>
      <c r="S669" s="69">
        <f t="shared" ca="1" si="452"/>
        <v>701.24910373796308</v>
      </c>
      <c r="T669" s="69">
        <f t="shared" ca="1" si="453"/>
        <v>793.6104635104906</v>
      </c>
      <c r="U669" s="69">
        <f t="shared" ca="1" si="454"/>
        <v>1694.2065843002629</v>
      </c>
      <c r="V669" s="69">
        <f t="shared" ca="1" si="455"/>
        <v>1916.2648729256805</v>
      </c>
      <c r="W669" s="69">
        <f t="shared" ca="1" si="456"/>
        <v>1183.3913631891803</v>
      </c>
      <c r="X669" s="69">
        <f t="shared" ca="1" si="457"/>
        <v>1489.4269002994677</v>
      </c>
      <c r="Y669" s="69">
        <f t="shared" ca="1" si="458"/>
        <v>1205.3252881526896</v>
      </c>
      <c r="AA669" s="20">
        <f t="shared" ca="1" si="418"/>
        <v>6.5710113076708072E+16</v>
      </c>
      <c r="AB669" s="20">
        <f t="shared" ca="1" si="419"/>
        <v>1682267802037364.8</v>
      </c>
      <c r="AC669" s="20">
        <f t="shared" ca="1" si="420"/>
        <v>403308777725946.31</v>
      </c>
      <c r="AD669" s="20">
        <f t="shared" ca="1" si="421"/>
        <v>301521134100593</v>
      </c>
      <c r="AE669" s="20">
        <f t="shared" ca="1" si="422"/>
        <v>6897214948352885</v>
      </c>
      <c r="AG669" s="16">
        <f t="shared" ca="1" si="423"/>
        <v>-7.424996065037386E-4</v>
      </c>
      <c r="AH669" s="16">
        <f t="shared" ca="1" si="424"/>
        <v>5.1500402271655184E-4</v>
      </c>
      <c r="AI669" s="16">
        <f t="shared" ca="1" si="425"/>
        <v>4.3284221070827423E-5</v>
      </c>
      <c r="AJ669" s="16">
        <f t="shared" ca="1" si="426"/>
        <v>5.9766631476972966E-4</v>
      </c>
      <c r="AK669" s="16">
        <f t="shared" ca="1" si="427"/>
        <v>-3.7649059292546388E-4</v>
      </c>
      <c r="AM669" s="16">
        <f t="shared" ca="1" si="428"/>
        <v>4.1345495205337033E-4</v>
      </c>
      <c r="AO669" s="16">
        <f t="shared" ca="1" si="429"/>
        <v>-7.424996065037386E-4</v>
      </c>
      <c r="AP669" s="16">
        <f t="shared" ca="1" si="430"/>
        <v>0</v>
      </c>
      <c r="AQ669" s="16">
        <f t="shared" ca="1" si="431"/>
        <v>0</v>
      </c>
      <c r="AR669" s="16">
        <f t="shared" ca="1" si="432"/>
        <v>0</v>
      </c>
      <c r="AS669" s="16">
        <f t="shared" ca="1" si="433"/>
        <v>-3.7649059292546388E-4</v>
      </c>
    </row>
    <row r="670" spans="1:45" x14ac:dyDescent="0.25">
      <c r="A670" s="69">
        <f t="shared" ca="1" si="434"/>
        <v>2452.7403944016437</v>
      </c>
      <c r="B670" s="69">
        <f t="shared" ca="1" si="435"/>
        <v>2136.9809157396776</v>
      </c>
      <c r="C670" s="69">
        <f t="shared" ca="1" si="436"/>
        <v>2233.4812702601075</v>
      </c>
      <c r="D670" s="69">
        <f t="shared" ca="1" si="437"/>
        <v>2902.651239677833</v>
      </c>
      <c r="E670" s="69">
        <f t="shared" ca="1" si="438"/>
        <v>1932.3257950931895</v>
      </c>
      <c r="F670" s="69">
        <f t="shared" ca="1" si="439"/>
        <v>1218.8983699219107</v>
      </c>
      <c r="G670" s="69">
        <f t="shared" ca="1" si="440"/>
        <v>967.07215705751435</v>
      </c>
      <c r="H670" s="69">
        <f t="shared" ca="1" si="441"/>
        <v>1189.392213303857</v>
      </c>
      <c r="I670" s="69">
        <f t="shared" ca="1" si="442"/>
        <v>1049.0325639812795</v>
      </c>
      <c r="J670" s="69">
        <f t="shared" ca="1" si="443"/>
        <v>1144.4013449765962</v>
      </c>
      <c r="K670" s="69">
        <f t="shared" ca="1" si="444"/>
        <v>1172.1727937281321</v>
      </c>
      <c r="L670" s="69">
        <f t="shared" ca="1" si="445"/>
        <v>958.71328796928367</v>
      </c>
      <c r="M670" s="69">
        <f t="shared" ca="1" si="446"/>
        <v>992.43936895557329</v>
      </c>
      <c r="N670" s="69">
        <f t="shared" ca="1" si="447"/>
        <v>574.03592725867156</v>
      </c>
      <c r="O670" s="69">
        <f t="shared" ca="1" si="448"/>
        <v>629.98909208200689</v>
      </c>
      <c r="P670" s="69">
        <f t="shared" ca="1" si="449"/>
        <v>721.4704802425606</v>
      </c>
      <c r="Q670" s="69">
        <f t="shared" ca="1" si="450"/>
        <v>961.2472879443668</v>
      </c>
      <c r="R670" s="69">
        <f t="shared" ca="1" si="451"/>
        <v>781.42333111664266</v>
      </c>
      <c r="S670" s="69">
        <f t="shared" ca="1" si="452"/>
        <v>701.24910373796308</v>
      </c>
      <c r="T670" s="69">
        <f t="shared" ca="1" si="453"/>
        <v>793.89841406138191</v>
      </c>
      <c r="U670" s="69">
        <f t="shared" ca="1" si="454"/>
        <v>1694.187383366829</v>
      </c>
      <c r="V670" s="69">
        <f t="shared" ca="1" si="455"/>
        <v>1916.2648729256805</v>
      </c>
      <c r="W670" s="69">
        <f t="shared" ca="1" si="456"/>
        <v>1183.3913631891803</v>
      </c>
      <c r="X670" s="69">
        <f t="shared" ca="1" si="457"/>
        <v>1488.9857363313995</v>
      </c>
      <c r="Y670" s="69">
        <f t="shared" ca="1" si="458"/>
        <v>1205.242224530781</v>
      </c>
      <c r="AA670" s="20">
        <f t="shared" ca="1" si="418"/>
        <v>6.5661341452301936E+16</v>
      </c>
      <c r="AB670" s="20">
        <f t="shared" ca="1" si="419"/>
        <v>1683134399854227.5</v>
      </c>
      <c r="AC670" s="20">
        <f t="shared" ca="1" si="420"/>
        <v>403326235010050.94</v>
      </c>
      <c r="AD670" s="20">
        <f t="shared" ca="1" si="421"/>
        <v>301701396988798.25</v>
      </c>
      <c r="AE670" s="20">
        <f t="shared" ca="1" si="422"/>
        <v>6894618700569546</v>
      </c>
      <c r="AG670" s="16">
        <f t="shared" ca="1" si="423"/>
        <v>1.6310872669112085E-4</v>
      </c>
      <c r="AH670" s="16">
        <f t="shared" ca="1" si="424"/>
        <v>5.6432571328730093E-4</v>
      </c>
      <c r="AI670" s="16">
        <f t="shared" ca="1" si="425"/>
        <v>0</v>
      </c>
      <c r="AJ670" s="16">
        <f t="shared" ca="1" si="426"/>
        <v>-1.705390908560018E-4</v>
      </c>
      <c r="AK670" s="16">
        <f t="shared" ca="1" si="427"/>
        <v>-3.7784358179417641E-4</v>
      </c>
      <c r="AM670" s="16">
        <f t="shared" ca="1" si="428"/>
        <v>5.5689534912241995E-4</v>
      </c>
      <c r="AO670" s="16">
        <f t="shared" ca="1" si="429"/>
        <v>0</v>
      </c>
      <c r="AP670" s="16">
        <f t="shared" ca="1" si="430"/>
        <v>0</v>
      </c>
      <c r="AQ670" s="16">
        <f t="shared" ca="1" si="431"/>
        <v>0</v>
      </c>
      <c r="AR670" s="16">
        <f t="shared" ca="1" si="432"/>
        <v>-1.705390908560018E-4</v>
      </c>
      <c r="AS670" s="16">
        <f t="shared" ca="1" si="433"/>
        <v>-3.7784358179417641E-4</v>
      </c>
    </row>
    <row r="671" spans="1:45" x14ac:dyDescent="0.25">
      <c r="A671" s="69">
        <f t="shared" ca="1" si="434"/>
        <v>2452.7372035249768</v>
      </c>
      <c r="B671" s="69">
        <f t="shared" ca="1" si="435"/>
        <v>2136.7341914731201</v>
      </c>
      <c r="C671" s="69">
        <f t="shared" ca="1" si="436"/>
        <v>2233.83441946414</v>
      </c>
      <c r="D671" s="69">
        <f t="shared" ca="1" si="437"/>
        <v>2902.3506827494089</v>
      </c>
      <c r="E671" s="69">
        <f t="shared" ca="1" si="438"/>
        <v>1932.7612327286549</v>
      </c>
      <c r="F671" s="69">
        <f t="shared" ca="1" si="439"/>
        <v>1218.8983699219107</v>
      </c>
      <c r="G671" s="69">
        <f t="shared" ca="1" si="440"/>
        <v>967.07215705751435</v>
      </c>
      <c r="H671" s="69">
        <f t="shared" ca="1" si="441"/>
        <v>1189.1248473811361</v>
      </c>
      <c r="I671" s="69">
        <f t="shared" ca="1" si="442"/>
        <v>1049.4269104275661</v>
      </c>
      <c r="J671" s="69">
        <f t="shared" ca="1" si="443"/>
        <v>1144.8744229819251</v>
      </c>
      <c r="K671" s="69">
        <f t="shared" ca="1" si="444"/>
        <v>1172.1727937281321</v>
      </c>
      <c r="L671" s="69">
        <f t="shared" ca="1" si="445"/>
        <v>958.71328796928367</v>
      </c>
      <c r="M671" s="69">
        <f t="shared" ca="1" si="446"/>
        <v>992.43936895557329</v>
      </c>
      <c r="N671" s="69">
        <f t="shared" ca="1" si="447"/>
        <v>574.03592725867156</v>
      </c>
      <c r="O671" s="69">
        <f t="shared" ca="1" si="448"/>
        <v>629.98909208200689</v>
      </c>
      <c r="P671" s="69">
        <f t="shared" ca="1" si="449"/>
        <v>721.65055967980766</v>
      </c>
      <c r="Q671" s="69">
        <f t="shared" ca="1" si="450"/>
        <v>960.93867348363506</v>
      </c>
      <c r="R671" s="69">
        <f t="shared" ca="1" si="451"/>
        <v>781.42333111664266</v>
      </c>
      <c r="S671" s="69">
        <f t="shared" ca="1" si="452"/>
        <v>701.01245598585172</v>
      </c>
      <c r="T671" s="69">
        <f t="shared" ca="1" si="453"/>
        <v>794.08779911406407</v>
      </c>
      <c r="U671" s="69">
        <f t="shared" ca="1" si="454"/>
        <v>1694.187383366829</v>
      </c>
      <c r="V671" s="69">
        <f t="shared" ca="1" si="455"/>
        <v>1915.8159294520165</v>
      </c>
      <c r="W671" s="69">
        <f t="shared" ca="1" si="456"/>
        <v>1183.1398776530127</v>
      </c>
      <c r="X671" s="69">
        <f t="shared" ca="1" si="457"/>
        <v>1489.0884791579072</v>
      </c>
      <c r="Y671" s="69">
        <f t="shared" ca="1" si="458"/>
        <v>1205.242224530781</v>
      </c>
      <c r="AA671" s="20">
        <f t="shared" ca="1" si="418"/>
        <v>6.5672052263588704E+16</v>
      </c>
      <c r="AB671" s="20">
        <f t="shared" ca="1" si="419"/>
        <v>1684084503933850.3</v>
      </c>
      <c r="AC671" s="20">
        <f t="shared" ca="1" si="420"/>
        <v>403326235010050.94</v>
      </c>
      <c r="AD671" s="20">
        <f t="shared" ca="1" si="421"/>
        <v>301649949493875</v>
      </c>
      <c r="AE671" s="20">
        <f t="shared" ca="1" si="422"/>
        <v>6892014105240419</v>
      </c>
      <c r="AG671" s="16">
        <f t="shared" ca="1" si="423"/>
        <v>1.427425815746514E-4</v>
      </c>
      <c r="AH671" s="16">
        <f t="shared" ca="1" si="424"/>
        <v>-2.149953402797318E-4</v>
      </c>
      <c r="AI671" s="16">
        <f t="shared" ca="1" si="425"/>
        <v>-6.917686682724434E-4</v>
      </c>
      <c r="AJ671" s="16">
        <f t="shared" ca="1" si="426"/>
        <v>3.6247117827782144E-4</v>
      </c>
      <c r="AK671" s="16">
        <f t="shared" ca="1" si="427"/>
        <v>-4.9820890475909875E-5</v>
      </c>
      <c r="AM671" s="16">
        <f t="shared" ca="1" si="428"/>
        <v>-4.0155024869970235E-4</v>
      </c>
      <c r="AO671" s="16">
        <f t="shared" ca="1" si="429"/>
        <v>0</v>
      </c>
      <c r="AP671" s="16">
        <f t="shared" ca="1" si="430"/>
        <v>-2.149953402797318E-4</v>
      </c>
      <c r="AQ671" s="16">
        <f t="shared" ca="1" si="431"/>
        <v>-6.917686682724434E-4</v>
      </c>
      <c r="AR671" s="16">
        <f t="shared" ca="1" si="432"/>
        <v>0</v>
      </c>
      <c r="AS671" s="16">
        <f t="shared" ca="1" si="433"/>
        <v>-4.9820890475909875E-5</v>
      </c>
    </row>
    <row r="672" spans="1:45" x14ac:dyDescent="0.25">
      <c r="A672" s="69">
        <f t="shared" ca="1" si="434"/>
        <v>2452.7372035249768</v>
      </c>
      <c r="B672" s="69">
        <f t="shared" ca="1" si="435"/>
        <v>2136.7341914731201</v>
      </c>
      <c r="C672" s="69">
        <f t="shared" ca="1" si="436"/>
        <v>2234.0810433979686</v>
      </c>
      <c r="D672" s="69">
        <f t="shared" ca="1" si="437"/>
        <v>2902.7254038274773</v>
      </c>
      <c r="E672" s="69">
        <f t="shared" ca="1" si="438"/>
        <v>1932.5742348380491</v>
      </c>
      <c r="F672" s="69">
        <f t="shared" ca="1" si="439"/>
        <v>1218.4155819919176</v>
      </c>
      <c r="G672" s="69">
        <f t="shared" ca="1" si="440"/>
        <v>967.07215705751435</v>
      </c>
      <c r="H672" s="69">
        <f t="shared" ca="1" si="441"/>
        <v>1189.1248473811361</v>
      </c>
      <c r="I672" s="69">
        <f t="shared" ca="1" si="442"/>
        <v>1049.9247678880195</v>
      </c>
      <c r="J672" s="69">
        <f t="shared" ca="1" si="443"/>
        <v>1144.5388776320024</v>
      </c>
      <c r="K672" s="69">
        <f t="shared" ca="1" si="444"/>
        <v>1171.8101975794414</v>
      </c>
      <c r="L672" s="69">
        <f t="shared" ca="1" si="445"/>
        <v>958.91505443086555</v>
      </c>
      <c r="M672" s="69">
        <f t="shared" ca="1" si="446"/>
        <v>992.43936895557329</v>
      </c>
      <c r="N672" s="69">
        <f t="shared" ca="1" si="447"/>
        <v>574.03592725867156</v>
      </c>
      <c r="O672" s="69">
        <f t="shared" ca="1" si="448"/>
        <v>629.6157342796065</v>
      </c>
      <c r="P672" s="69">
        <f t="shared" ca="1" si="449"/>
        <v>721.65055967980766</v>
      </c>
      <c r="Q672" s="69">
        <f t="shared" ca="1" si="450"/>
        <v>960.93867348363506</v>
      </c>
      <c r="R672" s="69">
        <f t="shared" ca="1" si="451"/>
        <v>781.42333111664266</v>
      </c>
      <c r="S672" s="69">
        <f t="shared" ca="1" si="452"/>
        <v>701.141601905112</v>
      </c>
      <c r="T672" s="69">
        <f t="shared" ca="1" si="453"/>
        <v>794.22936616919048</v>
      </c>
      <c r="U672" s="69">
        <f t="shared" ca="1" si="454"/>
        <v>1694.187383366829</v>
      </c>
      <c r="V672" s="69">
        <f t="shared" ca="1" si="455"/>
        <v>1915.8159294520165</v>
      </c>
      <c r="W672" s="69">
        <f t="shared" ca="1" si="456"/>
        <v>1182.9505099527578</v>
      </c>
      <c r="X672" s="69">
        <f t="shared" ca="1" si="457"/>
        <v>1489.5657721587415</v>
      </c>
      <c r="Y672" s="69">
        <f t="shared" ca="1" si="458"/>
        <v>1204.9888749312547</v>
      </c>
      <c r="AA672" s="20">
        <f t="shared" ca="1" si="418"/>
        <v>6.5681427130946576E+16</v>
      </c>
      <c r="AB672" s="20">
        <f t="shared" ca="1" si="419"/>
        <v>1683722472531794</v>
      </c>
      <c r="AC672" s="20">
        <f t="shared" ca="1" si="420"/>
        <v>403047323039982.38</v>
      </c>
      <c r="AD672" s="20">
        <f t="shared" ca="1" si="421"/>
        <v>301759308725082.81</v>
      </c>
      <c r="AE672" s="20">
        <f t="shared" ca="1" si="422"/>
        <v>6891670747513788</v>
      </c>
      <c r="AG672" s="16">
        <f t="shared" ca="1" si="423"/>
        <v>-4.6118463622577352E-4</v>
      </c>
      <c r="AH672" s="16">
        <f t="shared" ca="1" si="424"/>
        <v>1.9466710882527495E-4</v>
      </c>
      <c r="AI672" s="16">
        <f t="shared" ca="1" si="425"/>
        <v>-6.7341312802757355E-4</v>
      </c>
      <c r="AJ672" s="16">
        <f t="shared" ca="1" si="426"/>
        <v>-8.3137580674145985E-4</v>
      </c>
      <c r="AK672" s="16">
        <f t="shared" ca="1" si="427"/>
        <v>-2.8601073932507952E-4</v>
      </c>
      <c r="AM672" s="16">
        <f t="shared" ca="1" si="428"/>
        <v>-1.7713064621695321E-3</v>
      </c>
      <c r="AO672" s="16">
        <f t="shared" ca="1" si="429"/>
        <v>-4.6118463622577352E-4</v>
      </c>
      <c r="AP672" s="16">
        <f t="shared" ca="1" si="430"/>
        <v>0</v>
      </c>
      <c r="AQ672" s="16">
        <f t="shared" ca="1" si="431"/>
        <v>-6.7341312802757355E-4</v>
      </c>
      <c r="AR672" s="16">
        <f t="shared" ca="1" si="432"/>
        <v>-8.3137580674145985E-4</v>
      </c>
      <c r="AS672" s="16">
        <f t="shared" ca="1" si="433"/>
        <v>-2.8601073932507952E-4</v>
      </c>
    </row>
    <row r="673" spans="1:45" x14ac:dyDescent="0.25">
      <c r="A673" s="69">
        <f t="shared" ca="1" si="434"/>
        <v>2452.6189152396646</v>
      </c>
      <c r="B673" s="69">
        <f t="shared" ca="1" si="435"/>
        <v>2136.5988705450718</v>
      </c>
      <c r="C673" s="69">
        <f t="shared" ca="1" si="436"/>
        <v>2233.7178391560606</v>
      </c>
      <c r="D673" s="69">
        <f t="shared" ca="1" si="437"/>
        <v>2902.2584029089471</v>
      </c>
      <c r="E673" s="69">
        <f t="shared" ca="1" si="438"/>
        <v>1932.5237187969083</v>
      </c>
      <c r="F673" s="69">
        <f t="shared" ca="1" si="439"/>
        <v>1218.6792106810094</v>
      </c>
      <c r="G673" s="69">
        <f t="shared" ca="1" si="440"/>
        <v>967.27782243824754</v>
      </c>
      <c r="H673" s="69">
        <f t="shared" ca="1" si="441"/>
        <v>1188.7796818617305</v>
      </c>
      <c r="I673" s="69">
        <f t="shared" ca="1" si="442"/>
        <v>1049.9835502189624</v>
      </c>
      <c r="J673" s="69">
        <f t="shared" ca="1" si="443"/>
        <v>1144.5388776320024</v>
      </c>
      <c r="K673" s="69">
        <f t="shared" ca="1" si="444"/>
        <v>1172.0057846090385</v>
      </c>
      <c r="L673" s="69">
        <f t="shared" ca="1" si="445"/>
        <v>958.91505443086555</v>
      </c>
      <c r="M673" s="69">
        <f t="shared" ca="1" si="446"/>
        <v>992.23292615077116</v>
      </c>
      <c r="N673" s="69">
        <f t="shared" ca="1" si="447"/>
        <v>574.03592725867156</v>
      </c>
      <c r="O673" s="69">
        <f t="shared" ca="1" si="448"/>
        <v>629.21777158401869</v>
      </c>
      <c r="P673" s="69">
        <f t="shared" ca="1" si="449"/>
        <v>721.60982139944508</v>
      </c>
      <c r="Q673" s="69">
        <f t="shared" ca="1" si="450"/>
        <v>960.74229351044869</v>
      </c>
      <c r="R673" s="69">
        <f t="shared" ca="1" si="451"/>
        <v>781.42333111664266</v>
      </c>
      <c r="S673" s="69">
        <f t="shared" ca="1" si="452"/>
        <v>700.74168726861171</v>
      </c>
      <c r="T673" s="69">
        <f t="shared" ca="1" si="453"/>
        <v>794.22936616919048</v>
      </c>
      <c r="U673" s="69">
        <f t="shared" ca="1" si="454"/>
        <v>1693.7313410409192</v>
      </c>
      <c r="V673" s="69">
        <f t="shared" ca="1" si="455"/>
        <v>1915.8159294520165</v>
      </c>
      <c r="W673" s="69">
        <f t="shared" ca="1" si="456"/>
        <v>1182.4797233671466</v>
      </c>
      <c r="X673" s="69">
        <f t="shared" ca="1" si="457"/>
        <v>1489.5657721587415</v>
      </c>
      <c r="Y673" s="69">
        <f t="shared" ca="1" si="458"/>
        <v>1205.4483788084019</v>
      </c>
      <c r="AA673" s="20">
        <f t="shared" ca="1" si="418"/>
        <v>6.5651142849727776E+16</v>
      </c>
      <c r="AB673" s="20">
        <f t="shared" ca="1" si="419"/>
        <v>1684050269822226</v>
      </c>
      <c r="AC673" s="20">
        <f t="shared" ca="1" si="420"/>
        <v>402775997048926.56</v>
      </c>
      <c r="AD673" s="20">
        <f t="shared" ca="1" si="421"/>
        <v>301508537593319.88</v>
      </c>
      <c r="AE673" s="20">
        <f t="shared" ca="1" si="422"/>
        <v>6889699937517953</v>
      </c>
      <c r="AG673" s="16">
        <f t="shared" ca="1" si="423"/>
        <v>3.5083124930141508E-6</v>
      </c>
      <c r="AH673" s="16">
        <f t="shared" ca="1" si="424"/>
        <v>-8.0979952113579775E-4</v>
      </c>
      <c r="AI673" s="16">
        <f t="shared" ca="1" si="425"/>
        <v>-2.4691788958481893E-4</v>
      </c>
      <c r="AJ673" s="16">
        <f t="shared" ca="1" si="426"/>
        <v>-9.5718255695231521E-4</v>
      </c>
      <c r="AK673" s="16">
        <f t="shared" ca="1" si="427"/>
        <v>-1.0710400963508392E-4</v>
      </c>
      <c r="AM673" s="16">
        <f t="shared" ca="1" si="428"/>
        <v>-2.0103916551799175E-3</v>
      </c>
      <c r="AO673" s="16">
        <f t="shared" ca="1" si="429"/>
        <v>0</v>
      </c>
      <c r="AP673" s="16">
        <f t="shared" ca="1" si="430"/>
        <v>-8.0979952113579775E-4</v>
      </c>
      <c r="AQ673" s="16">
        <f t="shared" ca="1" si="431"/>
        <v>-2.4691788958481893E-4</v>
      </c>
      <c r="AR673" s="16">
        <f t="shared" ca="1" si="432"/>
        <v>-9.5718255695231521E-4</v>
      </c>
      <c r="AS673" s="16">
        <f t="shared" ca="1" si="433"/>
        <v>-1.0710400963508392E-4</v>
      </c>
    </row>
    <row r="674" spans="1:45" x14ac:dyDescent="0.25">
      <c r="A674" s="69">
        <f t="shared" ca="1" si="434"/>
        <v>2452.6189152396646</v>
      </c>
      <c r="B674" s="69">
        <f t="shared" ca="1" si="435"/>
        <v>2136.5650115136395</v>
      </c>
      <c r="C674" s="69">
        <f t="shared" ca="1" si="436"/>
        <v>2233.2536042505026</v>
      </c>
      <c r="D674" s="69">
        <f t="shared" ca="1" si="437"/>
        <v>2902.2584029089471</v>
      </c>
      <c r="E674" s="69">
        <f t="shared" ca="1" si="438"/>
        <v>1932.962853135969</v>
      </c>
      <c r="F674" s="69">
        <f t="shared" ca="1" si="439"/>
        <v>1218.2376769884879</v>
      </c>
      <c r="G674" s="69">
        <f t="shared" ca="1" si="440"/>
        <v>966.88086401941928</v>
      </c>
      <c r="H674" s="69">
        <f t="shared" ca="1" si="441"/>
        <v>1188.3979917047159</v>
      </c>
      <c r="I674" s="69">
        <f t="shared" ca="1" si="442"/>
        <v>1049.9835502189624</v>
      </c>
      <c r="J674" s="69">
        <f t="shared" ca="1" si="443"/>
        <v>1144.8641691609644</v>
      </c>
      <c r="K674" s="69">
        <f t="shared" ca="1" si="444"/>
        <v>1171.8806088496574</v>
      </c>
      <c r="L674" s="69">
        <f t="shared" ca="1" si="445"/>
        <v>958.57907092428013</v>
      </c>
      <c r="M674" s="69">
        <f t="shared" ca="1" si="446"/>
        <v>992.23292615077116</v>
      </c>
      <c r="N674" s="69">
        <f t="shared" ca="1" si="447"/>
        <v>574.3003261102815</v>
      </c>
      <c r="O674" s="69">
        <f t="shared" ca="1" si="448"/>
        <v>629.06038768424673</v>
      </c>
      <c r="P674" s="69">
        <f t="shared" ca="1" si="449"/>
        <v>721.60982139944508</v>
      </c>
      <c r="Q674" s="69">
        <f t="shared" ca="1" si="450"/>
        <v>960.74229351044869</v>
      </c>
      <c r="R674" s="69">
        <f t="shared" ca="1" si="451"/>
        <v>781.08376812387223</v>
      </c>
      <c r="S674" s="69">
        <f t="shared" ca="1" si="452"/>
        <v>700.37561463139309</v>
      </c>
      <c r="T674" s="69">
        <f t="shared" ca="1" si="453"/>
        <v>794.22936616919048</v>
      </c>
      <c r="U674" s="69">
        <f t="shared" ca="1" si="454"/>
        <v>1694.0497566552228</v>
      </c>
      <c r="V674" s="69">
        <f t="shared" ca="1" si="455"/>
        <v>1915.8159294520165</v>
      </c>
      <c r="W674" s="69">
        <f t="shared" ca="1" si="456"/>
        <v>1182.1308453329564</v>
      </c>
      <c r="X674" s="69">
        <f t="shared" ca="1" si="457"/>
        <v>1489.5657721587415</v>
      </c>
      <c r="Y674" s="69">
        <f t="shared" ca="1" si="458"/>
        <v>1205.4483788084019</v>
      </c>
      <c r="AA674" s="20">
        <f t="shared" ca="1" si="418"/>
        <v>6.565137317485644E+16</v>
      </c>
      <c r="AB674" s="20">
        <f t="shared" ca="1" si="419"/>
        <v>1682687078750389.5</v>
      </c>
      <c r="AC674" s="20">
        <f t="shared" ca="1" si="420"/>
        <v>402676556727062.25</v>
      </c>
      <c r="AD674" s="20">
        <f t="shared" ca="1" si="421"/>
        <v>301220076957131.94</v>
      </c>
      <c r="AE674" s="20">
        <f t="shared" ca="1" si="422"/>
        <v>6888962062544852</v>
      </c>
      <c r="AG674" s="16">
        <f t="shared" ca="1" si="423"/>
        <v>-4.7958591097888779E-4</v>
      </c>
      <c r="AH674" s="16">
        <f t="shared" ca="1" si="424"/>
        <v>-1.7150471307149517E-5</v>
      </c>
      <c r="AI674" s="16">
        <f t="shared" ca="1" si="425"/>
        <v>6.1005812289525984E-7</v>
      </c>
      <c r="AJ674" s="16">
        <f t="shared" ca="1" si="426"/>
        <v>-7.2844832374868197E-4</v>
      </c>
      <c r="AK674" s="16">
        <f t="shared" ca="1" si="427"/>
        <v>-1.2445236360464273E-4</v>
      </c>
      <c r="AM674" s="16">
        <f t="shared" ca="1" si="428"/>
        <v>-1.224574647911824E-3</v>
      </c>
      <c r="AO674" s="16">
        <f t="shared" ca="1" si="429"/>
        <v>-4.7958591097888779E-4</v>
      </c>
      <c r="AP674" s="16">
        <f t="shared" ca="1" si="430"/>
        <v>-1.7150471307149517E-5</v>
      </c>
      <c r="AQ674" s="16">
        <f t="shared" ca="1" si="431"/>
        <v>0</v>
      </c>
      <c r="AR674" s="16">
        <f t="shared" ca="1" si="432"/>
        <v>-7.2844832374868197E-4</v>
      </c>
      <c r="AS674" s="16">
        <f t="shared" ca="1" si="433"/>
        <v>-1.2445236360464273E-4</v>
      </c>
    </row>
    <row r="675" spans="1:45" x14ac:dyDescent="0.25">
      <c r="A675" s="69">
        <f t="shared" ca="1" si="434"/>
        <v>2452.5898593259039</v>
      </c>
      <c r="B675" s="69">
        <f t="shared" ca="1" si="435"/>
        <v>2136.1009186985348</v>
      </c>
      <c r="C675" s="69">
        <f t="shared" ca="1" si="436"/>
        <v>2233.2536042505026</v>
      </c>
      <c r="D675" s="69">
        <f t="shared" ca="1" si="437"/>
        <v>2902.2584029089471</v>
      </c>
      <c r="E675" s="69">
        <f t="shared" ca="1" si="438"/>
        <v>1932.4787048566209</v>
      </c>
      <c r="F675" s="69">
        <f t="shared" ca="1" si="439"/>
        <v>1217.8333523531899</v>
      </c>
      <c r="G675" s="69">
        <f t="shared" ca="1" si="440"/>
        <v>967.15653678384786</v>
      </c>
      <c r="H675" s="69">
        <f t="shared" ca="1" si="441"/>
        <v>1188.3979917047159</v>
      </c>
      <c r="I675" s="69">
        <f t="shared" ca="1" si="442"/>
        <v>1049.9835502189624</v>
      </c>
      <c r="J675" s="69">
        <f t="shared" ca="1" si="443"/>
        <v>1144.8981982058338</v>
      </c>
      <c r="K675" s="69">
        <f t="shared" ca="1" si="444"/>
        <v>1171.7112071044196</v>
      </c>
      <c r="L675" s="69">
        <f t="shared" ca="1" si="445"/>
        <v>958.50891576926051</v>
      </c>
      <c r="M675" s="69">
        <f t="shared" ca="1" si="446"/>
        <v>992.23292615077116</v>
      </c>
      <c r="N675" s="69">
        <f t="shared" ca="1" si="447"/>
        <v>574.42574704481137</v>
      </c>
      <c r="O675" s="69">
        <f t="shared" ca="1" si="448"/>
        <v>629.06038768424673</v>
      </c>
      <c r="P675" s="69">
        <f t="shared" ca="1" si="449"/>
        <v>721.30668582011617</v>
      </c>
      <c r="Q675" s="69">
        <f t="shared" ca="1" si="450"/>
        <v>960.65012854242741</v>
      </c>
      <c r="R675" s="69">
        <f t="shared" ca="1" si="451"/>
        <v>780.80756558646476</v>
      </c>
      <c r="S675" s="69">
        <f t="shared" ca="1" si="452"/>
        <v>700.37561463139309</v>
      </c>
      <c r="T675" s="69">
        <f t="shared" ca="1" si="453"/>
        <v>794.34162647207256</v>
      </c>
      <c r="U675" s="69">
        <f t="shared" ca="1" si="454"/>
        <v>1693.5951241523242</v>
      </c>
      <c r="V675" s="69">
        <f t="shared" ca="1" si="455"/>
        <v>1915.9531157210884</v>
      </c>
      <c r="W675" s="69">
        <f t="shared" ca="1" si="456"/>
        <v>1182.1308453329564</v>
      </c>
      <c r="X675" s="69">
        <f t="shared" ca="1" si="457"/>
        <v>1489.4866843515692</v>
      </c>
      <c r="Y675" s="69">
        <f t="shared" ca="1" si="458"/>
        <v>1205.5996059529291</v>
      </c>
      <c r="AA675" s="20">
        <f t="shared" ca="1" si="418"/>
        <v>6.561989525003332E+16</v>
      </c>
      <c r="AB675" s="20">
        <f t="shared" ca="1" si="419"/>
        <v>1682658220121396.8</v>
      </c>
      <c r="AC675" s="20">
        <f t="shared" ca="1" si="420"/>
        <v>402676802383241.5</v>
      </c>
      <c r="AD675" s="20">
        <f t="shared" ca="1" si="421"/>
        <v>301000733596843.94</v>
      </c>
      <c r="AE675" s="20">
        <f t="shared" ca="1" si="422"/>
        <v>6888104768280641</v>
      </c>
      <c r="AG675" s="16">
        <f t="shared" ca="1" si="423"/>
        <v>5.7169308267001655E-5</v>
      </c>
      <c r="AH675" s="16">
        <f t="shared" ca="1" si="424"/>
        <v>3.829741038762628E-4</v>
      </c>
      <c r="AI675" s="16">
        <f t="shared" ca="1" si="425"/>
        <v>1.2635877598910735E-3</v>
      </c>
      <c r="AJ675" s="16">
        <f t="shared" ca="1" si="426"/>
        <v>2.8289344998581287E-4</v>
      </c>
      <c r="AK675" s="16">
        <f t="shared" ca="1" si="427"/>
        <v>-2.7741057916300442E-5</v>
      </c>
      <c r="AM675" s="16">
        <f t="shared" ca="1" si="428"/>
        <v>1.9866246220201509E-3</v>
      </c>
      <c r="AO675" s="16">
        <f t="shared" ca="1" si="429"/>
        <v>0</v>
      </c>
      <c r="AP675" s="16">
        <f t="shared" ca="1" si="430"/>
        <v>0</v>
      </c>
      <c r="AQ675" s="16">
        <f t="shared" ca="1" si="431"/>
        <v>0</v>
      </c>
      <c r="AR675" s="16">
        <f t="shared" ca="1" si="432"/>
        <v>0</v>
      </c>
      <c r="AS675" s="16">
        <f t="shared" ca="1" si="433"/>
        <v>-2.7741057916300442E-5</v>
      </c>
    </row>
    <row r="676" spans="1:45" x14ac:dyDescent="0.25">
      <c r="A676" s="69">
        <f t="shared" ca="1" si="434"/>
        <v>2452.5898593259039</v>
      </c>
      <c r="B676" s="69">
        <f t="shared" ca="1" si="435"/>
        <v>2136.1372836991422</v>
      </c>
      <c r="C676" s="69">
        <f t="shared" ca="1" si="436"/>
        <v>2233.3432610087284</v>
      </c>
      <c r="D676" s="69">
        <f t="shared" ca="1" si="437"/>
        <v>2902.2584029089471</v>
      </c>
      <c r="E676" s="69">
        <f t="shared" ca="1" si="438"/>
        <v>1932.4787048566209</v>
      </c>
      <c r="F676" s="69">
        <f t="shared" ca="1" si="439"/>
        <v>1218.1673129207015</v>
      </c>
      <c r="G676" s="69">
        <f t="shared" ca="1" si="440"/>
        <v>967.43821245090669</v>
      </c>
      <c r="H676" s="69">
        <f t="shared" ca="1" si="441"/>
        <v>1188.3979917047159</v>
      </c>
      <c r="I676" s="69">
        <f t="shared" ca="1" si="442"/>
        <v>1049.6762550996334</v>
      </c>
      <c r="J676" s="69">
        <f t="shared" ca="1" si="443"/>
        <v>1145.0244843834059</v>
      </c>
      <c r="K676" s="69">
        <f t="shared" ca="1" si="444"/>
        <v>1171.9216804455095</v>
      </c>
      <c r="L676" s="69">
        <f t="shared" ca="1" si="445"/>
        <v>958.66918409967604</v>
      </c>
      <c r="M676" s="69">
        <f t="shared" ca="1" si="446"/>
        <v>992.23292615077116</v>
      </c>
      <c r="N676" s="69">
        <f t="shared" ca="1" si="447"/>
        <v>574.87590372811053</v>
      </c>
      <c r="O676" s="69">
        <f t="shared" ca="1" si="448"/>
        <v>629.14432631435761</v>
      </c>
      <c r="P676" s="69">
        <f t="shared" ca="1" si="449"/>
        <v>721.30668582011617</v>
      </c>
      <c r="Q676" s="69">
        <f t="shared" ca="1" si="450"/>
        <v>960.26380695396779</v>
      </c>
      <c r="R676" s="69">
        <f t="shared" ca="1" si="451"/>
        <v>781.06950080896127</v>
      </c>
      <c r="S676" s="69">
        <f t="shared" ca="1" si="452"/>
        <v>700.29050873171229</v>
      </c>
      <c r="T676" s="69">
        <f t="shared" ca="1" si="453"/>
        <v>794.71603351020167</v>
      </c>
      <c r="U676" s="69">
        <f t="shared" ca="1" si="454"/>
        <v>1693.5289459377268</v>
      </c>
      <c r="V676" s="69">
        <f t="shared" ca="1" si="455"/>
        <v>1915.9755043486159</v>
      </c>
      <c r="W676" s="69">
        <f t="shared" ca="1" si="456"/>
        <v>1182.1308453329564</v>
      </c>
      <c r="X676" s="69">
        <f t="shared" ca="1" si="457"/>
        <v>1489.4861630046983</v>
      </c>
      <c r="Y676" s="69">
        <f t="shared" ca="1" si="458"/>
        <v>1205.5996059529291</v>
      </c>
      <c r="AA676" s="20">
        <f t="shared" ca="1" si="418"/>
        <v>6.5623646801289096E+16</v>
      </c>
      <c r="AB676" s="20">
        <f t="shared" ca="1" si="419"/>
        <v>1683302758058169.5</v>
      </c>
      <c r="AC676" s="20">
        <f t="shared" ca="1" si="420"/>
        <v>403185941465137.81</v>
      </c>
      <c r="AD676" s="20">
        <f t="shared" ca="1" si="421"/>
        <v>301085896778304.56</v>
      </c>
      <c r="AE676" s="20">
        <f t="shared" ca="1" si="422"/>
        <v>6887913687617733</v>
      </c>
      <c r="AG676" s="16">
        <f t="shared" ca="1" si="423"/>
        <v>2.4389590394996791E-4</v>
      </c>
      <c r="AH676" s="16">
        <f t="shared" ca="1" si="424"/>
        <v>4.9453834566677416E-4</v>
      </c>
      <c r="AI676" s="16">
        <f t="shared" ca="1" si="425"/>
        <v>-3.0866012425726392E-4</v>
      </c>
      <c r="AJ676" s="16">
        <f t="shared" ca="1" si="426"/>
        <v>-8.1853267721930338E-4</v>
      </c>
      <c r="AK676" s="16">
        <f t="shared" ca="1" si="427"/>
        <v>-2.7354391887699924E-4</v>
      </c>
      <c r="AM676" s="16">
        <f t="shared" ca="1" si="428"/>
        <v>-3.8875855185982526E-4</v>
      </c>
      <c r="AO676" s="16">
        <f t="shared" ca="1" si="429"/>
        <v>0</v>
      </c>
      <c r="AP676" s="16">
        <f t="shared" ca="1" si="430"/>
        <v>0</v>
      </c>
      <c r="AQ676" s="16">
        <f t="shared" ca="1" si="431"/>
        <v>-3.0866012425726392E-4</v>
      </c>
      <c r="AR676" s="16">
        <f t="shared" ca="1" si="432"/>
        <v>-8.1853267721930338E-4</v>
      </c>
      <c r="AS676" s="16">
        <f t="shared" ca="1" si="433"/>
        <v>-2.7354391887699924E-4</v>
      </c>
    </row>
    <row r="677" spans="1:45" x14ac:dyDescent="0.25">
      <c r="A677" s="69">
        <f t="shared" ca="1" si="434"/>
        <v>2452.5898593259039</v>
      </c>
      <c r="B677" s="69">
        <f t="shared" ca="1" si="435"/>
        <v>2136.4610591711403</v>
      </c>
      <c r="C677" s="69">
        <f t="shared" ca="1" si="436"/>
        <v>2233.8407974661172</v>
      </c>
      <c r="D677" s="69">
        <f t="shared" ca="1" si="437"/>
        <v>2902.2584029089471</v>
      </c>
      <c r="E677" s="69">
        <f t="shared" ca="1" si="438"/>
        <v>1932.2266973445144</v>
      </c>
      <c r="F677" s="69">
        <f t="shared" ca="1" si="439"/>
        <v>1218.1673129207015</v>
      </c>
      <c r="G677" s="69">
        <f t="shared" ca="1" si="440"/>
        <v>967.43821245090669</v>
      </c>
      <c r="H677" s="69">
        <f t="shared" ca="1" si="441"/>
        <v>1188.6185771973508</v>
      </c>
      <c r="I677" s="69">
        <f t="shared" ca="1" si="442"/>
        <v>1049.7614422969862</v>
      </c>
      <c r="J677" s="69">
        <f t="shared" ca="1" si="443"/>
        <v>1145.2853361678842</v>
      </c>
      <c r="K677" s="69">
        <f t="shared" ca="1" si="444"/>
        <v>1172.2048613942634</v>
      </c>
      <c r="L677" s="69">
        <f t="shared" ca="1" si="445"/>
        <v>958.7251886033074</v>
      </c>
      <c r="M677" s="69">
        <f t="shared" ca="1" si="446"/>
        <v>992.23292615077116</v>
      </c>
      <c r="N677" s="69">
        <f t="shared" ca="1" si="447"/>
        <v>574.39888365603019</v>
      </c>
      <c r="O677" s="69">
        <f t="shared" ca="1" si="448"/>
        <v>629.28365776803855</v>
      </c>
      <c r="P677" s="69">
        <f t="shared" ca="1" si="449"/>
        <v>721.30668582011617</v>
      </c>
      <c r="Q677" s="69">
        <f t="shared" ca="1" si="450"/>
        <v>960.26380695396779</v>
      </c>
      <c r="R677" s="69">
        <f t="shared" ca="1" si="451"/>
        <v>780.70673156500777</v>
      </c>
      <c r="S677" s="69">
        <f t="shared" ca="1" si="452"/>
        <v>700.04266877332702</v>
      </c>
      <c r="T677" s="69">
        <f t="shared" ca="1" si="453"/>
        <v>794.71603351020167</v>
      </c>
      <c r="U677" s="69">
        <f t="shared" ca="1" si="454"/>
        <v>1693.1582521115345</v>
      </c>
      <c r="V677" s="69">
        <f t="shared" ca="1" si="455"/>
        <v>1915.821017376187</v>
      </c>
      <c r="W677" s="69">
        <f t="shared" ca="1" si="456"/>
        <v>1181.7423983336555</v>
      </c>
      <c r="X677" s="69">
        <f t="shared" ca="1" si="457"/>
        <v>1489.4861630046983</v>
      </c>
      <c r="Y677" s="69">
        <f t="shared" ca="1" si="458"/>
        <v>1206.0272544890699</v>
      </c>
      <c r="AA677" s="20">
        <f t="shared" ca="1" si="418"/>
        <v>6.5639654091923152E+16</v>
      </c>
      <c r="AB677" s="20">
        <f t="shared" ca="1" si="419"/>
        <v>1684135421694474.3</v>
      </c>
      <c r="AC677" s="20">
        <f t="shared" ca="1" si="420"/>
        <v>403061513246349</v>
      </c>
      <c r="AD677" s="20">
        <f t="shared" ca="1" si="421"/>
        <v>300839548968762</v>
      </c>
      <c r="AE677" s="20">
        <f t="shared" ca="1" si="422"/>
        <v>6886029798389704</v>
      </c>
      <c r="AG677" s="16">
        <f t="shared" ca="1" si="423"/>
        <v>-4.7892239459795161E-5</v>
      </c>
      <c r="AH677" s="16">
        <f t="shared" ca="1" si="424"/>
        <v>4.8389966819358302E-4</v>
      </c>
      <c r="AI677" s="16">
        <f t="shared" ca="1" si="425"/>
        <v>1.3684418019337715E-3</v>
      </c>
      <c r="AJ677" s="16">
        <f t="shared" ca="1" si="426"/>
        <v>9.1995434729919912E-5</v>
      </c>
      <c r="AK677" s="16">
        <f t="shared" ca="1" si="427"/>
        <v>3.6051738165222534E-5</v>
      </c>
      <c r="AM677" s="16">
        <f t="shared" ca="1" si="428"/>
        <v>1.8964446653974793E-3</v>
      </c>
      <c r="AO677" s="16">
        <f t="shared" ca="1" si="429"/>
        <v>-4.7892239459795161E-5</v>
      </c>
      <c r="AP677" s="16">
        <f t="shared" ca="1" si="430"/>
        <v>0</v>
      </c>
      <c r="AQ677" s="16">
        <f t="shared" ca="1" si="431"/>
        <v>0</v>
      </c>
      <c r="AR677" s="16">
        <f t="shared" ca="1" si="432"/>
        <v>0</v>
      </c>
      <c r="AS677" s="16">
        <f t="shared" ca="1" si="433"/>
        <v>0</v>
      </c>
    </row>
    <row r="678" spans="1:45" x14ac:dyDescent="0.25">
      <c r="A678" s="69">
        <f t="shared" ca="1" si="434"/>
        <v>2452.963892174454</v>
      </c>
      <c r="B678" s="69">
        <f t="shared" ca="1" si="435"/>
        <v>2136.4746439917649</v>
      </c>
      <c r="C678" s="69">
        <f t="shared" ca="1" si="436"/>
        <v>2234.097348866605</v>
      </c>
      <c r="D678" s="69">
        <f t="shared" ca="1" si="437"/>
        <v>2902.021912900283</v>
      </c>
      <c r="E678" s="69">
        <f t="shared" ca="1" si="438"/>
        <v>1931.7628305419742</v>
      </c>
      <c r="F678" s="69">
        <f t="shared" ca="1" si="439"/>
        <v>1218.6280227188395</v>
      </c>
      <c r="G678" s="69">
        <f t="shared" ca="1" si="440"/>
        <v>967.02641176664383</v>
      </c>
      <c r="H678" s="69">
        <f t="shared" ca="1" si="441"/>
        <v>1188.4339056119736</v>
      </c>
      <c r="I678" s="69">
        <f t="shared" ca="1" si="442"/>
        <v>1050.196160518291</v>
      </c>
      <c r="J678" s="69">
        <f t="shared" ca="1" si="443"/>
        <v>1145.5979003303974</v>
      </c>
      <c r="K678" s="69">
        <f t="shared" ca="1" si="444"/>
        <v>1172.2048613942634</v>
      </c>
      <c r="L678" s="69">
        <f t="shared" ca="1" si="445"/>
        <v>958.87383305801961</v>
      </c>
      <c r="M678" s="69">
        <f t="shared" ca="1" si="446"/>
        <v>992.49298608955019</v>
      </c>
      <c r="N678" s="69">
        <f t="shared" ca="1" si="447"/>
        <v>574.65240831760548</v>
      </c>
      <c r="O678" s="69">
        <f t="shared" ca="1" si="448"/>
        <v>629.60471970925835</v>
      </c>
      <c r="P678" s="69">
        <f t="shared" ca="1" si="449"/>
        <v>721.30668582011617</v>
      </c>
      <c r="Q678" s="69">
        <f t="shared" ca="1" si="450"/>
        <v>960.13328016644982</v>
      </c>
      <c r="R678" s="69">
        <f t="shared" ca="1" si="451"/>
        <v>780.70673156500777</v>
      </c>
      <c r="S678" s="69">
        <f t="shared" ca="1" si="452"/>
        <v>700.4983023303754</v>
      </c>
      <c r="T678" s="69">
        <f t="shared" ca="1" si="453"/>
        <v>794.38016137897944</v>
      </c>
      <c r="U678" s="69">
        <f t="shared" ca="1" si="454"/>
        <v>1693.4023089240991</v>
      </c>
      <c r="V678" s="69">
        <f t="shared" ca="1" si="455"/>
        <v>1915.8388181862829</v>
      </c>
      <c r="W678" s="69">
        <f t="shared" ca="1" si="456"/>
        <v>1181.7423983336555</v>
      </c>
      <c r="X678" s="69">
        <f t="shared" ca="1" si="457"/>
        <v>1489.5922127951201</v>
      </c>
      <c r="Y678" s="69">
        <f t="shared" ca="1" si="458"/>
        <v>1205.7998570260906</v>
      </c>
      <c r="AA678" s="20">
        <f t="shared" ca="1" si="418"/>
        <v>6.5636510537167864E+16</v>
      </c>
      <c r="AB678" s="20">
        <f t="shared" ca="1" si="419"/>
        <v>1684950571475673.5</v>
      </c>
      <c r="AC678" s="20">
        <f t="shared" ca="1" si="420"/>
        <v>403613457035170.13</v>
      </c>
      <c r="AD678" s="20">
        <f t="shared" ca="1" si="421"/>
        <v>300867226106919</v>
      </c>
      <c r="AE678" s="20">
        <f t="shared" ca="1" si="422"/>
        <v>6886278056208029</v>
      </c>
      <c r="AG678" s="16">
        <f t="shared" ca="1" si="423"/>
        <v>4.1584330229797175E-4</v>
      </c>
      <c r="AH678" s="16">
        <f t="shared" ca="1" si="424"/>
        <v>8.462682938410027E-5</v>
      </c>
      <c r="AI678" s="16">
        <f t="shared" ca="1" si="425"/>
        <v>2.6211794127887215E-5</v>
      </c>
      <c r="AJ678" s="16">
        <f t="shared" ca="1" si="426"/>
        <v>9.7016313032442401E-4</v>
      </c>
      <c r="AK678" s="16">
        <f t="shared" ca="1" si="427"/>
        <v>-1.5534202801364801E-4</v>
      </c>
      <c r="AM678" s="16">
        <f t="shared" ca="1" si="428"/>
        <v>1.4968450561343833E-3</v>
      </c>
      <c r="AO678" s="16">
        <f t="shared" ca="1" si="429"/>
        <v>0</v>
      </c>
      <c r="AP678" s="16">
        <f t="shared" ca="1" si="430"/>
        <v>0</v>
      </c>
      <c r="AQ678" s="16">
        <f t="shared" ca="1" si="431"/>
        <v>0</v>
      </c>
      <c r="AR678" s="16">
        <f t="shared" ca="1" si="432"/>
        <v>0</v>
      </c>
      <c r="AS678" s="16">
        <f t="shared" ca="1" si="433"/>
        <v>-1.5534202801364801E-4</v>
      </c>
    </row>
    <row r="679" spans="1:45" x14ac:dyDescent="0.25">
      <c r="A679" s="69">
        <f t="shared" ca="1" si="434"/>
        <v>2452.6004286520724</v>
      </c>
      <c r="B679" s="69">
        <f t="shared" ca="1" si="435"/>
        <v>2136.9440627683639</v>
      </c>
      <c r="C679" s="69">
        <f t="shared" ca="1" si="436"/>
        <v>2234.3703919568648</v>
      </c>
      <c r="D679" s="69">
        <f t="shared" ca="1" si="437"/>
        <v>2901.9921686918992</v>
      </c>
      <c r="E679" s="69">
        <f t="shared" ca="1" si="438"/>
        <v>1932.2117776482526</v>
      </c>
      <c r="F679" s="69">
        <f t="shared" ca="1" si="439"/>
        <v>1218.6532302691596</v>
      </c>
      <c r="G679" s="69">
        <f t="shared" ca="1" si="440"/>
        <v>966.90794967079921</v>
      </c>
      <c r="H679" s="69">
        <f t="shared" ca="1" si="441"/>
        <v>1188.4347599353864</v>
      </c>
      <c r="I679" s="69">
        <f t="shared" ca="1" si="442"/>
        <v>1050.196160518291</v>
      </c>
      <c r="J679" s="69">
        <f t="shared" ca="1" si="443"/>
        <v>1145.8106941668043</v>
      </c>
      <c r="K679" s="69">
        <f t="shared" ca="1" si="444"/>
        <v>1172.1699032758997</v>
      </c>
      <c r="L679" s="69">
        <f t="shared" ca="1" si="445"/>
        <v>959.11506739776064</v>
      </c>
      <c r="M679" s="69">
        <f t="shared" ca="1" si="446"/>
        <v>992.49298608955019</v>
      </c>
      <c r="N679" s="69">
        <f t="shared" ca="1" si="447"/>
        <v>574.566559324997</v>
      </c>
      <c r="O679" s="69">
        <f t="shared" ca="1" si="448"/>
        <v>629.57568904088794</v>
      </c>
      <c r="P679" s="69">
        <f t="shared" ca="1" si="449"/>
        <v>721.73426967564319</v>
      </c>
      <c r="Q679" s="69">
        <f t="shared" ca="1" si="450"/>
        <v>960.13328016644982</v>
      </c>
      <c r="R679" s="69">
        <f t="shared" ca="1" si="451"/>
        <v>781.00154156987071</v>
      </c>
      <c r="S679" s="69">
        <f t="shared" ca="1" si="452"/>
        <v>700.4983023303754</v>
      </c>
      <c r="T679" s="69">
        <f t="shared" ca="1" si="453"/>
        <v>794.38016137897944</v>
      </c>
      <c r="U679" s="69">
        <f t="shared" ca="1" si="454"/>
        <v>1693.5562357578469</v>
      </c>
      <c r="V679" s="69">
        <f t="shared" ca="1" si="455"/>
        <v>1915.529961517228</v>
      </c>
      <c r="W679" s="69">
        <f t="shared" ca="1" si="456"/>
        <v>1181.6419419367583</v>
      </c>
      <c r="X679" s="69">
        <f t="shared" ca="1" si="457"/>
        <v>1489.5922127951201</v>
      </c>
      <c r="Y679" s="69">
        <f t="shared" ca="1" si="458"/>
        <v>1205.7998570260906</v>
      </c>
      <c r="AA679" s="20">
        <f t="shared" ca="1" si="418"/>
        <v>6.566381071636588E+16</v>
      </c>
      <c r="AB679" s="20">
        <f t="shared" ca="1" si="419"/>
        <v>1685093169533932</v>
      </c>
      <c r="AC679" s="20">
        <f t="shared" ca="1" si="420"/>
        <v>403624036606667.38</v>
      </c>
      <c r="AD679" s="20">
        <f t="shared" ca="1" si="421"/>
        <v>301159258033209.38</v>
      </c>
      <c r="AE679" s="20">
        <f t="shared" ca="1" si="422"/>
        <v>6885208410891899</v>
      </c>
      <c r="AG679" s="16">
        <f t="shared" ca="1" si="423"/>
        <v>1.3250010492132493E-5</v>
      </c>
      <c r="AH679" s="16">
        <f t="shared" ca="1" si="424"/>
        <v>-3.8461665806491866E-5</v>
      </c>
      <c r="AI679" s="16">
        <f t="shared" ca="1" si="425"/>
        <v>-8.5558488580121043E-4</v>
      </c>
      <c r="AJ679" s="16">
        <f t="shared" ca="1" si="426"/>
        <v>-3.5748547481897889E-4</v>
      </c>
      <c r="AK679" s="16">
        <f t="shared" ca="1" si="427"/>
        <v>-2.3401264987889505E-4</v>
      </c>
      <c r="AM679" s="16">
        <f t="shared" ca="1" si="428"/>
        <v>-1.2382820159345487E-3</v>
      </c>
      <c r="AO679" s="16">
        <f t="shared" ca="1" si="429"/>
        <v>0</v>
      </c>
      <c r="AP679" s="16">
        <f t="shared" ca="1" si="430"/>
        <v>-3.8461665806491866E-5</v>
      </c>
      <c r="AQ679" s="16">
        <f t="shared" ca="1" si="431"/>
        <v>-8.5558488580121043E-4</v>
      </c>
      <c r="AR679" s="16">
        <f t="shared" ca="1" si="432"/>
        <v>-3.5748547481897889E-4</v>
      </c>
      <c r="AS679" s="16">
        <f t="shared" ca="1" si="433"/>
        <v>-2.3401264987889505E-4</v>
      </c>
    </row>
    <row r="680" spans="1:45" x14ac:dyDescent="0.25">
      <c r="A680" s="69">
        <f t="shared" ca="1" si="434"/>
        <v>2452.5002497301807</v>
      </c>
      <c r="B680" s="69">
        <f t="shared" ca="1" si="435"/>
        <v>2136.6704117384702</v>
      </c>
      <c r="C680" s="69">
        <f t="shared" ca="1" si="436"/>
        <v>2234.3703919568648</v>
      </c>
      <c r="D680" s="69">
        <f t="shared" ca="1" si="437"/>
        <v>2902.1261656796933</v>
      </c>
      <c r="E680" s="69">
        <f t="shared" ca="1" si="438"/>
        <v>1932.4745553604464</v>
      </c>
      <c r="F680" s="69">
        <f t="shared" ca="1" si="439"/>
        <v>1218.6532302691596</v>
      </c>
      <c r="G680" s="69">
        <f t="shared" ca="1" si="440"/>
        <v>966.90794967079921</v>
      </c>
      <c r="H680" s="69">
        <f t="shared" ca="1" si="441"/>
        <v>1188.4536569106026</v>
      </c>
      <c r="I680" s="69">
        <f t="shared" ca="1" si="442"/>
        <v>1050.196160518291</v>
      </c>
      <c r="J680" s="69">
        <f t="shared" ca="1" si="443"/>
        <v>1145.7484069950719</v>
      </c>
      <c r="K680" s="69">
        <f t="shared" ca="1" si="444"/>
        <v>1171.7377865964104</v>
      </c>
      <c r="L680" s="69">
        <f t="shared" ca="1" si="445"/>
        <v>958.64821658435994</v>
      </c>
      <c r="M680" s="69">
        <f t="shared" ca="1" si="446"/>
        <v>992.49298608955019</v>
      </c>
      <c r="N680" s="69">
        <f t="shared" ca="1" si="447"/>
        <v>574.566559324997</v>
      </c>
      <c r="O680" s="69">
        <f t="shared" ca="1" si="448"/>
        <v>629.57568904088794</v>
      </c>
      <c r="P680" s="69">
        <f t="shared" ca="1" si="449"/>
        <v>721.89864197069357</v>
      </c>
      <c r="Q680" s="69">
        <f t="shared" ca="1" si="450"/>
        <v>960.13328016644982</v>
      </c>
      <c r="R680" s="69">
        <f t="shared" ca="1" si="451"/>
        <v>781.00154156987071</v>
      </c>
      <c r="S680" s="69">
        <f t="shared" ca="1" si="452"/>
        <v>700.277573798704</v>
      </c>
      <c r="T680" s="69">
        <f t="shared" ca="1" si="453"/>
        <v>794.16566479952473</v>
      </c>
      <c r="U680" s="69">
        <f t="shared" ca="1" si="454"/>
        <v>1693.5562357578469</v>
      </c>
      <c r="V680" s="69">
        <f t="shared" ca="1" si="455"/>
        <v>1915.529961517228</v>
      </c>
      <c r="W680" s="69">
        <f t="shared" ca="1" si="456"/>
        <v>1181.6064139378223</v>
      </c>
      <c r="X680" s="69">
        <f t="shared" ca="1" si="457"/>
        <v>1489.8115660756075</v>
      </c>
      <c r="Y680" s="69">
        <f t="shared" ca="1" si="458"/>
        <v>1205.3764641270757</v>
      </c>
      <c r="AA680" s="20">
        <f t="shared" ca="1" si="418"/>
        <v>6.5664680768310904E+16</v>
      </c>
      <c r="AB680" s="20">
        <f t="shared" ca="1" si="419"/>
        <v>1685028359289955.5</v>
      </c>
      <c r="AC680" s="20">
        <f t="shared" ca="1" si="420"/>
        <v>403278849670820.31</v>
      </c>
      <c r="AD680" s="20">
        <f t="shared" ca="1" si="421"/>
        <v>301051617214016.25</v>
      </c>
      <c r="AE680" s="20">
        <f t="shared" ca="1" si="422"/>
        <v>6883597373535610</v>
      </c>
      <c r="AG680" s="16">
        <f t="shared" ca="1" si="423"/>
        <v>3.094159431128973E-5</v>
      </c>
      <c r="AH680" s="16">
        <f t="shared" ca="1" si="424"/>
        <v>-2.4266679176876307E-5</v>
      </c>
      <c r="AI680" s="16">
        <f t="shared" ca="1" si="425"/>
        <v>3.1137515778705232E-4</v>
      </c>
      <c r="AJ680" s="16">
        <f t="shared" ca="1" si="426"/>
        <v>-7.8679027154342923E-4</v>
      </c>
      <c r="AK680" s="16">
        <f t="shared" ca="1" si="427"/>
        <v>2.6593738311705208E-4</v>
      </c>
      <c r="AM680" s="16">
        <f t="shared" ca="1" si="428"/>
        <v>-4.6874019862196348E-4</v>
      </c>
      <c r="AO680" s="16">
        <f t="shared" ca="1" si="429"/>
        <v>0</v>
      </c>
      <c r="AP680" s="16">
        <f t="shared" ca="1" si="430"/>
        <v>-2.4266679176876307E-5</v>
      </c>
      <c r="AQ680" s="16">
        <f t="shared" ca="1" si="431"/>
        <v>0</v>
      </c>
      <c r="AR680" s="16">
        <f t="shared" ca="1" si="432"/>
        <v>-7.8679027154342923E-4</v>
      </c>
      <c r="AS680" s="16">
        <f t="shared" ca="1" si="433"/>
        <v>0</v>
      </c>
    </row>
    <row r="681" spans="1:45" x14ac:dyDescent="0.25">
      <c r="A681" s="69">
        <f t="shared" ca="1" si="434"/>
        <v>2452.9108626430066</v>
      </c>
      <c r="B681" s="69">
        <f t="shared" ca="1" si="435"/>
        <v>2136.6704117384702</v>
      </c>
      <c r="C681" s="69">
        <f t="shared" ca="1" si="436"/>
        <v>2234.299056450915</v>
      </c>
      <c r="D681" s="69">
        <f t="shared" ca="1" si="437"/>
        <v>2901.8227825810777</v>
      </c>
      <c r="E681" s="69">
        <f t="shared" ca="1" si="438"/>
        <v>1932.4745553604464</v>
      </c>
      <c r="F681" s="69">
        <f t="shared" ca="1" si="439"/>
        <v>1218.4701658234533</v>
      </c>
      <c r="G681" s="69">
        <f t="shared" ca="1" si="440"/>
        <v>966.89447119080069</v>
      </c>
      <c r="H681" s="69">
        <f t="shared" ca="1" si="441"/>
        <v>1188.4536569106026</v>
      </c>
      <c r="I681" s="69">
        <f t="shared" ca="1" si="442"/>
        <v>1050.3430965262762</v>
      </c>
      <c r="J681" s="69">
        <f t="shared" ca="1" si="443"/>
        <v>1145.7484069950719</v>
      </c>
      <c r="K681" s="69">
        <f t="shared" ca="1" si="444"/>
        <v>1171.9278680390782</v>
      </c>
      <c r="L681" s="69">
        <f t="shared" ca="1" si="445"/>
        <v>958.23448394043862</v>
      </c>
      <c r="M681" s="69">
        <f t="shared" ca="1" si="446"/>
        <v>992.49298608955019</v>
      </c>
      <c r="N681" s="69">
        <f t="shared" ca="1" si="447"/>
        <v>574.90038685099103</v>
      </c>
      <c r="O681" s="69">
        <f t="shared" ca="1" si="448"/>
        <v>629.57568904088794</v>
      </c>
      <c r="P681" s="69">
        <f t="shared" ca="1" si="449"/>
        <v>721.89864197069357</v>
      </c>
      <c r="Q681" s="69">
        <f t="shared" ca="1" si="450"/>
        <v>960.19649540173623</v>
      </c>
      <c r="R681" s="69">
        <f t="shared" ca="1" si="451"/>
        <v>780.87180014491992</v>
      </c>
      <c r="S681" s="69">
        <f t="shared" ca="1" si="452"/>
        <v>699.81790740299391</v>
      </c>
      <c r="T681" s="69">
        <f t="shared" ca="1" si="453"/>
        <v>794.14194263850686</v>
      </c>
      <c r="U681" s="69">
        <f t="shared" ca="1" si="454"/>
        <v>1693.7526161268436</v>
      </c>
      <c r="V681" s="69">
        <f t="shared" ca="1" si="455"/>
        <v>1915.529961517228</v>
      </c>
      <c r="W681" s="69">
        <f t="shared" ca="1" si="456"/>
        <v>1181.9264460136646</v>
      </c>
      <c r="X681" s="69">
        <f t="shared" ca="1" si="457"/>
        <v>1489.63157564927</v>
      </c>
      <c r="Y681" s="69">
        <f t="shared" ca="1" si="458"/>
        <v>1205.3764641270757</v>
      </c>
      <c r="AA681" s="20">
        <f t="shared" ca="1" si="418"/>
        <v>6.566671256965724E+16</v>
      </c>
      <c r="AB681" s="20">
        <f t="shared" ca="1" si="419"/>
        <v>1684987469743485.5</v>
      </c>
      <c r="AC681" s="20">
        <f t="shared" ca="1" si="420"/>
        <v>403404440238145.38</v>
      </c>
      <c r="AD681" s="20">
        <f t="shared" ca="1" si="421"/>
        <v>300814845887262.31</v>
      </c>
      <c r="AE681" s="20">
        <f t="shared" ca="1" si="422"/>
        <v>6885428222842406</v>
      </c>
      <c r="AG681" s="16">
        <f t="shared" ca="1" si="423"/>
        <v>3.2354699920344061E-4</v>
      </c>
      <c r="AH681" s="16">
        <f t="shared" ca="1" si="424"/>
        <v>6.4609286334549993E-4</v>
      </c>
      <c r="AI681" s="16">
        <f t="shared" ca="1" si="425"/>
        <v>-2.8829008304429807E-4</v>
      </c>
      <c r="AJ681" s="16">
        <f t="shared" ca="1" si="426"/>
        <v>9.7540995040736641E-4</v>
      </c>
      <c r="AK681" s="16">
        <f t="shared" ca="1" si="427"/>
        <v>2.0305653839802391E-4</v>
      </c>
      <c r="AM681" s="16">
        <f t="shared" ca="1" si="428"/>
        <v>1.6567597299120087E-3</v>
      </c>
      <c r="AO681" s="16">
        <f t="shared" ca="1" si="429"/>
        <v>0</v>
      </c>
      <c r="AP681" s="16">
        <f t="shared" ca="1" si="430"/>
        <v>0</v>
      </c>
      <c r="AQ681" s="16">
        <f t="shared" ca="1" si="431"/>
        <v>-2.8829008304429807E-4</v>
      </c>
      <c r="AR681" s="16">
        <f t="shared" ca="1" si="432"/>
        <v>0</v>
      </c>
      <c r="AS681" s="16">
        <f t="shared" ca="1" si="433"/>
        <v>0</v>
      </c>
    </row>
    <row r="682" spans="1:45" x14ac:dyDescent="0.25">
      <c r="A682" s="69">
        <f t="shared" ca="1" si="434"/>
        <v>2453.1248410096327</v>
      </c>
      <c r="B682" s="69">
        <f t="shared" ca="1" si="435"/>
        <v>2136.7899567946706</v>
      </c>
      <c r="C682" s="69">
        <f t="shared" ca="1" si="436"/>
        <v>2234.299056450915</v>
      </c>
      <c r="D682" s="69">
        <f t="shared" ca="1" si="437"/>
        <v>2901.8227825810777</v>
      </c>
      <c r="E682" s="69">
        <f t="shared" ca="1" si="438"/>
        <v>1932.8231446773614</v>
      </c>
      <c r="F682" s="69">
        <f t="shared" ca="1" si="439"/>
        <v>1218.3524162631236</v>
      </c>
      <c r="G682" s="69">
        <f t="shared" ca="1" si="440"/>
        <v>967.39371071503012</v>
      </c>
      <c r="H682" s="69">
        <f t="shared" ca="1" si="441"/>
        <v>1188.4536569106026</v>
      </c>
      <c r="I682" s="69">
        <f t="shared" ca="1" si="442"/>
        <v>1050.5810629506566</v>
      </c>
      <c r="J682" s="69">
        <f t="shared" ca="1" si="443"/>
        <v>1145.7484069950719</v>
      </c>
      <c r="K682" s="69">
        <f t="shared" ca="1" si="444"/>
        <v>1171.5794300963012</v>
      </c>
      <c r="L682" s="69">
        <f t="shared" ca="1" si="445"/>
        <v>958.46879732958109</v>
      </c>
      <c r="M682" s="69">
        <f t="shared" ca="1" si="446"/>
        <v>992.49298608955019</v>
      </c>
      <c r="N682" s="69">
        <f t="shared" ca="1" si="447"/>
        <v>574.90038685099103</v>
      </c>
      <c r="O682" s="69">
        <f t="shared" ca="1" si="448"/>
        <v>629.42749062209703</v>
      </c>
      <c r="P682" s="69">
        <f t="shared" ca="1" si="449"/>
        <v>721.70778778620615</v>
      </c>
      <c r="Q682" s="69">
        <f t="shared" ca="1" si="450"/>
        <v>960.57230391160977</v>
      </c>
      <c r="R682" s="69">
        <f t="shared" ca="1" si="451"/>
        <v>780.70025429483076</v>
      </c>
      <c r="S682" s="69">
        <f t="shared" ca="1" si="452"/>
        <v>700.16078903477558</v>
      </c>
      <c r="T682" s="69">
        <f t="shared" ca="1" si="453"/>
        <v>794.60139392004078</v>
      </c>
      <c r="U682" s="69">
        <f t="shared" ca="1" si="454"/>
        <v>1693.8269560571198</v>
      </c>
      <c r="V682" s="69">
        <f t="shared" ca="1" si="455"/>
        <v>1915.529961517228</v>
      </c>
      <c r="W682" s="69">
        <f t="shared" ca="1" si="456"/>
        <v>1181.9691980262166</v>
      </c>
      <c r="X682" s="69">
        <f t="shared" ca="1" si="457"/>
        <v>1489.63157564927</v>
      </c>
      <c r="Y682" s="69">
        <f t="shared" ca="1" si="458"/>
        <v>1205.5247297568828</v>
      </c>
      <c r="AA682" s="20">
        <f t="shared" ca="1" si="418"/>
        <v>6.5687962274910512E+16</v>
      </c>
      <c r="AB682" s="20">
        <f t="shared" ca="1" si="419"/>
        <v>1686076479885471.3</v>
      </c>
      <c r="AC682" s="20">
        <f t="shared" ca="1" si="420"/>
        <v>403288159500665.75</v>
      </c>
      <c r="AD682" s="20">
        <f t="shared" ca="1" si="421"/>
        <v>301108406829027.75</v>
      </c>
      <c r="AE682" s="20">
        <f t="shared" ca="1" si="422"/>
        <v>6886826496022176</v>
      </c>
      <c r="AG682" s="16">
        <f t="shared" ca="1" si="423"/>
        <v>-1.2309448186666644E-4</v>
      </c>
      <c r="AH682" s="16">
        <f t="shared" ca="1" si="424"/>
        <v>1.7596846317564484E-4</v>
      </c>
      <c r="AI682" s="16">
        <f t="shared" ca="1" si="425"/>
        <v>-1.9883450202983806E-4</v>
      </c>
      <c r="AJ682" s="16">
        <f t="shared" ca="1" si="426"/>
        <v>-6.6833902140305587E-4</v>
      </c>
      <c r="AK682" s="16">
        <f t="shared" ca="1" si="427"/>
        <v>7.3170912148735944E-5</v>
      </c>
      <c r="AM682" s="16">
        <f t="shared" ca="1" si="428"/>
        <v>-8.1429954212391552E-4</v>
      </c>
      <c r="AO682" s="16">
        <f t="shared" ca="1" si="429"/>
        <v>-1.2309448186666644E-4</v>
      </c>
      <c r="AP682" s="16">
        <f t="shared" ca="1" si="430"/>
        <v>0</v>
      </c>
      <c r="AQ682" s="16">
        <f t="shared" ca="1" si="431"/>
        <v>-1.9883450202983806E-4</v>
      </c>
      <c r="AR682" s="16">
        <f t="shared" ca="1" si="432"/>
        <v>-6.6833902140305587E-4</v>
      </c>
      <c r="AS682" s="16">
        <f t="shared" ca="1" si="433"/>
        <v>0</v>
      </c>
    </row>
    <row r="683" spans="1:45" x14ac:dyDescent="0.25">
      <c r="A683" s="69">
        <f t="shared" ca="1" si="434"/>
        <v>2453.1248410096327</v>
      </c>
      <c r="B683" s="69">
        <f t="shared" ca="1" si="435"/>
        <v>2136.6769434400421</v>
      </c>
      <c r="C683" s="69">
        <f t="shared" ca="1" si="436"/>
        <v>2233.9953368788852</v>
      </c>
      <c r="D683" s="69">
        <f t="shared" ca="1" si="437"/>
        <v>2901.8227825810777</v>
      </c>
      <c r="E683" s="69">
        <f t="shared" ca="1" si="438"/>
        <v>1932.9502136696319</v>
      </c>
      <c r="F683" s="69">
        <f t="shared" ca="1" si="439"/>
        <v>1218.6200547512772</v>
      </c>
      <c r="G683" s="69">
        <f t="shared" ca="1" si="440"/>
        <v>967.54744533079679</v>
      </c>
      <c r="H683" s="69">
        <f t="shared" ca="1" si="441"/>
        <v>1188.6050518090281</v>
      </c>
      <c r="I683" s="69">
        <f t="shared" ca="1" si="442"/>
        <v>1050.6752462298371</v>
      </c>
      <c r="J683" s="69">
        <f t="shared" ca="1" si="443"/>
        <v>1145.2677423036807</v>
      </c>
      <c r="K683" s="69">
        <f t="shared" ca="1" si="444"/>
        <v>1171.1373367055598</v>
      </c>
      <c r="L683" s="69">
        <f t="shared" ca="1" si="445"/>
        <v>958.46879732958109</v>
      </c>
      <c r="M683" s="69">
        <f t="shared" ca="1" si="446"/>
        <v>992.49298608955019</v>
      </c>
      <c r="N683" s="69">
        <f t="shared" ca="1" si="447"/>
        <v>574.90038685099103</v>
      </c>
      <c r="O683" s="69">
        <f t="shared" ca="1" si="448"/>
        <v>629.53990691345075</v>
      </c>
      <c r="P683" s="69">
        <f t="shared" ca="1" si="449"/>
        <v>721.70778778620615</v>
      </c>
      <c r="Q683" s="69">
        <f t="shared" ca="1" si="450"/>
        <v>960.52395483869225</v>
      </c>
      <c r="R683" s="69">
        <f t="shared" ca="1" si="451"/>
        <v>780.21792735831298</v>
      </c>
      <c r="S683" s="69">
        <f t="shared" ca="1" si="452"/>
        <v>700.16078903477558</v>
      </c>
      <c r="T683" s="69">
        <f t="shared" ca="1" si="453"/>
        <v>794.60139392004078</v>
      </c>
      <c r="U683" s="69">
        <f t="shared" ca="1" si="454"/>
        <v>1694.0699462814193</v>
      </c>
      <c r="V683" s="69">
        <f t="shared" ca="1" si="455"/>
        <v>1915.0751718198189</v>
      </c>
      <c r="W683" s="69">
        <f t="shared" ca="1" si="456"/>
        <v>1181.9691980262166</v>
      </c>
      <c r="X683" s="69">
        <f t="shared" ca="1" si="457"/>
        <v>1489.63157564927</v>
      </c>
      <c r="Y683" s="69">
        <f t="shared" ca="1" si="458"/>
        <v>1205.7262807222082</v>
      </c>
      <c r="AA683" s="20">
        <f t="shared" ca="1" si="418"/>
        <v>6.5679876946869248E+16</v>
      </c>
      <c r="AB683" s="20">
        <f t="shared" ca="1" si="419"/>
        <v>1686373202278559.3</v>
      </c>
      <c r="AC683" s="20">
        <f t="shared" ca="1" si="420"/>
        <v>403207979871799.38</v>
      </c>
      <c r="AD683" s="20">
        <f t="shared" ca="1" si="421"/>
        <v>300907231565199.25</v>
      </c>
      <c r="AE683" s="20">
        <f t="shared" ca="1" si="422"/>
        <v>6887330429835124</v>
      </c>
      <c r="AG683" s="16">
        <f t="shared" ca="1" si="423"/>
        <v>1.9089103153917177E-4</v>
      </c>
      <c r="AH683" s="16">
        <f t="shared" ca="1" si="424"/>
        <v>-3.9031466942226925E-4</v>
      </c>
      <c r="AI683" s="16">
        <f t="shared" ca="1" si="425"/>
        <v>-7.8693491905702199E-4</v>
      </c>
      <c r="AJ683" s="16">
        <f t="shared" ca="1" si="426"/>
        <v>-4.5850237667314299E-4</v>
      </c>
      <c r="AK683" s="16">
        <f t="shared" ca="1" si="427"/>
        <v>8.2879978575589369E-4</v>
      </c>
      <c r="AM683" s="16">
        <f t="shared" ca="1" si="428"/>
        <v>-1.4448609336132625E-3</v>
      </c>
      <c r="AO683" s="16">
        <f t="shared" ca="1" si="429"/>
        <v>0</v>
      </c>
      <c r="AP683" s="16">
        <f t="shared" ca="1" si="430"/>
        <v>-3.9031466942226925E-4</v>
      </c>
      <c r="AQ683" s="16">
        <f t="shared" ca="1" si="431"/>
        <v>-7.8693491905702199E-4</v>
      </c>
      <c r="AR683" s="16">
        <f t="shared" ca="1" si="432"/>
        <v>-4.5850237667314299E-4</v>
      </c>
      <c r="AS683" s="16">
        <f t="shared" ca="1" si="433"/>
        <v>0</v>
      </c>
    </row>
    <row r="684" spans="1:45" x14ac:dyDescent="0.25">
      <c r="A684" s="69">
        <f t="shared" ca="1" si="434"/>
        <v>2453.1248410096327</v>
      </c>
      <c r="B684" s="69">
        <f t="shared" ca="1" si="435"/>
        <v>2136.6769434400421</v>
      </c>
      <c r="C684" s="69">
        <f t="shared" ca="1" si="436"/>
        <v>2234.4599802197367</v>
      </c>
      <c r="D684" s="69">
        <f t="shared" ca="1" si="437"/>
        <v>2901.6616513616937</v>
      </c>
      <c r="E684" s="69">
        <f t="shared" ca="1" si="438"/>
        <v>1933.0245451180658</v>
      </c>
      <c r="F684" s="69">
        <f t="shared" ca="1" si="439"/>
        <v>1218.6200547512772</v>
      </c>
      <c r="G684" s="69">
        <f t="shared" ca="1" si="440"/>
        <v>967.6236046655082</v>
      </c>
      <c r="H684" s="69">
        <f t="shared" ca="1" si="441"/>
        <v>1188.6329366470422</v>
      </c>
      <c r="I684" s="69">
        <f t="shared" ca="1" si="442"/>
        <v>1050.4338264392634</v>
      </c>
      <c r="J684" s="69">
        <f t="shared" ca="1" si="443"/>
        <v>1144.9669394619236</v>
      </c>
      <c r="K684" s="69">
        <f t="shared" ca="1" si="444"/>
        <v>1171.1373367055598</v>
      </c>
      <c r="L684" s="69">
        <f t="shared" ca="1" si="445"/>
        <v>958.10804979013619</v>
      </c>
      <c r="M684" s="69">
        <f t="shared" ca="1" si="446"/>
        <v>992.49298608955019</v>
      </c>
      <c r="N684" s="69">
        <f t="shared" ca="1" si="447"/>
        <v>574.90038685099103</v>
      </c>
      <c r="O684" s="69">
        <f t="shared" ca="1" si="448"/>
        <v>629.28154321896488</v>
      </c>
      <c r="P684" s="69">
        <f t="shared" ca="1" si="449"/>
        <v>721.70778778620615</v>
      </c>
      <c r="Q684" s="69">
        <f t="shared" ca="1" si="450"/>
        <v>960.29433548850352</v>
      </c>
      <c r="R684" s="69">
        <f t="shared" ca="1" si="451"/>
        <v>780.26527948005116</v>
      </c>
      <c r="S684" s="69">
        <f t="shared" ca="1" si="452"/>
        <v>700.34154218523804</v>
      </c>
      <c r="T684" s="69">
        <f t="shared" ca="1" si="453"/>
        <v>794.17382856624192</v>
      </c>
      <c r="U684" s="69">
        <f t="shared" ca="1" si="454"/>
        <v>1694.4920706317776</v>
      </c>
      <c r="V684" s="69">
        <f t="shared" ca="1" si="455"/>
        <v>1915.430991655265</v>
      </c>
      <c r="W684" s="69">
        <f t="shared" ca="1" si="456"/>
        <v>1182.4348331519514</v>
      </c>
      <c r="X684" s="69">
        <f t="shared" ca="1" si="457"/>
        <v>1489.63157564927</v>
      </c>
      <c r="Y684" s="69">
        <f t="shared" ca="1" si="458"/>
        <v>1205.7262807222082</v>
      </c>
      <c r="AA684" s="20">
        <f t="shared" ca="1" si="418"/>
        <v>6.5692415843074344E+16</v>
      </c>
      <c r="AB684" s="20">
        <f t="shared" ca="1" si="419"/>
        <v>1685715114518597.3</v>
      </c>
      <c r="AC684" s="20">
        <f t="shared" ca="1" si="420"/>
        <v>402890806246664.25</v>
      </c>
      <c r="AD684" s="20">
        <f t="shared" ca="1" si="421"/>
        <v>300769296508560.56</v>
      </c>
      <c r="AE684" s="20">
        <f t="shared" ca="1" si="422"/>
        <v>6893041013958362</v>
      </c>
      <c r="AG684" s="16">
        <f t="shared" ca="1" si="423"/>
        <v>-2.1228219872349125E-5</v>
      </c>
      <c r="AH684" s="16">
        <f t="shared" ca="1" si="424"/>
        <v>3.8730910889528918E-4</v>
      </c>
      <c r="AI684" s="16">
        <f t="shared" ca="1" si="425"/>
        <v>1.3822879748605067E-4</v>
      </c>
      <c r="AJ684" s="16">
        <f t="shared" ca="1" si="426"/>
        <v>6.2706247979979176E-4</v>
      </c>
      <c r="AK684" s="16">
        <f t="shared" ca="1" si="427"/>
        <v>-3.793752714903275E-4</v>
      </c>
      <c r="AM684" s="16">
        <f t="shared" ca="1" si="428"/>
        <v>1.1313721663087826E-3</v>
      </c>
      <c r="AO684" s="16">
        <f t="shared" ca="1" si="429"/>
        <v>-2.1228219872349125E-5</v>
      </c>
      <c r="AP684" s="16">
        <f t="shared" ca="1" si="430"/>
        <v>0</v>
      </c>
      <c r="AQ684" s="16">
        <f t="shared" ca="1" si="431"/>
        <v>0</v>
      </c>
      <c r="AR684" s="16">
        <f t="shared" ca="1" si="432"/>
        <v>0</v>
      </c>
      <c r="AS684" s="16">
        <f t="shared" ca="1" si="433"/>
        <v>-3.793752714903275E-4</v>
      </c>
    </row>
    <row r="685" spans="1:45" x14ac:dyDescent="0.25">
      <c r="A685" s="69">
        <f t="shared" ca="1" si="434"/>
        <v>2453.0123149053902</v>
      </c>
      <c r="B685" s="69">
        <f t="shared" ca="1" si="435"/>
        <v>2136.805937647177</v>
      </c>
      <c r="C685" s="69">
        <f t="shared" ca="1" si="436"/>
        <v>2234.8897459202772</v>
      </c>
      <c r="D685" s="69">
        <f t="shared" ca="1" si="437"/>
        <v>2901.6616513616937</v>
      </c>
      <c r="E685" s="69">
        <f t="shared" ca="1" si="438"/>
        <v>1932.583782420191</v>
      </c>
      <c r="F685" s="69">
        <f t="shared" ca="1" si="439"/>
        <v>1218.5424074982925</v>
      </c>
      <c r="G685" s="69">
        <f t="shared" ca="1" si="440"/>
        <v>967.6236046655082</v>
      </c>
      <c r="H685" s="69">
        <f t="shared" ca="1" si="441"/>
        <v>1189.1277636652062</v>
      </c>
      <c r="I685" s="69">
        <f t="shared" ca="1" si="442"/>
        <v>1050.4703988354706</v>
      </c>
      <c r="J685" s="69">
        <f t="shared" ca="1" si="443"/>
        <v>1144.9669394619236</v>
      </c>
      <c r="K685" s="69">
        <f t="shared" ca="1" si="444"/>
        <v>1171.1675648175064</v>
      </c>
      <c r="L685" s="69">
        <f t="shared" ca="1" si="445"/>
        <v>958.2028121957419</v>
      </c>
      <c r="M685" s="69">
        <f t="shared" ca="1" si="446"/>
        <v>992.0431635949891</v>
      </c>
      <c r="N685" s="69">
        <f t="shared" ca="1" si="447"/>
        <v>575.04323764338324</v>
      </c>
      <c r="O685" s="69">
        <f t="shared" ca="1" si="448"/>
        <v>629.41899118561616</v>
      </c>
      <c r="P685" s="69">
        <f t="shared" ca="1" si="449"/>
        <v>721.55602605428783</v>
      </c>
      <c r="Q685" s="69">
        <f t="shared" ca="1" si="450"/>
        <v>960.34945187414405</v>
      </c>
      <c r="R685" s="69">
        <f t="shared" ca="1" si="451"/>
        <v>780.26870516213285</v>
      </c>
      <c r="S685" s="69">
        <f t="shared" ca="1" si="452"/>
        <v>700.64757494347691</v>
      </c>
      <c r="T685" s="69">
        <f t="shared" ca="1" si="453"/>
        <v>794.44286155363545</v>
      </c>
      <c r="U685" s="69">
        <f t="shared" ca="1" si="454"/>
        <v>1694.4920706317776</v>
      </c>
      <c r="V685" s="69">
        <f t="shared" ca="1" si="455"/>
        <v>1915.430991655265</v>
      </c>
      <c r="W685" s="69">
        <f t="shared" ca="1" si="456"/>
        <v>1182.3944309103365</v>
      </c>
      <c r="X685" s="69">
        <f t="shared" ca="1" si="457"/>
        <v>1489.63157564927</v>
      </c>
      <c r="Y685" s="69">
        <f t="shared" ca="1" si="458"/>
        <v>1205.3101286039278</v>
      </c>
      <c r="AA685" s="20">
        <f t="shared" ca="1" si="418"/>
        <v>6.5691021324828504E+16</v>
      </c>
      <c r="AB685" s="20">
        <f t="shared" ca="1" si="419"/>
        <v>1686368133789445.5</v>
      </c>
      <c r="AC685" s="20">
        <f t="shared" ca="1" si="420"/>
        <v>402946501207565</v>
      </c>
      <c r="AD685" s="20">
        <f t="shared" ca="1" si="421"/>
        <v>300957956794188.25</v>
      </c>
      <c r="AE685" s="20">
        <f t="shared" ca="1" si="422"/>
        <v>6890426460632095</v>
      </c>
      <c r="AG685" s="16">
        <f t="shared" ca="1" si="423"/>
        <v>3.9567401891670045E-5</v>
      </c>
      <c r="AH685" s="16">
        <f t="shared" ca="1" si="424"/>
        <v>6.6182840045585299E-4</v>
      </c>
      <c r="AI685" s="16">
        <f t="shared" ca="1" si="425"/>
        <v>-9.1015580660127465E-4</v>
      </c>
      <c r="AJ685" s="16">
        <f t="shared" ca="1" si="426"/>
        <v>1.8784719071957972E-4</v>
      </c>
      <c r="AK685" s="16">
        <f t="shared" ca="1" si="427"/>
        <v>-1.0479735309149951E-4</v>
      </c>
      <c r="AM685" s="16">
        <f t="shared" ca="1" si="428"/>
        <v>-2.0912813534171933E-5</v>
      </c>
      <c r="AO685" s="16">
        <f t="shared" ca="1" si="429"/>
        <v>0</v>
      </c>
      <c r="AP685" s="16">
        <f t="shared" ca="1" si="430"/>
        <v>0</v>
      </c>
      <c r="AQ685" s="16">
        <f t="shared" ca="1" si="431"/>
        <v>-9.1015580660127465E-4</v>
      </c>
      <c r="AR685" s="16">
        <f t="shared" ca="1" si="432"/>
        <v>0</v>
      </c>
      <c r="AS685" s="16">
        <f t="shared" ca="1" si="433"/>
        <v>-1.0479735309149951E-4</v>
      </c>
    </row>
    <row r="686" spans="1:45" x14ac:dyDescent="0.25">
      <c r="A686" s="69">
        <f t="shared" ca="1" si="434"/>
        <v>2452.8171493738919</v>
      </c>
      <c r="B686" s="69">
        <f t="shared" ca="1" si="435"/>
        <v>2136.805937647177</v>
      </c>
      <c r="C686" s="69">
        <f t="shared" ca="1" si="436"/>
        <v>2235.1560089904542</v>
      </c>
      <c r="D686" s="69">
        <f t="shared" ca="1" si="437"/>
        <v>2901.6616513616937</v>
      </c>
      <c r="E686" s="69">
        <f t="shared" ca="1" si="438"/>
        <v>1932.583782420191</v>
      </c>
      <c r="F686" s="69">
        <f t="shared" ca="1" si="439"/>
        <v>1218.8224599547923</v>
      </c>
      <c r="G686" s="69">
        <f t="shared" ca="1" si="440"/>
        <v>968.11832088111146</v>
      </c>
      <c r="H686" s="69">
        <f t="shared" ca="1" si="441"/>
        <v>1189.2459144140321</v>
      </c>
      <c r="I686" s="69">
        <f t="shared" ca="1" si="442"/>
        <v>1050.7384374621151</v>
      </c>
      <c r="J686" s="69">
        <f t="shared" ca="1" si="443"/>
        <v>1144.4705987436239</v>
      </c>
      <c r="K686" s="69">
        <f t="shared" ca="1" si="444"/>
        <v>1170.9228613465543</v>
      </c>
      <c r="L686" s="69">
        <f t="shared" ca="1" si="445"/>
        <v>958.32224069783035</v>
      </c>
      <c r="M686" s="69">
        <f t="shared" ca="1" si="446"/>
        <v>991.9305176954158</v>
      </c>
      <c r="N686" s="69">
        <f t="shared" ca="1" si="447"/>
        <v>575.01294219279805</v>
      </c>
      <c r="O686" s="69">
        <f t="shared" ca="1" si="448"/>
        <v>629.00397371285328</v>
      </c>
      <c r="P686" s="69">
        <f t="shared" ca="1" si="449"/>
        <v>721.35930116781378</v>
      </c>
      <c r="Q686" s="69">
        <f t="shared" ca="1" si="450"/>
        <v>960.32222109785221</v>
      </c>
      <c r="R686" s="69">
        <f t="shared" ca="1" si="451"/>
        <v>780.26870516213285</v>
      </c>
      <c r="S686" s="69">
        <f t="shared" ca="1" si="452"/>
        <v>701.0860232208538</v>
      </c>
      <c r="T686" s="69">
        <f t="shared" ca="1" si="453"/>
        <v>794.33426829853931</v>
      </c>
      <c r="U686" s="69">
        <f t="shared" ca="1" si="454"/>
        <v>1694.0377348093887</v>
      </c>
      <c r="V686" s="69">
        <f t="shared" ca="1" si="455"/>
        <v>1915.430991655265</v>
      </c>
      <c r="W686" s="69">
        <f t="shared" ca="1" si="456"/>
        <v>1182.2464072402793</v>
      </c>
      <c r="X686" s="69">
        <f t="shared" ca="1" si="457"/>
        <v>1490.0614876562181</v>
      </c>
      <c r="Y686" s="69">
        <f t="shared" ca="1" si="458"/>
        <v>1205.3101286039278</v>
      </c>
      <c r="AA686" s="20">
        <f t="shared" ca="1" si="418"/>
        <v>6.5693620599292864E+16</v>
      </c>
      <c r="AB686" s="20">
        <f t="shared" ca="1" si="419"/>
        <v>1687484589524315.5</v>
      </c>
      <c r="AC686" s="20">
        <f t="shared" ca="1" si="420"/>
        <v>402579923956253.75</v>
      </c>
      <c r="AD686" s="20">
        <f t="shared" ca="1" si="421"/>
        <v>301014496211115.81</v>
      </c>
      <c r="AE686" s="20">
        <f t="shared" ca="1" si="422"/>
        <v>6889704400013031</v>
      </c>
      <c r="AG686" s="16">
        <f t="shared" ca="1" si="423"/>
        <v>-2.0983344637343177E-4</v>
      </c>
      <c r="AH686" s="16">
        <f t="shared" ca="1" si="424"/>
        <v>-2.3394664334736807E-4</v>
      </c>
      <c r="AI686" s="16">
        <f t="shared" ca="1" si="425"/>
        <v>3.8284783008085146E-4</v>
      </c>
      <c r="AJ686" s="16">
        <f t="shared" ca="1" si="426"/>
        <v>5.9332569864347414E-4</v>
      </c>
      <c r="AK686" s="16">
        <f t="shared" ca="1" si="427"/>
        <v>-2.116382572866508E-4</v>
      </c>
      <c r="AM686" s="16">
        <f t="shared" ca="1" si="428"/>
        <v>5.3239343900352573E-4</v>
      </c>
      <c r="AO686" s="16">
        <f t="shared" ca="1" si="429"/>
        <v>-2.0983344637343177E-4</v>
      </c>
      <c r="AP686" s="16">
        <f t="shared" ca="1" si="430"/>
        <v>-2.3394664334736807E-4</v>
      </c>
      <c r="AQ686" s="16">
        <f t="shared" ca="1" si="431"/>
        <v>0</v>
      </c>
      <c r="AR686" s="16">
        <f t="shared" ca="1" si="432"/>
        <v>0</v>
      </c>
      <c r="AS686" s="16">
        <f t="shared" ca="1" si="433"/>
        <v>-2.116382572866508E-4</v>
      </c>
    </row>
    <row r="687" spans="1:45" x14ac:dyDescent="0.25">
      <c r="A687" s="69">
        <f t="shared" ca="1" si="434"/>
        <v>2452.8171493738919</v>
      </c>
      <c r="B687" s="69">
        <f t="shared" ca="1" si="435"/>
        <v>2136.805937647177</v>
      </c>
      <c r="C687" s="69">
        <f t="shared" ca="1" si="436"/>
        <v>2235.1560089904542</v>
      </c>
      <c r="D687" s="69">
        <f t="shared" ca="1" si="437"/>
        <v>2901.2230050356829</v>
      </c>
      <c r="E687" s="69">
        <f t="shared" ca="1" si="438"/>
        <v>1932.4704372249782</v>
      </c>
      <c r="F687" s="69">
        <f t="shared" ca="1" si="439"/>
        <v>1218.8224599547923</v>
      </c>
      <c r="G687" s="69">
        <f t="shared" ca="1" si="440"/>
        <v>967.96448760159285</v>
      </c>
      <c r="H687" s="69">
        <f t="shared" ca="1" si="441"/>
        <v>1189.1566829765163</v>
      </c>
      <c r="I687" s="69">
        <f t="shared" ca="1" si="442"/>
        <v>1050.7384374621151</v>
      </c>
      <c r="J687" s="69">
        <f t="shared" ca="1" si="443"/>
        <v>1144.4705987436239</v>
      </c>
      <c r="K687" s="69">
        <f t="shared" ca="1" si="444"/>
        <v>1170.9285276652913</v>
      </c>
      <c r="L687" s="69">
        <f t="shared" ca="1" si="445"/>
        <v>958.68456327179797</v>
      </c>
      <c r="M687" s="69">
        <f t="shared" ca="1" si="446"/>
        <v>991.9305176954158</v>
      </c>
      <c r="N687" s="69">
        <f t="shared" ca="1" si="447"/>
        <v>575.01294219279805</v>
      </c>
      <c r="O687" s="69">
        <f t="shared" ca="1" si="448"/>
        <v>629.00397371285328</v>
      </c>
      <c r="P687" s="69">
        <f t="shared" ca="1" si="449"/>
        <v>721.81293662319581</v>
      </c>
      <c r="Q687" s="69">
        <f t="shared" ca="1" si="450"/>
        <v>960.32222109785221</v>
      </c>
      <c r="R687" s="69">
        <f t="shared" ca="1" si="451"/>
        <v>780.24113200352485</v>
      </c>
      <c r="S687" s="69">
        <f t="shared" ca="1" si="452"/>
        <v>701.0860232208538</v>
      </c>
      <c r="T687" s="69">
        <f t="shared" ca="1" si="453"/>
        <v>794.33426829853931</v>
      </c>
      <c r="U687" s="69">
        <f t="shared" ca="1" si="454"/>
        <v>1694.2052401907633</v>
      </c>
      <c r="V687" s="69">
        <f t="shared" ca="1" si="455"/>
        <v>1915.6759522063312</v>
      </c>
      <c r="W687" s="69">
        <f t="shared" ca="1" si="456"/>
        <v>1182.2464072402793</v>
      </c>
      <c r="X687" s="69">
        <f t="shared" ca="1" si="457"/>
        <v>1489.6924720104043</v>
      </c>
      <c r="Y687" s="69">
        <f t="shared" ca="1" si="458"/>
        <v>1205.0802851557803</v>
      </c>
      <c r="AA687" s="20">
        <f t="shared" ca="1" si="418"/>
        <v>6.5679837326624144E+16</v>
      </c>
      <c r="AB687" s="20">
        <f t="shared" ca="1" si="419"/>
        <v>1687089854344181.5</v>
      </c>
      <c r="AC687" s="20">
        <f t="shared" ca="1" si="420"/>
        <v>402734080313905.13</v>
      </c>
      <c r="AD687" s="20">
        <f t="shared" ca="1" si="421"/>
        <v>301193148841739.5</v>
      </c>
      <c r="AE687" s="20">
        <f t="shared" ca="1" si="422"/>
        <v>6888246429267228</v>
      </c>
      <c r="AG687" s="16">
        <f t="shared" ca="1" si="423"/>
        <v>-1.5306138935194672E-4</v>
      </c>
      <c r="AH687" s="16">
        <f t="shared" ca="1" si="424"/>
        <v>-1.9475326668529723E-4</v>
      </c>
      <c r="AI687" s="16">
        <f t="shared" ca="1" si="425"/>
        <v>-9.1098775094196653E-4</v>
      </c>
      <c r="AJ687" s="16">
        <f t="shared" ca="1" si="426"/>
        <v>-2.2222041683430595E-4</v>
      </c>
      <c r="AK687" s="16">
        <f t="shared" ca="1" si="427"/>
        <v>-5.3359999168212715E-5</v>
      </c>
      <c r="AM687" s="16">
        <f t="shared" ca="1" si="428"/>
        <v>-1.4810228238135166E-3</v>
      </c>
      <c r="AO687" s="16">
        <f t="shared" ca="1" si="429"/>
        <v>-1.5306138935194672E-4</v>
      </c>
      <c r="AP687" s="16">
        <f t="shared" ca="1" si="430"/>
        <v>-1.9475326668529723E-4</v>
      </c>
      <c r="AQ687" s="16">
        <f t="shared" ca="1" si="431"/>
        <v>-9.1098775094196653E-4</v>
      </c>
      <c r="AR687" s="16">
        <f t="shared" ca="1" si="432"/>
        <v>-2.2222041683430595E-4</v>
      </c>
      <c r="AS687" s="16">
        <f t="shared" ca="1" si="433"/>
        <v>-5.3359999168212715E-5</v>
      </c>
    </row>
    <row r="688" spans="1:45" x14ac:dyDescent="0.25">
      <c r="A688" s="69">
        <f t="shared" ca="1" si="434"/>
        <v>2452.8171493738919</v>
      </c>
      <c r="B688" s="69">
        <f t="shared" ca="1" si="435"/>
        <v>2136.9978994662097</v>
      </c>
      <c r="C688" s="69">
        <f t="shared" ca="1" si="436"/>
        <v>2235.1560089904542</v>
      </c>
      <c r="D688" s="69">
        <f t="shared" ca="1" si="437"/>
        <v>2901.2230050356829</v>
      </c>
      <c r="E688" s="69">
        <f t="shared" ca="1" si="438"/>
        <v>1932.0011102512576</v>
      </c>
      <c r="F688" s="69">
        <f t="shared" ca="1" si="439"/>
        <v>1218.8241308659526</v>
      </c>
      <c r="G688" s="69">
        <f t="shared" ca="1" si="440"/>
        <v>968.24385946938753</v>
      </c>
      <c r="H688" s="69">
        <f t="shared" ca="1" si="441"/>
        <v>1188.7820657187747</v>
      </c>
      <c r="I688" s="69">
        <f t="shared" ca="1" si="442"/>
        <v>1050.3115166995228</v>
      </c>
      <c r="J688" s="69">
        <f t="shared" ca="1" si="443"/>
        <v>1144.7416012768604</v>
      </c>
      <c r="K688" s="69">
        <f t="shared" ca="1" si="444"/>
        <v>1170.8765519596</v>
      </c>
      <c r="L688" s="69">
        <f t="shared" ca="1" si="445"/>
        <v>958.67012155757459</v>
      </c>
      <c r="M688" s="69">
        <f t="shared" ca="1" si="446"/>
        <v>991.9305176954158</v>
      </c>
      <c r="N688" s="69">
        <f t="shared" ca="1" si="447"/>
        <v>574.52350747609114</v>
      </c>
      <c r="O688" s="69">
        <f t="shared" ca="1" si="448"/>
        <v>629.00397371285328</v>
      </c>
      <c r="P688" s="69">
        <f t="shared" ca="1" si="449"/>
        <v>721.81293662319581</v>
      </c>
      <c r="Q688" s="69">
        <f t="shared" ca="1" si="450"/>
        <v>959.87808598921345</v>
      </c>
      <c r="R688" s="69">
        <f t="shared" ca="1" si="451"/>
        <v>780.24113200352485</v>
      </c>
      <c r="S688" s="69">
        <f t="shared" ca="1" si="452"/>
        <v>701.34769669586808</v>
      </c>
      <c r="T688" s="69">
        <f t="shared" ca="1" si="453"/>
        <v>794.2287889217904</v>
      </c>
      <c r="U688" s="69">
        <f t="shared" ca="1" si="454"/>
        <v>1694.3426795236785</v>
      </c>
      <c r="V688" s="69">
        <f t="shared" ca="1" si="455"/>
        <v>1915.6759522063312</v>
      </c>
      <c r="W688" s="69">
        <f t="shared" ca="1" si="456"/>
        <v>1182.2170526090915</v>
      </c>
      <c r="X688" s="69">
        <f t="shared" ca="1" si="457"/>
        <v>1489.6924720104043</v>
      </c>
      <c r="Y688" s="69">
        <f t="shared" ca="1" si="458"/>
        <v>1204.948155282842</v>
      </c>
      <c r="AA688" s="20">
        <f t="shared" ca="1" si="418"/>
        <v>6.5669785048797952E+16</v>
      </c>
      <c r="AB688" s="20">
        <f t="shared" ca="1" si="419"/>
        <v>1686761320076455.8</v>
      </c>
      <c r="AC688" s="20">
        <f t="shared" ca="1" si="420"/>
        <v>402367361563358.81</v>
      </c>
      <c r="AD688" s="20">
        <f t="shared" ca="1" si="421"/>
        <v>301126225010852.44</v>
      </c>
      <c r="AE688" s="20">
        <f t="shared" ca="1" si="422"/>
        <v>6887878882249733</v>
      </c>
      <c r="AG688" s="16">
        <f t="shared" ca="1" si="423"/>
        <v>-3.3199696869825565E-4</v>
      </c>
      <c r="AH688" s="16">
        <f t="shared" ca="1" si="424"/>
        <v>7.1417009295669906E-4</v>
      </c>
      <c r="AI688" s="16">
        <f t="shared" ca="1" si="425"/>
        <v>-3.4093114354349165E-4</v>
      </c>
      <c r="AJ688" s="16">
        <f t="shared" ca="1" si="426"/>
        <v>-3.5706240833927939E-4</v>
      </c>
      <c r="AK688" s="16">
        <f t="shared" ca="1" si="427"/>
        <v>-1.8904276166496981E-4</v>
      </c>
      <c r="AM688" s="16">
        <f t="shared" ca="1" si="428"/>
        <v>-3.1582042762432763E-4</v>
      </c>
      <c r="AO688" s="16">
        <f t="shared" ca="1" si="429"/>
        <v>-3.3199696869825565E-4</v>
      </c>
      <c r="AP688" s="16">
        <f t="shared" ca="1" si="430"/>
        <v>0</v>
      </c>
      <c r="AQ688" s="16">
        <f t="shared" ca="1" si="431"/>
        <v>-3.4093114354349165E-4</v>
      </c>
      <c r="AR688" s="16">
        <f t="shared" ca="1" si="432"/>
        <v>-3.5706240833927939E-4</v>
      </c>
      <c r="AS688" s="16">
        <f t="shared" ca="1" si="433"/>
        <v>-1.8904276166496981E-4</v>
      </c>
    </row>
    <row r="689" spans="1:45" x14ac:dyDescent="0.25">
      <c r="A689" s="69">
        <f t="shared" ca="1" si="434"/>
        <v>2452.9666959651909</v>
      </c>
      <c r="B689" s="69">
        <f t="shared" ca="1" si="435"/>
        <v>2136.8852725193738</v>
      </c>
      <c r="C689" s="69">
        <f t="shared" ca="1" si="436"/>
        <v>2234.9198263283183</v>
      </c>
      <c r="D689" s="69">
        <f t="shared" ca="1" si="437"/>
        <v>2901.1499744887119</v>
      </c>
      <c r="E689" s="69">
        <f t="shared" ca="1" si="438"/>
        <v>1931.5965640167733</v>
      </c>
      <c r="F689" s="69">
        <f t="shared" ca="1" si="439"/>
        <v>1218.6684624403665</v>
      </c>
      <c r="G689" s="69">
        <f t="shared" ca="1" si="440"/>
        <v>968.24385946938753</v>
      </c>
      <c r="H689" s="69">
        <f t="shared" ca="1" si="441"/>
        <v>1189.2472629812976</v>
      </c>
      <c r="I689" s="69">
        <f t="shared" ca="1" si="442"/>
        <v>1050.4644857234978</v>
      </c>
      <c r="J689" s="69">
        <f t="shared" ca="1" si="443"/>
        <v>1145.0908252413378</v>
      </c>
      <c r="K689" s="69">
        <f t="shared" ca="1" si="444"/>
        <v>1170.8765519596</v>
      </c>
      <c r="L689" s="69">
        <f t="shared" ca="1" si="445"/>
        <v>959.05353740229714</v>
      </c>
      <c r="M689" s="69">
        <f t="shared" ca="1" si="446"/>
        <v>991.57627329960553</v>
      </c>
      <c r="N689" s="69">
        <f t="shared" ca="1" si="447"/>
        <v>574.52350747609114</v>
      </c>
      <c r="O689" s="69">
        <f t="shared" ca="1" si="448"/>
        <v>628.76272983102672</v>
      </c>
      <c r="P689" s="69">
        <f t="shared" ca="1" si="449"/>
        <v>721.3177119699327</v>
      </c>
      <c r="Q689" s="69">
        <f t="shared" ca="1" si="450"/>
        <v>960.05932341909386</v>
      </c>
      <c r="R689" s="69">
        <f t="shared" ca="1" si="451"/>
        <v>780.70237336265905</v>
      </c>
      <c r="S689" s="69">
        <f t="shared" ca="1" si="452"/>
        <v>701.24481200949754</v>
      </c>
      <c r="T689" s="69">
        <f t="shared" ca="1" si="453"/>
        <v>793.9875318615683</v>
      </c>
      <c r="U689" s="69">
        <f t="shared" ca="1" si="454"/>
        <v>1694.3426795236785</v>
      </c>
      <c r="V689" s="69">
        <f t="shared" ca="1" si="455"/>
        <v>1915.2120535647186</v>
      </c>
      <c r="W689" s="69">
        <f t="shared" ca="1" si="456"/>
        <v>1182.2625660404901</v>
      </c>
      <c r="X689" s="69">
        <f t="shared" ca="1" si="457"/>
        <v>1489.714293450324</v>
      </c>
      <c r="Y689" s="69">
        <f t="shared" ca="1" si="458"/>
        <v>1204.948155282842</v>
      </c>
      <c r="AA689" s="20">
        <f t="shared" ca="1" si="418"/>
        <v>6.5647986497953312E+16</v>
      </c>
      <c r="AB689" s="20">
        <f t="shared" ca="1" si="419"/>
        <v>1687966384824593</v>
      </c>
      <c r="AC689" s="20">
        <f t="shared" ca="1" si="420"/>
        <v>402230205380392.13</v>
      </c>
      <c r="AD689" s="20">
        <f t="shared" ca="1" si="421"/>
        <v>301018723349279.19</v>
      </c>
      <c r="AE689" s="20">
        <f t="shared" ca="1" si="422"/>
        <v>6886576901672698</v>
      </c>
      <c r="AG689" s="16">
        <f t="shared" ca="1" si="423"/>
        <v>2.9068910038237533E-5</v>
      </c>
      <c r="AH689" s="16">
        <f t="shared" ca="1" si="424"/>
        <v>-3.0963739594810712E-4</v>
      </c>
      <c r="AI689" s="16">
        <f t="shared" ca="1" si="425"/>
        <v>1.2612886599020675E-4</v>
      </c>
      <c r="AJ689" s="16">
        <f t="shared" ca="1" si="426"/>
        <v>-1.7653279947000595E-4</v>
      </c>
      <c r="AK689" s="16">
        <f t="shared" ca="1" si="427"/>
        <v>-1.5099711973710527E-5</v>
      </c>
      <c r="AM689" s="16">
        <f t="shared" ca="1" si="428"/>
        <v>-3.3097241938966884E-4</v>
      </c>
      <c r="AO689" s="16">
        <f t="shared" ca="1" si="429"/>
        <v>0</v>
      </c>
      <c r="AP689" s="16">
        <f t="shared" ca="1" si="430"/>
        <v>-3.0963739594810712E-4</v>
      </c>
      <c r="AQ689" s="16">
        <f t="shared" ca="1" si="431"/>
        <v>0</v>
      </c>
      <c r="AR689" s="16">
        <f t="shared" ca="1" si="432"/>
        <v>-1.7653279947000595E-4</v>
      </c>
      <c r="AS689" s="16">
        <f t="shared" ca="1" si="433"/>
        <v>-1.5099711973710527E-5</v>
      </c>
    </row>
    <row r="690" spans="1:45" x14ac:dyDescent="0.25">
      <c r="A690" s="69">
        <f t="shared" ca="1" si="434"/>
        <v>2453.1036910582825</v>
      </c>
      <c r="B690" s="69">
        <f t="shared" ca="1" si="435"/>
        <v>2136.8927957398546</v>
      </c>
      <c r="C690" s="69">
        <f t="shared" ca="1" si="436"/>
        <v>2234.568476493635</v>
      </c>
      <c r="D690" s="69">
        <f t="shared" ca="1" si="437"/>
        <v>2901.5182193375458</v>
      </c>
      <c r="E690" s="69">
        <f t="shared" ca="1" si="438"/>
        <v>1931.5965640167733</v>
      </c>
      <c r="F690" s="69">
        <f t="shared" ca="1" si="439"/>
        <v>1218.5677449052325</v>
      </c>
      <c r="G690" s="69">
        <f t="shared" ca="1" si="440"/>
        <v>968.17282416889213</v>
      </c>
      <c r="H690" s="69">
        <f t="shared" ca="1" si="441"/>
        <v>1189.2472629812976</v>
      </c>
      <c r="I690" s="69">
        <f t="shared" ca="1" si="442"/>
        <v>1050.3031250929109</v>
      </c>
      <c r="J690" s="69">
        <f t="shared" ca="1" si="443"/>
        <v>1145.0908252413378</v>
      </c>
      <c r="K690" s="69">
        <f t="shared" ca="1" si="444"/>
        <v>1171.0169466425305</v>
      </c>
      <c r="L690" s="69">
        <f t="shared" ca="1" si="445"/>
        <v>958.93336934379988</v>
      </c>
      <c r="M690" s="69">
        <f t="shared" ca="1" si="446"/>
        <v>991.87355114980824</v>
      </c>
      <c r="N690" s="69">
        <f t="shared" ca="1" si="447"/>
        <v>574.42686839532496</v>
      </c>
      <c r="O690" s="69">
        <f t="shared" ca="1" si="448"/>
        <v>628.76272983102672</v>
      </c>
      <c r="P690" s="69">
        <f t="shared" ca="1" si="449"/>
        <v>720.82645474633694</v>
      </c>
      <c r="Q690" s="69">
        <f t="shared" ca="1" si="450"/>
        <v>960.05743016518829</v>
      </c>
      <c r="R690" s="69">
        <f t="shared" ca="1" si="451"/>
        <v>781.09807619661456</v>
      </c>
      <c r="S690" s="69">
        <f t="shared" ca="1" si="452"/>
        <v>701.24481200949754</v>
      </c>
      <c r="T690" s="69">
        <f t="shared" ca="1" si="453"/>
        <v>793.9875318615683</v>
      </c>
      <c r="U690" s="69">
        <f t="shared" ca="1" si="454"/>
        <v>1694.3426795236785</v>
      </c>
      <c r="V690" s="69">
        <f t="shared" ca="1" si="455"/>
        <v>1914.8600805101305</v>
      </c>
      <c r="W690" s="69">
        <f t="shared" ca="1" si="456"/>
        <v>1182.2625660404901</v>
      </c>
      <c r="X690" s="69">
        <f t="shared" ca="1" si="457"/>
        <v>1489.9656216537846</v>
      </c>
      <c r="Y690" s="69">
        <f t="shared" ca="1" si="458"/>
        <v>1204.948155282842</v>
      </c>
      <c r="AA690" s="20">
        <f t="shared" ca="1" si="418"/>
        <v>6.5649894841103608E+16</v>
      </c>
      <c r="AB690" s="20">
        <f t="shared" ca="1" si="419"/>
        <v>1687443808217553</v>
      </c>
      <c r="AC690" s="20">
        <f t="shared" ca="1" si="420"/>
        <v>402280941419636.06</v>
      </c>
      <c r="AD690" s="20">
        <f t="shared" ca="1" si="421"/>
        <v>300965588361525.5</v>
      </c>
      <c r="AE690" s="20">
        <f t="shared" ca="1" si="422"/>
        <v>6886472917130068</v>
      </c>
      <c r="AG690" s="16">
        <f t="shared" ca="1" si="423"/>
        <v>2.0236426537051363E-5</v>
      </c>
      <c r="AH690" s="16">
        <f t="shared" ca="1" si="424"/>
        <v>-7.6416169043155412E-4</v>
      </c>
      <c r="AI690" s="16">
        <f t="shared" ca="1" si="425"/>
        <v>2.3044005584328889E-4</v>
      </c>
      <c r="AJ690" s="16">
        <f t="shared" ca="1" si="426"/>
        <v>1.545267681912073E-4</v>
      </c>
      <c r="AK690" s="16">
        <f t="shared" ca="1" si="427"/>
        <v>1.9563018751631755E-4</v>
      </c>
      <c r="AM690" s="16">
        <f t="shared" ca="1" si="428"/>
        <v>-3.5895843986000659E-4</v>
      </c>
      <c r="AO690" s="16">
        <f t="shared" ca="1" si="429"/>
        <v>0</v>
      </c>
      <c r="AP690" s="16">
        <f t="shared" ca="1" si="430"/>
        <v>-7.6416169043155412E-4</v>
      </c>
      <c r="AQ690" s="16">
        <f t="shared" ca="1" si="431"/>
        <v>0</v>
      </c>
      <c r="AR690" s="16">
        <f t="shared" ca="1" si="432"/>
        <v>0</v>
      </c>
      <c r="AS690" s="16">
        <f t="shared" ca="1" si="433"/>
        <v>0</v>
      </c>
    </row>
    <row r="691" spans="1:45" x14ac:dyDescent="0.25">
      <c r="A691" s="69">
        <f t="shared" ca="1" si="434"/>
        <v>2453.0994523831287</v>
      </c>
      <c r="B691" s="69">
        <f t="shared" ca="1" si="435"/>
        <v>2137.219446250208</v>
      </c>
      <c r="C691" s="69">
        <f t="shared" ca="1" si="436"/>
        <v>2234.1715398847568</v>
      </c>
      <c r="D691" s="69">
        <f t="shared" ca="1" si="437"/>
        <v>2901.5182193375458</v>
      </c>
      <c r="E691" s="69">
        <f t="shared" ca="1" si="438"/>
        <v>1931.6868952428069</v>
      </c>
      <c r="F691" s="69">
        <f t="shared" ca="1" si="439"/>
        <v>1218.1927140967175</v>
      </c>
      <c r="G691" s="69">
        <f t="shared" ca="1" si="440"/>
        <v>967.73109861053626</v>
      </c>
      <c r="H691" s="69">
        <f t="shared" ca="1" si="441"/>
        <v>1189.2472629812976</v>
      </c>
      <c r="I691" s="69">
        <f t="shared" ca="1" si="442"/>
        <v>1050.3031250929109</v>
      </c>
      <c r="J691" s="69">
        <f t="shared" ca="1" si="443"/>
        <v>1145.0908252413378</v>
      </c>
      <c r="K691" s="69">
        <f t="shared" ca="1" si="444"/>
        <v>1171.0169466425305</v>
      </c>
      <c r="L691" s="69">
        <f t="shared" ca="1" si="445"/>
        <v>958.91594731288569</v>
      </c>
      <c r="M691" s="69">
        <f t="shared" ca="1" si="446"/>
        <v>991.87355114980824</v>
      </c>
      <c r="N691" s="69">
        <f t="shared" ca="1" si="447"/>
        <v>574.26565379507031</v>
      </c>
      <c r="O691" s="69">
        <f t="shared" ca="1" si="448"/>
        <v>629.09562247968074</v>
      </c>
      <c r="P691" s="69">
        <f t="shared" ca="1" si="449"/>
        <v>720.82645474633694</v>
      </c>
      <c r="Q691" s="69">
        <f t="shared" ca="1" si="450"/>
        <v>960.31510765066673</v>
      </c>
      <c r="R691" s="69">
        <f t="shared" ca="1" si="451"/>
        <v>780.61377484090667</v>
      </c>
      <c r="S691" s="69">
        <f t="shared" ca="1" si="452"/>
        <v>701.24481200949754</v>
      </c>
      <c r="T691" s="69">
        <f t="shared" ca="1" si="453"/>
        <v>794.38969577749708</v>
      </c>
      <c r="U691" s="69">
        <f t="shared" ca="1" si="454"/>
        <v>1694.3426795236785</v>
      </c>
      <c r="V691" s="69">
        <f t="shared" ca="1" si="455"/>
        <v>1914.7445652037763</v>
      </c>
      <c r="W691" s="69">
        <f t="shared" ca="1" si="456"/>
        <v>1182.5652140065824</v>
      </c>
      <c r="X691" s="69">
        <f t="shared" ca="1" si="457"/>
        <v>1489.9656216537846</v>
      </c>
      <c r="Y691" s="69">
        <f t="shared" ca="1" si="458"/>
        <v>1204.948155282842</v>
      </c>
      <c r="AA691" s="20">
        <f t="shared" ca="1" si="418"/>
        <v>6.5651223373820056E+16</v>
      </c>
      <c r="AB691" s="20">
        <f t="shared" ca="1" si="419"/>
        <v>1686154820864659</v>
      </c>
      <c r="AC691" s="20">
        <f t="shared" ca="1" si="420"/>
        <v>402373653744147.81</v>
      </c>
      <c r="AD691" s="20">
        <f t="shared" ca="1" si="421"/>
        <v>301012099194723.56</v>
      </c>
      <c r="AE691" s="20">
        <f t="shared" ca="1" si="422"/>
        <v>6887820250903454</v>
      </c>
      <c r="AG691" s="16">
        <f t="shared" ca="1" si="423"/>
        <v>-6.7886939157268291E-5</v>
      </c>
      <c r="AH691" s="16">
        <f t="shared" ca="1" si="424"/>
        <v>-1.4327562933730802E-4</v>
      </c>
      <c r="AI691" s="16">
        <f t="shared" ca="1" si="425"/>
        <v>6.7840979748868418E-4</v>
      </c>
      <c r="AJ691" s="16">
        <f t="shared" ca="1" si="426"/>
        <v>-6.967671014512383E-4</v>
      </c>
      <c r="AK691" s="16">
        <f t="shared" ca="1" si="427"/>
        <v>-3.6476863797602722E-4</v>
      </c>
      <c r="AM691" s="16">
        <f t="shared" ca="1" si="428"/>
        <v>-2.2951987245713044E-4</v>
      </c>
      <c r="AO691" s="16">
        <f t="shared" ca="1" si="429"/>
        <v>-6.7886939157268291E-5</v>
      </c>
      <c r="AP691" s="16">
        <f t="shared" ca="1" si="430"/>
        <v>-1.4327562933730802E-4</v>
      </c>
      <c r="AQ691" s="16">
        <f t="shared" ca="1" si="431"/>
        <v>0</v>
      </c>
      <c r="AR691" s="16">
        <f t="shared" ca="1" si="432"/>
        <v>-6.967671014512383E-4</v>
      </c>
      <c r="AS691" s="16">
        <f t="shared" ca="1" si="433"/>
        <v>-3.6476863797602722E-4</v>
      </c>
    </row>
    <row r="692" spans="1:45" x14ac:dyDescent="0.25">
      <c r="A692" s="69">
        <f t="shared" ca="1" si="434"/>
        <v>2452.6089724658</v>
      </c>
      <c r="B692" s="69">
        <f t="shared" ca="1" si="435"/>
        <v>2137.219446250208</v>
      </c>
      <c r="C692" s="69">
        <f t="shared" ca="1" si="436"/>
        <v>2234.5196074794221</v>
      </c>
      <c r="D692" s="69">
        <f t="shared" ca="1" si="437"/>
        <v>2901.9329688252787</v>
      </c>
      <c r="E692" s="69">
        <f t="shared" ca="1" si="438"/>
        <v>1931.3650323642491</v>
      </c>
      <c r="F692" s="69">
        <f t="shared" ca="1" si="439"/>
        <v>1218.1927140967175</v>
      </c>
      <c r="G692" s="69">
        <f t="shared" ca="1" si="440"/>
        <v>967.83175399820345</v>
      </c>
      <c r="H692" s="69">
        <f t="shared" ca="1" si="441"/>
        <v>1189.0740528280301</v>
      </c>
      <c r="I692" s="69">
        <f t="shared" ca="1" si="442"/>
        <v>1050.1451582091377</v>
      </c>
      <c r="J692" s="69">
        <f t="shared" ca="1" si="443"/>
        <v>1145.1466933848326</v>
      </c>
      <c r="K692" s="69">
        <f t="shared" ca="1" si="444"/>
        <v>1171.3113921322326</v>
      </c>
      <c r="L692" s="69">
        <f t="shared" ca="1" si="445"/>
        <v>958.91594731288569</v>
      </c>
      <c r="M692" s="69">
        <f t="shared" ca="1" si="446"/>
        <v>991.87355114980824</v>
      </c>
      <c r="N692" s="69">
        <f t="shared" ca="1" si="447"/>
        <v>574.26565379507031</v>
      </c>
      <c r="O692" s="69">
        <f t="shared" ca="1" si="448"/>
        <v>629.36430187249755</v>
      </c>
      <c r="P692" s="69">
        <f t="shared" ca="1" si="449"/>
        <v>720.82645474633694</v>
      </c>
      <c r="Q692" s="69">
        <f t="shared" ca="1" si="450"/>
        <v>960.0565095345421</v>
      </c>
      <c r="R692" s="69">
        <f t="shared" ca="1" si="451"/>
        <v>780.46502318133787</v>
      </c>
      <c r="S692" s="69">
        <f t="shared" ca="1" si="452"/>
        <v>701.18704260791412</v>
      </c>
      <c r="T692" s="69">
        <f t="shared" ca="1" si="453"/>
        <v>794.26698308116966</v>
      </c>
      <c r="U692" s="69">
        <f t="shared" ca="1" si="454"/>
        <v>1694.5337881720309</v>
      </c>
      <c r="V692" s="69">
        <f t="shared" ca="1" si="455"/>
        <v>1914.2736691742339</v>
      </c>
      <c r="W692" s="69">
        <f t="shared" ca="1" si="456"/>
        <v>1182.291372219245</v>
      </c>
      <c r="X692" s="69">
        <f t="shared" ca="1" si="457"/>
        <v>1489.9656216537846</v>
      </c>
      <c r="Y692" s="69">
        <f t="shared" ca="1" si="458"/>
        <v>1204.948155282842</v>
      </c>
      <c r="AA692" s="20">
        <f t="shared" ca="1" si="418"/>
        <v>6.5646766664491168E+16</v>
      </c>
      <c r="AB692" s="20">
        <f t="shared" ca="1" si="419"/>
        <v>1685913253277326.8</v>
      </c>
      <c r="AC692" s="20">
        <f t="shared" ca="1" si="420"/>
        <v>402646720588237.31</v>
      </c>
      <c r="AD692" s="20">
        <f t="shared" ca="1" si="421"/>
        <v>300802436918236.56</v>
      </c>
      <c r="AE692" s="20">
        <f t="shared" ca="1" si="422"/>
        <v>6885308248269651</v>
      </c>
      <c r="AG692" s="16">
        <f t="shared" ca="1" si="423"/>
        <v>-3.2396795529289544E-4</v>
      </c>
      <c r="AH692" s="16">
        <f t="shared" ca="1" si="424"/>
        <v>7.1901804827046085E-4</v>
      </c>
      <c r="AI692" s="16">
        <f t="shared" ca="1" si="425"/>
        <v>-1.2826179521471838E-5</v>
      </c>
      <c r="AJ692" s="16">
        <f t="shared" ca="1" si="426"/>
        <v>1.6272407892903393E-4</v>
      </c>
      <c r="AK692" s="16">
        <f t="shared" ca="1" si="427"/>
        <v>-4.7128542003264083E-4</v>
      </c>
      <c r="AM692" s="16">
        <f t="shared" ca="1" si="428"/>
        <v>5.4494799238512747E-4</v>
      </c>
      <c r="AO692" s="16">
        <f t="shared" ca="1" si="429"/>
        <v>-3.2396795529289544E-4</v>
      </c>
      <c r="AP692" s="16">
        <f t="shared" ca="1" si="430"/>
        <v>0</v>
      </c>
      <c r="AQ692" s="16">
        <f t="shared" ca="1" si="431"/>
        <v>-1.2826179521471838E-5</v>
      </c>
      <c r="AR692" s="16">
        <f t="shared" ca="1" si="432"/>
        <v>0</v>
      </c>
      <c r="AS692" s="16">
        <f t="shared" ca="1" si="433"/>
        <v>-4.7128542003264083E-4</v>
      </c>
    </row>
    <row r="693" spans="1:45" x14ac:dyDescent="0.25">
      <c r="A693" s="69">
        <f t="shared" ca="1" si="434"/>
        <v>2452.2800246740508</v>
      </c>
      <c r="B693" s="69">
        <f t="shared" ca="1" si="435"/>
        <v>2137.0924621221466</v>
      </c>
      <c r="C693" s="69">
        <f t="shared" ca="1" si="436"/>
        <v>2234.4446219685465</v>
      </c>
      <c r="D693" s="69">
        <f t="shared" ca="1" si="437"/>
        <v>2901.9329688252787</v>
      </c>
      <c r="E693" s="69">
        <f t="shared" ca="1" si="438"/>
        <v>1931.1779661302769</v>
      </c>
      <c r="F693" s="69">
        <f t="shared" ca="1" si="439"/>
        <v>1218.3767431859617</v>
      </c>
      <c r="G693" s="69">
        <f t="shared" ca="1" si="440"/>
        <v>967.83175399820345</v>
      </c>
      <c r="H693" s="69">
        <f t="shared" ca="1" si="441"/>
        <v>1189.553220816045</v>
      </c>
      <c r="I693" s="69">
        <f t="shared" ca="1" si="442"/>
        <v>1050.593303235959</v>
      </c>
      <c r="J693" s="69">
        <f t="shared" ca="1" si="443"/>
        <v>1144.8471768809932</v>
      </c>
      <c r="K693" s="69">
        <f t="shared" ca="1" si="444"/>
        <v>1170.8240794930348</v>
      </c>
      <c r="L693" s="69">
        <f t="shared" ca="1" si="445"/>
        <v>958.5560022654646</v>
      </c>
      <c r="M693" s="69">
        <f t="shared" ca="1" si="446"/>
        <v>992.17683599388749</v>
      </c>
      <c r="N693" s="69">
        <f t="shared" ca="1" si="447"/>
        <v>574.24819554312444</v>
      </c>
      <c r="O693" s="69">
        <f t="shared" ca="1" si="448"/>
        <v>629.68121384290146</v>
      </c>
      <c r="P693" s="69">
        <f t="shared" ca="1" si="449"/>
        <v>721.14706982495716</v>
      </c>
      <c r="Q693" s="69">
        <f t="shared" ca="1" si="450"/>
        <v>959.85238387883999</v>
      </c>
      <c r="R693" s="69">
        <f t="shared" ca="1" si="451"/>
        <v>780.68582041492436</v>
      </c>
      <c r="S693" s="69">
        <f t="shared" ca="1" si="452"/>
        <v>701.27030277022754</v>
      </c>
      <c r="T693" s="69">
        <f t="shared" ca="1" si="453"/>
        <v>793.89303207051819</v>
      </c>
      <c r="U693" s="69">
        <f t="shared" ca="1" si="454"/>
        <v>1694.0922298290034</v>
      </c>
      <c r="V693" s="69">
        <f t="shared" ca="1" si="455"/>
        <v>1914.2736691742339</v>
      </c>
      <c r="W693" s="69">
        <f t="shared" ca="1" si="456"/>
        <v>1182.291372219245</v>
      </c>
      <c r="X693" s="69">
        <f t="shared" ca="1" si="457"/>
        <v>1489.6517586013615</v>
      </c>
      <c r="Y693" s="69">
        <f t="shared" ca="1" si="458"/>
        <v>1204.948155282842</v>
      </c>
      <c r="AA693" s="20">
        <f t="shared" ca="1" si="418"/>
        <v>6.562550266033724E+16</v>
      </c>
      <c r="AB693" s="20">
        <f t="shared" ca="1" si="419"/>
        <v>1687125891236297.5</v>
      </c>
      <c r="AC693" s="20">
        <f t="shared" ca="1" si="420"/>
        <v>402641556202235.06</v>
      </c>
      <c r="AD693" s="20">
        <f t="shared" ca="1" si="421"/>
        <v>300851388700432.5</v>
      </c>
      <c r="AE693" s="20">
        <f t="shared" ca="1" si="422"/>
        <v>6882064067407428</v>
      </c>
      <c r="AG693" s="16">
        <f t="shared" ca="1" si="423"/>
        <v>-1.8187012692210514E-4</v>
      </c>
      <c r="AH693" s="16">
        <f t="shared" ca="1" si="424"/>
        <v>5.0207836459412658E-4</v>
      </c>
      <c r="AI693" s="16">
        <f t="shared" ca="1" si="425"/>
        <v>5.2103141990588313E-5</v>
      </c>
      <c r="AJ693" s="16">
        <f t="shared" ca="1" si="426"/>
        <v>4.6873999692983629E-4</v>
      </c>
      <c r="AK693" s="16">
        <f t="shared" ca="1" si="427"/>
        <v>-2.1978404211980658E-4</v>
      </c>
      <c r="AM693" s="16">
        <f t="shared" ca="1" si="428"/>
        <v>8.4105137659244602E-4</v>
      </c>
      <c r="AO693" s="16">
        <f t="shared" ca="1" si="429"/>
        <v>-1.8187012692210514E-4</v>
      </c>
      <c r="AP693" s="16">
        <f t="shared" ca="1" si="430"/>
        <v>0</v>
      </c>
      <c r="AQ693" s="16">
        <f t="shared" ca="1" si="431"/>
        <v>0</v>
      </c>
      <c r="AR693" s="16">
        <f t="shared" ca="1" si="432"/>
        <v>0</v>
      </c>
      <c r="AS693" s="16">
        <f t="shared" ca="1" si="433"/>
        <v>-2.1978404211980658E-4</v>
      </c>
    </row>
    <row r="694" spans="1:45" x14ac:dyDescent="0.25">
      <c r="A694" s="69">
        <f t="shared" ca="1" si="434"/>
        <v>2452.1611828811338</v>
      </c>
      <c r="B694" s="69">
        <f t="shared" ca="1" si="435"/>
        <v>2137.0924621221466</v>
      </c>
      <c r="C694" s="69">
        <f t="shared" ca="1" si="436"/>
        <v>2234.4446219685465</v>
      </c>
      <c r="D694" s="69">
        <f t="shared" ca="1" si="437"/>
        <v>2901.6587800072343</v>
      </c>
      <c r="E694" s="69">
        <f t="shared" ca="1" si="438"/>
        <v>1931.1028103104311</v>
      </c>
      <c r="F694" s="69">
        <f t="shared" ca="1" si="439"/>
        <v>1218.584269519044</v>
      </c>
      <c r="G694" s="69">
        <f t="shared" ca="1" si="440"/>
        <v>967.83175399820345</v>
      </c>
      <c r="H694" s="69">
        <f t="shared" ca="1" si="441"/>
        <v>1189.553220816045</v>
      </c>
      <c r="I694" s="69">
        <f t="shared" ca="1" si="442"/>
        <v>1050.9540886844536</v>
      </c>
      <c r="J694" s="69">
        <f t="shared" ca="1" si="443"/>
        <v>1144.8339087450636</v>
      </c>
      <c r="K694" s="69">
        <f t="shared" ca="1" si="444"/>
        <v>1170.5636422239222</v>
      </c>
      <c r="L694" s="69">
        <f t="shared" ca="1" si="445"/>
        <v>958.1458573078844</v>
      </c>
      <c r="M694" s="69">
        <f t="shared" ca="1" si="446"/>
        <v>992.12569160801422</v>
      </c>
      <c r="N694" s="69">
        <f t="shared" ca="1" si="447"/>
        <v>574.53352866299588</v>
      </c>
      <c r="O694" s="69">
        <f t="shared" ca="1" si="448"/>
        <v>629.84326921871707</v>
      </c>
      <c r="P694" s="69">
        <f t="shared" ca="1" si="449"/>
        <v>721.30334421745351</v>
      </c>
      <c r="Q694" s="69">
        <f t="shared" ca="1" si="450"/>
        <v>959.85238387883999</v>
      </c>
      <c r="R694" s="69">
        <f t="shared" ca="1" si="451"/>
        <v>780.45672168925466</v>
      </c>
      <c r="S694" s="69">
        <f t="shared" ca="1" si="452"/>
        <v>701.65299379331009</v>
      </c>
      <c r="T694" s="69">
        <f t="shared" ca="1" si="453"/>
        <v>793.89303207051819</v>
      </c>
      <c r="U694" s="69">
        <f t="shared" ca="1" si="454"/>
        <v>1693.6277509704371</v>
      </c>
      <c r="V694" s="69">
        <f t="shared" ca="1" si="455"/>
        <v>1914.4695417753085</v>
      </c>
      <c r="W694" s="69">
        <f t="shared" ca="1" si="456"/>
        <v>1182.2673223338377</v>
      </c>
      <c r="X694" s="69">
        <f t="shared" ca="1" si="457"/>
        <v>1489.610725607713</v>
      </c>
      <c r="Y694" s="69">
        <f t="shared" ca="1" si="458"/>
        <v>1204.948155282842</v>
      </c>
      <c r="AA694" s="20">
        <f t="shared" ca="1" si="418"/>
        <v>6.5613568427112232E+16</v>
      </c>
      <c r="AB694" s="20">
        <f t="shared" ca="1" si="419"/>
        <v>1687973173327838.5</v>
      </c>
      <c r="AC694" s="20">
        <f t="shared" ca="1" si="420"/>
        <v>402662535638951.69</v>
      </c>
      <c r="AD694" s="20">
        <f t="shared" ca="1" si="421"/>
        <v>300992442835723.06</v>
      </c>
      <c r="AE694" s="20">
        <f t="shared" ca="1" si="422"/>
        <v>6880551665755528</v>
      </c>
      <c r="AG694" s="16">
        <f t="shared" ca="1" si="423"/>
        <v>3.0336681721270078E-5</v>
      </c>
      <c r="AH694" s="16">
        <f t="shared" ca="1" si="424"/>
        <v>-6.9459993582148623E-4</v>
      </c>
      <c r="AI694" s="16">
        <f t="shared" ca="1" si="425"/>
        <v>-1.0196599898832052E-3</v>
      </c>
      <c r="AJ694" s="16">
        <f t="shared" ca="1" si="426"/>
        <v>6.3493740745021866E-4</v>
      </c>
      <c r="AK694" s="16">
        <f t="shared" ca="1" si="427"/>
        <v>-1.4288895801634245E-4</v>
      </c>
      <c r="AM694" s="16">
        <f t="shared" ca="1" si="428"/>
        <v>-1.0489858365332026E-3</v>
      </c>
      <c r="AO694" s="16">
        <f t="shared" ca="1" si="429"/>
        <v>0</v>
      </c>
      <c r="AP694" s="16">
        <f t="shared" ca="1" si="430"/>
        <v>-6.9459993582148623E-4</v>
      </c>
      <c r="AQ694" s="16">
        <f t="shared" ca="1" si="431"/>
        <v>-1.0196599898832052E-3</v>
      </c>
      <c r="AR694" s="16">
        <f t="shared" ca="1" si="432"/>
        <v>0</v>
      </c>
      <c r="AS694" s="16">
        <f t="shared" ca="1" si="433"/>
        <v>-1.4288895801634245E-4</v>
      </c>
    </row>
    <row r="695" spans="1:45" x14ac:dyDescent="0.25">
      <c r="A695" s="69">
        <f t="shared" ca="1" si="434"/>
        <v>2452.4074383518978</v>
      </c>
      <c r="B695" s="69">
        <f t="shared" ca="1" si="435"/>
        <v>2137.0924621221466</v>
      </c>
      <c r="C695" s="69">
        <f t="shared" ca="1" si="436"/>
        <v>2234.2880328222013</v>
      </c>
      <c r="D695" s="69">
        <f t="shared" ca="1" si="437"/>
        <v>2901.6587800072343</v>
      </c>
      <c r="E695" s="69">
        <f t="shared" ca="1" si="438"/>
        <v>1931.1028103104311</v>
      </c>
      <c r="F695" s="69">
        <f t="shared" ca="1" si="439"/>
        <v>1218.2271132607186</v>
      </c>
      <c r="G695" s="69">
        <f t="shared" ca="1" si="440"/>
        <v>967.83175399820345</v>
      </c>
      <c r="H695" s="69">
        <f t="shared" ca="1" si="441"/>
        <v>1189.553220816045</v>
      </c>
      <c r="I695" s="69">
        <f t="shared" ca="1" si="442"/>
        <v>1050.7307248804841</v>
      </c>
      <c r="J695" s="69">
        <f t="shared" ca="1" si="443"/>
        <v>1144.6176598212592</v>
      </c>
      <c r="K695" s="69">
        <f t="shared" ca="1" si="444"/>
        <v>1170.1997955486418</v>
      </c>
      <c r="L695" s="69">
        <f t="shared" ca="1" si="445"/>
        <v>958.1458573078844</v>
      </c>
      <c r="M695" s="69">
        <f t="shared" ca="1" si="446"/>
        <v>992.12569160801422</v>
      </c>
      <c r="N695" s="69">
        <f t="shared" ca="1" si="447"/>
        <v>574.40857960471021</v>
      </c>
      <c r="O695" s="69">
        <f t="shared" ca="1" si="448"/>
        <v>629.53391672233124</v>
      </c>
      <c r="P695" s="69">
        <f t="shared" ca="1" si="449"/>
        <v>721.69329349199427</v>
      </c>
      <c r="Q695" s="69">
        <f t="shared" ca="1" si="450"/>
        <v>960.25397373221506</v>
      </c>
      <c r="R695" s="69">
        <f t="shared" ca="1" si="451"/>
        <v>780.45672168925466</v>
      </c>
      <c r="S695" s="69">
        <f t="shared" ca="1" si="452"/>
        <v>701.42581169584457</v>
      </c>
      <c r="T695" s="69">
        <f t="shared" ca="1" si="453"/>
        <v>793.89303207051819</v>
      </c>
      <c r="U695" s="69">
        <f t="shared" ca="1" si="454"/>
        <v>1694.0113621931082</v>
      </c>
      <c r="V695" s="69">
        <f t="shared" ca="1" si="455"/>
        <v>1914.2458318824899</v>
      </c>
      <c r="W695" s="69">
        <f t="shared" ca="1" si="456"/>
        <v>1182.4250644263925</v>
      </c>
      <c r="X695" s="69">
        <f t="shared" ca="1" si="457"/>
        <v>1489.610725607713</v>
      </c>
      <c r="Y695" s="69">
        <f t="shared" ca="1" si="458"/>
        <v>1204.4832296286927</v>
      </c>
      <c r="AA695" s="20">
        <f t="shared" ca="1" si="418"/>
        <v>6.5615558955247056E+16</v>
      </c>
      <c r="AB695" s="20">
        <f t="shared" ca="1" si="419"/>
        <v>1686801114373137.5</v>
      </c>
      <c r="AC695" s="20">
        <f t="shared" ca="1" si="420"/>
        <v>402252166016233.75</v>
      </c>
      <c r="AD695" s="20">
        <f t="shared" ca="1" si="421"/>
        <v>301183614881758.44</v>
      </c>
      <c r="AE695" s="20">
        <f t="shared" ca="1" si="422"/>
        <v>6879568581135072</v>
      </c>
      <c r="AG695" s="16">
        <f t="shared" ca="1" si="423"/>
        <v>-2.042654332998681E-4</v>
      </c>
      <c r="AH695" s="16">
        <f t="shared" ca="1" si="424"/>
        <v>1.9585648353519821E-4</v>
      </c>
      <c r="AI695" s="16">
        <f t="shared" ca="1" si="425"/>
        <v>5.2684551536133235E-4</v>
      </c>
      <c r="AJ695" s="16">
        <f t="shared" ca="1" si="426"/>
        <v>4.8879298096603783E-4</v>
      </c>
      <c r="AK695" s="16">
        <f t="shared" ca="1" si="427"/>
        <v>-2.9009926568024299E-4</v>
      </c>
      <c r="AM695" s="16">
        <f t="shared" ca="1" si="428"/>
        <v>1.0072295465627002E-3</v>
      </c>
      <c r="AO695" s="16">
        <f t="shared" ca="1" si="429"/>
        <v>-2.042654332998681E-4</v>
      </c>
      <c r="AP695" s="16">
        <f t="shared" ca="1" si="430"/>
        <v>0</v>
      </c>
      <c r="AQ695" s="16">
        <f t="shared" ca="1" si="431"/>
        <v>0</v>
      </c>
      <c r="AR695" s="16">
        <f t="shared" ca="1" si="432"/>
        <v>0</v>
      </c>
      <c r="AS695" s="16">
        <f t="shared" ca="1" si="433"/>
        <v>-2.9009926568024299E-4</v>
      </c>
    </row>
    <row r="696" spans="1:45" x14ac:dyDescent="0.25">
      <c r="A696" s="69">
        <f t="shared" ca="1" si="434"/>
        <v>2452.145605502591</v>
      </c>
      <c r="B696" s="69">
        <f t="shared" ca="1" si="435"/>
        <v>2136.9443796404503</v>
      </c>
      <c r="C696" s="69">
        <f t="shared" ca="1" si="436"/>
        <v>2234.2880328222013</v>
      </c>
      <c r="D696" s="69">
        <f t="shared" ca="1" si="437"/>
        <v>2901.174631636447</v>
      </c>
      <c r="E696" s="69">
        <f t="shared" ca="1" si="438"/>
        <v>1931.3706073136498</v>
      </c>
      <c r="F696" s="69">
        <f t="shared" ca="1" si="439"/>
        <v>1218.0624374752624</v>
      </c>
      <c r="G696" s="69">
        <f t="shared" ca="1" si="440"/>
        <v>967.76689611328209</v>
      </c>
      <c r="H696" s="69">
        <f t="shared" ca="1" si="441"/>
        <v>1189.667419619451</v>
      </c>
      <c r="I696" s="69">
        <f t="shared" ca="1" si="442"/>
        <v>1050.9557862379602</v>
      </c>
      <c r="J696" s="69">
        <f t="shared" ca="1" si="443"/>
        <v>1144.7182636401096</v>
      </c>
      <c r="K696" s="69">
        <f t="shared" ca="1" si="444"/>
        <v>1170.1997955486418</v>
      </c>
      <c r="L696" s="69">
        <f t="shared" ca="1" si="445"/>
        <v>958.1458573078844</v>
      </c>
      <c r="M696" s="69">
        <f t="shared" ca="1" si="446"/>
        <v>992.43451796748184</v>
      </c>
      <c r="N696" s="69">
        <f t="shared" ca="1" si="447"/>
        <v>574.56375212758485</v>
      </c>
      <c r="O696" s="69">
        <f t="shared" ca="1" si="448"/>
        <v>629.49961426896652</v>
      </c>
      <c r="P696" s="69">
        <f t="shared" ca="1" si="449"/>
        <v>721.71902282463031</v>
      </c>
      <c r="Q696" s="69">
        <f t="shared" ca="1" si="450"/>
        <v>960.66084455246994</v>
      </c>
      <c r="R696" s="69">
        <f t="shared" ca="1" si="451"/>
        <v>780.21224582547131</v>
      </c>
      <c r="S696" s="69">
        <f t="shared" ca="1" si="452"/>
        <v>701.24227957807716</v>
      </c>
      <c r="T696" s="69">
        <f t="shared" ca="1" si="453"/>
        <v>794.37309073853544</v>
      </c>
      <c r="U696" s="69">
        <f t="shared" ca="1" si="454"/>
        <v>1694.0113621931082</v>
      </c>
      <c r="V696" s="69">
        <f t="shared" ca="1" si="455"/>
        <v>1914.0061675334373</v>
      </c>
      <c r="W696" s="69">
        <f t="shared" ca="1" si="456"/>
        <v>1182.4250644263925</v>
      </c>
      <c r="X696" s="69">
        <f t="shared" ca="1" si="457"/>
        <v>1489.8736897109954</v>
      </c>
      <c r="Y696" s="69">
        <f t="shared" ca="1" si="458"/>
        <v>1204.0720801603807</v>
      </c>
      <c r="AA696" s="20">
        <f t="shared" ca="1" si="418"/>
        <v>6.5602157333456488E+16</v>
      </c>
      <c r="AB696" s="20">
        <f t="shared" ca="1" si="419"/>
        <v>1687131517662578.8</v>
      </c>
      <c r="AC696" s="20">
        <f t="shared" ca="1" si="420"/>
        <v>402464146601550.94</v>
      </c>
      <c r="AD696" s="20">
        <f t="shared" ca="1" si="421"/>
        <v>301330867303738</v>
      </c>
      <c r="AE696" s="20">
        <f t="shared" ca="1" si="422"/>
        <v>6877573112797432</v>
      </c>
      <c r="AG696" s="16">
        <f t="shared" ca="1" si="423"/>
        <v>0</v>
      </c>
      <c r="AH696" s="16">
        <f t="shared" ca="1" si="424"/>
        <v>4.1023038859936225E-4</v>
      </c>
      <c r="AI696" s="16">
        <f t="shared" ca="1" si="425"/>
        <v>-5.4047922252656896E-4</v>
      </c>
      <c r="AJ696" s="16">
        <f t="shared" ca="1" si="426"/>
        <v>-7.9013525311230208E-5</v>
      </c>
      <c r="AK696" s="16">
        <f t="shared" ca="1" si="427"/>
        <v>-2.6021133623472398E-4</v>
      </c>
      <c r="AM696" s="16">
        <f t="shared" ca="1" si="428"/>
        <v>-2.0926235923843692E-4</v>
      </c>
      <c r="AO696" s="16">
        <f t="shared" ca="1" si="429"/>
        <v>0</v>
      </c>
      <c r="AP696" s="16">
        <f t="shared" ca="1" si="430"/>
        <v>0</v>
      </c>
      <c r="AQ696" s="16">
        <f t="shared" ca="1" si="431"/>
        <v>-5.4047922252656896E-4</v>
      </c>
      <c r="AR696" s="16">
        <f t="shared" ca="1" si="432"/>
        <v>-7.9013525311230208E-5</v>
      </c>
      <c r="AS696" s="16">
        <f t="shared" ca="1" si="433"/>
        <v>-2.6021133623472398E-4</v>
      </c>
    </row>
    <row r="697" spans="1:45" x14ac:dyDescent="0.25">
      <c r="A697" s="69">
        <f t="shared" ca="1" si="434"/>
        <v>2452.145605502591</v>
      </c>
      <c r="B697" s="69">
        <f t="shared" ca="1" si="435"/>
        <v>2136.9443796404503</v>
      </c>
      <c r="C697" s="69">
        <f t="shared" ca="1" si="436"/>
        <v>2234.2880328222013</v>
      </c>
      <c r="D697" s="69">
        <f t="shared" ca="1" si="437"/>
        <v>2901.174631636447</v>
      </c>
      <c r="E697" s="69">
        <f t="shared" ca="1" si="438"/>
        <v>1931.3706073136498</v>
      </c>
      <c r="F697" s="69">
        <f t="shared" ca="1" si="439"/>
        <v>1218.1179995792077</v>
      </c>
      <c r="G697" s="69">
        <f t="shared" ca="1" si="440"/>
        <v>968.19663431205345</v>
      </c>
      <c r="H697" s="69">
        <f t="shared" ca="1" si="441"/>
        <v>1189.2707578541417</v>
      </c>
      <c r="I697" s="69">
        <f t="shared" ca="1" si="442"/>
        <v>1050.9557862379602</v>
      </c>
      <c r="J697" s="69">
        <f t="shared" ca="1" si="443"/>
        <v>1145.0092210074574</v>
      </c>
      <c r="K697" s="69">
        <f t="shared" ca="1" si="444"/>
        <v>1170.5013366481799</v>
      </c>
      <c r="L697" s="69">
        <f t="shared" ca="1" si="445"/>
        <v>958.1458573078844</v>
      </c>
      <c r="M697" s="69">
        <f t="shared" ca="1" si="446"/>
        <v>992.43451796748184</v>
      </c>
      <c r="N697" s="69">
        <f t="shared" ca="1" si="447"/>
        <v>574.10535882333454</v>
      </c>
      <c r="O697" s="69">
        <f t="shared" ca="1" si="448"/>
        <v>629.49961426896652</v>
      </c>
      <c r="P697" s="69">
        <f t="shared" ca="1" si="449"/>
        <v>721.88344193612375</v>
      </c>
      <c r="Q697" s="69">
        <f t="shared" ca="1" si="450"/>
        <v>960.58223155101223</v>
      </c>
      <c r="R697" s="69">
        <f t="shared" ca="1" si="451"/>
        <v>779.80571231203476</v>
      </c>
      <c r="S697" s="69">
        <f t="shared" ca="1" si="452"/>
        <v>701.41345811135545</v>
      </c>
      <c r="T697" s="69">
        <f t="shared" ca="1" si="453"/>
        <v>794.41451447270333</v>
      </c>
      <c r="U697" s="69">
        <f t="shared" ca="1" si="454"/>
        <v>1693.7865877941906</v>
      </c>
      <c r="V697" s="69">
        <f t="shared" ca="1" si="455"/>
        <v>1913.7735927381013</v>
      </c>
      <c r="W697" s="69">
        <f t="shared" ca="1" si="456"/>
        <v>1182.4250644263925</v>
      </c>
      <c r="X697" s="69">
        <f t="shared" ca="1" si="457"/>
        <v>1490.0727804014011</v>
      </c>
      <c r="Y697" s="69">
        <f t="shared" ca="1" si="458"/>
        <v>1203.9039844506997</v>
      </c>
      <c r="AA697" s="20">
        <f t="shared" ca="1" si="418"/>
        <v>6.5602157333456488E+16</v>
      </c>
      <c r="AB697" s="20">
        <f t="shared" ca="1" si="419"/>
        <v>1687823772262916.3</v>
      </c>
      <c r="AC697" s="20">
        <f t="shared" ca="1" si="420"/>
        <v>402246681865380.44</v>
      </c>
      <c r="AD697" s="20">
        <f t="shared" ca="1" si="421"/>
        <v>301307059030227.44</v>
      </c>
      <c r="AE697" s="20">
        <f t="shared" ca="1" si="422"/>
        <v>6875783723127534</v>
      </c>
      <c r="AG697" s="16">
        <f t="shared" ca="1" si="423"/>
        <v>2.0542744076912475E-4</v>
      </c>
      <c r="AH697" s="16">
        <f t="shared" ca="1" si="424"/>
        <v>-3.1099749801489666E-4</v>
      </c>
      <c r="AI697" s="16">
        <f t="shared" ca="1" si="425"/>
        <v>2.3382283531786822E-4</v>
      </c>
      <c r="AJ697" s="16">
        <f t="shared" ca="1" si="426"/>
        <v>6.5819408371313123E-4</v>
      </c>
      <c r="AK697" s="16">
        <f t="shared" ca="1" si="427"/>
        <v>-5.4478578076419967E-5</v>
      </c>
      <c r="AM697" s="16">
        <f t="shared" ca="1" si="428"/>
        <v>7.8644686178522749E-4</v>
      </c>
      <c r="AO697" s="16">
        <f t="shared" ca="1" si="429"/>
        <v>0</v>
      </c>
      <c r="AP697" s="16">
        <f t="shared" ca="1" si="430"/>
        <v>-3.1099749801489666E-4</v>
      </c>
      <c r="AQ697" s="16">
        <f t="shared" ca="1" si="431"/>
        <v>0</v>
      </c>
      <c r="AR697" s="16">
        <f t="shared" ca="1" si="432"/>
        <v>0</v>
      </c>
      <c r="AS697" s="16">
        <f t="shared" ca="1" si="433"/>
        <v>-5.4478578076419967E-5</v>
      </c>
    </row>
    <row r="698" spans="1:45" x14ac:dyDescent="0.25">
      <c r="A698" s="69">
        <f t="shared" ca="1" si="434"/>
        <v>2452.1517616110918</v>
      </c>
      <c r="B698" s="69">
        <f t="shared" ca="1" si="435"/>
        <v>2137.0085644828287</v>
      </c>
      <c r="C698" s="69">
        <f t="shared" ca="1" si="436"/>
        <v>2234.2880328222013</v>
      </c>
      <c r="D698" s="69">
        <f t="shared" ca="1" si="437"/>
        <v>2901.2007834900705</v>
      </c>
      <c r="E698" s="69">
        <f t="shared" ca="1" si="438"/>
        <v>1931.6871219328598</v>
      </c>
      <c r="F698" s="69">
        <f t="shared" ca="1" si="439"/>
        <v>1218.1179995792077</v>
      </c>
      <c r="G698" s="69">
        <f t="shared" ca="1" si="440"/>
        <v>967.77710988373826</v>
      </c>
      <c r="H698" s="69">
        <f t="shared" ca="1" si="441"/>
        <v>1189.2707578541417</v>
      </c>
      <c r="I698" s="69">
        <f t="shared" ca="1" si="442"/>
        <v>1051.0844325610874</v>
      </c>
      <c r="J698" s="69">
        <f t="shared" ca="1" si="443"/>
        <v>1145.0092210074574</v>
      </c>
      <c r="K698" s="69">
        <f t="shared" ca="1" si="444"/>
        <v>1170.6280040438646</v>
      </c>
      <c r="L698" s="69">
        <f t="shared" ca="1" si="445"/>
        <v>957.76017787001626</v>
      </c>
      <c r="M698" s="69">
        <f t="shared" ca="1" si="446"/>
        <v>992.03604251969898</v>
      </c>
      <c r="N698" s="69">
        <f t="shared" ca="1" si="447"/>
        <v>574.39861800922506</v>
      </c>
      <c r="O698" s="69">
        <f t="shared" ca="1" si="448"/>
        <v>629.76351401510215</v>
      </c>
      <c r="P698" s="69">
        <f t="shared" ca="1" si="449"/>
        <v>721.70813667607752</v>
      </c>
      <c r="Q698" s="69">
        <f t="shared" ca="1" si="450"/>
        <v>960.928826917008</v>
      </c>
      <c r="R698" s="69">
        <f t="shared" ca="1" si="451"/>
        <v>780.28637070802711</v>
      </c>
      <c r="S698" s="69">
        <f t="shared" ca="1" si="452"/>
        <v>701.41345811135545</v>
      </c>
      <c r="T698" s="69">
        <f t="shared" ca="1" si="453"/>
        <v>794.35423862087509</v>
      </c>
      <c r="U698" s="69">
        <f t="shared" ca="1" si="454"/>
        <v>1693.7161456851031</v>
      </c>
      <c r="V698" s="69">
        <f t="shared" ca="1" si="455"/>
        <v>1914.2177134492727</v>
      </c>
      <c r="W698" s="69">
        <f t="shared" ca="1" si="456"/>
        <v>1182.4250644263925</v>
      </c>
      <c r="X698" s="69">
        <f t="shared" ca="1" si="457"/>
        <v>1489.7078650056371</v>
      </c>
      <c r="Y698" s="69">
        <f t="shared" ca="1" si="458"/>
        <v>1203.9039844506997</v>
      </c>
      <c r="AA698" s="20">
        <f t="shared" ca="1" si="418"/>
        <v>6.561563520106096E+16</v>
      </c>
      <c r="AB698" s="20">
        <f t="shared" ca="1" si="419"/>
        <v>1687298944906879.8</v>
      </c>
      <c r="AC698" s="20">
        <f t="shared" ca="1" si="420"/>
        <v>402340747321928.69</v>
      </c>
      <c r="AD698" s="20">
        <f t="shared" ca="1" si="421"/>
        <v>301505442834223.19</v>
      </c>
      <c r="AE698" s="20">
        <f t="shared" ca="1" si="422"/>
        <v>6875409150410324</v>
      </c>
      <c r="AG698" s="16">
        <f t="shared" ca="1" si="423"/>
        <v>-1.8700294556385247E-4</v>
      </c>
      <c r="AH698" s="16">
        <f t="shared" ca="1" si="424"/>
        <v>6.0095509432544488E-5</v>
      </c>
      <c r="AI698" s="16">
        <f t="shared" ca="1" si="425"/>
        <v>-1.043650733177534E-3</v>
      </c>
      <c r="AJ698" s="16">
        <f t="shared" ca="1" si="426"/>
        <v>-5.9772763111268527E-4</v>
      </c>
      <c r="AK698" s="16">
        <f t="shared" ca="1" si="427"/>
        <v>-8.9238415049690744E-4</v>
      </c>
      <c r="AM698" s="16">
        <f t="shared" ca="1" si="428"/>
        <v>-1.7682858004215273E-3</v>
      </c>
      <c r="AO698" s="16">
        <f t="shared" ca="1" si="429"/>
        <v>-1.8700294556385247E-4</v>
      </c>
      <c r="AP698" s="16">
        <f t="shared" ca="1" si="430"/>
        <v>0</v>
      </c>
      <c r="AQ698" s="16">
        <f t="shared" ca="1" si="431"/>
        <v>-1.043650733177534E-3</v>
      </c>
      <c r="AR698" s="16">
        <f t="shared" ca="1" si="432"/>
        <v>-5.9772763111268527E-4</v>
      </c>
      <c r="AS698" s="16">
        <f t="shared" ca="1" si="433"/>
        <v>-8.9238415049690744E-4</v>
      </c>
    </row>
    <row r="699" spans="1:45" x14ac:dyDescent="0.25">
      <c r="A699" s="69">
        <f t="shared" ca="1" si="434"/>
        <v>2452.1517616110918</v>
      </c>
      <c r="B699" s="69">
        <f t="shared" ca="1" si="435"/>
        <v>2137.0085644828287</v>
      </c>
      <c r="C699" s="69">
        <f t="shared" ca="1" si="436"/>
        <v>2233.8828278225392</v>
      </c>
      <c r="D699" s="69">
        <f t="shared" ca="1" si="437"/>
        <v>2901.2007834900705</v>
      </c>
      <c r="E699" s="69">
        <f t="shared" ca="1" si="438"/>
        <v>1931.6762485931031</v>
      </c>
      <c r="F699" s="69">
        <f t="shared" ca="1" si="439"/>
        <v>1218.1179995792077</v>
      </c>
      <c r="G699" s="69">
        <f t="shared" ca="1" si="440"/>
        <v>967.98857328774568</v>
      </c>
      <c r="H699" s="69">
        <f t="shared" ca="1" si="441"/>
        <v>1189.2707578541417</v>
      </c>
      <c r="I699" s="69">
        <f t="shared" ca="1" si="442"/>
        <v>1050.9179698789208</v>
      </c>
      <c r="J699" s="69">
        <f t="shared" ca="1" si="443"/>
        <v>1145.0092210074574</v>
      </c>
      <c r="K699" s="69">
        <f t="shared" ca="1" si="444"/>
        <v>1170.6280040438646</v>
      </c>
      <c r="L699" s="69">
        <f t="shared" ca="1" si="445"/>
        <v>957.26340888610082</v>
      </c>
      <c r="M699" s="69">
        <f t="shared" ca="1" si="446"/>
        <v>992.32453393740002</v>
      </c>
      <c r="N699" s="69">
        <f t="shared" ca="1" si="447"/>
        <v>573.93032751109558</v>
      </c>
      <c r="O699" s="69">
        <f t="shared" ca="1" si="448"/>
        <v>629.76351401510215</v>
      </c>
      <c r="P699" s="69">
        <f t="shared" ca="1" si="449"/>
        <v>721.81725980302497</v>
      </c>
      <c r="Q699" s="69">
        <f t="shared" ca="1" si="450"/>
        <v>960.54165422206597</v>
      </c>
      <c r="R699" s="69">
        <f t="shared" ca="1" si="451"/>
        <v>780.32398157862735</v>
      </c>
      <c r="S699" s="69">
        <f t="shared" ca="1" si="452"/>
        <v>701.12896059797242</v>
      </c>
      <c r="T699" s="69">
        <f t="shared" ca="1" si="453"/>
        <v>794.36342692620303</v>
      </c>
      <c r="U699" s="69">
        <f t="shared" ca="1" si="454"/>
        <v>1693.474065262576</v>
      </c>
      <c r="V699" s="69">
        <f t="shared" ca="1" si="455"/>
        <v>1913.8362889313355</v>
      </c>
      <c r="W699" s="69">
        <f t="shared" ca="1" si="456"/>
        <v>1182.1578975293314</v>
      </c>
      <c r="X699" s="69">
        <f t="shared" ca="1" si="457"/>
        <v>1489.4366852776027</v>
      </c>
      <c r="Y699" s="69">
        <f t="shared" ca="1" si="458"/>
        <v>1203.7328725645455</v>
      </c>
      <c r="AA699" s="20">
        <f t="shared" ca="1" si="418"/>
        <v>6.560336603122452E+16</v>
      </c>
      <c r="AB699" s="20">
        <f t="shared" ca="1" si="419"/>
        <v>1687400347043415</v>
      </c>
      <c r="AC699" s="20">
        <f t="shared" ca="1" si="420"/>
        <v>401921063145941.5</v>
      </c>
      <c r="AD699" s="20">
        <f t="shared" ca="1" si="421"/>
        <v>301325278550059.75</v>
      </c>
      <c r="AE699" s="20">
        <f t="shared" ca="1" si="422"/>
        <v>6869276381056387</v>
      </c>
      <c r="AG699" s="16">
        <f t="shared" ca="1" si="423"/>
        <v>-2.3911761873091981E-4</v>
      </c>
      <c r="AH699" s="16">
        <f t="shared" ca="1" si="424"/>
        <v>4.8311371544982191E-4</v>
      </c>
      <c r="AI699" s="16">
        <f t="shared" ca="1" si="425"/>
        <v>-9.4346420135722376E-5</v>
      </c>
      <c r="AJ699" s="16">
        <f t="shared" ca="1" si="426"/>
        <v>-4.9288755201056151E-4</v>
      </c>
      <c r="AK699" s="16">
        <f t="shared" ca="1" si="427"/>
        <v>6.2799636281080237E-4</v>
      </c>
      <c r="AM699" s="16">
        <f t="shared" ca="1" si="428"/>
        <v>-3.4323787542738177E-4</v>
      </c>
      <c r="AO699" s="16">
        <f t="shared" ca="1" si="429"/>
        <v>-2.3911761873091981E-4</v>
      </c>
      <c r="AP699" s="16">
        <f t="shared" ca="1" si="430"/>
        <v>0</v>
      </c>
      <c r="AQ699" s="16">
        <f t="shared" ca="1" si="431"/>
        <v>-9.4346420135722376E-5</v>
      </c>
      <c r="AR699" s="16">
        <f t="shared" ca="1" si="432"/>
        <v>-4.9288755201056151E-4</v>
      </c>
      <c r="AS699" s="16">
        <f t="shared" ca="1" si="433"/>
        <v>0</v>
      </c>
    </row>
    <row r="700" spans="1:45" x14ac:dyDescent="0.25">
      <c r="A700" s="69">
        <f t="shared" ca="1" si="434"/>
        <v>2452.1517616110918</v>
      </c>
      <c r="B700" s="69">
        <f t="shared" ca="1" si="435"/>
        <v>2137.0085644828287</v>
      </c>
      <c r="C700" s="69">
        <f t="shared" ca="1" si="436"/>
        <v>2233.8828278225392</v>
      </c>
      <c r="D700" s="69">
        <f t="shared" ca="1" si="437"/>
        <v>2901.2007834900705</v>
      </c>
      <c r="E700" s="69">
        <f t="shared" ca="1" si="438"/>
        <v>1931.2144059879331</v>
      </c>
      <c r="F700" s="69">
        <f t="shared" ca="1" si="439"/>
        <v>1217.7649168066228</v>
      </c>
      <c r="G700" s="69">
        <f t="shared" ca="1" si="440"/>
        <v>968.29757749736211</v>
      </c>
      <c r="H700" s="69">
        <f t="shared" ca="1" si="441"/>
        <v>1189.5333179979127</v>
      </c>
      <c r="I700" s="69">
        <f t="shared" ca="1" si="442"/>
        <v>1050.9441956048245</v>
      </c>
      <c r="J700" s="69">
        <f t="shared" ca="1" si="443"/>
        <v>1145.247566287597</v>
      </c>
      <c r="K700" s="69">
        <f t="shared" ca="1" si="444"/>
        <v>1170.6280040438646</v>
      </c>
      <c r="L700" s="69">
        <f t="shared" ca="1" si="445"/>
        <v>957.63830825127786</v>
      </c>
      <c r="M700" s="69">
        <f t="shared" ca="1" si="446"/>
        <v>992.32584042872463</v>
      </c>
      <c r="N700" s="69">
        <f t="shared" ca="1" si="447"/>
        <v>573.48317460852491</v>
      </c>
      <c r="O700" s="69">
        <f t="shared" ca="1" si="448"/>
        <v>629.947549820684</v>
      </c>
      <c r="P700" s="69">
        <f t="shared" ca="1" si="449"/>
        <v>721.81725980302497</v>
      </c>
      <c r="Q700" s="69">
        <f t="shared" ca="1" si="450"/>
        <v>960.71056814518943</v>
      </c>
      <c r="R700" s="69">
        <f t="shared" ca="1" si="451"/>
        <v>780.21437099076491</v>
      </c>
      <c r="S700" s="69">
        <f t="shared" ca="1" si="452"/>
        <v>700.75868916303921</v>
      </c>
      <c r="T700" s="69">
        <f t="shared" ca="1" si="453"/>
        <v>794.36342692620303</v>
      </c>
      <c r="U700" s="69">
        <f t="shared" ca="1" si="454"/>
        <v>1693.6921179516926</v>
      </c>
      <c r="V700" s="69">
        <f t="shared" ca="1" si="455"/>
        <v>1913.8362889313355</v>
      </c>
      <c r="W700" s="69">
        <f t="shared" ca="1" si="456"/>
        <v>1182.3943582275019</v>
      </c>
      <c r="X700" s="69">
        <f t="shared" ca="1" si="457"/>
        <v>1489.4366852776027</v>
      </c>
      <c r="Y700" s="69">
        <f t="shared" ca="1" si="458"/>
        <v>1204.0931308267245</v>
      </c>
      <c r="AA700" s="20">
        <f t="shared" ca="1" si="418"/>
        <v>6.558768098591848E+16</v>
      </c>
      <c r="AB700" s="20">
        <f t="shared" ca="1" si="419"/>
        <v>1688215750244902.3</v>
      </c>
      <c r="AC700" s="20">
        <f t="shared" ca="1" si="420"/>
        <v>401883145121199.63</v>
      </c>
      <c r="AD700" s="20">
        <f t="shared" ca="1" si="421"/>
        <v>301176795666844.75</v>
      </c>
      <c r="AE700" s="20">
        <f t="shared" ca="1" si="422"/>
        <v>6873591616473085</v>
      </c>
      <c r="AG700" s="16">
        <f t="shared" ca="1" si="423"/>
        <v>2.3274587236640136E-4</v>
      </c>
      <c r="AH700" s="16">
        <f t="shared" ca="1" si="424"/>
        <v>-6.8765801482889393E-4</v>
      </c>
      <c r="AI700" s="16">
        <f t="shared" ca="1" si="425"/>
        <v>1.2196115578699629E-4</v>
      </c>
      <c r="AJ700" s="16">
        <f t="shared" ca="1" si="426"/>
        <v>5.5828980074442509E-4</v>
      </c>
      <c r="AK700" s="16">
        <f t="shared" ca="1" si="427"/>
        <v>-6.7790402002661449E-4</v>
      </c>
      <c r="AM700" s="16">
        <f t="shared" ca="1" si="428"/>
        <v>2.2533881406892881E-4</v>
      </c>
      <c r="AO700" s="16">
        <f t="shared" ca="1" si="429"/>
        <v>0</v>
      </c>
      <c r="AP700" s="16">
        <f t="shared" ca="1" si="430"/>
        <v>-6.8765801482889393E-4</v>
      </c>
      <c r="AQ700" s="16">
        <f t="shared" ca="1" si="431"/>
        <v>0</v>
      </c>
      <c r="AR700" s="16">
        <f t="shared" ca="1" si="432"/>
        <v>0</v>
      </c>
      <c r="AS700" s="16">
        <f t="shared" ca="1" si="433"/>
        <v>-6.7790402002661449E-4</v>
      </c>
    </row>
    <row r="701" spans="1:45" x14ac:dyDescent="0.25">
      <c r="A701" s="69">
        <f t="shared" ca="1" si="434"/>
        <v>2451.8567234603697</v>
      </c>
      <c r="B701" s="69">
        <f t="shared" ca="1" si="435"/>
        <v>2136.8961290851526</v>
      </c>
      <c r="C701" s="69">
        <f t="shared" ca="1" si="436"/>
        <v>2234.141127950948</v>
      </c>
      <c r="D701" s="69">
        <f t="shared" ca="1" si="437"/>
        <v>2901.5367199818961</v>
      </c>
      <c r="E701" s="69">
        <f t="shared" ca="1" si="438"/>
        <v>1931.5510051433496</v>
      </c>
      <c r="F701" s="69">
        <f t="shared" ca="1" si="439"/>
        <v>1217.3306992654802</v>
      </c>
      <c r="G701" s="69">
        <f t="shared" ca="1" si="440"/>
        <v>968.29757749736211</v>
      </c>
      <c r="H701" s="69">
        <f t="shared" ca="1" si="441"/>
        <v>1189.5333179979127</v>
      </c>
      <c r="I701" s="69">
        <f t="shared" ca="1" si="442"/>
        <v>1050.6984889172988</v>
      </c>
      <c r="J701" s="69">
        <f t="shared" ca="1" si="443"/>
        <v>1145.1362516898164</v>
      </c>
      <c r="K701" s="69">
        <f t="shared" ca="1" si="444"/>
        <v>1170.6280040438646</v>
      </c>
      <c r="L701" s="69">
        <f t="shared" ca="1" si="445"/>
        <v>957.63830825127786</v>
      </c>
      <c r="M701" s="69">
        <f t="shared" ca="1" si="446"/>
        <v>992.32584042872463</v>
      </c>
      <c r="N701" s="69">
        <f t="shared" ca="1" si="447"/>
        <v>573.17184809004209</v>
      </c>
      <c r="O701" s="69">
        <f t="shared" ca="1" si="448"/>
        <v>630.36659042663393</v>
      </c>
      <c r="P701" s="69">
        <f t="shared" ca="1" si="449"/>
        <v>722.15589512026122</v>
      </c>
      <c r="Q701" s="69">
        <f t="shared" ca="1" si="450"/>
        <v>960.79632219933251</v>
      </c>
      <c r="R701" s="69">
        <f t="shared" ca="1" si="451"/>
        <v>780.21437099076491</v>
      </c>
      <c r="S701" s="69">
        <f t="shared" ca="1" si="452"/>
        <v>700.75868916303921</v>
      </c>
      <c r="T701" s="69">
        <f t="shared" ca="1" si="453"/>
        <v>794.36342692620303</v>
      </c>
      <c r="U701" s="69">
        <f t="shared" ca="1" si="454"/>
        <v>1693.7654918496439</v>
      </c>
      <c r="V701" s="69">
        <f t="shared" ca="1" si="455"/>
        <v>1913.8362889313355</v>
      </c>
      <c r="W701" s="69">
        <f t="shared" ca="1" si="456"/>
        <v>1182.008428340494</v>
      </c>
      <c r="X701" s="69">
        <f t="shared" ca="1" si="457"/>
        <v>1489.4366852776027</v>
      </c>
      <c r="Y701" s="69">
        <f t="shared" ca="1" si="458"/>
        <v>1203.6178790926042</v>
      </c>
      <c r="AA701" s="20">
        <f t="shared" ca="1" si="418"/>
        <v>6.5602948024547224E+16</v>
      </c>
      <c r="AB701" s="20">
        <f t="shared" ca="1" si="419"/>
        <v>1687055234218291</v>
      </c>
      <c r="AC701" s="20">
        <f t="shared" ca="1" si="420"/>
        <v>401932162243101.56</v>
      </c>
      <c r="AD701" s="20">
        <f t="shared" ca="1" si="421"/>
        <v>301344986545343.88</v>
      </c>
      <c r="AE701" s="20">
        <f t="shared" ca="1" si="422"/>
        <v>6868933560120206</v>
      </c>
      <c r="AG701" s="16">
        <f t="shared" ca="1" si="423"/>
        <v>-6.0196245658126326E-5</v>
      </c>
      <c r="AH701" s="16">
        <f t="shared" ca="1" si="424"/>
        <v>-6.7826346976645362E-4</v>
      </c>
      <c r="AI701" s="16">
        <f t="shared" ca="1" si="425"/>
        <v>5.7004958727068259E-4</v>
      </c>
      <c r="AJ701" s="16">
        <f t="shared" ca="1" si="426"/>
        <v>2.1145492581469498E-4</v>
      </c>
      <c r="AK701" s="16">
        <f t="shared" ca="1" si="427"/>
        <v>4.2997595592493049E-6</v>
      </c>
      <c r="AM701" s="16">
        <f t="shared" ca="1" si="428"/>
        <v>4.3044797660797633E-5</v>
      </c>
      <c r="AO701" s="16">
        <f t="shared" ca="1" si="429"/>
        <v>-6.0196245658126326E-5</v>
      </c>
      <c r="AP701" s="16">
        <f t="shared" ca="1" si="430"/>
        <v>-6.7826346976645362E-4</v>
      </c>
      <c r="AQ701" s="16">
        <f t="shared" ca="1" si="431"/>
        <v>0</v>
      </c>
      <c r="AR701" s="16">
        <f t="shared" ca="1" si="432"/>
        <v>0</v>
      </c>
      <c r="AS701" s="16">
        <f t="shared" ca="1" si="433"/>
        <v>0</v>
      </c>
    </row>
    <row r="702" spans="1:45" x14ac:dyDescent="0.25">
      <c r="A702" s="69">
        <f t="shared" ca="1" si="434"/>
        <v>2451.8567234603697</v>
      </c>
      <c r="B702" s="69">
        <f t="shared" ca="1" si="435"/>
        <v>2136.8961290851526</v>
      </c>
      <c r="C702" s="69">
        <f t="shared" ca="1" si="436"/>
        <v>2234.0845561780734</v>
      </c>
      <c r="D702" s="69">
        <f t="shared" ca="1" si="437"/>
        <v>2901.4355322802621</v>
      </c>
      <c r="E702" s="69">
        <f t="shared" ca="1" si="438"/>
        <v>1931.5510051433496</v>
      </c>
      <c r="F702" s="69">
        <f t="shared" ca="1" si="439"/>
        <v>1217.3117758388762</v>
      </c>
      <c r="G702" s="69">
        <f t="shared" ca="1" si="440"/>
        <v>967.96337551469537</v>
      </c>
      <c r="H702" s="69">
        <f t="shared" ca="1" si="441"/>
        <v>1189.3228393626839</v>
      </c>
      <c r="I702" s="69">
        <f t="shared" ca="1" si="442"/>
        <v>1050.5508162409803</v>
      </c>
      <c r="J702" s="69">
        <f t="shared" ca="1" si="443"/>
        <v>1145.1362516898164</v>
      </c>
      <c r="K702" s="69">
        <f t="shared" ca="1" si="444"/>
        <v>1171.0242666563797</v>
      </c>
      <c r="L702" s="69">
        <f t="shared" ca="1" si="445"/>
        <v>957.93204903551805</v>
      </c>
      <c r="M702" s="69">
        <f t="shared" ca="1" si="446"/>
        <v>992.32584042872463</v>
      </c>
      <c r="N702" s="69">
        <f t="shared" ca="1" si="447"/>
        <v>573.12881310944886</v>
      </c>
      <c r="O702" s="69">
        <f t="shared" ca="1" si="448"/>
        <v>630.36659042663393</v>
      </c>
      <c r="P702" s="69">
        <f t="shared" ca="1" si="449"/>
        <v>722.50112069109343</v>
      </c>
      <c r="Q702" s="69">
        <f t="shared" ca="1" si="450"/>
        <v>960.90792075955187</v>
      </c>
      <c r="R702" s="69">
        <f t="shared" ca="1" si="451"/>
        <v>780.4707866880758</v>
      </c>
      <c r="S702" s="69">
        <f t="shared" ca="1" si="452"/>
        <v>700.26047377651389</v>
      </c>
      <c r="T702" s="69">
        <f t="shared" ca="1" si="453"/>
        <v>794.36342692620303</v>
      </c>
      <c r="U702" s="69">
        <f t="shared" ca="1" si="454"/>
        <v>1693.5395054656155</v>
      </c>
      <c r="V702" s="69">
        <f t="shared" ca="1" si="455"/>
        <v>1913.6458223530799</v>
      </c>
      <c r="W702" s="69">
        <f t="shared" ca="1" si="456"/>
        <v>1182.2889012902297</v>
      </c>
      <c r="X702" s="69">
        <f t="shared" ca="1" si="457"/>
        <v>1489.4366852776027</v>
      </c>
      <c r="Y702" s="69">
        <f t="shared" ca="1" si="458"/>
        <v>1203.6178790926042</v>
      </c>
      <c r="AA702" s="20">
        <f t="shared" ca="1" si="418"/>
        <v>6.559899909222868E+16</v>
      </c>
      <c r="AB702" s="20">
        <f t="shared" ca="1" si="419"/>
        <v>1685911354251292.8</v>
      </c>
      <c r="AC702" s="20">
        <f t="shared" ca="1" si="420"/>
        <v>402161348823950.63</v>
      </c>
      <c r="AD702" s="20">
        <f t="shared" ca="1" si="421"/>
        <v>301408714164640.5</v>
      </c>
      <c r="AE702" s="20">
        <f t="shared" ca="1" si="422"/>
        <v>6868963094946439</v>
      </c>
      <c r="AG702" s="16">
        <f t="shared" ca="1" si="423"/>
        <v>-1.5332752500823242E-4</v>
      </c>
      <c r="AH702" s="16">
        <f t="shared" ca="1" si="424"/>
        <v>-7.2162231312553087E-5</v>
      </c>
      <c r="AI702" s="16">
        <f t="shared" ca="1" si="425"/>
        <v>-3.4538080943959494E-4</v>
      </c>
      <c r="AJ702" s="16">
        <f t="shared" ca="1" si="426"/>
        <v>1.0733532455141832E-3</v>
      </c>
      <c r="AK702" s="16">
        <f t="shared" ca="1" si="427"/>
        <v>-1.4098586505125875E-4</v>
      </c>
      <c r="AM702" s="16">
        <f t="shared" ca="1" si="428"/>
        <v>5.0248267975380278E-4</v>
      </c>
      <c r="AO702" s="16">
        <f t="shared" ca="1" si="429"/>
        <v>-1.5332752500823242E-4</v>
      </c>
      <c r="AP702" s="16">
        <f t="shared" ca="1" si="430"/>
        <v>-7.2162231312553087E-5</v>
      </c>
      <c r="AQ702" s="16">
        <f t="shared" ca="1" si="431"/>
        <v>-3.4538080943959494E-4</v>
      </c>
      <c r="AR702" s="16">
        <f t="shared" ca="1" si="432"/>
        <v>0</v>
      </c>
      <c r="AS702" s="16">
        <f t="shared" ca="1" si="433"/>
        <v>-1.4098586505125875E-4</v>
      </c>
    </row>
    <row r="703" spans="1:45" x14ac:dyDescent="0.25">
      <c r="A703" s="69">
        <f t="shared" ca="1" si="434"/>
        <v>2451.8567234603697</v>
      </c>
      <c r="B703" s="69">
        <f t="shared" ca="1" si="435"/>
        <v>2137.0582288594751</v>
      </c>
      <c r="C703" s="69">
        <f t="shared" ca="1" si="436"/>
        <v>2233.974420006929</v>
      </c>
      <c r="D703" s="69">
        <f t="shared" ca="1" si="437"/>
        <v>2901.4355322802621</v>
      </c>
      <c r="E703" s="69">
        <f t="shared" ca="1" si="438"/>
        <v>1931.20358340705</v>
      </c>
      <c r="F703" s="69">
        <f t="shared" ca="1" si="439"/>
        <v>1217.0342168745924</v>
      </c>
      <c r="G703" s="69">
        <f t="shared" ca="1" si="440"/>
        <v>968.11426713836295</v>
      </c>
      <c r="H703" s="69">
        <f t="shared" ca="1" si="441"/>
        <v>1189.3228393626839</v>
      </c>
      <c r="I703" s="69">
        <f t="shared" ca="1" si="442"/>
        <v>1050.5508162409803</v>
      </c>
      <c r="J703" s="69">
        <f t="shared" ca="1" si="443"/>
        <v>1145.1362516898164</v>
      </c>
      <c r="K703" s="69">
        <f t="shared" ca="1" si="444"/>
        <v>1170.6981832408687</v>
      </c>
      <c r="L703" s="69">
        <f t="shared" ca="1" si="445"/>
        <v>957.91358125367856</v>
      </c>
      <c r="M703" s="69">
        <f t="shared" ca="1" si="446"/>
        <v>992.69531809988518</v>
      </c>
      <c r="N703" s="69">
        <f t="shared" ca="1" si="447"/>
        <v>573.12881310944886</v>
      </c>
      <c r="O703" s="69">
        <f t="shared" ca="1" si="448"/>
        <v>630.10197473336837</v>
      </c>
      <c r="P703" s="69">
        <f t="shared" ca="1" si="449"/>
        <v>722.69581903711821</v>
      </c>
      <c r="Q703" s="69">
        <f t="shared" ca="1" si="450"/>
        <v>960.90792075955187</v>
      </c>
      <c r="R703" s="69">
        <f t="shared" ca="1" si="451"/>
        <v>780.75185210642996</v>
      </c>
      <c r="S703" s="69">
        <f t="shared" ca="1" si="452"/>
        <v>700.26047377651389</v>
      </c>
      <c r="T703" s="69">
        <f t="shared" ca="1" si="453"/>
        <v>794.71608593045005</v>
      </c>
      <c r="U703" s="69">
        <f t="shared" ca="1" si="454"/>
        <v>1693.8242213299861</v>
      </c>
      <c r="V703" s="69">
        <f t="shared" ca="1" si="455"/>
        <v>1913.6458223530799</v>
      </c>
      <c r="W703" s="69">
        <f t="shared" ca="1" si="456"/>
        <v>1182.2889012902297</v>
      </c>
      <c r="X703" s="69">
        <f t="shared" ca="1" si="457"/>
        <v>1489.4366852776027</v>
      </c>
      <c r="Y703" s="69">
        <f t="shared" ca="1" si="458"/>
        <v>1203.2459096630562</v>
      </c>
      <c r="AA703" s="20">
        <f t="shared" ca="1" si="418"/>
        <v>6.5588941731109696E+16</v>
      </c>
      <c r="AB703" s="20">
        <f t="shared" ca="1" si="419"/>
        <v>1685789699515666.3</v>
      </c>
      <c r="AC703" s="20">
        <f t="shared" ca="1" si="420"/>
        <v>402022473995499.31</v>
      </c>
      <c r="AD703" s="20">
        <f t="shared" ca="1" si="421"/>
        <v>301732405872911.44</v>
      </c>
      <c r="AE703" s="20">
        <f t="shared" ca="1" si="422"/>
        <v>6867994736506523</v>
      </c>
      <c r="AG703" s="16">
        <f t="shared" ca="1" si="423"/>
        <v>6.6646078614929445E-6</v>
      </c>
      <c r="AH703" s="16">
        <f t="shared" ca="1" si="424"/>
        <v>-9.8037387668408111E-4</v>
      </c>
      <c r="AI703" s="16">
        <f t="shared" ca="1" si="425"/>
        <v>7.8198925506135558E-4</v>
      </c>
      <c r="AJ703" s="16">
        <f t="shared" ca="1" si="426"/>
        <v>-3.5987131185039674E-4</v>
      </c>
      <c r="AK703" s="16">
        <f t="shared" ca="1" si="427"/>
        <v>-4.0500123035696245E-4</v>
      </c>
      <c r="AM703" s="16">
        <f t="shared" ca="1" si="428"/>
        <v>-5.5159132561162928E-4</v>
      </c>
      <c r="AO703" s="16">
        <f t="shared" ca="1" si="429"/>
        <v>0</v>
      </c>
      <c r="AP703" s="16">
        <f t="shared" ca="1" si="430"/>
        <v>-9.8037387668408111E-4</v>
      </c>
      <c r="AQ703" s="16">
        <f t="shared" ca="1" si="431"/>
        <v>0</v>
      </c>
      <c r="AR703" s="16">
        <f t="shared" ca="1" si="432"/>
        <v>-3.5987131185039674E-4</v>
      </c>
      <c r="AS703" s="16">
        <f t="shared" ca="1" si="433"/>
        <v>-4.0500123035696245E-4</v>
      </c>
    </row>
    <row r="704" spans="1:45" x14ac:dyDescent="0.25">
      <c r="A704" s="69">
        <f t="shared" ca="1" si="434"/>
        <v>2451.8567234603697</v>
      </c>
      <c r="B704" s="69">
        <f t="shared" ca="1" si="435"/>
        <v>2136.6526670440421</v>
      </c>
      <c r="C704" s="69">
        <f t="shared" ca="1" si="436"/>
        <v>2233.974420006929</v>
      </c>
      <c r="D704" s="69">
        <f t="shared" ca="1" si="437"/>
        <v>2901.4355322802621</v>
      </c>
      <c r="E704" s="69">
        <f t="shared" ca="1" si="438"/>
        <v>1931.5830217696496</v>
      </c>
      <c r="F704" s="69">
        <f t="shared" ca="1" si="439"/>
        <v>1217.0342168745924</v>
      </c>
      <c r="G704" s="69">
        <f t="shared" ca="1" si="440"/>
        <v>967.94546435092138</v>
      </c>
      <c r="H704" s="69">
        <f t="shared" ca="1" si="441"/>
        <v>1188.8821445325264</v>
      </c>
      <c r="I704" s="69">
        <f t="shared" ca="1" si="442"/>
        <v>1050.0935218367445</v>
      </c>
      <c r="J704" s="69">
        <f t="shared" ca="1" si="443"/>
        <v>1145.1362516898164</v>
      </c>
      <c r="K704" s="69">
        <f t="shared" ca="1" si="444"/>
        <v>1170.6981832408687</v>
      </c>
      <c r="L704" s="69">
        <f t="shared" ca="1" si="445"/>
        <v>958.2610699500799</v>
      </c>
      <c r="M704" s="69">
        <f t="shared" ca="1" si="446"/>
        <v>992.72599525972896</v>
      </c>
      <c r="N704" s="69">
        <f t="shared" ca="1" si="447"/>
        <v>573.12881310944886</v>
      </c>
      <c r="O704" s="69">
        <f t="shared" ca="1" si="448"/>
        <v>630.34675187420282</v>
      </c>
      <c r="P704" s="69">
        <f t="shared" ca="1" si="449"/>
        <v>723.1011669033619</v>
      </c>
      <c r="Q704" s="69">
        <f t="shared" ca="1" si="450"/>
        <v>960.56483006953408</v>
      </c>
      <c r="R704" s="69">
        <f t="shared" ca="1" si="451"/>
        <v>780.31203411113631</v>
      </c>
      <c r="S704" s="69">
        <f t="shared" ca="1" si="452"/>
        <v>700.26047377651389</v>
      </c>
      <c r="T704" s="69">
        <f t="shared" ca="1" si="453"/>
        <v>794.71608593045005</v>
      </c>
      <c r="U704" s="69">
        <f t="shared" ca="1" si="454"/>
        <v>1694.0051040091664</v>
      </c>
      <c r="V704" s="69">
        <f t="shared" ca="1" si="455"/>
        <v>1913.6458223530799</v>
      </c>
      <c r="W704" s="69">
        <f t="shared" ca="1" si="456"/>
        <v>1182.2889012902297</v>
      </c>
      <c r="X704" s="69">
        <f t="shared" ca="1" si="457"/>
        <v>1489.1175521443006</v>
      </c>
      <c r="Y704" s="69">
        <f t="shared" ca="1" si="458"/>
        <v>1202.8879999216076</v>
      </c>
      <c r="AA704" s="20">
        <f t="shared" ca="1" si="418"/>
        <v>6.5589378857143016E+16</v>
      </c>
      <c r="AB704" s="20">
        <f t="shared" ca="1" si="419"/>
        <v>1684137805202001.5</v>
      </c>
      <c r="AC704" s="20">
        <f t="shared" ca="1" si="420"/>
        <v>402336974202321.63</v>
      </c>
      <c r="AD704" s="20">
        <f t="shared" ca="1" si="421"/>
        <v>301623840572122.44</v>
      </c>
      <c r="AE704" s="20">
        <f t="shared" ca="1" si="422"/>
        <v>6865213753376960</v>
      </c>
      <c r="AG704" s="16">
        <f t="shared" ca="1" si="423"/>
        <v>8.0498522763875456E-5</v>
      </c>
      <c r="AH704" s="16">
        <f t="shared" ca="1" si="424"/>
        <v>3.428165262235429E-4</v>
      </c>
      <c r="AI704" s="16">
        <f t="shared" ca="1" si="425"/>
        <v>-3.185782282564106E-4</v>
      </c>
      <c r="AJ704" s="16">
        <f t="shared" ca="1" si="426"/>
        <v>-3.1612747596199207E-4</v>
      </c>
      <c r="AK704" s="16">
        <f t="shared" ca="1" si="427"/>
        <v>3.7431762151209414E-5</v>
      </c>
      <c r="AM704" s="16">
        <f t="shared" ca="1" si="428"/>
        <v>-2.1139065523098432E-4</v>
      </c>
      <c r="AO704" s="16">
        <f t="shared" ca="1" si="429"/>
        <v>0</v>
      </c>
      <c r="AP704" s="16">
        <f t="shared" ca="1" si="430"/>
        <v>0</v>
      </c>
      <c r="AQ704" s="16">
        <f t="shared" ca="1" si="431"/>
        <v>-3.185782282564106E-4</v>
      </c>
      <c r="AR704" s="16">
        <f t="shared" ca="1" si="432"/>
        <v>-3.1612747596199207E-4</v>
      </c>
      <c r="AS704" s="16">
        <f t="shared" ca="1" si="433"/>
        <v>0</v>
      </c>
    </row>
    <row r="705" spans="1:45" x14ac:dyDescent="0.25">
      <c r="A705" s="69">
        <f t="shared" ca="1" si="434"/>
        <v>2452.1929963056346</v>
      </c>
      <c r="B705" s="69">
        <f t="shared" ca="1" si="435"/>
        <v>2136.3793343318334</v>
      </c>
      <c r="C705" s="69">
        <f t="shared" ca="1" si="436"/>
        <v>2233.974420006929</v>
      </c>
      <c r="D705" s="69">
        <f t="shared" ca="1" si="437"/>
        <v>2901.5527796321562</v>
      </c>
      <c r="E705" s="69">
        <f t="shared" ca="1" si="438"/>
        <v>1931.6426742037304</v>
      </c>
      <c r="F705" s="69">
        <f t="shared" ca="1" si="439"/>
        <v>1217.4918268148119</v>
      </c>
      <c r="G705" s="69">
        <f t="shared" ca="1" si="440"/>
        <v>967.94546435092138</v>
      </c>
      <c r="H705" s="69">
        <f t="shared" ca="1" si="441"/>
        <v>1188.8821445325264</v>
      </c>
      <c r="I705" s="69">
        <f t="shared" ca="1" si="442"/>
        <v>1050.3358146500393</v>
      </c>
      <c r="J705" s="69">
        <f t="shared" ca="1" si="443"/>
        <v>1144.8341761213503</v>
      </c>
      <c r="K705" s="69">
        <f t="shared" ca="1" si="444"/>
        <v>1170.3252836898218</v>
      </c>
      <c r="L705" s="69">
        <f t="shared" ca="1" si="445"/>
        <v>958.2610699500799</v>
      </c>
      <c r="M705" s="69">
        <f t="shared" ca="1" si="446"/>
        <v>992.72599525972896</v>
      </c>
      <c r="N705" s="69">
        <f t="shared" ca="1" si="447"/>
        <v>573.12881310944886</v>
      </c>
      <c r="O705" s="69">
        <f t="shared" ca="1" si="448"/>
        <v>630.34675187420282</v>
      </c>
      <c r="P705" s="69">
        <f t="shared" ca="1" si="449"/>
        <v>723.1011669033619</v>
      </c>
      <c r="Q705" s="69">
        <f t="shared" ca="1" si="450"/>
        <v>960.56483006953408</v>
      </c>
      <c r="R705" s="69">
        <f t="shared" ca="1" si="451"/>
        <v>780.31203411113631</v>
      </c>
      <c r="S705" s="69">
        <f t="shared" ca="1" si="452"/>
        <v>700.03913718755496</v>
      </c>
      <c r="T705" s="69">
        <f t="shared" ca="1" si="453"/>
        <v>794.71608593045005</v>
      </c>
      <c r="U705" s="69">
        <f t="shared" ca="1" si="454"/>
        <v>1693.8497162741971</v>
      </c>
      <c r="V705" s="69">
        <f t="shared" ca="1" si="455"/>
        <v>1913.3458262688289</v>
      </c>
      <c r="W705" s="69">
        <f t="shared" ca="1" si="456"/>
        <v>1182.4298247081942</v>
      </c>
      <c r="X705" s="69">
        <f t="shared" ca="1" si="457"/>
        <v>1489.1175521443006</v>
      </c>
      <c r="Y705" s="69">
        <f t="shared" ca="1" si="458"/>
        <v>1203.0886039238603</v>
      </c>
      <c r="AA705" s="20">
        <f t="shared" ca="1" si="418"/>
        <v>6.5594658917765712E+16</v>
      </c>
      <c r="AB705" s="20">
        <f t="shared" ca="1" si="419"/>
        <v>1684715254447979.8</v>
      </c>
      <c r="AC705" s="20">
        <f t="shared" ca="1" si="420"/>
        <v>402208818816759.94</v>
      </c>
      <c r="AD705" s="20">
        <f t="shared" ca="1" si="421"/>
        <v>301528504058752.06</v>
      </c>
      <c r="AE705" s="20">
        <f t="shared" ca="1" si="422"/>
        <v>6865470735234906</v>
      </c>
      <c r="AG705" s="16">
        <f t="shared" ca="1" si="423"/>
        <v>1.2646916894550604E-6</v>
      </c>
      <c r="AH705" s="16">
        <f t="shared" ca="1" si="424"/>
        <v>7.2252647154620359E-4</v>
      </c>
      <c r="AI705" s="16">
        <f t="shared" ca="1" si="425"/>
        <v>-3.4350871109421169E-4</v>
      </c>
      <c r="AJ705" s="16">
        <f t="shared" ca="1" si="426"/>
        <v>6.230009217526014E-4</v>
      </c>
      <c r="AK705" s="16">
        <f t="shared" ca="1" si="427"/>
        <v>-2.047391180772385E-4</v>
      </c>
      <c r="AM705" s="16">
        <f t="shared" ca="1" si="428"/>
        <v>1.0032833738940483E-3</v>
      </c>
      <c r="AO705" s="16">
        <f t="shared" ca="1" si="429"/>
        <v>0</v>
      </c>
      <c r="AP705" s="16">
        <f t="shared" ca="1" si="430"/>
        <v>0</v>
      </c>
      <c r="AQ705" s="16">
        <f t="shared" ca="1" si="431"/>
        <v>-3.4350871109421169E-4</v>
      </c>
      <c r="AR705" s="16">
        <f t="shared" ca="1" si="432"/>
        <v>0</v>
      </c>
      <c r="AS705" s="16">
        <f t="shared" ca="1" si="433"/>
        <v>-2.047391180772385E-4</v>
      </c>
    </row>
    <row r="706" spans="1:45" x14ac:dyDescent="0.25">
      <c r="A706" s="69">
        <f t="shared" ca="1" si="434"/>
        <v>2452.1929963056346</v>
      </c>
      <c r="B706" s="69">
        <f t="shared" ca="1" si="435"/>
        <v>2136.3793343318334</v>
      </c>
      <c r="C706" s="69">
        <f t="shared" ca="1" si="436"/>
        <v>2233.977245297599</v>
      </c>
      <c r="D706" s="69">
        <f t="shared" ca="1" si="437"/>
        <v>2901.5527796321562</v>
      </c>
      <c r="E706" s="69">
        <f t="shared" ca="1" si="438"/>
        <v>1931.6426742037304</v>
      </c>
      <c r="F706" s="69">
        <f t="shared" ca="1" si="439"/>
        <v>1217.4918268148119</v>
      </c>
      <c r="G706" s="69">
        <f t="shared" ca="1" si="440"/>
        <v>968.21804230229702</v>
      </c>
      <c r="H706" s="69">
        <f t="shared" ca="1" si="441"/>
        <v>1188.8821445325264</v>
      </c>
      <c r="I706" s="69">
        <f t="shared" ca="1" si="442"/>
        <v>1050.4345030923716</v>
      </c>
      <c r="J706" s="69">
        <f t="shared" ca="1" si="443"/>
        <v>1145.2315104470185</v>
      </c>
      <c r="K706" s="69">
        <f t="shared" ca="1" si="444"/>
        <v>1170.796966264262</v>
      </c>
      <c r="L706" s="69">
        <f t="shared" ca="1" si="445"/>
        <v>958.0505948257528</v>
      </c>
      <c r="M706" s="69">
        <f t="shared" ca="1" si="446"/>
        <v>992.60933107552785</v>
      </c>
      <c r="N706" s="69">
        <f t="shared" ca="1" si="447"/>
        <v>572.78291826593829</v>
      </c>
      <c r="O706" s="69">
        <f t="shared" ca="1" si="448"/>
        <v>630.469323562368</v>
      </c>
      <c r="P706" s="69">
        <f t="shared" ca="1" si="449"/>
        <v>723.1011669033619</v>
      </c>
      <c r="Q706" s="69">
        <f t="shared" ca="1" si="450"/>
        <v>960.9056582866765</v>
      </c>
      <c r="R706" s="69">
        <f t="shared" ca="1" si="451"/>
        <v>780.75622852969991</v>
      </c>
      <c r="S706" s="69">
        <f t="shared" ca="1" si="452"/>
        <v>700.21028489980949</v>
      </c>
      <c r="T706" s="69">
        <f t="shared" ca="1" si="453"/>
        <v>794.282845152096</v>
      </c>
      <c r="U706" s="69">
        <f t="shared" ca="1" si="454"/>
        <v>1694.03552891667</v>
      </c>
      <c r="V706" s="69">
        <f t="shared" ca="1" si="455"/>
        <v>1913.3458262688289</v>
      </c>
      <c r="W706" s="69">
        <f t="shared" ca="1" si="456"/>
        <v>1182.709085970268</v>
      </c>
      <c r="X706" s="69">
        <f t="shared" ca="1" si="457"/>
        <v>1488.6956116598985</v>
      </c>
      <c r="Y706" s="69">
        <f t="shared" ca="1" si="458"/>
        <v>1202.7671937382136</v>
      </c>
      <c r="AA706" s="20">
        <f t="shared" ca="1" si="418"/>
        <v>6.5594741874838176E+16</v>
      </c>
      <c r="AB706" s="20">
        <f t="shared" ca="1" si="419"/>
        <v>1685932945670433.3</v>
      </c>
      <c r="AC706" s="20">
        <f t="shared" ca="1" si="420"/>
        <v>402070680311065.81</v>
      </c>
      <c r="AD706" s="20">
        <f t="shared" ca="1" si="421"/>
        <v>301716415123020.63</v>
      </c>
      <c r="AE706" s="20">
        <f t="shared" ca="1" si="422"/>
        <v>6864065248695336</v>
      </c>
      <c r="AG706" s="16">
        <f t="shared" ca="1" si="423"/>
        <v>3.4274427873463311E-4</v>
      </c>
      <c r="AH706" s="16">
        <f t="shared" ca="1" si="424"/>
        <v>6.4879694224108809E-4</v>
      </c>
      <c r="AI706" s="16">
        <f t="shared" ca="1" si="425"/>
        <v>7.3189799530037393E-4</v>
      </c>
      <c r="AJ706" s="16">
        <f t="shared" ca="1" si="426"/>
        <v>8.5752706740833105E-4</v>
      </c>
      <c r="AK706" s="16">
        <f t="shared" ca="1" si="427"/>
        <v>4.2504733692797728E-4</v>
      </c>
      <c r="AM706" s="16">
        <f t="shared" ca="1" si="428"/>
        <v>2.5809662836844259E-3</v>
      </c>
      <c r="AO706" s="16">
        <f t="shared" ca="1" si="429"/>
        <v>0</v>
      </c>
      <c r="AP706" s="16">
        <f t="shared" ca="1" si="430"/>
        <v>0</v>
      </c>
      <c r="AQ706" s="16">
        <f t="shared" ca="1" si="431"/>
        <v>0</v>
      </c>
      <c r="AR706" s="16">
        <f t="shared" ca="1" si="432"/>
        <v>0</v>
      </c>
      <c r="AS706" s="16">
        <f t="shared" ca="1" si="433"/>
        <v>0</v>
      </c>
    </row>
    <row r="707" spans="1:45" x14ac:dyDescent="0.25">
      <c r="A707" s="69">
        <f t="shared" ca="1" si="434"/>
        <v>2452.3694553913365</v>
      </c>
      <c r="B707" s="69">
        <f t="shared" ca="1" si="435"/>
        <v>2136.3793343318334</v>
      </c>
      <c r="C707" s="69">
        <f t="shared" ca="1" si="436"/>
        <v>2233.977245297599</v>
      </c>
      <c r="D707" s="69">
        <f t="shared" ca="1" si="437"/>
        <v>2901.9442349724677</v>
      </c>
      <c r="E707" s="69">
        <f t="shared" ca="1" si="438"/>
        <v>1931.9051711772017</v>
      </c>
      <c r="F707" s="69">
        <f t="shared" ca="1" si="439"/>
        <v>1217.4918268148119</v>
      </c>
      <c r="G707" s="69">
        <f t="shared" ca="1" si="440"/>
        <v>968.21804230229702</v>
      </c>
      <c r="H707" s="69">
        <f t="shared" ca="1" si="441"/>
        <v>1189.0844320921303</v>
      </c>
      <c r="I707" s="69">
        <f t="shared" ca="1" si="442"/>
        <v>1050.6230129959943</v>
      </c>
      <c r="J707" s="69">
        <f t="shared" ca="1" si="443"/>
        <v>1145.5742369276816</v>
      </c>
      <c r="K707" s="69">
        <f t="shared" ca="1" si="444"/>
        <v>1171.1805908336523</v>
      </c>
      <c r="L707" s="69">
        <f t="shared" ca="1" si="445"/>
        <v>958.36694281079122</v>
      </c>
      <c r="M707" s="69">
        <f t="shared" ca="1" si="446"/>
        <v>992.60933107552785</v>
      </c>
      <c r="N707" s="69">
        <f t="shared" ca="1" si="447"/>
        <v>572.78291826593829</v>
      </c>
      <c r="O707" s="69">
        <f t="shared" ca="1" si="448"/>
        <v>630.51607172626325</v>
      </c>
      <c r="P707" s="69">
        <f t="shared" ca="1" si="449"/>
        <v>723.1011669033619</v>
      </c>
      <c r="Q707" s="69">
        <f t="shared" ca="1" si="450"/>
        <v>960.9056582866765</v>
      </c>
      <c r="R707" s="69">
        <f t="shared" ca="1" si="451"/>
        <v>781.21451104661924</v>
      </c>
      <c r="S707" s="69">
        <f t="shared" ca="1" si="452"/>
        <v>700.20545398812135</v>
      </c>
      <c r="T707" s="69">
        <f t="shared" ca="1" si="453"/>
        <v>794.50338926878521</v>
      </c>
      <c r="U707" s="69">
        <f t="shared" ca="1" si="454"/>
        <v>1694.1877153339342</v>
      </c>
      <c r="V707" s="69">
        <f t="shared" ca="1" si="455"/>
        <v>1913.513296899597</v>
      </c>
      <c r="W707" s="69">
        <f t="shared" ca="1" si="456"/>
        <v>1182.709085970268</v>
      </c>
      <c r="X707" s="69">
        <f t="shared" ca="1" si="457"/>
        <v>1488.6956116598985</v>
      </c>
      <c r="Y707" s="69">
        <f t="shared" ca="1" si="458"/>
        <v>1203.0651451912336</v>
      </c>
      <c r="AA707" s="20">
        <f t="shared" ref="AA707:AA770" ca="1" si="459">A707*B707*C707*D707*E707</f>
        <v>6.561722795059764E+16</v>
      </c>
      <c r="AB707" s="20">
        <f t="shared" ref="AB707:AB770" ca="1" si="460">F707*G707*H707*I707*J707</f>
        <v>1687027128723335.5</v>
      </c>
      <c r="AC707" s="20">
        <f t="shared" ref="AC707:AC770" ca="1" si="461">K707*L707*M707*N707*O707</f>
        <v>402365062751772.5</v>
      </c>
      <c r="AD707" s="20">
        <f t="shared" ref="AD707:AD770" ca="1" si="462">P707*Q707*R707*S707*T707</f>
        <v>301975256081372.38</v>
      </c>
      <c r="AE707" s="20">
        <f t="shared" ref="AE707:AE770" ca="1" si="463">U707*V707*W707*X707*Y707</f>
        <v>6866983421486646</v>
      </c>
      <c r="AG707" s="16">
        <f t="shared" ca="1" si="423"/>
        <v>-1.0557184154788939E-4</v>
      </c>
      <c r="AH707" s="16">
        <f t="shared" ca="1" si="424"/>
        <v>-1.2455198192634157E-5</v>
      </c>
      <c r="AI707" s="16">
        <f t="shared" ca="1" si="425"/>
        <v>1.3224782022239244E-3</v>
      </c>
      <c r="AJ707" s="16">
        <f t="shared" ca="1" si="426"/>
        <v>-6.2495644206012882E-4</v>
      </c>
      <c r="AK707" s="16">
        <f t="shared" ca="1" si="427"/>
        <v>-6.7041159720581268E-5</v>
      </c>
      <c r="AM707" s="16">
        <f t="shared" ca="1" si="428"/>
        <v>5.794947204232721E-4</v>
      </c>
      <c r="AO707" s="16">
        <f t="shared" ca="1" si="429"/>
        <v>-1.0557184154788939E-4</v>
      </c>
      <c r="AP707" s="16">
        <f t="shared" ca="1" si="430"/>
        <v>-1.2455198192634157E-5</v>
      </c>
      <c r="AQ707" s="16">
        <f t="shared" ca="1" si="431"/>
        <v>0</v>
      </c>
      <c r="AR707" s="16">
        <f t="shared" ca="1" si="432"/>
        <v>-6.2495644206012882E-4</v>
      </c>
      <c r="AS707" s="16">
        <f t="shared" ca="1" si="433"/>
        <v>-6.7041159720581268E-5</v>
      </c>
    </row>
    <row r="708" spans="1:45" x14ac:dyDescent="0.25">
      <c r="A708" s="69">
        <f t="shared" ca="1" si="434"/>
        <v>2452.3694553913365</v>
      </c>
      <c r="B708" s="69">
        <f t="shared" ca="1" si="435"/>
        <v>2136.7610309797533</v>
      </c>
      <c r="C708" s="69">
        <f t="shared" ca="1" si="436"/>
        <v>2233.6719920355854</v>
      </c>
      <c r="D708" s="69">
        <f t="shared" ca="1" si="437"/>
        <v>2901.5160249722903</v>
      </c>
      <c r="E708" s="69">
        <f t="shared" ca="1" si="438"/>
        <v>1931.9051711772017</v>
      </c>
      <c r="F708" s="69">
        <f t="shared" ca="1" si="439"/>
        <v>1217.9867256156408</v>
      </c>
      <c r="G708" s="69">
        <f t="shared" ca="1" si="440"/>
        <v>968.34135141815023</v>
      </c>
      <c r="H708" s="69">
        <f t="shared" ca="1" si="441"/>
        <v>1189.2932688161688</v>
      </c>
      <c r="I708" s="69">
        <f t="shared" ca="1" si="442"/>
        <v>1050.2368318756062</v>
      </c>
      <c r="J708" s="69">
        <f t="shared" ca="1" si="443"/>
        <v>1145.1685653479121</v>
      </c>
      <c r="K708" s="69">
        <f t="shared" ca="1" si="444"/>
        <v>1170.7771960734697</v>
      </c>
      <c r="L708" s="69">
        <f t="shared" ca="1" si="445"/>
        <v>958.75593256395234</v>
      </c>
      <c r="M708" s="69">
        <f t="shared" ca="1" si="446"/>
        <v>992.9564209905318</v>
      </c>
      <c r="N708" s="69">
        <f t="shared" ca="1" si="447"/>
        <v>572.91204523909619</v>
      </c>
      <c r="O708" s="69">
        <f t="shared" ca="1" si="448"/>
        <v>630.94884276633979</v>
      </c>
      <c r="P708" s="69">
        <f t="shared" ca="1" si="449"/>
        <v>723.07869870269849</v>
      </c>
      <c r="Q708" s="69">
        <f t="shared" ca="1" si="450"/>
        <v>960.80685129305846</v>
      </c>
      <c r="R708" s="69">
        <f t="shared" ca="1" si="451"/>
        <v>781.31032816057302</v>
      </c>
      <c r="S708" s="69">
        <f t="shared" ca="1" si="452"/>
        <v>699.77587275435314</v>
      </c>
      <c r="T708" s="69">
        <f t="shared" ca="1" si="453"/>
        <v>794.50338926878521</v>
      </c>
      <c r="U708" s="69">
        <f t="shared" ca="1" si="454"/>
        <v>1694.439881841424</v>
      </c>
      <c r="V708" s="69">
        <f t="shared" ca="1" si="455"/>
        <v>1913.6086323189297</v>
      </c>
      <c r="W708" s="69">
        <f t="shared" ca="1" si="456"/>
        <v>1182.4751109321883</v>
      </c>
      <c r="X708" s="69">
        <f t="shared" ca="1" si="457"/>
        <v>1488.7679273875085</v>
      </c>
      <c r="Y708" s="69">
        <f t="shared" ca="1" si="458"/>
        <v>1202.9250934206243</v>
      </c>
      <c r="AA708" s="20">
        <f t="shared" ca="1" si="459"/>
        <v>6.5610300984658336E+16</v>
      </c>
      <c r="AB708" s="20">
        <f t="shared" ca="1" si="460"/>
        <v>1687006116596946.3</v>
      </c>
      <c r="AC708" s="20">
        <f t="shared" ca="1" si="461"/>
        <v>402897533789663.25</v>
      </c>
      <c r="AD708" s="20">
        <f t="shared" ca="1" si="462"/>
        <v>301786593658780.25</v>
      </c>
      <c r="AE708" s="20">
        <f t="shared" ca="1" si="463"/>
        <v>6866523066385830</v>
      </c>
      <c r="AG708" s="16">
        <f t="shared" ref="AG708:AG771" ca="1" si="464">LN(AA709/AA708)</f>
        <v>-2.1196927599262807E-5</v>
      </c>
      <c r="AH708" s="16">
        <f t="shared" ref="AH708:AH771" ca="1" si="465">LN(AB709/AB708)</f>
        <v>9.4259598318252797E-4</v>
      </c>
      <c r="AI708" s="16">
        <f t="shared" ref="AI708:AI771" ca="1" si="466">LN(AC709/AC708)</f>
        <v>-4.6447885093177343E-5</v>
      </c>
      <c r="AJ708" s="16">
        <f t="shared" ref="AJ708:AJ771" ca="1" si="467">LN(AD709/AD708)</f>
        <v>7.1904377936724635E-4</v>
      </c>
      <c r="AK708" s="16">
        <f t="shared" ref="AK708:AK771" ca="1" si="468">LN(AE709/AE708)</f>
        <v>-9.4269643832113154E-5</v>
      </c>
      <c r="AM708" s="16">
        <f t="shared" ref="AM708:AM771" ca="1" si="469">AG708+AH708+AI708+AJ708</f>
        <v>1.5939949498573341E-3</v>
      </c>
      <c r="AO708" s="16">
        <f t="shared" ref="AO708:AO771" ca="1" si="470">MIN(AG708,0)</f>
        <v>-2.1196927599262807E-5</v>
      </c>
      <c r="AP708" s="16">
        <f t="shared" ref="AP708:AP771" ca="1" si="471">MIN(AH708,0)</f>
        <v>0</v>
      </c>
      <c r="AQ708" s="16">
        <f t="shared" ref="AQ708:AQ771" ca="1" si="472">MIN(AI708,0)</f>
        <v>-4.6447885093177343E-5</v>
      </c>
      <c r="AR708" s="16">
        <f t="shared" ref="AR708:AR771" ca="1" si="473">MIN(AJ708,0)</f>
        <v>0</v>
      </c>
      <c r="AS708" s="16">
        <f t="shared" ref="AS708:AS771" ca="1" si="474">MIN(AK708,0)</f>
        <v>-9.4269643832113154E-5</v>
      </c>
    </row>
    <row r="709" spans="1:45" x14ac:dyDescent="0.25">
      <c r="A709" s="69">
        <f t="shared" ref="A709:A772" ca="1" si="475">A708+ $A$1 * RAND()  * RANDBETWEEN(-1,1)</f>
        <v>2452.3694553913365</v>
      </c>
      <c r="B709" s="69">
        <f t="shared" ref="B709:B772" ca="1" si="476">B708+ $A$1 * RAND()  * RANDBETWEEN(-1,1)</f>
        <v>2136.5226101424832</v>
      </c>
      <c r="C709" s="69">
        <f t="shared" ref="C709:C772" ca="1" si="477">C708+ $A$1 * RAND()  * RANDBETWEEN(-1,1)</f>
        <v>2233.6719920355854</v>
      </c>
      <c r="D709" s="69">
        <f t="shared" ref="D709:D772" ca="1" si="478">D708+ $A$1 * RAND()  * RANDBETWEEN(-1,1)</f>
        <v>2901.7783042364968</v>
      </c>
      <c r="E709" s="69">
        <f t="shared" ref="E709:E772" ca="1" si="479">E708+ $A$1 * RAND()  * RANDBETWEEN(-1,1)</f>
        <v>1931.9051711772017</v>
      </c>
      <c r="F709" s="69">
        <f t="shared" ref="F709:F772" ca="1" si="480">F708+ $A$1 * RAND()  * RANDBETWEEN(-1,1)</f>
        <v>1217.9867256156408</v>
      </c>
      <c r="G709" s="69">
        <f t="shared" ref="G709:G772" ca="1" si="481">G708+ $A$1 * RAND()  * RANDBETWEEN(-1,1)</f>
        <v>968.38045212887971</v>
      </c>
      <c r="H709" s="69">
        <f t="shared" ref="H709:H772" ca="1" si="482">H708+ $A$1 * RAND()  * RANDBETWEEN(-1,1)</f>
        <v>1189.5218555683991</v>
      </c>
      <c r="I709" s="69">
        <f t="shared" ref="I709:I772" ca="1" si="483">I708+ $A$1 * RAND()  * RANDBETWEEN(-1,1)</f>
        <v>1050.6651393685356</v>
      </c>
      <c r="J709" s="69">
        <f t="shared" ref="J709:J772" ca="1" si="484">J708+ $A$1 * RAND()  * RANDBETWEEN(-1,1)</f>
        <v>1145.5147970701523</v>
      </c>
      <c r="K709" s="69">
        <f t="shared" ref="K709:K772" ca="1" si="485">K708+ $A$1 * RAND()  * RANDBETWEEN(-1,1)</f>
        <v>1170.7771960734697</v>
      </c>
      <c r="L709" s="69">
        <f t="shared" ref="L709:L772" ca="1" si="486">L708+ $A$1 * RAND()  * RANDBETWEEN(-1,1)</f>
        <v>958.75593256395234</v>
      </c>
      <c r="M709" s="69">
        <f t="shared" ref="M709:M772" ca="1" si="487">M708+ $A$1 * RAND()  * RANDBETWEEN(-1,1)</f>
        <v>992.9564209905318</v>
      </c>
      <c r="N709" s="69">
        <f t="shared" ref="N709:N772" ca="1" si="488">N708+ $A$1 * RAND()  * RANDBETWEEN(-1,1)</f>
        <v>573.09520547831005</v>
      </c>
      <c r="O709" s="69">
        <f t="shared" ref="O709:O772" ca="1" si="489">O708+ $A$1 * RAND()  * RANDBETWEEN(-1,1)</f>
        <v>630.7178964116863</v>
      </c>
      <c r="P709" s="69">
        <f t="shared" ref="P709:P772" ca="1" si="490">P708+ $A$1 * RAND()  * RANDBETWEEN(-1,1)</f>
        <v>723.07869870269849</v>
      </c>
      <c r="Q709" s="69">
        <f t="shared" ref="Q709:Q772" ca="1" si="491">Q708+ $A$1 * RAND()  * RANDBETWEEN(-1,1)</f>
        <v>960.98486758453964</v>
      </c>
      <c r="R709" s="69">
        <f t="shared" ref="R709:R772" ca="1" si="492">R708+ $A$1 * RAND()  * RANDBETWEEN(-1,1)</f>
        <v>781.30083894165307</v>
      </c>
      <c r="S709" s="69">
        <f t="shared" ref="S709:S772" ca="1" si="493">S708+ $A$1 * RAND()  * RANDBETWEEN(-1,1)</f>
        <v>700.15800454836688</v>
      </c>
      <c r="T709" s="69">
        <f t="shared" ref="T709:T772" ca="1" si="494">T708+ $A$1 * RAND()  * RANDBETWEEN(-1,1)</f>
        <v>794.50338926878521</v>
      </c>
      <c r="U709" s="69">
        <f t="shared" ref="U709:U772" ca="1" si="495">U708+ $A$1 * RAND()  * RANDBETWEEN(-1,1)</f>
        <v>1694.9306139653438</v>
      </c>
      <c r="V709" s="69">
        <f t="shared" ref="V709:V772" ca="1" si="496">V708+ $A$1 * RAND()  * RANDBETWEEN(-1,1)</f>
        <v>1913.6086323189297</v>
      </c>
      <c r="W709" s="69">
        <f t="shared" ref="W709:W772" ca="1" si="497">W708+ $A$1 * RAND()  * RANDBETWEEN(-1,1)</f>
        <v>1182.0213157255982</v>
      </c>
      <c r="X709" s="69">
        <f t="shared" ref="X709:X772" ca="1" si="498">X708+ $A$1 * RAND()  * RANDBETWEEN(-1,1)</f>
        <v>1488.7679273875085</v>
      </c>
      <c r="Y709" s="69">
        <f t="shared" ref="Y709:Y772" ca="1" si="499">Y708+ $A$1 * RAND()  * RANDBETWEEN(-1,1)</f>
        <v>1202.9250934206243</v>
      </c>
      <c r="AA709" s="20">
        <f t="shared" ca="1" si="459"/>
        <v>6.5608910262598168E+16</v>
      </c>
      <c r="AB709" s="20">
        <f t="shared" ca="1" si="460"/>
        <v>1688597031463244</v>
      </c>
      <c r="AC709" s="20">
        <f t="shared" ca="1" si="461"/>
        <v>402878820485909.5</v>
      </c>
      <c r="AD709" s="20">
        <f t="shared" ca="1" si="462"/>
        <v>302003669465798.56</v>
      </c>
      <c r="AE709" s="20">
        <f t="shared" ca="1" si="463"/>
        <v>6865875792211629</v>
      </c>
      <c r="AG709" s="16">
        <f t="shared" ca="1" si="464"/>
        <v>2.8179736469565673E-4</v>
      </c>
      <c r="AH709" s="16">
        <f t="shared" ca="1" si="465"/>
        <v>9.776739990408031E-5</v>
      </c>
      <c r="AI709" s="16">
        <f t="shared" ca="1" si="466"/>
        <v>-8.4419461179260945E-4</v>
      </c>
      <c r="AJ709" s="16">
        <f t="shared" ca="1" si="467"/>
        <v>-7.1343555880784679E-5</v>
      </c>
      <c r="AK709" s="16">
        <f t="shared" ca="1" si="468"/>
        <v>4.2426537222330101E-5</v>
      </c>
      <c r="AM709" s="16">
        <f t="shared" ca="1" si="469"/>
        <v>-5.3597340307365705E-4</v>
      </c>
      <c r="AO709" s="16">
        <f t="shared" ca="1" si="470"/>
        <v>0</v>
      </c>
      <c r="AP709" s="16">
        <f t="shared" ca="1" si="471"/>
        <v>0</v>
      </c>
      <c r="AQ709" s="16">
        <f t="shared" ca="1" si="472"/>
        <v>-8.4419461179260945E-4</v>
      </c>
      <c r="AR709" s="16">
        <f t="shared" ca="1" si="473"/>
        <v>-7.1343555880784679E-5</v>
      </c>
      <c r="AS709" s="16">
        <f t="shared" ca="1" si="474"/>
        <v>0</v>
      </c>
    </row>
    <row r="710" spans="1:45" x14ac:dyDescent="0.25">
      <c r="A710" s="69">
        <f t="shared" ca="1" si="475"/>
        <v>2452.2603587357876</v>
      </c>
      <c r="B710" s="69">
        <f t="shared" ca="1" si="476"/>
        <v>2136.9999076874142</v>
      </c>
      <c r="C710" s="69">
        <f t="shared" ca="1" si="477"/>
        <v>2234.0812147779097</v>
      </c>
      <c r="D710" s="69">
        <f t="shared" ca="1" si="478"/>
        <v>2901.545361079036</v>
      </c>
      <c r="E710" s="69">
        <f t="shared" ca="1" si="479"/>
        <v>1931.9051711772017</v>
      </c>
      <c r="F710" s="69">
        <f t="shared" ca="1" si="480"/>
        <v>1218.3065000701929</v>
      </c>
      <c r="G710" s="69">
        <f t="shared" ca="1" si="481"/>
        <v>968.73902221345202</v>
      </c>
      <c r="H710" s="69">
        <f t="shared" ca="1" si="482"/>
        <v>1189.0444509765257</v>
      </c>
      <c r="I710" s="69">
        <f t="shared" ca="1" si="483"/>
        <v>1050.6651393685356</v>
      </c>
      <c r="J710" s="69">
        <f t="shared" ca="1" si="484"/>
        <v>1145.3618477991154</v>
      </c>
      <c r="K710" s="69">
        <f t="shared" ca="1" si="485"/>
        <v>1170.8109855971661</v>
      </c>
      <c r="L710" s="69">
        <f t="shared" ca="1" si="486"/>
        <v>958.75593256395234</v>
      </c>
      <c r="M710" s="69">
        <f t="shared" ca="1" si="487"/>
        <v>993.0834484664407</v>
      </c>
      <c r="N710" s="69">
        <f t="shared" ca="1" si="488"/>
        <v>572.81539450710966</v>
      </c>
      <c r="O710" s="69">
        <f t="shared" ca="1" si="489"/>
        <v>630.39466638459817</v>
      </c>
      <c r="P710" s="69">
        <f t="shared" ca="1" si="490"/>
        <v>723.07869870269849</v>
      </c>
      <c r="Q710" s="69">
        <f t="shared" ca="1" si="491"/>
        <v>961.27626823829871</v>
      </c>
      <c r="R710" s="69">
        <f t="shared" ca="1" si="492"/>
        <v>780.9857297260088</v>
      </c>
      <c r="S710" s="69">
        <f t="shared" ca="1" si="493"/>
        <v>700.15800454836688</v>
      </c>
      <c r="T710" s="69">
        <f t="shared" ca="1" si="494"/>
        <v>794.52632377554141</v>
      </c>
      <c r="U710" s="69">
        <f t="shared" ca="1" si="495"/>
        <v>1694.9306139653438</v>
      </c>
      <c r="V710" s="69">
        <f t="shared" ca="1" si="496"/>
        <v>1913.6752108293942</v>
      </c>
      <c r="W710" s="69">
        <f t="shared" ca="1" si="497"/>
        <v>1182.3364853596174</v>
      </c>
      <c r="X710" s="69">
        <f t="shared" ca="1" si="498"/>
        <v>1488.7679273875085</v>
      </c>
      <c r="Y710" s="69">
        <f t="shared" ca="1" si="499"/>
        <v>1202.6136175234824</v>
      </c>
      <c r="AA710" s="20">
        <f t="shared" ca="1" si="459"/>
        <v>6.5627401285849176E+16</v>
      </c>
      <c r="AB710" s="20">
        <f t="shared" ca="1" si="460"/>
        <v>1688762129274956.3</v>
      </c>
      <c r="AC710" s="20">
        <f t="shared" ca="1" si="461"/>
        <v>402538855874786.44</v>
      </c>
      <c r="AD710" s="20">
        <f t="shared" ca="1" si="462"/>
        <v>301982124218696.25</v>
      </c>
      <c r="AE710" s="20">
        <f t="shared" ca="1" si="463"/>
        <v>6866167093725905</v>
      </c>
      <c r="AG710" s="16">
        <f t="shared" ca="1" si="464"/>
        <v>7.5048293241788847E-5</v>
      </c>
      <c r="AH710" s="16">
        <f t="shared" ca="1" si="465"/>
        <v>5.2504981406266448E-4</v>
      </c>
      <c r="AI710" s="16">
        <f t="shared" ca="1" si="466"/>
        <v>2.8301062452355776E-5</v>
      </c>
      <c r="AJ710" s="16">
        <f t="shared" ca="1" si="467"/>
        <v>3.3705795258370401E-4</v>
      </c>
      <c r="AK710" s="16">
        <f t="shared" ca="1" si="468"/>
        <v>2.1133036488268385E-4</v>
      </c>
      <c r="AM710" s="16">
        <f t="shared" ca="1" si="469"/>
        <v>9.6545712234051323E-4</v>
      </c>
      <c r="AO710" s="16">
        <f t="shared" ca="1" si="470"/>
        <v>0</v>
      </c>
      <c r="AP710" s="16">
        <f t="shared" ca="1" si="471"/>
        <v>0</v>
      </c>
      <c r="AQ710" s="16">
        <f t="shared" ca="1" si="472"/>
        <v>0</v>
      </c>
      <c r="AR710" s="16">
        <f t="shared" ca="1" si="473"/>
        <v>0</v>
      </c>
      <c r="AS710" s="16">
        <f t="shared" ca="1" si="474"/>
        <v>0</v>
      </c>
    </row>
    <row r="711" spans="1:45" x14ac:dyDescent="0.25">
      <c r="A711" s="69">
        <f t="shared" ca="1" si="475"/>
        <v>2452.3260539483354</v>
      </c>
      <c r="B711" s="69">
        <f t="shared" ca="1" si="476"/>
        <v>2137.1030396451097</v>
      </c>
      <c r="C711" s="69">
        <f t="shared" ca="1" si="477"/>
        <v>2234.0812147779097</v>
      </c>
      <c r="D711" s="69">
        <f t="shared" ca="1" si="478"/>
        <v>2901.545361079036</v>
      </c>
      <c r="E711" s="69">
        <f t="shared" ca="1" si="479"/>
        <v>1931.9051711772017</v>
      </c>
      <c r="F711" s="69">
        <f t="shared" ca="1" si="480"/>
        <v>1218.3065000701929</v>
      </c>
      <c r="G711" s="69">
        <f t="shared" ca="1" si="481"/>
        <v>968.80493601220894</v>
      </c>
      <c r="H711" s="69">
        <f t="shared" ca="1" si="482"/>
        <v>1189.0444509765257</v>
      </c>
      <c r="I711" s="69">
        <f t="shared" ca="1" si="483"/>
        <v>1050.9848473769287</v>
      </c>
      <c r="J711" s="69">
        <f t="shared" ca="1" si="484"/>
        <v>1145.5368341256692</v>
      </c>
      <c r="K711" s="69">
        <f t="shared" ca="1" si="485"/>
        <v>1170.8109855971661</v>
      </c>
      <c r="L711" s="69">
        <f t="shared" ca="1" si="486"/>
        <v>958.56797286462574</v>
      </c>
      <c r="M711" s="69">
        <f t="shared" ca="1" si="487"/>
        <v>993.42789714899914</v>
      </c>
      <c r="N711" s="69">
        <f t="shared" ca="1" si="488"/>
        <v>572.37974619384363</v>
      </c>
      <c r="O711" s="69">
        <f t="shared" ca="1" si="489"/>
        <v>630.79724278782248</v>
      </c>
      <c r="P711" s="69">
        <f t="shared" ca="1" si="490"/>
        <v>722.60243342790898</v>
      </c>
      <c r="Q711" s="69">
        <f t="shared" ca="1" si="491"/>
        <v>961.27626823829871</v>
      </c>
      <c r="R711" s="69">
        <f t="shared" ca="1" si="492"/>
        <v>781.31583478582763</v>
      </c>
      <c r="S711" s="69">
        <f t="shared" ca="1" si="493"/>
        <v>700.55955520158511</v>
      </c>
      <c r="T711" s="69">
        <f t="shared" ca="1" si="494"/>
        <v>794.52632377554141</v>
      </c>
      <c r="U711" s="69">
        <f t="shared" ca="1" si="495"/>
        <v>1694.9306139653438</v>
      </c>
      <c r="V711" s="69">
        <f t="shared" ca="1" si="496"/>
        <v>1913.8262829183077</v>
      </c>
      <c r="W711" s="69">
        <f t="shared" ca="1" si="497"/>
        <v>1182.3364853596174</v>
      </c>
      <c r="X711" s="69">
        <f t="shared" ca="1" si="498"/>
        <v>1488.9650384934523</v>
      </c>
      <c r="Y711" s="69">
        <f t="shared" ca="1" si="499"/>
        <v>1202.6136175234824</v>
      </c>
      <c r="AA711" s="20">
        <f t="shared" ca="1" si="459"/>
        <v>6.5632326695125048E+16</v>
      </c>
      <c r="AB711" s="20">
        <f t="shared" ca="1" si="460"/>
        <v>1689649046334371.5</v>
      </c>
      <c r="AC711" s="20">
        <f t="shared" ca="1" si="461"/>
        <v>402550248313294.38</v>
      </c>
      <c r="AD711" s="20">
        <f t="shared" ca="1" si="462"/>
        <v>302083926850931.88</v>
      </c>
      <c r="AE711" s="20">
        <f t="shared" ca="1" si="463"/>
        <v>6867618276657276</v>
      </c>
      <c r="AG711" s="16">
        <f t="shared" ca="1" si="464"/>
        <v>-3.0548155727561554E-4</v>
      </c>
      <c r="AH711" s="16">
        <f t="shared" ca="1" si="465"/>
        <v>-1.4275455238354612E-5</v>
      </c>
      <c r="AI711" s="16">
        <f t="shared" ca="1" si="466"/>
        <v>-2.8410249602334349E-4</v>
      </c>
      <c r="AJ711" s="16">
        <f t="shared" ca="1" si="467"/>
        <v>5.5544813549958426E-4</v>
      </c>
      <c r="AK711" s="16">
        <f t="shared" ca="1" si="468"/>
        <v>-5.0046890032079134E-4</v>
      </c>
      <c r="AM711" s="16">
        <f t="shared" ca="1" si="469"/>
        <v>-4.8411373037729336E-5</v>
      </c>
      <c r="AO711" s="16">
        <f t="shared" ca="1" si="470"/>
        <v>-3.0548155727561554E-4</v>
      </c>
      <c r="AP711" s="16">
        <f t="shared" ca="1" si="471"/>
        <v>-1.4275455238354612E-5</v>
      </c>
      <c r="AQ711" s="16">
        <f t="shared" ca="1" si="472"/>
        <v>-2.8410249602334349E-4</v>
      </c>
      <c r="AR711" s="16">
        <f t="shared" ca="1" si="473"/>
        <v>0</v>
      </c>
      <c r="AS711" s="16">
        <f t="shared" ca="1" si="474"/>
        <v>-5.0046890032079134E-4</v>
      </c>
    </row>
    <row r="712" spans="1:45" x14ac:dyDescent="0.25">
      <c r="A712" s="69">
        <f t="shared" ca="1" si="475"/>
        <v>2452.1793099524225</v>
      </c>
      <c r="B712" s="69">
        <f t="shared" ca="1" si="476"/>
        <v>2136.7979258969422</v>
      </c>
      <c r="C712" s="69">
        <f t="shared" ca="1" si="477"/>
        <v>2233.6894547267252</v>
      </c>
      <c r="D712" s="69">
        <f t="shared" ca="1" si="478"/>
        <v>2901.7557612525052</v>
      </c>
      <c r="E712" s="69">
        <f t="shared" ca="1" si="479"/>
        <v>1931.9051711772017</v>
      </c>
      <c r="F712" s="69">
        <f t="shared" ca="1" si="480"/>
        <v>1218.3207421604927</v>
      </c>
      <c r="G712" s="69">
        <f t="shared" ca="1" si="481"/>
        <v>968.80493601220894</v>
      </c>
      <c r="H712" s="69">
        <f t="shared" ca="1" si="482"/>
        <v>1189.0444509765257</v>
      </c>
      <c r="I712" s="69">
        <f t="shared" ca="1" si="483"/>
        <v>1050.957558427694</v>
      </c>
      <c r="J712" s="69">
        <f t="shared" ca="1" si="484"/>
        <v>1145.5368341256692</v>
      </c>
      <c r="K712" s="69">
        <f t="shared" ca="1" si="485"/>
        <v>1171.0691827443377</v>
      </c>
      <c r="L712" s="69">
        <f t="shared" ca="1" si="486"/>
        <v>958.40172241638265</v>
      </c>
      <c r="M712" s="69">
        <f t="shared" ca="1" si="487"/>
        <v>993.58773475203736</v>
      </c>
      <c r="N712" s="69">
        <f t="shared" ca="1" si="488"/>
        <v>572.37974619384363</v>
      </c>
      <c r="O712" s="69">
        <f t="shared" ca="1" si="489"/>
        <v>630.48694328591012</v>
      </c>
      <c r="P712" s="69">
        <f t="shared" ca="1" si="490"/>
        <v>722.60243342790898</v>
      </c>
      <c r="Q712" s="69">
        <f t="shared" ca="1" si="491"/>
        <v>961.27626823829871</v>
      </c>
      <c r="R712" s="69">
        <f t="shared" ca="1" si="492"/>
        <v>781.79386518615274</v>
      </c>
      <c r="S712" s="69">
        <f t="shared" ca="1" si="493"/>
        <v>700.55955520158511</v>
      </c>
      <c r="T712" s="69">
        <f t="shared" ca="1" si="494"/>
        <v>794.4816789041563</v>
      </c>
      <c r="U712" s="69">
        <f t="shared" ca="1" si="495"/>
        <v>1695.173901886415</v>
      </c>
      <c r="V712" s="69">
        <f t="shared" ca="1" si="496"/>
        <v>1913.5611299397829</v>
      </c>
      <c r="W712" s="69">
        <f t="shared" ca="1" si="497"/>
        <v>1181.9664594068818</v>
      </c>
      <c r="X712" s="69">
        <f t="shared" ca="1" si="498"/>
        <v>1488.6785430867178</v>
      </c>
      <c r="Y712" s="69">
        <f t="shared" ca="1" si="499"/>
        <v>1202.6136175234824</v>
      </c>
      <c r="AA712" s="20">
        <f t="shared" ca="1" si="459"/>
        <v>6.5612280291817744E+16</v>
      </c>
      <c r="AB712" s="20">
        <f t="shared" ca="1" si="460"/>
        <v>1689624925997206.8</v>
      </c>
      <c r="AC712" s="20">
        <f t="shared" ca="1" si="461"/>
        <v>402435899027201.69</v>
      </c>
      <c r="AD712" s="20">
        <f t="shared" ca="1" si="462"/>
        <v>302251765413358.75</v>
      </c>
      <c r="AE712" s="20">
        <f t="shared" ca="1" si="463"/>
        <v>6864182107210228</v>
      </c>
      <c r="AG712" s="16">
        <f t="shared" ca="1" si="464"/>
        <v>-1.3806728051246955E-4</v>
      </c>
      <c r="AH712" s="16">
        <f t="shared" ca="1" si="465"/>
        <v>-5.7942335592878202E-4</v>
      </c>
      <c r="AI712" s="16">
        <f t="shared" ca="1" si="466"/>
        <v>-7.6646499063453817E-4</v>
      </c>
      <c r="AJ712" s="16">
        <f t="shared" ca="1" si="467"/>
        <v>9.1698398697361906E-4</v>
      </c>
      <c r="AK712" s="16">
        <f t="shared" ca="1" si="468"/>
        <v>-3.1805430305887283E-4</v>
      </c>
      <c r="AM712" s="16">
        <f t="shared" ca="1" si="469"/>
        <v>-5.6697164010217059E-4</v>
      </c>
      <c r="AO712" s="16">
        <f t="shared" ca="1" si="470"/>
        <v>-1.3806728051246955E-4</v>
      </c>
      <c r="AP712" s="16">
        <f t="shared" ca="1" si="471"/>
        <v>-5.7942335592878202E-4</v>
      </c>
      <c r="AQ712" s="16">
        <f t="shared" ca="1" si="472"/>
        <v>-7.6646499063453817E-4</v>
      </c>
      <c r="AR712" s="16">
        <f t="shared" ca="1" si="473"/>
        <v>0</v>
      </c>
      <c r="AS712" s="16">
        <f t="shared" ca="1" si="474"/>
        <v>-3.1805430305887283E-4</v>
      </c>
    </row>
    <row r="713" spans="1:45" x14ac:dyDescent="0.25">
      <c r="A713" s="69">
        <f t="shared" ca="1" si="475"/>
        <v>2451.9384401089442</v>
      </c>
      <c r="B713" s="69">
        <f t="shared" ca="1" si="476"/>
        <v>2136.7979258969422</v>
      </c>
      <c r="C713" s="69">
        <f t="shared" ca="1" si="477"/>
        <v>2233.7436230100357</v>
      </c>
      <c r="D713" s="69">
        <f t="shared" ca="1" si="478"/>
        <v>2901.4861104275328</v>
      </c>
      <c r="E713" s="69">
        <f t="shared" ca="1" si="479"/>
        <v>1931.9608981669537</v>
      </c>
      <c r="F713" s="69">
        <f t="shared" ca="1" si="480"/>
        <v>1218.3386685827415</v>
      </c>
      <c r="G713" s="69">
        <f t="shared" ca="1" si="481"/>
        <v>968.44171838382488</v>
      </c>
      <c r="H713" s="69">
        <f t="shared" ca="1" si="482"/>
        <v>1189.249185603808</v>
      </c>
      <c r="I713" s="69">
        <f t="shared" ca="1" si="483"/>
        <v>1050.957558427694</v>
      </c>
      <c r="J713" s="69">
        <f t="shared" ca="1" si="484"/>
        <v>1145.0886466039378</v>
      </c>
      <c r="K713" s="69">
        <f t="shared" ca="1" si="485"/>
        <v>1171.4278152036441</v>
      </c>
      <c r="L713" s="69">
        <f t="shared" ca="1" si="486"/>
        <v>958.40172241638265</v>
      </c>
      <c r="M713" s="69">
        <f t="shared" ca="1" si="487"/>
        <v>994.00842329826651</v>
      </c>
      <c r="N713" s="69">
        <f t="shared" ca="1" si="488"/>
        <v>571.95087117646426</v>
      </c>
      <c r="O713" s="69">
        <f t="shared" ca="1" si="489"/>
        <v>630.01651665694476</v>
      </c>
      <c r="P713" s="69">
        <f t="shared" ca="1" si="490"/>
        <v>723.03672940876345</v>
      </c>
      <c r="Q713" s="69">
        <f t="shared" ca="1" si="491"/>
        <v>961.67258942747867</v>
      </c>
      <c r="R713" s="69">
        <f t="shared" ca="1" si="492"/>
        <v>781.47208074500679</v>
      </c>
      <c r="S713" s="69">
        <f t="shared" ca="1" si="493"/>
        <v>700.5843267298826</v>
      </c>
      <c r="T713" s="69">
        <f t="shared" ca="1" si="494"/>
        <v>794.7043793424333</v>
      </c>
      <c r="U713" s="69">
        <f t="shared" ca="1" si="495"/>
        <v>1694.7487875101415</v>
      </c>
      <c r="V713" s="69">
        <f t="shared" ca="1" si="496"/>
        <v>1913.4656413731905</v>
      </c>
      <c r="W713" s="69">
        <f t="shared" ca="1" si="497"/>
        <v>1182.4081589516077</v>
      </c>
      <c r="X713" s="69">
        <f t="shared" ca="1" si="498"/>
        <v>1488.4725427004446</v>
      </c>
      <c r="Y713" s="69">
        <f t="shared" ca="1" si="499"/>
        <v>1202.3098962463991</v>
      </c>
      <c r="AA713" s="20">
        <f t="shared" ca="1" si="459"/>
        <v>6.560322200805032E+16</v>
      </c>
      <c r="AB713" s="20">
        <f t="shared" ca="1" si="460"/>
        <v>1688646201427644.3</v>
      </c>
      <c r="AC713" s="20">
        <f t="shared" ca="1" si="461"/>
        <v>402127564178650.94</v>
      </c>
      <c r="AD713" s="20">
        <f t="shared" ca="1" si="462"/>
        <v>302529052556782.5</v>
      </c>
      <c r="AE713" s="20">
        <f t="shared" ca="1" si="463"/>
        <v>6861999271702564</v>
      </c>
      <c r="AG713" s="16">
        <f t="shared" ca="1" si="464"/>
        <v>2.1735624109031431E-4</v>
      </c>
      <c r="AH713" s="16">
        <f t="shared" ca="1" si="465"/>
        <v>-2.211599406788431E-4</v>
      </c>
      <c r="AI713" s="16">
        <f t="shared" ca="1" si="466"/>
        <v>1.0315299599499505E-3</v>
      </c>
      <c r="AJ713" s="16">
        <f t="shared" ca="1" si="467"/>
        <v>1.3910300341133004E-3</v>
      </c>
      <c r="AK713" s="16">
        <f t="shared" ca="1" si="468"/>
        <v>-9.2593514638817113E-4</v>
      </c>
      <c r="AM713" s="16">
        <f t="shared" ca="1" si="469"/>
        <v>2.4187562944747222E-3</v>
      </c>
      <c r="AO713" s="16">
        <f t="shared" ca="1" si="470"/>
        <v>0</v>
      </c>
      <c r="AP713" s="16">
        <f t="shared" ca="1" si="471"/>
        <v>-2.211599406788431E-4</v>
      </c>
      <c r="AQ713" s="16">
        <f t="shared" ca="1" si="472"/>
        <v>0</v>
      </c>
      <c r="AR713" s="16">
        <f t="shared" ca="1" si="473"/>
        <v>0</v>
      </c>
      <c r="AS713" s="16">
        <f t="shared" ca="1" si="474"/>
        <v>-9.2593514638817113E-4</v>
      </c>
    </row>
    <row r="714" spans="1:45" x14ac:dyDescent="0.25">
      <c r="A714" s="69">
        <f t="shared" ca="1" si="475"/>
        <v>2451.9855549891568</v>
      </c>
      <c r="B714" s="69">
        <f t="shared" ca="1" si="476"/>
        <v>2137.2005987405901</v>
      </c>
      <c r="C714" s="69">
        <f t="shared" ca="1" si="477"/>
        <v>2233.4820799777754</v>
      </c>
      <c r="D714" s="69">
        <f t="shared" ca="1" si="478"/>
        <v>2901.5257186379795</v>
      </c>
      <c r="E714" s="69">
        <f t="shared" ca="1" si="479"/>
        <v>1932.1795219911596</v>
      </c>
      <c r="F714" s="69">
        <f t="shared" ca="1" si="480"/>
        <v>1218.5391283638965</v>
      </c>
      <c r="G714" s="69">
        <f t="shared" ca="1" si="481"/>
        <v>968.44171838382488</v>
      </c>
      <c r="H714" s="69">
        <f t="shared" ca="1" si="482"/>
        <v>1188.9074373611006</v>
      </c>
      <c r="I714" s="69">
        <f t="shared" ca="1" si="483"/>
        <v>1050.957558427694</v>
      </c>
      <c r="J714" s="69">
        <f t="shared" ca="1" si="484"/>
        <v>1144.9761176827137</v>
      </c>
      <c r="K714" s="69">
        <f t="shared" ca="1" si="485"/>
        <v>1171.4278152036441</v>
      </c>
      <c r="L714" s="69">
        <f t="shared" ca="1" si="486"/>
        <v>958.72736318269517</v>
      </c>
      <c r="M714" s="69">
        <f t="shared" ca="1" si="487"/>
        <v>994.064579846828</v>
      </c>
      <c r="N714" s="69">
        <f t="shared" ca="1" si="488"/>
        <v>572.31435811934216</v>
      </c>
      <c r="O714" s="69">
        <f t="shared" ca="1" si="489"/>
        <v>630.01651665694476</v>
      </c>
      <c r="P714" s="69">
        <f t="shared" ca="1" si="490"/>
        <v>723.49508846846845</v>
      </c>
      <c r="Q714" s="69">
        <f t="shared" ca="1" si="491"/>
        <v>961.90922332421337</v>
      </c>
      <c r="R714" s="69">
        <f t="shared" ca="1" si="492"/>
        <v>781.53019149564739</v>
      </c>
      <c r="S714" s="69">
        <f t="shared" ca="1" si="493"/>
        <v>700.8904805107245</v>
      </c>
      <c r="T714" s="69">
        <f t="shared" ca="1" si="494"/>
        <v>794.7043793424333</v>
      </c>
      <c r="U714" s="69">
        <f t="shared" ca="1" si="495"/>
        <v>1694.8495889602532</v>
      </c>
      <c r="V714" s="69">
        <f t="shared" ca="1" si="496"/>
        <v>1913.1219642128538</v>
      </c>
      <c r="W714" s="69">
        <f t="shared" ca="1" si="497"/>
        <v>1181.9833482873671</v>
      </c>
      <c r="X714" s="69">
        <f t="shared" ca="1" si="498"/>
        <v>1488.4104471861933</v>
      </c>
      <c r="Y714" s="69">
        <f t="shared" ca="1" si="499"/>
        <v>1201.8233870693846</v>
      </c>
      <c r="AA714" s="20">
        <f t="shared" ca="1" si="459"/>
        <v>6.5617482827572328E+16</v>
      </c>
      <c r="AB714" s="20">
        <f t="shared" ca="1" si="460"/>
        <v>1688272781828159.3</v>
      </c>
      <c r="AC714" s="20">
        <f t="shared" ca="1" si="461"/>
        <v>402542584825138</v>
      </c>
      <c r="AD714" s="20">
        <f t="shared" ca="1" si="462"/>
        <v>302950172382339.19</v>
      </c>
      <c r="AE714" s="20">
        <f t="shared" ca="1" si="463"/>
        <v>6855648446082473</v>
      </c>
      <c r="AG714" s="16">
        <f t="shared" ca="1" si="464"/>
        <v>4.1780599707470393E-4</v>
      </c>
      <c r="AH714" s="16">
        <f t="shared" ca="1" si="465"/>
        <v>5.8438214399515807E-4</v>
      </c>
      <c r="AI714" s="16">
        <f t="shared" ca="1" si="466"/>
        <v>-2.3847123365438667E-4</v>
      </c>
      <c r="AJ714" s="16">
        <f t="shared" ca="1" si="467"/>
        <v>6.1265873426947289E-4</v>
      </c>
      <c r="AK714" s="16">
        <f t="shared" ca="1" si="468"/>
        <v>4.1736852816225172E-4</v>
      </c>
      <c r="AM714" s="16">
        <f t="shared" ca="1" si="469"/>
        <v>1.3763756416849482E-3</v>
      </c>
      <c r="AO714" s="16">
        <f t="shared" ca="1" si="470"/>
        <v>0</v>
      </c>
      <c r="AP714" s="16">
        <f t="shared" ca="1" si="471"/>
        <v>0</v>
      </c>
      <c r="AQ714" s="16">
        <f t="shared" ca="1" si="472"/>
        <v>-2.3847123365438667E-4</v>
      </c>
      <c r="AR714" s="16">
        <f t="shared" ca="1" si="473"/>
        <v>0</v>
      </c>
      <c r="AS714" s="16">
        <f t="shared" ca="1" si="474"/>
        <v>0</v>
      </c>
    </row>
    <row r="715" spans="1:45" x14ac:dyDescent="0.25">
      <c r="A715" s="69">
        <f t="shared" ca="1" si="475"/>
        <v>2452.4776706777748</v>
      </c>
      <c r="B715" s="69">
        <f t="shared" ca="1" si="476"/>
        <v>2137.5528831010606</v>
      </c>
      <c r="C715" s="69">
        <f t="shared" ca="1" si="477"/>
        <v>2233.4820799777754</v>
      </c>
      <c r="D715" s="69">
        <f t="shared" ca="1" si="478"/>
        <v>2901.1717841832728</v>
      </c>
      <c r="E715" s="69">
        <f t="shared" ca="1" si="479"/>
        <v>1932.516318579158</v>
      </c>
      <c r="F715" s="69">
        <f t="shared" ca="1" si="480"/>
        <v>1218.5391283638965</v>
      </c>
      <c r="G715" s="69">
        <f t="shared" ca="1" si="481"/>
        <v>968.44171838382488</v>
      </c>
      <c r="H715" s="69">
        <f t="shared" ca="1" si="482"/>
        <v>1189.1352701790952</v>
      </c>
      <c r="I715" s="69">
        <f t="shared" ca="1" si="483"/>
        <v>1051.3704224339479</v>
      </c>
      <c r="J715" s="69">
        <f t="shared" ca="1" si="484"/>
        <v>1144.9761176827137</v>
      </c>
      <c r="K715" s="69">
        <f t="shared" ca="1" si="485"/>
        <v>1171.4278152036441</v>
      </c>
      <c r="L715" s="69">
        <f t="shared" ca="1" si="486"/>
        <v>958.72736318269517</v>
      </c>
      <c r="M715" s="69">
        <f t="shared" ca="1" si="487"/>
        <v>994.064579846828</v>
      </c>
      <c r="N715" s="69">
        <f t="shared" ca="1" si="488"/>
        <v>572.17789388036772</v>
      </c>
      <c r="O715" s="69">
        <f t="shared" ca="1" si="489"/>
        <v>630.01651665694476</v>
      </c>
      <c r="P715" s="69">
        <f t="shared" ca="1" si="490"/>
        <v>723.49508846846845</v>
      </c>
      <c r="Q715" s="69">
        <f t="shared" ca="1" si="491"/>
        <v>962.32794812295526</v>
      </c>
      <c r="R715" s="69">
        <f t="shared" ca="1" si="492"/>
        <v>781.53019149564739</v>
      </c>
      <c r="S715" s="69">
        <f t="shared" ca="1" si="493"/>
        <v>700.72825298547536</v>
      </c>
      <c r="T715" s="69">
        <f t="shared" ca="1" si="494"/>
        <v>795.02942701717825</v>
      </c>
      <c r="U715" s="69">
        <f t="shared" ca="1" si="495"/>
        <v>1694.7978149517576</v>
      </c>
      <c r="V715" s="69">
        <f t="shared" ca="1" si="496"/>
        <v>1913.1219642128538</v>
      </c>
      <c r="W715" s="69">
        <f t="shared" ca="1" si="497"/>
        <v>1182.4726160521107</v>
      </c>
      <c r="X715" s="69">
        <f t="shared" ca="1" si="498"/>
        <v>1488.4104471861933</v>
      </c>
      <c r="Y715" s="69">
        <f t="shared" ca="1" si="499"/>
        <v>1201.8643273292405</v>
      </c>
      <c r="AA715" s="20">
        <f t="shared" ca="1" si="459"/>
        <v>6.5644903933362968E+16</v>
      </c>
      <c r="AB715" s="20">
        <f t="shared" ca="1" si="460"/>
        <v>1689259666626894.8</v>
      </c>
      <c r="AC715" s="20">
        <f t="shared" ca="1" si="461"/>
        <v>402446601443428.94</v>
      </c>
      <c r="AD715" s="20">
        <f t="shared" ca="1" si="462"/>
        <v>303135834319394</v>
      </c>
      <c r="AE715" s="20">
        <f t="shared" ca="1" si="463"/>
        <v>6858510375182035</v>
      </c>
      <c r="AG715" s="16">
        <f t="shared" ca="1" si="464"/>
        <v>1.3240010535680398E-4</v>
      </c>
      <c r="AH715" s="16">
        <f t="shared" ca="1" si="465"/>
        <v>-5.4644123562962144E-4</v>
      </c>
      <c r="AI715" s="16">
        <f t="shared" ca="1" si="466"/>
        <v>-1.9519386574248611E-4</v>
      </c>
      <c r="AJ715" s="16">
        <f t="shared" ca="1" si="467"/>
        <v>7.5116701085491903E-4</v>
      </c>
      <c r="AK715" s="16">
        <f t="shared" ca="1" si="468"/>
        <v>-3.2249550670254712E-4</v>
      </c>
      <c r="AM715" s="16">
        <f t="shared" ca="1" si="469"/>
        <v>1.4193201483961543E-4</v>
      </c>
      <c r="AO715" s="16">
        <f t="shared" ca="1" si="470"/>
        <v>0</v>
      </c>
      <c r="AP715" s="16">
        <f t="shared" ca="1" si="471"/>
        <v>-5.4644123562962144E-4</v>
      </c>
      <c r="AQ715" s="16">
        <f t="shared" ca="1" si="472"/>
        <v>-1.9519386574248611E-4</v>
      </c>
      <c r="AR715" s="16">
        <f t="shared" ca="1" si="473"/>
        <v>0</v>
      </c>
      <c r="AS715" s="16">
        <f t="shared" ca="1" si="474"/>
        <v>-3.2249550670254712E-4</v>
      </c>
    </row>
    <row r="716" spans="1:45" x14ac:dyDescent="0.25">
      <c r="A716" s="69">
        <f t="shared" ca="1" si="475"/>
        <v>2452.0540808799565</v>
      </c>
      <c r="B716" s="69">
        <f t="shared" ca="1" si="476"/>
        <v>2137.9164788851176</v>
      </c>
      <c r="C716" s="69">
        <f t="shared" ca="1" si="477"/>
        <v>2233.7101837899522</v>
      </c>
      <c r="D716" s="69">
        <f t="shared" ca="1" si="478"/>
        <v>2901.1717841832728</v>
      </c>
      <c r="E716" s="69">
        <f t="shared" ca="1" si="479"/>
        <v>1932.5799487171391</v>
      </c>
      <c r="F716" s="69">
        <f t="shared" ca="1" si="480"/>
        <v>1218.4028353022181</v>
      </c>
      <c r="G716" s="69">
        <f t="shared" ca="1" si="481"/>
        <v>968.44171838382488</v>
      </c>
      <c r="H716" s="69">
        <f t="shared" ca="1" si="482"/>
        <v>1188.6882599122857</v>
      </c>
      <c r="I716" s="69">
        <f t="shared" ca="1" si="483"/>
        <v>1051.3160720809981</v>
      </c>
      <c r="J716" s="69">
        <f t="shared" ca="1" si="484"/>
        <v>1144.9682098155638</v>
      </c>
      <c r="K716" s="69">
        <f t="shared" ca="1" si="485"/>
        <v>1171.4278152036441</v>
      </c>
      <c r="L716" s="69">
        <f t="shared" ca="1" si="486"/>
        <v>958.72736318269517</v>
      </c>
      <c r="M716" s="69">
        <f t="shared" ca="1" si="487"/>
        <v>994.064579846828</v>
      </c>
      <c r="N716" s="69">
        <f t="shared" ca="1" si="488"/>
        <v>571.69999069906703</v>
      </c>
      <c r="O716" s="69">
        <f t="shared" ca="1" si="489"/>
        <v>630.42010242930144</v>
      </c>
      <c r="P716" s="69">
        <f t="shared" ca="1" si="490"/>
        <v>723.97233626860691</v>
      </c>
      <c r="Q716" s="69">
        <f t="shared" ca="1" si="491"/>
        <v>962.41623845402148</v>
      </c>
      <c r="R716" s="69">
        <f t="shared" ca="1" si="492"/>
        <v>781.53019149564739</v>
      </c>
      <c r="S716" s="69">
        <f t="shared" ca="1" si="493"/>
        <v>700.72825298547536</v>
      </c>
      <c r="T716" s="69">
        <f t="shared" ca="1" si="494"/>
        <v>795.02942701717825</v>
      </c>
      <c r="U716" s="69">
        <f t="shared" ca="1" si="495"/>
        <v>1694.3588162066815</v>
      </c>
      <c r="V716" s="69">
        <f t="shared" ca="1" si="496"/>
        <v>1912.6271770415744</v>
      </c>
      <c r="W716" s="69">
        <f t="shared" ca="1" si="497"/>
        <v>1182.7863687291704</v>
      </c>
      <c r="X716" s="69">
        <f t="shared" ca="1" si="498"/>
        <v>1487.9708670589644</v>
      </c>
      <c r="Y716" s="69">
        <f t="shared" ca="1" si="499"/>
        <v>1202.1351436872021</v>
      </c>
      <c r="AA716" s="20">
        <f t="shared" ca="1" si="459"/>
        <v>6.5653595900955896E+16</v>
      </c>
      <c r="AB716" s="20">
        <f t="shared" ca="1" si="460"/>
        <v>1688336837646231</v>
      </c>
      <c r="AC716" s="20">
        <f t="shared" ca="1" si="461"/>
        <v>402368054001777.06</v>
      </c>
      <c r="AD716" s="20">
        <f t="shared" ca="1" si="462"/>
        <v>303363625501842.56</v>
      </c>
      <c r="AE716" s="20">
        <f t="shared" ca="1" si="463"/>
        <v>6856298893019063</v>
      </c>
      <c r="AG716" s="16">
        <f t="shared" ca="1" si="464"/>
        <v>8.6245887244908916E-5</v>
      </c>
      <c r="AH716" s="16">
        <f t="shared" ca="1" si="465"/>
        <v>6.3421386520437473E-4</v>
      </c>
      <c r="AI716" s="16">
        <f t="shared" ca="1" si="466"/>
        <v>-7.3620238866664318E-4</v>
      </c>
      <c r="AJ716" s="16">
        <f t="shared" ca="1" si="467"/>
        <v>7.5329016314085715E-4</v>
      </c>
      <c r="AK716" s="16">
        <f t="shared" ca="1" si="468"/>
        <v>2.4978521208214431E-4</v>
      </c>
      <c r="AM716" s="16">
        <f t="shared" ca="1" si="469"/>
        <v>7.3754752692349764E-4</v>
      </c>
      <c r="AO716" s="16">
        <f t="shared" ca="1" si="470"/>
        <v>0</v>
      </c>
      <c r="AP716" s="16">
        <f t="shared" ca="1" si="471"/>
        <v>0</v>
      </c>
      <c r="AQ716" s="16">
        <f t="shared" ca="1" si="472"/>
        <v>-7.3620238866664318E-4</v>
      </c>
      <c r="AR716" s="16">
        <f t="shared" ca="1" si="473"/>
        <v>0</v>
      </c>
      <c r="AS716" s="16">
        <f t="shared" ca="1" si="474"/>
        <v>0</v>
      </c>
    </row>
    <row r="717" spans="1:45" x14ac:dyDescent="0.25">
      <c r="A717" s="69">
        <f t="shared" ca="1" si="475"/>
        <v>2452.2220450397658</v>
      </c>
      <c r="B717" s="69">
        <f t="shared" ca="1" si="476"/>
        <v>2137.9164788851176</v>
      </c>
      <c r="C717" s="69">
        <f t="shared" ca="1" si="477"/>
        <v>2233.8516093403773</v>
      </c>
      <c r="D717" s="69">
        <f t="shared" ca="1" si="478"/>
        <v>2901.0396001696208</v>
      </c>
      <c r="E717" s="69">
        <f t="shared" ca="1" si="479"/>
        <v>1932.5799487171391</v>
      </c>
      <c r="F717" s="69">
        <f t="shared" ca="1" si="480"/>
        <v>1218.7881841224641</v>
      </c>
      <c r="G717" s="69">
        <f t="shared" ca="1" si="481"/>
        <v>968.67112820197542</v>
      </c>
      <c r="H717" s="69">
        <f t="shared" ca="1" si="482"/>
        <v>1188.7847052712543</v>
      </c>
      <c r="I717" s="69">
        <f t="shared" ca="1" si="483"/>
        <v>1051.3160720809981</v>
      </c>
      <c r="J717" s="69">
        <f t="shared" ca="1" si="484"/>
        <v>1144.9682098155638</v>
      </c>
      <c r="K717" s="69">
        <f t="shared" ca="1" si="485"/>
        <v>1171.568584256386</v>
      </c>
      <c r="L717" s="69">
        <f t="shared" ca="1" si="486"/>
        <v>959.10635747535878</v>
      </c>
      <c r="M717" s="69">
        <f t="shared" ca="1" si="487"/>
        <v>993.74063106045662</v>
      </c>
      <c r="N717" s="69">
        <f t="shared" ca="1" si="488"/>
        <v>571.4560879614487</v>
      </c>
      <c r="O717" s="69">
        <f t="shared" ca="1" si="489"/>
        <v>630.10563827677129</v>
      </c>
      <c r="P717" s="69">
        <f t="shared" ca="1" si="490"/>
        <v>723.70226613552961</v>
      </c>
      <c r="Q717" s="69">
        <f t="shared" ca="1" si="491"/>
        <v>962.77062776951391</v>
      </c>
      <c r="R717" s="69">
        <f t="shared" ca="1" si="492"/>
        <v>781.8413351021195</v>
      </c>
      <c r="S717" s="69">
        <f t="shared" ca="1" si="493"/>
        <v>700.72825298547536</v>
      </c>
      <c r="T717" s="69">
        <f t="shared" ca="1" si="494"/>
        <v>795.31584525471567</v>
      </c>
      <c r="U717" s="69">
        <f t="shared" ca="1" si="495"/>
        <v>1694.3588162066815</v>
      </c>
      <c r="V717" s="69">
        <f t="shared" ca="1" si="496"/>
        <v>1912.6923991165875</v>
      </c>
      <c r="W717" s="69">
        <f t="shared" ca="1" si="497"/>
        <v>1182.7863687291704</v>
      </c>
      <c r="X717" s="69">
        <f t="shared" ca="1" si="498"/>
        <v>1488.3590376725522</v>
      </c>
      <c r="Y717" s="69">
        <f t="shared" ca="1" si="499"/>
        <v>1202.0808644012</v>
      </c>
      <c r="AA717" s="20">
        <f t="shared" ca="1" si="459"/>
        <v>6.565925849776952E+16</v>
      </c>
      <c r="AB717" s="20">
        <f t="shared" ca="1" si="460"/>
        <v>1689407943897117</v>
      </c>
      <c r="AC717" s="20">
        <f t="shared" ca="1" si="461"/>
        <v>402071938693071</v>
      </c>
      <c r="AD717" s="20">
        <f t="shared" ca="1" si="462"/>
        <v>303592232429652.63</v>
      </c>
      <c r="AE717" s="20">
        <f t="shared" ca="1" si="463"/>
        <v>6858011709001300</v>
      </c>
      <c r="AG717" s="16">
        <f t="shared" ca="1" si="464"/>
        <v>2.1372464322022997E-4</v>
      </c>
      <c r="AH717" s="16">
        <f t="shared" ca="1" si="465"/>
        <v>-4.3699657523213177E-4</v>
      </c>
      <c r="AI717" s="16">
        <f t="shared" ca="1" si="466"/>
        <v>5.0011893324900674E-4</v>
      </c>
      <c r="AJ717" s="16">
        <f t="shared" ca="1" si="467"/>
        <v>4.9324286770711283E-4</v>
      </c>
      <c r="AK717" s="16">
        <f t="shared" ca="1" si="468"/>
        <v>1.1927639012116236E-4</v>
      </c>
      <c r="AM717" s="16">
        <f t="shared" ca="1" si="469"/>
        <v>7.7008986894421775E-4</v>
      </c>
      <c r="AO717" s="16">
        <f t="shared" ca="1" si="470"/>
        <v>0</v>
      </c>
      <c r="AP717" s="16">
        <f t="shared" ca="1" si="471"/>
        <v>-4.3699657523213177E-4</v>
      </c>
      <c r="AQ717" s="16">
        <f t="shared" ca="1" si="472"/>
        <v>0</v>
      </c>
      <c r="AR717" s="16">
        <f t="shared" ca="1" si="473"/>
        <v>0</v>
      </c>
      <c r="AS717" s="16">
        <f t="shared" ca="1" si="474"/>
        <v>0</v>
      </c>
    </row>
    <row r="718" spans="1:45" x14ac:dyDescent="0.25">
      <c r="A718" s="69">
        <f t="shared" ca="1" si="475"/>
        <v>2452.2220450397658</v>
      </c>
      <c r="B718" s="69">
        <f t="shared" ca="1" si="476"/>
        <v>2137.9164788851176</v>
      </c>
      <c r="C718" s="69">
        <f t="shared" ca="1" si="477"/>
        <v>2233.8755640132831</v>
      </c>
      <c r="D718" s="69">
        <f t="shared" ca="1" si="478"/>
        <v>2900.8855823938338</v>
      </c>
      <c r="E718" s="69">
        <f t="shared" ca="1" si="479"/>
        <v>1933.0749326236173</v>
      </c>
      <c r="F718" s="69">
        <f t="shared" ca="1" si="480"/>
        <v>1218.3800334405803</v>
      </c>
      <c r="G718" s="69">
        <f t="shared" ca="1" si="481"/>
        <v>968.46593112828452</v>
      </c>
      <c r="H718" s="69">
        <f t="shared" ca="1" si="482"/>
        <v>1188.5941489634467</v>
      </c>
      <c r="I718" s="69">
        <f t="shared" ca="1" si="483"/>
        <v>1051.3160720809981</v>
      </c>
      <c r="J718" s="69">
        <f t="shared" ca="1" si="484"/>
        <v>1145.2775141498471</v>
      </c>
      <c r="K718" s="69">
        <f t="shared" ca="1" si="485"/>
        <v>1172.010438946369</v>
      </c>
      <c r="L718" s="69">
        <f t="shared" ca="1" si="486"/>
        <v>959.10635747535878</v>
      </c>
      <c r="M718" s="69">
        <f t="shared" ca="1" si="487"/>
        <v>993.8629105027884</v>
      </c>
      <c r="N718" s="69">
        <f t="shared" ca="1" si="488"/>
        <v>571.4560879614487</v>
      </c>
      <c r="O718" s="69">
        <f t="shared" ca="1" si="489"/>
        <v>630.10563827677129</v>
      </c>
      <c r="P718" s="69">
        <f t="shared" ca="1" si="490"/>
        <v>723.93038662228753</v>
      </c>
      <c r="Q718" s="69">
        <f t="shared" ca="1" si="491"/>
        <v>962.55336078978269</v>
      </c>
      <c r="R718" s="69">
        <f t="shared" ca="1" si="492"/>
        <v>781.93052216727006</v>
      </c>
      <c r="S718" s="69">
        <f t="shared" ca="1" si="493"/>
        <v>701.04773426828831</v>
      </c>
      <c r="T718" s="69">
        <f t="shared" ca="1" si="494"/>
        <v>795.18374083504466</v>
      </c>
      <c r="U718" s="69">
        <f t="shared" ca="1" si="495"/>
        <v>1694.4133267531295</v>
      </c>
      <c r="V718" s="69">
        <f t="shared" ca="1" si="496"/>
        <v>1912.7882069419582</v>
      </c>
      <c r="W718" s="69">
        <f t="shared" ca="1" si="497"/>
        <v>1182.777191520214</v>
      </c>
      <c r="X718" s="69">
        <f t="shared" ca="1" si="498"/>
        <v>1488.3590376725522</v>
      </c>
      <c r="Y718" s="69">
        <f t="shared" ca="1" si="499"/>
        <v>1202.1346885680537</v>
      </c>
      <c r="AA718" s="20">
        <f t="shared" ca="1" si="459"/>
        <v>6.5673292999072032E+16</v>
      </c>
      <c r="AB718" s="20">
        <f t="shared" ca="1" si="460"/>
        <v>1688669839697713.8</v>
      </c>
      <c r="AC718" s="20">
        <f t="shared" ca="1" si="461"/>
        <v>402273072773428.13</v>
      </c>
      <c r="AD718" s="20">
        <f t="shared" ca="1" si="462"/>
        <v>303742014069315.88</v>
      </c>
      <c r="AE718" s="20">
        <f t="shared" ca="1" si="463"/>
        <v>6858829756667274</v>
      </c>
      <c r="AG718" s="16">
        <f t="shared" ca="1" si="464"/>
        <v>-1.0468158229387374E-5</v>
      </c>
      <c r="AH718" s="16">
        <f t="shared" ca="1" si="465"/>
        <v>-4.3580681813943126E-5</v>
      </c>
      <c r="AI718" s="16">
        <f t="shared" ca="1" si="466"/>
        <v>1.02740477121255E-4</v>
      </c>
      <c r="AJ718" s="16">
        <f t="shared" ca="1" si="467"/>
        <v>-5.1198721311269556E-4</v>
      </c>
      <c r="AK718" s="16">
        <f t="shared" ca="1" si="468"/>
        <v>-3.1412299650705093E-4</v>
      </c>
      <c r="AM718" s="16">
        <f t="shared" ca="1" si="469"/>
        <v>-4.6329557603477106E-4</v>
      </c>
      <c r="AO718" s="16">
        <f t="shared" ca="1" si="470"/>
        <v>-1.0468158229387374E-5</v>
      </c>
      <c r="AP718" s="16">
        <f t="shared" ca="1" si="471"/>
        <v>-4.3580681813943126E-5</v>
      </c>
      <c r="AQ718" s="16">
        <f t="shared" ca="1" si="472"/>
        <v>0</v>
      </c>
      <c r="AR718" s="16">
        <f t="shared" ca="1" si="473"/>
        <v>-5.1198721311269556E-4</v>
      </c>
      <c r="AS718" s="16">
        <f t="shared" ca="1" si="474"/>
        <v>-3.1412299650705093E-4</v>
      </c>
    </row>
    <row r="719" spans="1:45" x14ac:dyDescent="0.25">
      <c r="A719" s="69">
        <f t="shared" ca="1" si="475"/>
        <v>2452.2220450397658</v>
      </c>
      <c r="B719" s="69">
        <f t="shared" ca="1" si="476"/>
        <v>2137.9164788851176</v>
      </c>
      <c r="C719" s="69">
        <f t="shared" ca="1" si="477"/>
        <v>2233.8521795728107</v>
      </c>
      <c r="D719" s="69">
        <f t="shared" ca="1" si="478"/>
        <v>2900.8855823938338</v>
      </c>
      <c r="E719" s="69">
        <f t="shared" ca="1" si="479"/>
        <v>1933.0749326236173</v>
      </c>
      <c r="F719" s="69">
        <f t="shared" ca="1" si="480"/>
        <v>1218.133175679882</v>
      </c>
      <c r="G719" s="69">
        <f t="shared" ca="1" si="481"/>
        <v>968.11428494149163</v>
      </c>
      <c r="H719" s="69">
        <f t="shared" ca="1" si="482"/>
        <v>1188.9550923388433</v>
      </c>
      <c r="I719" s="69">
        <f t="shared" ca="1" si="483"/>
        <v>1051.2820456905531</v>
      </c>
      <c r="J719" s="69">
        <f t="shared" ca="1" si="484"/>
        <v>1145.5649609923423</v>
      </c>
      <c r="K719" s="69">
        <f t="shared" ca="1" si="485"/>
        <v>1172.010438946369</v>
      </c>
      <c r="L719" s="69">
        <f t="shared" ca="1" si="486"/>
        <v>959.10635747535878</v>
      </c>
      <c r="M719" s="69">
        <f t="shared" ca="1" si="487"/>
        <v>993.80492805740812</v>
      </c>
      <c r="N719" s="69">
        <f t="shared" ca="1" si="488"/>
        <v>571.67716166187301</v>
      </c>
      <c r="O719" s="69">
        <f t="shared" ca="1" si="489"/>
        <v>629.96343767359781</v>
      </c>
      <c r="P719" s="69">
        <f t="shared" ca="1" si="490"/>
        <v>723.93038662228753</v>
      </c>
      <c r="Q719" s="69">
        <f t="shared" ca="1" si="491"/>
        <v>962.55336078978269</v>
      </c>
      <c r="R719" s="69">
        <f t="shared" ca="1" si="492"/>
        <v>781.93052216727006</v>
      </c>
      <c r="S719" s="69">
        <f t="shared" ca="1" si="493"/>
        <v>701.04773426828831</v>
      </c>
      <c r="T719" s="69">
        <f t="shared" ca="1" si="494"/>
        <v>794.77672113099504</v>
      </c>
      <c r="U719" s="69">
        <f t="shared" ca="1" si="495"/>
        <v>1694.4133267531295</v>
      </c>
      <c r="V719" s="69">
        <f t="shared" ca="1" si="496"/>
        <v>1912.9442339351588</v>
      </c>
      <c r="W719" s="69">
        <f t="shared" ca="1" si="497"/>
        <v>1182.5890514319647</v>
      </c>
      <c r="X719" s="69">
        <f t="shared" ca="1" si="498"/>
        <v>1488.077551059961</v>
      </c>
      <c r="Y719" s="69">
        <f t="shared" ca="1" si="499"/>
        <v>1202.0776273276056</v>
      </c>
      <c r="AA719" s="20">
        <f t="shared" ca="1" si="459"/>
        <v>6.5672605524247776E+16</v>
      </c>
      <c r="AB719" s="20">
        <f t="shared" ca="1" si="460"/>
        <v>1688596247918342.8</v>
      </c>
      <c r="AC719" s="20">
        <f t="shared" ca="1" si="461"/>
        <v>402314404624048.56</v>
      </c>
      <c r="AD719" s="20">
        <f t="shared" ca="1" si="462"/>
        <v>303586541845318.81</v>
      </c>
      <c r="AE719" s="20">
        <f t="shared" ca="1" si="463"/>
        <v>6856675578867684</v>
      </c>
      <c r="AG719" s="16">
        <f t="shared" ca="1" si="464"/>
        <v>-1.0625772591718893E-4</v>
      </c>
      <c r="AH719" s="16">
        <f t="shared" ca="1" si="465"/>
        <v>1.0169261587833762E-3</v>
      </c>
      <c r="AI719" s="16">
        <f t="shared" ca="1" si="466"/>
        <v>6.7520370395270969E-6</v>
      </c>
      <c r="AJ719" s="16">
        <f t="shared" ca="1" si="467"/>
        <v>-6.3364731450326586E-4</v>
      </c>
      <c r="AK719" s="16">
        <f t="shared" ca="1" si="468"/>
        <v>4.8636278360751434E-5</v>
      </c>
      <c r="AM719" s="16">
        <f t="shared" ca="1" si="469"/>
        <v>2.8377315540244858E-4</v>
      </c>
      <c r="AO719" s="16">
        <f t="shared" ca="1" si="470"/>
        <v>-1.0625772591718893E-4</v>
      </c>
      <c r="AP719" s="16">
        <f t="shared" ca="1" si="471"/>
        <v>0</v>
      </c>
      <c r="AQ719" s="16">
        <f t="shared" ca="1" si="472"/>
        <v>0</v>
      </c>
      <c r="AR719" s="16">
        <f t="shared" ca="1" si="473"/>
        <v>-6.3364731450326586E-4</v>
      </c>
      <c r="AS719" s="16">
        <f t="shared" ca="1" si="474"/>
        <v>0</v>
      </c>
    </row>
    <row r="720" spans="1:45" x14ac:dyDescent="0.25">
      <c r="A720" s="69">
        <f t="shared" ca="1" si="475"/>
        <v>2452.1288805343747</v>
      </c>
      <c r="B720" s="69">
        <f t="shared" ca="1" si="476"/>
        <v>2137.5666792378065</v>
      </c>
      <c r="C720" s="69">
        <f t="shared" ca="1" si="477"/>
        <v>2234.0652217864185</v>
      </c>
      <c r="D720" s="69">
        <f t="shared" ca="1" si="478"/>
        <v>2900.8855823938338</v>
      </c>
      <c r="E720" s="69">
        <f t="shared" ca="1" si="479"/>
        <v>1933.0749326236173</v>
      </c>
      <c r="F720" s="69">
        <f t="shared" ca="1" si="480"/>
        <v>1218.244852196143</v>
      </c>
      <c r="G720" s="69">
        <f t="shared" ca="1" si="481"/>
        <v>968.50802082505788</v>
      </c>
      <c r="H720" s="69">
        <f t="shared" ca="1" si="482"/>
        <v>1188.6169767390052</v>
      </c>
      <c r="I720" s="69">
        <f t="shared" ca="1" si="483"/>
        <v>1051.6878571288437</v>
      </c>
      <c r="J720" s="69">
        <f t="shared" ca="1" si="484"/>
        <v>1146.0428876406738</v>
      </c>
      <c r="K720" s="69">
        <f t="shared" ca="1" si="485"/>
        <v>1171.7695409173562</v>
      </c>
      <c r="L720" s="69">
        <f t="shared" ca="1" si="486"/>
        <v>959.10635747535878</v>
      </c>
      <c r="M720" s="69">
        <f t="shared" ca="1" si="487"/>
        <v>994.01595087355247</v>
      </c>
      <c r="N720" s="69">
        <f t="shared" ca="1" si="488"/>
        <v>571.67716166187301</v>
      </c>
      <c r="O720" s="69">
        <f t="shared" ca="1" si="489"/>
        <v>629.96343767359781</v>
      </c>
      <c r="P720" s="69">
        <f t="shared" ca="1" si="490"/>
        <v>723.93038662228753</v>
      </c>
      <c r="Q720" s="69">
        <f t="shared" ca="1" si="491"/>
        <v>962.33721223792782</v>
      </c>
      <c r="R720" s="69">
        <f t="shared" ca="1" si="492"/>
        <v>781.58894910705499</v>
      </c>
      <c r="S720" s="69">
        <f t="shared" ca="1" si="493"/>
        <v>700.8411338140354</v>
      </c>
      <c r="T720" s="69">
        <f t="shared" ca="1" si="494"/>
        <v>795.03316514341338</v>
      </c>
      <c r="U720" s="69">
        <f t="shared" ca="1" si="495"/>
        <v>1694.023164323432</v>
      </c>
      <c r="V720" s="69">
        <f t="shared" ca="1" si="496"/>
        <v>1912.9442339351588</v>
      </c>
      <c r="W720" s="69">
        <f t="shared" ca="1" si="497"/>
        <v>1182.8886413910511</v>
      </c>
      <c r="X720" s="69">
        <f t="shared" ca="1" si="498"/>
        <v>1487.8527887738855</v>
      </c>
      <c r="Y720" s="69">
        <f t="shared" ca="1" si="499"/>
        <v>1202.2900272501488</v>
      </c>
      <c r="AA720" s="20">
        <f t="shared" ca="1" si="459"/>
        <v>6.5665627673261568E+16</v>
      </c>
      <c r="AB720" s="20">
        <f t="shared" ca="1" si="460"/>
        <v>1690314299031975.5</v>
      </c>
      <c r="AC720" s="20">
        <f t="shared" ca="1" si="461"/>
        <v>402317121074980.88</v>
      </c>
      <c r="AD720" s="20">
        <f t="shared" ca="1" si="462"/>
        <v>303394235981840.56</v>
      </c>
      <c r="AE720" s="20">
        <f t="shared" ca="1" si="463"/>
        <v>6857009070159589</v>
      </c>
      <c r="AG720" s="16">
        <f t="shared" ca="1" si="464"/>
        <v>-2.1800604713602143E-4</v>
      </c>
      <c r="AH720" s="16">
        <f t="shared" ca="1" si="465"/>
        <v>-3.7605215951048607E-4</v>
      </c>
      <c r="AI720" s="16">
        <f t="shared" ca="1" si="466"/>
        <v>2.8597211079448839E-4</v>
      </c>
      <c r="AJ720" s="16">
        <f t="shared" ca="1" si="467"/>
        <v>3.6577896810703614E-4</v>
      </c>
      <c r="AK720" s="16">
        <f t="shared" ca="1" si="468"/>
        <v>-2.8112239575086781E-4</v>
      </c>
      <c r="AM720" s="16">
        <f t="shared" ca="1" si="469"/>
        <v>5.7692872255017051E-5</v>
      </c>
      <c r="AO720" s="16">
        <f t="shared" ca="1" si="470"/>
        <v>-2.1800604713602143E-4</v>
      </c>
      <c r="AP720" s="16">
        <f t="shared" ca="1" si="471"/>
        <v>-3.7605215951048607E-4</v>
      </c>
      <c r="AQ720" s="16">
        <f t="shared" ca="1" si="472"/>
        <v>0</v>
      </c>
      <c r="AR720" s="16">
        <f t="shared" ca="1" si="473"/>
        <v>0</v>
      </c>
      <c r="AS720" s="16">
        <f t="shared" ca="1" si="474"/>
        <v>-2.8112239575086781E-4</v>
      </c>
    </row>
    <row r="721" spans="1:45" x14ac:dyDescent="0.25">
      <c r="A721" s="69">
        <f t="shared" ca="1" si="475"/>
        <v>2452.1288805343747</v>
      </c>
      <c r="B721" s="69">
        <f t="shared" ca="1" si="476"/>
        <v>2137.5666792378065</v>
      </c>
      <c r="C721" s="69">
        <f t="shared" ca="1" si="477"/>
        <v>2234.0652217864185</v>
      </c>
      <c r="D721" s="69">
        <f t="shared" ca="1" si="478"/>
        <v>2900.9410980215871</v>
      </c>
      <c r="E721" s="69">
        <f t="shared" ca="1" si="479"/>
        <v>1932.6165711287335</v>
      </c>
      <c r="F721" s="69">
        <f t="shared" ca="1" si="480"/>
        <v>1218.244852196143</v>
      </c>
      <c r="G721" s="69">
        <f t="shared" ca="1" si="481"/>
        <v>968.18009923691739</v>
      </c>
      <c r="H721" s="69">
        <f t="shared" ca="1" si="482"/>
        <v>1188.6530836314782</v>
      </c>
      <c r="I721" s="69">
        <f t="shared" ca="1" si="483"/>
        <v>1051.3007712257013</v>
      </c>
      <c r="J721" s="69">
        <f t="shared" ca="1" si="484"/>
        <v>1146.3871441716067</v>
      </c>
      <c r="K721" s="69">
        <f t="shared" ca="1" si="485"/>
        <v>1171.7695409173562</v>
      </c>
      <c r="L721" s="69">
        <f t="shared" ca="1" si="486"/>
        <v>958.97803812428754</v>
      </c>
      <c r="M721" s="69">
        <f t="shared" ca="1" si="487"/>
        <v>994.01595087355247</v>
      </c>
      <c r="N721" s="69">
        <f t="shared" ca="1" si="488"/>
        <v>571.67716166187301</v>
      </c>
      <c r="O721" s="69">
        <f t="shared" ca="1" si="489"/>
        <v>630.22793394065957</v>
      </c>
      <c r="P721" s="69">
        <f t="shared" ca="1" si="490"/>
        <v>723.93038662228753</v>
      </c>
      <c r="Q721" s="69">
        <f t="shared" ca="1" si="491"/>
        <v>962.48848155769247</v>
      </c>
      <c r="R721" s="69">
        <f t="shared" ca="1" si="492"/>
        <v>781.38324865249479</v>
      </c>
      <c r="S721" s="69">
        <f t="shared" ca="1" si="493"/>
        <v>701.17188188765942</v>
      </c>
      <c r="T721" s="69">
        <f t="shared" ca="1" si="494"/>
        <v>795.03316514341338</v>
      </c>
      <c r="U721" s="69">
        <f t="shared" ca="1" si="495"/>
        <v>1694.0541875389772</v>
      </c>
      <c r="V721" s="69">
        <f t="shared" ca="1" si="496"/>
        <v>1912.7225171389578</v>
      </c>
      <c r="W721" s="69">
        <f t="shared" ca="1" si="497"/>
        <v>1182.6862390230863</v>
      </c>
      <c r="X721" s="69">
        <f t="shared" ca="1" si="498"/>
        <v>1487.9854195435908</v>
      </c>
      <c r="Y721" s="69">
        <f t="shared" ca="1" si="499"/>
        <v>1202.1679521390411</v>
      </c>
      <c r="AA721" s="20">
        <f t="shared" ca="1" si="459"/>
        <v>6.565131372965964E+16</v>
      </c>
      <c r="AB721" s="20">
        <f t="shared" ca="1" si="460"/>
        <v>1689678772192682.8</v>
      </c>
      <c r="AC721" s="20">
        <f t="shared" ca="1" si="461"/>
        <v>402432189003628.5</v>
      </c>
      <c r="AD721" s="20">
        <f t="shared" ca="1" si="462"/>
        <v>303505231511085.13</v>
      </c>
      <c r="AE721" s="20">
        <f t="shared" ca="1" si="463"/>
        <v>6855081682270744</v>
      </c>
      <c r="AG721" s="16">
        <f t="shared" ca="1" si="464"/>
        <v>7.7815438389026699E-5</v>
      </c>
      <c r="AH721" s="16">
        <f t="shared" ca="1" si="465"/>
        <v>2.0162693759643262E-4</v>
      </c>
      <c r="AI721" s="16">
        <f t="shared" ca="1" si="466"/>
        <v>1.2320840506006804E-3</v>
      </c>
      <c r="AJ721" s="16">
        <f t="shared" ca="1" si="467"/>
        <v>8.2590517248973543E-4</v>
      </c>
      <c r="AK721" s="16">
        <f t="shared" ca="1" si="468"/>
        <v>-3.262166862674235E-5</v>
      </c>
      <c r="AM721" s="16">
        <f t="shared" ca="1" si="469"/>
        <v>2.3374315990758749E-3</v>
      </c>
      <c r="AO721" s="16">
        <f t="shared" ca="1" si="470"/>
        <v>0</v>
      </c>
      <c r="AP721" s="16">
        <f t="shared" ca="1" si="471"/>
        <v>0</v>
      </c>
      <c r="AQ721" s="16">
        <f t="shared" ca="1" si="472"/>
        <v>0</v>
      </c>
      <c r="AR721" s="16">
        <f t="shared" ca="1" si="473"/>
        <v>0</v>
      </c>
      <c r="AS721" s="16">
        <f t="shared" ca="1" si="474"/>
        <v>-3.262166862674235E-5</v>
      </c>
    </row>
    <row r="722" spans="1:45" x14ac:dyDescent="0.25">
      <c r="A722" s="69">
        <f t="shared" ca="1" si="475"/>
        <v>2452.1288805343747</v>
      </c>
      <c r="B722" s="69">
        <f t="shared" ca="1" si="476"/>
        <v>2137.320540427474</v>
      </c>
      <c r="C722" s="69">
        <f t="shared" ca="1" si="477"/>
        <v>2234.0322375899532</v>
      </c>
      <c r="D722" s="69">
        <f t="shared" ca="1" si="478"/>
        <v>2900.9410980215871</v>
      </c>
      <c r="E722" s="69">
        <f t="shared" ca="1" si="479"/>
        <v>1933.0180858049312</v>
      </c>
      <c r="F722" s="69">
        <f t="shared" ca="1" si="480"/>
        <v>1218.4234906030783</v>
      </c>
      <c r="G722" s="69">
        <f t="shared" ca="1" si="481"/>
        <v>968.63298525482355</v>
      </c>
      <c r="H722" s="69">
        <f t="shared" ca="1" si="482"/>
        <v>1188.8916310350664</v>
      </c>
      <c r="I722" s="69">
        <f t="shared" ca="1" si="483"/>
        <v>1051.0813173782165</v>
      </c>
      <c r="J722" s="69">
        <f t="shared" ca="1" si="484"/>
        <v>1145.9234562630004</v>
      </c>
      <c r="K722" s="69">
        <f t="shared" ca="1" si="485"/>
        <v>1171.7695409173562</v>
      </c>
      <c r="L722" s="69">
        <f t="shared" ca="1" si="486"/>
        <v>959.38480931178026</v>
      </c>
      <c r="M722" s="69">
        <f t="shared" ca="1" si="487"/>
        <v>994.13541759497969</v>
      </c>
      <c r="N722" s="69">
        <f t="shared" ca="1" si="488"/>
        <v>571.63224989009939</v>
      </c>
      <c r="O722" s="69">
        <f t="shared" ca="1" si="489"/>
        <v>630.71111836116324</v>
      </c>
      <c r="P722" s="69">
        <f t="shared" ca="1" si="490"/>
        <v>724.13472674355603</v>
      </c>
      <c r="Q722" s="69">
        <f t="shared" ca="1" si="491"/>
        <v>962.63678015025403</v>
      </c>
      <c r="R722" s="69">
        <f t="shared" ca="1" si="492"/>
        <v>781.6283131009244</v>
      </c>
      <c r="S722" s="69">
        <f t="shared" ca="1" si="493"/>
        <v>701.18965919751281</v>
      </c>
      <c r="T722" s="69">
        <f t="shared" ca="1" si="494"/>
        <v>795.07345881823016</v>
      </c>
      <c r="U722" s="69">
        <f t="shared" ca="1" si="495"/>
        <v>1694.452313727561</v>
      </c>
      <c r="V722" s="69">
        <f t="shared" ca="1" si="496"/>
        <v>1912.7225171389578</v>
      </c>
      <c r="W722" s="69">
        <f t="shared" ca="1" si="497"/>
        <v>1182.7632088732237</v>
      </c>
      <c r="X722" s="69">
        <f t="shared" ca="1" si="498"/>
        <v>1487.9018106038764</v>
      </c>
      <c r="Y722" s="69">
        <f t="shared" ca="1" si="499"/>
        <v>1201.8356041975171</v>
      </c>
      <c r="AA722" s="20">
        <f t="shared" ca="1" si="459"/>
        <v>6.5656422614190792E+16</v>
      </c>
      <c r="AB722" s="20">
        <f t="shared" ca="1" si="460"/>
        <v>1690019491296962</v>
      </c>
      <c r="AC722" s="20">
        <f t="shared" ca="1" si="461"/>
        <v>402928324862925.31</v>
      </c>
      <c r="AD722" s="20">
        <f t="shared" ca="1" si="462"/>
        <v>303756001593567.38</v>
      </c>
      <c r="AE722" s="20">
        <f t="shared" ca="1" si="463"/>
        <v>6854858061715153</v>
      </c>
      <c r="AG722" s="16">
        <f t="shared" ca="1" si="464"/>
        <v>-2.5644413527149505E-4</v>
      </c>
      <c r="AH722" s="16">
        <f t="shared" ca="1" si="465"/>
        <v>-5.7544281608991541E-5</v>
      </c>
      <c r="AI722" s="16">
        <f t="shared" ca="1" si="466"/>
        <v>8.2361243216914348E-5</v>
      </c>
      <c r="AJ722" s="16">
        <f t="shared" ca="1" si="467"/>
        <v>-1.1286449071211617E-3</v>
      </c>
      <c r="AK722" s="16">
        <f t="shared" ca="1" si="468"/>
        <v>4.3818799334890241E-4</v>
      </c>
      <c r="AM722" s="16">
        <f t="shared" ca="1" si="469"/>
        <v>-1.360272080784734E-3</v>
      </c>
      <c r="AO722" s="16">
        <f t="shared" ca="1" si="470"/>
        <v>-2.5644413527149505E-4</v>
      </c>
      <c r="AP722" s="16">
        <f t="shared" ca="1" si="471"/>
        <v>-5.7544281608991541E-5</v>
      </c>
      <c r="AQ722" s="16">
        <f t="shared" ca="1" si="472"/>
        <v>0</v>
      </c>
      <c r="AR722" s="16">
        <f t="shared" ca="1" si="473"/>
        <v>-1.1286449071211617E-3</v>
      </c>
      <c r="AS722" s="16">
        <f t="shared" ca="1" si="474"/>
        <v>0</v>
      </c>
    </row>
    <row r="723" spans="1:45" x14ac:dyDescent="0.25">
      <c r="A723" s="69">
        <f t="shared" ca="1" si="475"/>
        <v>2451.8863054858489</v>
      </c>
      <c r="B723" s="69">
        <f t="shared" ca="1" si="476"/>
        <v>2137.320540427474</v>
      </c>
      <c r="C723" s="69">
        <f t="shared" ca="1" si="477"/>
        <v>2233.8706071737911</v>
      </c>
      <c r="D723" s="69">
        <f t="shared" ca="1" si="478"/>
        <v>2900.4783603794458</v>
      </c>
      <c r="E723" s="69">
        <f t="shared" ca="1" si="479"/>
        <v>1933.1618351898201</v>
      </c>
      <c r="F723" s="69">
        <f t="shared" ca="1" si="480"/>
        <v>1218.4087337736539</v>
      </c>
      <c r="G723" s="69">
        <f t="shared" ca="1" si="481"/>
        <v>968.63298525482355</v>
      </c>
      <c r="H723" s="69">
        <f t="shared" ca="1" si="482"/>
        <v>1188.5192841586604</v>
      </c>
      <c r="I723" s="69">
        <f t="shared" ca="1" si="483"/>
        <v>1051.2431133647208</v>
      </c>
      <c r="J723" s="69">
        <f t="shared" ca="1" si="484"/>
        <v>1146.0539654129691</v>
      </c>
      <c r="K723" s="69">
        <f t="shared" ca="1" si="485"/>
        <v>1171.9613353765153</v>
      </c>
      <c r="L723" s="69">
        <f t="shared" ca="1" si="486"/>
        <v>959.50057408490602</v>
      </c>
      <c r="M723" s="69">
        <f t="shared" ca="1" si="487"/>
        <v>994.13541759497969</v>
      </c>
      <c r="N723" s="69">
        <f t="shared" ca="1" si="488"/>
        <v>571.63224989009939</v>
      </c>
      <c r="O723" s="69">
        <f t="shared" ca="1" si="489"/>
        <v>630.58375088289563</v>
      </c>
      <c r="P723" s="69">
        <f t="shared" ca="1" si="490"/>
        <v>724.13472674355603</v>
      </c>
      <c r="Q723" s="69">
        <f t="shared" ca="1" si="491"/>
        <v>962.33673437254959</v>
      </c>
      <c r="R723" s="69">
        <f t="shared" ca="1" si="492"/>
        <v>781.6283131009244</v>
      </c>
      <c r="S723" s="69">
        <f t="shared" ca="1" si="493"/>
        <v>700.90734741260781</v>
      </c>
      <c r="T723" s="69">
        <f t="shared" ca="1" si="494"/>
        <v>794.74420331229146</v>
      </c>
      <c r="U723" s="69">
        <f t="shared" ca="1" si="495"/>
        <v>1694.2828367784246</v>
      </c>
      <c r="V723" s="69">
        <f t="shared" ca="1" si="496"/>
        <v>1912.6744896491241</v>
      </c>
      <c r="W723" s="69">
        <f t="shared" ca="1" si="497"/>
        <v>1182.9147987248716</v>
      </c>
      <c r="X723" s="69">
        <f t="shared" ca="1" si="498"/>
        <v>1488.1815506339876</v>
      </c>
      <c r="Y723" s="69">
        <f t="shared" ca="1" si="499"/>
        <v>1202.1327008030207</v>
      </c>
      <c r="AA723" s="20">
        <f t="shared" ca="1" si="459"/>
        <v>6.563958756838512E+16</v>
      </c>
      <c r="AB723" s="20">
        <f t="shared" ca="1" si="460"/>
        <v>1689922243137494.8</v>
      </c>
      <c r="AC723" s="20">
        <f t="shared" ca="1" si="461"/>
        <v>402961511907332.69</v>
      </c>
      <c r="AD723" s="20">
        <f t="shared" ca="1" si="462"/>
        <v>303413362324766.44</v>
      </c>
      <c r="AE723" s="20">
        <f t="shared" ca="1" si="463"/>
        <v>6857862436406294</v>
      </c>
      <c r="AG723" s="16">
        <f t="shared" ca="1" si="464"/>
        <v>-2.3434140388079409E-6</v>
      </c>
      <c r="AH723" s="16">
        <f t="shared" ca="1" si="465"/>
        <v>-2.7923579753388964E-4</v>
      </c>
      <c r="AI723" s="16">
        <f t="shared" ca="1" si="466"/>
        <v>9.6964453330000201E-4</v>
      </c>
      <c r="AJ723" s="16">
        <f t="shared" ca="1" si="467"/>
        <v>-7.7679237364136839E-4</v>
      </c>
      <c r="AK723" s="16">
        <f t="shared" ca="1" si="468"/>
        <v>2.6677160383664861E-4</v>
      </c>
      <c r="AM723" s="16">
        <f t="shared" ca="1" si="469"/>
        <v>-8.872705191406401E-5</v>
      </c>
      <c r="AO723" s="16">
        <f t="shared" ca="1" si="470"/>
        <v>-2.3434140388079409E-6</v>
      </c>
      <c r="AP723" s="16">
        <f t="shared" ca="1" si="471"/>
        <v>-2.7923579753388964E-4</v>
      </c>
      <c r="AQ723" s="16">
        <f t="shared" ca="1" si="472"/>
        <v>0</v>
      </c>
      <c r="AR723" s="16">
        <f t="shared" ca="1" si="473"/>
        <v>-7.7679237364136839E-4</v>
      </c>
      <c r="AS723" s="16">
        <f t="shared" ca="1" si="474"/>
        <v>0</v>
      </c>
    </row>
    <row r="724" spans="1:45" x14ac:dyDescent="0.25">
      <c r="A724" s="69">
        <f t="shared" ca="1" si="475"/>
        <v>2451.4080549590644</v>
      </c>
      <c r="B724" s="69">
        <f t="shared" ca="1" si="476"/>
        <v>2137.0587891106543</v>
      </c>
      <c r="C724" s="69">
        <f t="shared" ca="1" si="477"/>
        <v>2233.8706071737911</v>
      </c>
      <c r="D724" s="69">
        <f t="shared" ca="1" si="478"/>
        <v>2900.7414699733604</v>
      </c>
      <c r="E724" s="69">
        <f t="shared" ca="1" si="479"/>
        <v>1933.5958708160613</v>
      </c>
      <c r="F724" s="69">
        <f t="shared" ca="1" si="480"/>
        <v>1218.4774856368886</v>
      </c>
      <c r="G724" s="69">
        <f t="shared" ca="1" si="481"/>
        <v>968.21964766870917</v>
      </c>
      <c r="H724" s="69">
        <f t="shared" ca="1" si="482"/>
        <v>1188.3112322597094</v>
      </c>
      <c r="I724" s="69">
        <f t="shared" ca="1" si="483"/>
        <v>1051.5230110363059</v>
      </c>
      <c r="J724" s="69">
        <f t="shared" ca="1" si="484"/>
        <v>1146.0539654129691</v>
      </c>
      <c r="K724" s="69">
        <f t="shared" ca="1" si="485"/>
        <v>1171.9613353765153</v>
      </c>
      <c r="L724" s="69">
        <f t="shared" ca="1" si="486"/>
        <v>959.48847116406967</v>
      </c>
      <c r="M724" s="69">
        <f t="shared" ca="1" si="487"/>
        <v>994.57291722042442</v>
      </c>
      <c r="N724" s="69">
        <f t="shared" ca="1" si="488"/>
        <v>571.70552058804844</v>
      </c>
      <c r="O724" s="69">
        <f t="shared" ca="1" si="489"/>
        <v>630.8449327517784</v>
      </c>
      <c r="P724" s="69">
        <f t="shared" ca="1" si="490"/>
        <v>724.13472674355603</v>
      </c>
      <c r="Q724" s="69">
        <f t="shared" ca="1" si="491"/>
        <v>962.33673437254959</v>
      </c>
      <c r="R724" s="69">
        <f t="shared" ca="1" si="492"/>
        <v>781.47024597382494</v>
      </c>
      <c r="S724" s="69">
        <f t="shared" ca="1" si="493"/>
        <v>700.90734741260781</v>
      </c>
      <c r="T724" s="69">
        <f t="shared" ca="1" si="494"/>
        <v>794.28771900433674</v>
      </c>
      <c r="U724" s="69">
        <f t="shared" ca="1" si="495"/>
        <v>1694.5307734306318</v>
      </c>
      <c r="V724" s="69">
        <f t="shared" ca="1" si="496"/>
        <v>1912.6744896491241</v>
      </c>
      <c r="W724" s="69">
        <f t="shared" ca="1" si="497"/>
        <v>1182.8586032851051</v>
      </c>
      <c r="X724" s="69">
        <f t="shared" ca="1" si="498"/>
        <v>1488.1933781062735</v>
      </c>
      <c r="Y724" s="69">
        <f t="shared" ca="1" si="499"/>
        <v>1202.325062892751</v>
      </c>
      <c r="AA724" s="20">
        <f t="shared" ca="1" si="459"/>
        <v>6.5639433747834344E+16</v>
      </c>
      <c r="AB724" s="20">
        <f t="shared" ca="1" si="460"/>
        <v>1689450422229871.5</v>
      </c>
      <c r="AC724" s="20">
        <f t="shared" ca="1" si="461"/>
        <v>403352430830053.25</v>
      </c>
      <c r="AD724" s="20">
        <f t="shared" ca="1" si="462"/>
        <v>303177764655934.63</v>
      </c>
      <c r="AE724" s="20">
        <f t="shared" ca="1" si="463"/>
        <v>6859692163416099</v>
      </c>
      <c r="AG724" s="16">
        <f t="shared" ca="1" si="464"/>
        <v>-8.5006771181227051E-5</v>
      </c>
      <c r="AH724" s="16">
        <f t="shared" ca="1" si="465"/>
        <v>-1.125187355161055E-3</v>
      </c>
      <c r="AI724" s="16">
        <f t="shared" ca="1" si="466"/>
        <v>5.2752535320504425E-4</v>
      </c>
      <c r="AJ724" s="16">
        <f t="shared" ca="1" si="467"/>
        <v>7.3900144705174185E-4</v>
      </c>
      <c r="AK724" s="16">
        <f t="shared" ca="1" si="468"/>
        <v>-3.0322230768746504E-4</v>
      </c>
      <c r="AM724" s="16">
        <f t="shared" ca="1" si="469"/>
        <v>5.6332673914504037E-5</v>
      </c>
      <c r="AO724" s="16">
        <f t="shared" ca="1" si="470"/>
        <v>-8.5006771181227051E-5</v>
      </c>
      <c r="AP724" s="16">
        <f t="shared" ca="1" si="471"/>
        <v>-1.125187355161055E-3</v>
      </c>
      <c r="AQ724" s="16">
        <f t="shared" ca="1" si="472"/>
        <v>0</v>
      </c>
      <c r="AR724" s="16">
        <f t="shared" ca="1" si="473"/>
        <v>0</v>
      </c>
      <c r="AS724" s="16">
        <f t="shared" ca="1" si="474"/>
        <v>-3.0322230768746504E-4</v>
      </c>
    </row>
    <row r="725" spans="1:45" x14ac:dyDescent="0.25">
      <c r="A725" s="69">
        <f t="shared" ca="1" si="475"/>
        <v>2451.5098282537438</v>
      </c>
      <c r="B725" s="69">
        <f t="shared" ca="1" si="476"/>
        <v>2136.7112700870657</v>
      </c>
      <c r="C725" s="69">
        <f t="shared" ca="1" si="477"/>
        <v>2233.7419329120476</v>
      </c>
      <c r="D725" s="69">
        <f t="shared" ca="1" si="478"/>
        <v>2900.7414699733604</v>
      </c>
      <c r="E725" s="69">
        <f t="shared" ca="1" si="479"/>
        <v>1933.7770761154766</v>
      </c>
      <c r="F725" s="69">
        <f t="shared" ca="1" si="480"/>
        <v>1218.3363112117493</v>
      </c>
      <c r="G725" s="69">
        <f t="shared" ca="1" si="481"/>
        <v>967.770546439246</v>
      </c>
      <c r="H725" s="69">
        <f t="shared" ca="1" si="482"/>
        <v>1187.8524879005442</v>
      </c>
      <c r="I725" s="69">
        <f t="shared" ca="1" si="483"/>
        <v>1051.5230110363059</v>
      </c>
      <c r="J725" s="69">
        <f t="shared" ca="1" si="484"/>
        <v>1145.8714736560314</v>
      </c>
      <c r="K725" s="69">
        <f t="shared" ca="1" si="485"/>
        <v>1171.9613353765153</v>
      </c>
      <c r="L725" s="69">
        <f t="shared" ca="1" si="486"/>
        <v>959.48847116406967</v>
      </c>
      <c r="M725" s="69">
        <f t="shared" ca="1" si="487"/>
        <v>994.94731965240931</v>
      </c>
      <c r="N725" s="69">
        <f t="shared" ca="1" si="488"/>
        <v>572.15755709895575</v>
      </c>
      <c r="O725" s="69">
        <f t="shared" ca="1" si="489"/>
        <v>630.4418144847167</v>
      </c>
      <c r="P725" s="69">
        <f t="shared" ca="1" si="490"/>
        <v>724.58525696877825</v>
      </c>
      <c r="Q725" s="69">
        <f t="shared" ca="1" si="491"/>
        <v>962.33673437254959</v>
      </c>
      <c r="R725" s="69">
        <f t="shared" ca="1" si="492"/>
        <v>781.47024597382494</v>
      </c>
      <c r="S725" s="69">
        <f t="shared" ca="1" si="493"/>
        <v>700.9893803600346</v>
      </c>
      <c r="T725" s="69">
        <f t="shared" ca="1" si="494"/>
        <v>794.28771900433674</v>
      </c>
      <c r="U725" s="69">
        <f t="shared" ca="1" si="495"/>
        <v>1694.5307734306318</v>
      </c>
      <c r="V725" s="69">
        <f t="shared" ca="1" si="496"/>
        <v>1912.6744896491241</v>
      </c>
      <c r="W725" s="69">
        <f t="shared" ca="1" si="497"/>
        <v>1182.4999885424918</v>
      </c>
      <c r="X725" s="69">
        <f t="shared" ca="1" si="498"/>
        <v>1488.1933781062735</v>
      </c>
      <c r="Y725" s="69">
        <f t="shared" ca="1" si="499"/>
        <v>1202.325062892751</v>
      </c>
      <c r="AA725" s="20">
        <f t="shared" ca="1" si="459"/>
        <v>6.5633854188662792E+16</v>
      </c>
      <c r="AB725" s="20">
        <f t="shared" ca="1" si="460"/>
        <v>1687550543038073</v>
      </c>
      <c r="AC725" s="20">
        <f t="shared" ca="1" si="461"/>
        <v>403565265596524.94</v>
      </c>
      <c r="AD725" s="20">
        <f t="shared" ca="1" si="462"/>
        <v>303401896269322.31</v>
      </c>
      <c r="AE725" s="20">
        <f t="shared" ca="1" si="463"/>
        <v>6857612467049383</v>
      </c>
      <c r="AG725" s="16">
        <f t="shared" ca="1" si="464"/>
        <v>-9.6146611137225482E-6</v>
      </c>
      <c r="AH725" s="16">
        <f t="shared" ca="1" si="465"/>
        <v>-1.6339144912944924E-4</v>
      </c>
      <c r="AI725" s="16">
        <f t="shared" ca="1" si="466"/>
        <v>2.3004786962204689E-4</v>
      </c>
      <c r="AJ725" s="16">
        <f t="shared" ca="1" si="467"/>
        <v>1.5422763839251863E-3</v>
      </c>
      <c r="AK725" s="16">
        <f t="shared" ca="1" si="468"/>
        <v>9.2999691037944242E-5</v>
      </c>
      <c r="AM725" s="16">
        <f t="shared" ca="1" si="469"/>
        <v>1.5993181433040615E-3</v>
      </c>
      <c r="AO725" s="16">
        <f t="shared" ca="1" si="470"/>
        <v>-9.6146611137225482E-6</v>
      </c>
      <c r="AP725" s="16">
        <f t="shared" ca="1" si="471"/>
        <v>-1.6339144912944924E-4</v>
      </c>
      <c r="AQ725" s="16">
        <f t="shared" ca="1" si="472"/>
        <v>0</v>
      </c>
      <c r="AR725" s="16">
        <f t="shared" ca="1" si="473"/>
        <v>0</v>
      </c>
      <c r="AS725" s="16">
        <f t="shared" ca="1" si="474"/>
        <v>0</v>
      </c>
    </row>
    <row r="726" spans="1:45" x14ac:dyDescent="0.25">
      <c r="A726" s="69">
        <f t="shared" ca="1" si="475"/>
        <v>2451.5098282537438</v>
      </c>
      <c r="B726" s="69">
        <f t="shared" ca="1" si="476"/>
        <v>2137.1747453812636</v>
      </c>
      <c r="C726" s="69">
        <f t="shared" ca="1" si="477"/>
        <v>2233.2860307242463</v>
      </c>
      <c r="D726" s="69">
        <f t="shared" ca="1" si="478"/>
        <v>2901.0413507335138</v>
      </c>
      <c r="E726" s="69">
        <f t="shared" ca="1" si="479"/>
        <v>1933.533902868269</v>
      </c>
      <c r="F726" s="69">
        <f t="shared" ca="1" si="480"/>
        <v>1218.3363112117493</v>
      </c>
      <c r="G726" s="69">
        <f t="shared" ca="1" si="481"/>
        <v>967.770546439246</v>
      </c>
      <c r="H726" s="69">
        <f t="shared" ca="1" si="482"/>
        <v>1187.5700031280035</v>
      </c>
      <c r="I726" s="69">
        <f t="shared" ca="1" si="483"/>
        <v>1051.6012978997942</v>
      </c>
      <c r="J726" s="69">
        <f t="shared" ca="1" si="484"/>
        <v>1145.8714736560314</v>
      </c>
      <c r="K726" s="69">
        <f t="shared" ca="1" si="485"/>
        <v>1171.8399671944471</v>
      </c>
      <c r="L726" s="69">
        <f t="shared" ca="1" si="486"/>
        <v>959.80862250511859</v>
      </c>
      <c r="M726" s="69">
        <f t="shared" ca="1" si="487"/>
        <v>994.94731965240931</v>
      </c>
      <c r="N726" s="69">
        <f t="shared" ca="1" si="488"/>
        <v>572.15755709895575</v>
      </c>
      <c r="O726" s="69">
        <f t="shared" ca="1" si="489"/>
        <v>630.4418144847167</v>
      </c>
      <c r="P726" s="69">
        <f t="shared" ca="1" si="490"/>
        <v>724.77966591866402</v>
      </c>
      <c r="Q726" s="69">
        <f t="shared" ca="1" si="491"/>
        <v>962.40592599243928</v>
      </c>
      <c r="R726" s="69">
        <f t="shared" ca="1" si="492"/>
        <v>781.47024597382494</v>
      </c>
      <c r="S726" s="69">
        <f t="shared" ca="1" si="493"/>
        <v>701.44395523257879</v>
      </c>
      <c r="T726" s="69">
        <f t="shared" ca="1" si="494"/>
        <v>794.72775364836468</v>
      </c>
      <c r="U726" s="69">
        <f t="shared" ca="1" si="495"/>
        <v>1694.7540120637118</v>
      </c>
      <c r="V726" s="69">
        <f t="shared" ca="1" si="496"/>
        <v>1912.600408782575</v>
      </c>
      <c r="W726" s="69">
        <f t="shared" ca="1" si="497"/>
        <v>1182.4999885424918</v>
      </c>
      <c r="X726" s="69">
        <f t="shared" ca="1" si="498"/>
        <v>1488.1933781062735</v>
      </c>
      <c r="Y726" s="69">
        <f t="shared" ca="1" si="499"/>
        <v>1202.325062892751</v>
      </c>
      <c r="AA726" s="20">
        <f t="shared" ca="1" si="459"/>
        <v>6.5633223144430824E+16</v>
      </c>
      <c r="AB726" s="20">
        <f t="shared" ca="1" si="460"/>
        <v>1687274834234210.8</v>
      </c>
      <c r="AC726" s="20">
        <f t="shared" ca="1" si="461"/>
        <v>403658115605692.81</v>
      </c>
      <c r="AD726" s="20">
        <f t="shared" ca="1" si="462"/>
        <v>303870186872722.19</v>
      </c>
      <c r="AE726" s="20">
        <f t="shared" ca="1" si="463"/>
        <v>6858250252546544</v>
      </c>
      <c r="AG726" s="16">
        <f t="shared" ca="1" si="464"/>
        <v>0</v>
      </c>
      <c r="AH726" s="16">
        <f t="shared" ca="1" si="465"/>
        <v>-6.8849642495822847E-4</v>
      </c>
      <c r="AI726" s="16">
        <f t="shared" ca="1" si="466"/>
        <v>-2.7727199070881115E-4</v>
      </c>
      <c r="AJ726" s="16">
        <f t="shared" ca="1" si="467"/>
        <v>-8.0215173164187011E-4</v>
      </c>
      <c r="AK726" s="16">
        <f t="shared" ca="1" si="468"/>
        <v>-1.9753756716117573E-4</v>
      </c>
      <c r="AM726" s="16">
        <f t="shared" ca="1" si="469"/>
        <v>-1.7679201473089097E-3</v>
      </c>
      <c r="AO726" s="16">
        <f t="shared" ca="1" si="470"/>
        <v>0</v>
      </c>
      <c r="AP726" s="16">
        <f t="shared" ca="1" si="471"/>
        <v>-6.8849642495822847E-4</v>
      </c>
      <c r="AQ726" s="16">
        <f t="shared" ca="1" si="472"/>
        <v>-2.7727199070881115E-4</v>
      </c>
      <c r="AR726" s="16">
        <f t="shared" ca="1" si="473"/>
        <v>-8.0215173164187011E-4</v>
      </c>
      <c r="AS726" s="16">
        <f t="shared" ca="1" si="474"/>
        <v>-1.9753756716117573E-4</v>
      </c>
    </row>
    <row r="727" spans="1:45" x14ac:dyDescent="0.25">
      <c r="A727" s="69">
        <f t="shared" ca="1" si="475"/>
        <v>2451.5098282537438</v>
      </c>
      <c r="B727" s="69">
        <f t="shared" ca="1" si="476"/>
        <v>2137.1747453812636</v>
      </c>
      <c r="C727" s="69">
        <f t="shared" ca="1" si="477"/>
        <v>2233.2860307242463</v>
      </c>
      <c r="D727" s="69">
        <f t="shared" ca="1" si="478"/>
        <v>2901.0413507335138</v>
      </c>
      <c r="E727" s="69">
        <f t="shared" ca="1" si="479"/>
        <v>1933.533902868269</v>
      </c>
      <c r="F727" s="69">
        <f t="shared" ca="1" si="480"/>
        <v>1218.3363112117493</v>
      </c>
      <c r="G727" s="69">
        <f t="shared" ca="1" si="481"/>
        <v>967.42276076148153</v>
      </c>
      <c r="H727" s="69">
        <f t="shared" ca="1" si="482"/>
        <v>1187.6441365347498</v>
      </c>
      <c r="I727" s="69">
        <f t="shared" ca="1" si="483"/>
        <v>1051.4135165182165</v>
      </c>
      <c r="J727" s="69">
        <f t="shared" ca="1" si="484"/>
        <v>1145.6275396932515</v>
      </c>
      <c r="K727" s="69">
        <f t="shared" ca="1" si="485"/>
        <v>1171.8399671944471</v>
      </c>
      <c r="L727" s="69">
        <f t="shared" ca="1" si="486"/>
        <v>959.83910041781985</v>
      </c>
      <c r="M727" s="69">
        <f t="shared" ca="1" si="487"/>
        <v>994.54327546316188</v>
      </c>
      <c r="N727" s="69">
        <f t="shared" ca="1" si="488"/>
        <v>572.16103992385843</v>
      </c>
      <c r="O727" s="69">
        <f t="shared" ca="1" si="489"/>
        <v>630.49922874937999</v>
      </c>
      <c r="P727" s="69">
        <f t="shared" ca="1" si="490"/>
        <v>724.72060217507158</v>
      </c>
      <c r="Q727" s="69">
        <f t="shared" ca="1" si="491"/>
        <v>962.40592599243928</v>
      </c>
      <c r="R727" s="69">
        <f t="shared" ca="1" si="492"/>
        <v>781.20351209371631</v>
      </c>
      <c r="S727" s="69">
        <f t="shared" ca="1" si="493"/>
        <v>701.17796551719687</v>
      </c>
      <c r="T727" s="69">
        <f t="shared" ca="1" si="494"/>
        <v>794.72775364836468</v>
      </c>
      <c r="U727" s="69">
        <f t="shared" ca="1" si="495"/>
        <v>1694.6272447278618</v>
      </c>
      <c r="V727" s="69">
        <f t="shared" ca="1" si="496"/>
        <v>1912.2303672100561</v>
      </c>
      <c r="W727" s="69">
        <f t="shared" ca="1" si="497"/>
        <v>1182.0203956199871</v>
      </c>
      <c r="X727" s="69">
        <f t="shared" ca="1" si="498"/>
        <v>1488.5380965354348</v>
      </c>
      <c r="Y727" s="69">
        <f t="shared" ca="1" si="499"/>
        <v>1202.6194382261551</v>
      </c>
      <c r="AA727" s="20">
        <f t="shared" ca="1" si="459"/>
        <v>6.5633223144430824E+16</v>
      </c>
      <c r="AB727" s="20">
        <f t="shared" ca="1" si="460"/>
        <v>1686113551358346</v>
      </c>
      <c r="AC727" s="20">
        <f t="shared" ca="1" si="461"/>
        <v>403546208031547.94</v>
      </c>
      <c r="AD727" s="20">
        <f t="shared" ca="1" si="462"/>
        <v>303626534612234</v>
      </c>
      <c r="AE727" s="20">
        <f t="shared" ca="1" si="463"/>
        <v>6856895624276065</v>
      </c>
      <c r="AG727" s="16">
        <f t="shared" ca="1" si="464"/>
        <v>3.7921133255037267E-4</v>
      </c>
      <c r="AH727" s="16">
        <f t="shared" ca="1" si="465"/>
        <v>8.2213476793131161E-5</v>
      </c>
      <c r="AI727" s="16">
        <f t="shared" ca="1" si="466"/>
        <v>-5.275932901698412E-4</v>
      </c>
      <c r="AJ727" s="16">
        <f t="shared" ca="1" si="467"/>
        <v>8.1432747878776339E-5</v>
      </c>
      <c r="AK727" s="16">
        <f t="shared" ca="1" si="468"/>
        <v>-2.8454309094989643E-4</v>
      </c>
      <c r="AM727" s="16">
        <f t="shared" ca="1" si="469"/>
        <v>1.5264267052438968E-5</v>
      </c>
      <c r="AO727" s="16">
        <f t="shared" ca="1" si="470"/>
        <v>0</v>
      </c>
      <c r="AP727" s="16">
        <f t="shared" ca="1" si="471"/>
        <v>0</v>
      </c>
      <c r="AQ727" s="16">
        <f t="shared" ca="1" si="472"/>
        <v>-5.275932901698412E-4</v>
      </c>
      <c r="AR727" s="16">
        <f t="shared" ca="1" si="473"/>
        <v>0</v>
      </c>
      <c r="AS727" s="16">
        <f t="shared" ca="1" si="474"/>
        <v>-2.8454309094989643E-4</v>
      </c>
    </row>
    <row r="728" spans="1:45" x14ac:dyDescent="0.25">
      <c r="A728" s="69">
        <f t="shared" ca="1" si="475"/>
        <v>2451.3590195535826</v>
      </c>
      <c r="B728" s="69">
        <f t="shared" ca="1" si="476"/>
        <v>2137.6524001015318</v>
      </c>
      <c r="C728" s="69">
        <f t="shared" ca="1" si="477"/>
        <v>2233.6927519063784</v>
      </c>
      <c r="D728" s="69">
        <f t="shared" ca="1" si="478"/>
        <v>2900.840249370794</v>
      </c>
      <c r="E728" s="69">
        <f t="shared" ca="1" si="479"/>
        <v>1933.7359256079289</v>
      </c>
      <c r="F728" s="69">
        <f t="shared" ca="1" si="480"/>
        <v>1218.1604725511511</v>
      </c>
      <c r="G728" s="69">
        <f t="shared" ca="1" si="481"/>
        <v>967.77828464804963</v>
      </c>
      <c r="H728" s="69">
        <f t="shared" ca="1" si="482"/>
        <v>1187.4016189877843</v>
      </c>
      <c r="I728" s="69">
        <f t="shared" ca="1" si="483"/>
        <v>1051.4135165182165</v>
      </c>
      <c r="J728" s="69">
        <f t="shared" ca="1" si="484"/>
        <v>1145.7001103352134</v>
      </c>
      <c r="K728" s="69">
        <f t="shared" ca="1" si="485"/>
        <v>1171.8582570710103</v>
      </c>
      <c r="L728" s="69">
        <f t="shared" ca="1" si="486"/>
        <v>959.43740023636428</v>
      </c>
      <c r="M728" s="69">
        <f t="shared" ca="1" si="487"/>
        <v>994.73714888208383</v>
      </c>
      <c r="N728" s="69">
        <f t="shared" ca="1" si="488"/>
        <v>572.03778445701812</v>
      </c>
      <c r="O728" s="69">
        <f t="shared" ca="1" si="489"/>
        <v>630.43361008077193</v>
      </c>
      <c r="P728" s="69">
        <f t="shared" ca="1" si="490"/>
        <v>724.72060217507158</v>
      </c>
      <c r="Q728" s="69">
        <f t="shared" ca="1" si="491"/>
        <v>962.81010696760927</v>
      </c>
      <c r="R728" s="69">
        <f t="shared" ca="1" si="492"/>
        <v>781.20351209371631</v>
      </c>
      <c r="S728" s="69">
        <f t="shared" ca="1" si="493"/>
        <v>700.79228876455534</v>
      </c>
      <c r="T728" s="69">
        <f t="shared" ca="1" si="494"/>
        <v>794.89605036345438</v>
      </c>
      <c r="U728" s="69">
        <f t="shared" ca="1" si="495"/>
        <v>1694.5664679680019</v>
      </c>
      <c r="V728" s="69">
        <f t="shared" ca="1" si="496"/>
        <v>1912.2303672100561</v>
      </c>
      <c r="W728" s="69">
        <f t="shared" ca="1" si="497"/>
        <v>1182.0203956199871</v>
      </c>
      <c r="X728" s="69">
        <f t="shared" ca="1" si="498"/>
        <v>1488.1679757839556</v>
      </c>
      <c r="Y728" s="69">
        <f t="shared" ca="1" si="499"/>
        <v>1202.6194382261551</v>
      </c>
      <c r="AA728" s="20">
        <f t="shared" ca="1" si="459"/>
        <v>6.5658116726104824E+16</v>
      </c>
      <c r="AB728" s="20">
        <f t="shared" ca="1" si="460"/>
        <v>1686252178314095</v>
      </c>
      <c r="AC728" s="20">
        <f t="shared" ca="1" si="461"/>
        <v>403333355914528.75</v>
      </c>
      <c r="AD728" s="20">
        <f t="shared" ca="1" si="462"/>
        <v>303651260762021.88</v>
      </c>
      <c r="AE728" s="20">
        <f t="shared" ca="1" si="463"/>
        <v>6854944819557977</v>
      </c>
      <c r="AG728" s="16">
        <f t="shared" ca="1" si="464"/>
        <v>-6.4543240551535487E-5</v>
      </c>
      <c r="AH728" s="16">
        <f t="shared" ca="1" si="465"/>
        <v>-7.2091934198071305E-4</v>
      </c>
      <c r="AI728" s="16">
        <f t="shared" ca="1" si="466"/>
        <v>4.6621955471683462E-4</v>
      </c>
      <c r="AJ728" s="16">
        <f t="shared" ca="1" si="467"/>
        <v>-2.9417617759135405E-4</v>
      </c>
      <c r="AK728" s="16">
        <f t="shared" ca="1" si="468"/>
        <v>-4.9243998491649743E-4</v>
      </c>
      <c r="AM728" s="16">
        <f t="shared" ca="1" si="469"/>
        <v>-6.1341920540676801E-4</v>
      </c>
      <c r="AO728" s="16">
        <f t="shared" ca="1" si="470"/>
        <v>-6.4543240551535487E-5</v>
      </c>
      <c r="AP728" s="16">
        <f t="shared" ca="1" si="471"/>
        <v>-7.2091934198071305E-4</v>
      </c>
      <c r="AQ728" s="16">
        <f t="shared" ca="1" si="472"/>
        <v>0</v>
      </c>
      <c r="AR728" s="16">
        <f t="shared" ca="1" si="473"/>
        <v>-2.9417617759135405E-4</v>
      </c>
      <c r="AS728" s="16">
        <f t="shared" ca="1" si="474"/>
        <v>-4.9243998491649743E-4</v>
      </c>
    </row>
    <row r="729" spans="1:45" x14ac:dyDescent="0.25">
      <c r="A729" s="69">
        <f t="shared" ca="1" si="475"/>
        <v>2451.2341188433688</v>
      </c>
      <c r="B729" s="69">
        <f t="shared" ca="1" si="476"/>
        <v>2137.6524001015318</v>
      </c>
      <c r="C729" s="69">
        <f t="shared" ca="1" si="477"/>
        <v>2233.7313432656329</v>
      </c>
      <c r="D729" s="69">
        <f t="shared" ca="1" si="478"/>
        <v>2900.7507102059776</v>
      </c>
      <c r="E729" s="69">
        <f t="shared" ca="1" si="479"/>
        <v>1933.7359256079289</v>
      </c>
      <c r="F729" s="69">
        <f t="shared" ca="1" si="480"/>
        <v>1218.4683519262796</v>
      </c>
      <c r="G729" s="69">
        <f t="shared" ca="1" si="481"/>
        <v>967.29999291055526</v>
      </c>
      <c r="H729" s="69">
        <f t="shared" ca="1" si="482"/>
        <v>1187.1444720596699</v>
      </c>
      <c r="I729" s="69">
        <f t="shared" ca="1" si="483"/>
        <v>1051.1373421923147</v>
      </c>
      <c r="J729" s="69">
        <f t="shared" ca="1" si="484"/>
        <v>1145.7001103352134</v>
      </c>
      <c r="K729" s="69">
        <f t="shared" ca="1" si="485"/>
        <v>1172.1945151382358</v>
      </c>
      <c r="L729" s="69">
        <f t="shared" ca="1" si="486"/>
        <v>959.67548445042189</v>
      </c>
      <c r="M729" s="69">
        <f t="shared" ca="1" si="487"/>
        <v>995.03983220022724</v>
      </c>
      <c r="N729" s="69">
        <f t="shared" ca="1" si="488"/>
        <v>572.03778445701812</v>
      </c>
      <c r="O729" s="69">
        <f t="shared" ca="1" si="489"/>
        <v>630.19847631140226</v>
      </c>
      <c r="P729" s="69">
        <f t="shared" ca="1" si="490"/>
        <v>725.13933516569807</v>
      </c>
      <c r="Q729" s="69">
        <f t="shared" ca="1" si="491"/>
        <v>962.81010696760927</v>
      </c>
      <c r="R729" s="69">
        <f t="shared" ca="1" si="492"/>
        <v>780.97588242858137</v>
      </c>
      <c r="S729" s="69">
        <f t="shared" ca="1" si="493"/>
        <v>700.38568867039078</v>
      </c>
      <c r="T729" s="69">
        <f t="shared" ca="1" si="494"/>
        <v>794.89605036345438</v>
      </c>
      <c r="U729" s="69">
        <f t="shared" ca="1" si="495"/>
        <v>1694.5664679680019</v>
      </c>
      <c r="V729" s="69">
        <f t="shared" ca="1" si="496"/>
        <v>1912.0199103253078</v>
      </c>
      <c r="W729" s="69">
        <f t="shared" ca="1" si="497"/>
        <v>1182.0203956199871</v>
      </c>
      <c r="X729" s="69">
        <f t="shared" ca="1" si="498"/>
        <v>1488.1679757839556</v>
      </c>
      <c r="Y729" s="69">
        <f t="shared" ca="1" si="499"/>
        <v>1202.1596738086698</v>
      </c>
      <c r="AA729" s="20">
        <f t="shared" ca="1" si="459"/>
        <v>6.5653879075240144E+16</v>
      </c>
      <c r="AB729" s="20">
        <f t="shared" ca="1" si="460"/>
        <v>1685036964591461.3</v>
      </c>
      <c r="AC729" s="20">
        <f t="shared" ca="1" si="461"/>
        <v>403521441653343.5</v>
      </c>
      <c r="AD729" s="20">
        <f t="shared" ca="1" si="462"/>
        <v>303561946932454.69</v>
      </c>
      <c r="AE729" s="20">
        <f t="shared" ca="1" si="463"/>
        <v>6851570001650269</v>
      </c>
      <c r="AG729" s="16">
        <f t="shared" ca="1" si="464"/>
        <v>-1.6093281514803037E-4</v>
      </c>
      <c r="AH729" s="16">
        <f t="shared" ca="1" si="465"/>
        <v>-4.4252558257252232E-4</v>
      </c>
      <c r="AI729" s="16">
        <f t="shared" ca="1" si="466"/>
        <v>-3.0103699275457193E-4</v>
      </c>
      <c r="AJ729" s="16">
        <f t="shared" ca="1" si="467"/>
        <v>4.9539347130095205E-4</v>
      </c>
      <c r="AK729" s="16">
        <f t="shared" ca="1" si="468"/>
        <v>-2.6551740098035764E-4</v>
      </c>
      <c r="AM729" s="16">
        <f t="shared" ca="1" si="469"/>
        <v>-4.0910191917417258E-4</v>
      </c>
      <c r="AO729" s="16">
        <f t="shared" ca="1" si="470"/>
        <v>-1.6093281514803037E-4</v>
      </c>
      <c r="AP729" s="16">
        <f t="shared" ca="1" si="471"/>
        <v>-4.4252558257252232E-4</v>
      </c>
      <c r="AQ729" s="16">
        <f t="shared" ca="1" si="472"/>
        <v>-3.0103699275457193E-4</v>
      </c>
      <c r="AR729" s="16">
        <f t="shared" ca="1" si="473"/>
        <v>0</v>
      </c>
      <c r="AS729" s="16">
        <f t="shared" ca="1" si="474"/>
        <v>-2.6551740098035764E-4</v>
      </c>
    </row>
    <row r="730" spans="1:45" x14ac:dyDescent="0.25">
      <c r="A730" s="69">
        <f t="shared" ca="1" si="475"/>
        <v>2451.0132797127881</v>
      </c>
      <c r="B730" s="69">
        <f t="shared" ca="1" si="476"/>
        <v>2137.6524001015318</v>
      </c>
      <c r="C730" s="69">
        <f t="shared" ca="1" si="477"/>
        <v>2233.7313432656329</v>
      </c>
      <c r="D730" s="69">
        <f t="shared" ca="1" si="478"/>
        <v>2900.9251774510026</v>
      </c>
      <c r="E730" s="69">
        <f t="shared" ca="1" si="479"/>
        <v>1933.4826625101691</v>
      </c>
      <c r="F730" s="69">
        <f t="shared" ca="1" si="480"/>
        <v>1218.4683519262796</v>
      </c>
      <c r="G730" s="69">
        <f t="shared" ca="1" si="481"/>
        <v>967.24992788732391</v>
      </c>
      <c r="H730" s="69">
        <f t="shared" ca="1" si="482"/>
        <v>1187.1444720596699</v>
      </c>
      <c r="I730" s="69">
        <f t="shared" ca="1" si="483"/>
        <v>1051.1373421923147</v>
      </c>
      <c r="J730" s="69">
        <f t="shared" ca="1" si="484"/>
        <v>1145.2524962892726</v>
      </c>
      <c r="K730" s="69">
        <f t="shared" ca="1" si="485"/>
        <v>1172.1945151382358</v>
      </c>
      <c r="L730" s="69">
        <f t="shared" ca="1" si="486"/>
        <v>959.67548445042189</v>
      </c>
      <c r="M730" s="69">
        <f t="shared" ca="1" si="487"/>
        <v>995.03983220022724</v>
      </c>
      <c r="N730" s="69">
        <f t="shared" ca="1" si="488"/>
        <v>571.86560584000995</v>
      </c>
      <c r="O730" s="69">
        <f t="shared" ca="1" si="489"/>
        <v>630.19847631140226</v>
      </c>
      <c r="P730" s="69">
        <f t="shared" ca="1" si="490"/>
        <v>725.50832988628849</v>
      </c>
      <c r="Q730" s="69">
        <f t="shared" ca="1" si="491"/>
        <v>962.58562228747917</v>
      </c>
      <c r="R730" s="69">
        <f t="shared" ca="1" si="492"/>
        <v>781.06452862666561</v>
      </c>
      <c r="S730" s="69">
        <f t="shared" ca="1" si="493"/>
        <v>700.0427047471984</v>
      </c>
      <c r="T730" s="69">
        <f t="shared" ca="1" si="494"/>
        <v>795.37008642003218</v>
      </c>
      <c r="U730" s="69">
        <f t="shared" ca="1" si="495"/>
        <v>1694.6522899978593</v>
      </c>
      <c r="V730" s="69">
        <f t="shared" ca="1" si="496"/>
        <v>1911.5960909245678</v>
      </c>
      <c r="W730" s="69">
        <f t="shared" ca="1" si="497"/>
        <v>1181.5968859007933</v>
      </c>
      <c r="X730" s="69">
        <f t="shared" ca="1" si="498"/>
        <v>1487.945977315602</v>
      </c>
      <c r="Y730" s="69">
        <f t="shared" ca="1" si="499"/>
        <v>1202.6563496798105</v>
      </c>
      <c r="AA730" s="20">
        <f t="shared" ca="1" si="459"/>
        <v>6.5643314061806656E+16</v>
      </c>
      <c r="AB730" s="20">
        <f t="shared" ca="1" si="460"/>
        <v>1684291457592174.8</v>
      </c>
      <c r="AC730" s="20">
        <f t="shared" ca="1" si="461"/>
        <v>403399985054418.06</v>
      </c>
      <c r="AD730" s="20">
        <f t="shared" ca="1" si="462"/>
        <v>303712366794533</v>
      </c>
      <c r="AE730" s="20">
        <f t="shared" ca="1" si="463"/>
        <v>6849751032085518</v>
      </c>
      <c r="AG730" s="16">
        <f t="shared" ca="1" si="464"/>
        <v>-1.59461138569712E-4</v>
      </c>
      <c r="AH730" s="16">
        <f t="shared" ca="1" si="465"/>
        <v>-3.8191780930335026E-4</v>
      </c>
      <c r="AI730" s="16">
        <f t="shared" ca="1" si="466"/>
        <v>-6.0000081684546806E-4</v>
      </c>
      <c r="AJ730" s="16">
        <f t="shared" ca="1" si="467"/>
        <v>-1.1337891785008298E-3</v>
      </c>
      <c r="AK730" s="16">
        <f t="shared" ca="1" si="468"/>
        <v>5.9475482477938104E-4</v>
      </c>
      <c r="AM730" s="16">
        <f t="shared" ca="1" si="469"/>
        <v>-2.2751689432193604E-3</v>
      </c>
      <c r="AO730" s="16">
        <f t="shared" ca="1" si="470"/>
        <v>-1.59461138569712E-4</v>
      </c>
      <c r="AP730" s="16">
        <f t="shared" ca="1" si="471"/>
        <v>-3.8191780930335026E-4</v>
      </c>
      <c r="AQ730" s="16">
        <f t="shared" ca="1" si="472"/>
        <v>-6.0000081684546806E-4</v>
      </c>
      <c r="AR730" s="16">
        <f t="shared" ca="1" si="473"/>
        <v>-1.1337891785008298E-3</v>
      </c>
      <c r="AS730" s="16">
        <f t="shared" ca="1" si="474"/>
        <v>0</v>
      </c>
    </row>
    <row r="731" spans="1:45" x14ac:dyDescent="0.25">
      <c r="A731" s="69">
        <f t="shared" ca="1" si="475"/>
        <v>2450.8934927200985</v>
      </c>
      <c r="B731" s="69">
        <f t="shared" ca="1" si="476"/>
        <v>2137.6524001015318</v>
      </c>
      <c r="C731" s="69">
        <f t="shared" ca="1" si="477"/>
        <v>2233.7641243963003</v>
      </c>
      <c r="D731" s="69">
        <f t="shared" ca="1" si="478"/>
        <v>2901.2268114155545</v>
      </c>
      <c r="E731" s="69">
        <f t="shared" ca="1" si="479"/>
        <v>1933.0394894050046</v>
      </c>
      <c r="F731" s="69">
        <f t="shared" ca="1" si="480"/>
        <v>1218.4683519262796</v>
      </c>
      <c r="G731" s="69">
        <f t="shared" ca="1" si="481"/>
        <v>967.24992788732391</v>
      </c>
      <c r="H731" s="69">
        <f t="shared" ca="1" si="482"/>
        <v>1187.1444720596699</v>
      </c>
      <c r="I731" s="69">
        <f t="shared" ca="1" si="483"/>
        <v>1051.1373421923147</v>
      </c>
      <c r="J731" s="69">
        <f t="shared" ca="1" si="484"/>
        <v>1144.8151874781177</v>
      </c>
      <c r="K731" s="69">
        <f t="shared" ca="1" si="485"/>
        <v>1171.9619107368255</v>
      </c>
      <c r="L731" s="69">
        <f t="shared" ca="1" si="486"/>
        <v>959.29020782167152</v>
      </c>
      <c r="M731" s="69">
        <f t="shared" ca="1" si="487"/>
        <v>995.03983220022724</v>
      </c>
      <c r="N731" s="69">
        <f t="shared" ca="1" si="488"/>
        <v>571.86560584000995</v>
      </c>
      <c r="O731" s="69">
        <f t="shared" ca="1" si="489"/>
        <v>630.19847631140226</v>
      </c>
      <c r="P731" s="69">
        <f t="shared" ca="1" si="490"/>
        <v>725.16783977401474</v>
      </c>
      <c r="Q731" s="69">
        <f t="shared" ca="1" si="491"/>
        <v>962.39986656572648</v>
      </c>
      <c r="R731" s="69">
        <f t="shared" ca="1" si="492"/>
        <v>780.57467894250192</v>
      </c>
      <c r="S731" s="69">
        <f t="shared" ca="1" si="493"/>
        <v>700.53797964051148</v>
      </c>
      <c r="T731" s="69">
        <f t="shared" ca="1" si="494"/>
        <v>794.93175062836417</v>
      </c>
      <c r="U731" s="69">
        <f t="shared" ca="1" si="495"/>
        <v>1694.6128789649711</v>
      </c>
      <c r="V731" s="69">
        <f t="shared" ca="1" si="496"/>
        <v>1911.9810979762901</v>
      </c>
      <c r="W731" s="69">
        <f t="shared" ca="1" si="497"/>
        <v>1181.7321771766533</v>
      </c>
      <c r="X731" s="69">
        <f t="shared" ca="1" si="498"/>
        <v>1488.2240028122465</v>
      </c>
      <c r="Y731" s="69">
        <f t="shared" ca="1" si="499"/>
        <v>1202.7950226098892</v>
      </c>
      <c r="AA731" s="20">
        <f t="shared" ca="1" si="459"/>
        <v>6.563284733874684E+16</v>
      </c>
      <c r="AB731" s="20">
        <f t="shared" ca="1" si="460"/>
        <v>1683648319509224</v>
      </c>
      <c r="AC731" s="20">
        <f t="shared" ca="1" si="461"/>
        <v>403158017331544.69</v>
      </c>
      <c r="AD731" s="20">
        <f t="shared" ca="1" si="462"/>
        <v>303368216133698.5</v>
      </c>
      <c r="AE731" s="20">
        <f t="shared" ca="1" si="463"/>
        <v>6853826166293129</v>
      </c>
      <c r="AG731" s="16">
        <f t="shared" ca="1" si="464"/>
        <v>-1.638910996397972E-5</v>
      </c>
      <c r="AH731" s="16">
        <f t="shared" ca="1" si="465"/>
        <v>-4.0845791046264975E-4</v>
      </c>
      <c r="AI731" s="16">
        <f t="shared" ca="1" si="466"/>
        <v>1.1489510848126413E-3</v>
      </c>
      <c r="AJ731" s="16">
        <f t="shared" ca="1" si="467"/>
        <v>5.2833358881269605E-4</v>
      </c>
      <c r="AK731" s="16">
        <f t="shared" ca="1" si="468"/>
        <v>1.1332857683611401E-4</v>
      </c>
      <c r="AM731" s="16">
        <f t="shared" ca="1" si="469"/>
        <v>1.2524376531987079E-3</v>
      </c>
      <c r="AO731" s="16">
        <f t="shared" ca="1" si="470"/>
        <v>-1.638910996397972E-5</v>
      </c>
      <c r="AP731" s="16">
        <f t="shared" ca="1" si="471"/>
        <v>-4.0845791046264975E-4</v>
      </c>
      <c r="AQ731" s="16">
        <f t="shared" ca="1" si="472"/>
        <v>0</v>
      </c>
      <c r="AR731" s="16">
        <f t="shared" ca="1" si="473"/>
        <v>0</v>
      </c>
      <c r="AS731" s="16">
        <f t="shared" ca="1" si="474"/>
        <v>0</v>
      </c>
    </row>
    <row r="732" spans="1:45" x14ac:dyDescent="0.25">
      <c r="A732" s="69">
        <f t="shared" ca="1" si="475"/>
        <v>2450.8934927200985</v>
      </c>
      <c r="B732" s="69">
        <f t="shared" ca="1" si="476"/>
        <v>2137.9535035623885</v>
      </c>
      <c r="C732" s="69">
        <f t="shared" ca="1" si="477"/>
        <v>2233.8199047176636</v>
      </c>
      <c r="D732" s="69">
        <f t="shared" ca="1" si="478"/>
        <v>2901.3586358766388</v>
      </c>
      <c r="E732" s="69">
        <f t="shared" ca="1" si="479"/>
        <v>1932.5994949261899</v>
      </c>
      <c r="F732" s="69">
        <f t="shared" ca="1" si="480"/>
        <v>1218.4683519262796</v>
      </c>
      <c r="G732" s="69">
        <f t="shared" ca="1" si="481"/>
        <v>967.24992788732391</v>
      </c>
      <c r="H732" s="69">
        <f t="shared" ca="1" si="482"/>
        <v>1187.1444720596699</v>
      </c>
      <c r="I732" s="69">
        <f t="shared" ca="1" si="483"/>
        <v>1050.9666107242401</v>
      </c>
      <c r="J732" s="69">
        <f t="shared" ca="1" si="484"/>
        <v>1144.5335755394271</v>
      </c>
      <c r="K732" s="69">
        <f t="shared" ca="1" si="485"/>
        <v>1172.2670428429217</v>
      </c>
      <c r="L732" s="69">
        <f t="shared" ca="1" si="486"/>
        <v>959.51145528001337</v>
      </c>
      <c r="M732" s="69">
        <f t="shared" ca="1" si="487"/>
        <v>995.03983220022724</v>
      </c>
      <c r="N732" s="69">
        <f t="shared" ca="1" si="488"/>
        <v>571.85545172012166</v>
      </c>
      <c r="O732" s="69">
        <f t="shared" ca="1" si="489"/>
        <v>630.62449018007396</v>
      </c>
      <c r="P732" s="69">
        <f t="shared" ca="1" si="490"/>
        <v>725.33040423973114</v>
      </c>
      <c r="Q732" s="69">
        <f t="shared" ca="1" si="491"/>
        <v>962.39986656572648</v>
      </c>
      <c r="R732" s="69">
        <f t="shared" ca="1" si="492"/>
        <v>780.57467894250192</v>
      </c>
      <c r="S732" s="69">
        <f t="shared" ca="1" si="493"/>
        <v>700.53797964051148</v>
      </c>
      <c r="T732" s="69">
        <f t="shared" ca="1" si="494"/>
        <v>795.17359273773161</v>
      </c>
      <c r="U732" s="69">
        <f t="shared" ca="1" si="495"/>
        <v>1694.6128789649711</v>
      </c>
      <c r="V732" s="69">
        <f t="shared" ca="1" si="496"/>
        <v>1911.5135945012685</v>
      </c>
      <c r="W732" s="69">
        <f t="shared" ca="1" si="497"/>
        <v>1181.7321771766533</v>
      </c>
      <c r="X732" s="69">
        <f t="shared" ca="1" si="498"/>
        <v>1488.3001231967253</v>
      </c>
      <c r="Y732" s="69">
        <f t="shared" ca="1" si="499"/>
        <v>1203.1640051912257</v>
      </c>
      <c r="AA732" s="20">
        <f t="shared" ca="1" si="459"/>
        <v>6.5631771683609096E+16</v>
      </c>
      <c r="AB732" s="20">
        <f t="shared" ca="1" si="460"/>
        <v>1682960760463708</v>
      </c>
      <c r="AC732" s="20">
        <f t="shared" ca="1" si="461"/>
        <v>403621492377001.13</v>
      </c>
      <c r="AD732" s="20">
        <f t="shared" ca="1" si="462"/>
        <v>303528538100070.75</v>
      </c>
      <c r="AE732" s="20">
        <f t="shared" ca="1" si="463"/>
        <v>6854602944673200</v>
      </c>
      <c r="AG732" s="16">
        <f t="shared" ca="1" si="464"/>
        <v>-2.1609413451654426E-5</v>
      </c>
      <c r="AH732" s="16">
        <f t="shared" ca="1" si="465"/>
        <v>6.0199856460121747E-5</v>
      </c>
      <c r="AI732" s="16">
        <f t="shared" ca="1" si="466"/>
        <v>4.9001328325259984E-4</v>
      </c>
      <c r="AJ732" s="16">
        <f t="shared" ca="1" si="467"/>
        <v>-6.1497997748546527E-4</v>
      </c>
      <c r="AK732" s="16">
        <f t="shared" ca="1" si="468"/>
        <v>-1.3963249117228535E-4</v>
      </c>
      <c r="AM732" s="16">
        <f t="shared" ca="1" si="469"/>
        <v>-8.6376251224398151E-5</v>
      </c>
      <c r="AO732" s="16">
        <f t="shared" ca="1" si="470"/>
        <v>-2.1609413451654426E-5</v>
      </c>
      <c r="AP732" s="16">
        <f t="shared" ca="1" si="471"/>
        <v>0</v>
      </c>
      <c r="AQ732" s="16">
        <f t="shared" ca="1" si="472"/>
        <v>0</v>
      </c>
      <c r="AR732" s="16">
        <f t="shared" ca="1" si="473"/>
        <v>-6.1497997748546527E-4</v>
      </c>
      <c r="AS732" s="16">
        <f t="shared" ca="1" si="474"/>
        <v>-1.3963249117228535E-4</v>
      </c>
    </row>
    <row r="733" spans="1:45" x14ac:dyDescent="0.25">
      <c r="A733" s="69">
        <f t="shared" ca="1" si="475"/>
        <v>2450.8934927200985</v>
      </c>
      <c r="B733" s="69">
        <f t="shared" ca="1" si="476"/>
        <v>2138.1290507347885</v>
      </c>
      <c r="C733" s="69">
        <f t="shared" ca="1" si="477"/>
        <v>2233.4496598058358</v>
      </c>
      <c r="D733" s="69">
        <f t="shared" ca="1" si="478"/>
        <v>2901.5386503870459</v>
      </c>
      <c r="E733" s="69">
        <f t="shared" ca="1" si="479"/>
        <v>1932.5994949261899</v>
      </c>
      <c r="F733" s="69">
        <f t="shared" ca="1" si="480"/>
        <v>1218.0655394170039</v>
      </c>
      <c r="G733" s="69">
        <f t="shared" ca="1" si="481"/>
        <v>967.67169490140566</v>
      </c>
      <c r="H733" s="69">
        <f t="shared" ca="1" si="482"/>
        <v>1187.0909225759303</v>
      </c>
      <c r="I733" s="69">
        <f t="shared" ca="1" si="483"/>
        <v>1050.9666107242401</v>
      </c>
      <c r="J733" s="69">
        <f t="shared" ca="1" si="484"/>
        <v>1144.5335755394271</v>
      </c>
      <c r="K733" s="69">
        <f t="shared" ca="1" si="485"/>
        <v>1172.2670428429217</v>
      </c>
      <c r="L733" s="69">
        <f t="shared" ca="1" si="486"/>
        <v>959.74275703831847</v>
      </c>
      <c r="M733" s="69">
        <f t="shared" ca="1" si="487"/>
        <v>995.27465313792948</v>
      </c>
      <c r="N733" s="69">
        <f t="shared" ca="1" si="488"/>
        <v>572.01044302505454</v>
      </c>
      <c r="O733" s="69">
        <f t="shared" ca="1" si="489"/>
        <v>630.46182334054197</v>
      </c>
      <c r="P733" s="69">
        <f t="shared" ca="1" si="490"/>
        <v>725.55951432365714</v>
      </c>
      <c r="Q733" s="69">
        <f t="shared" ca="1" si="491"/>
        <v>962.39986656572648</v>
      </c>
      <c r="R733" s="69">
        <f t="shared" ca="1" si="492"/>
        <v>780.44782412076006</v>
      </c>
      <c r="S733" s="69">
        <f t="shared" ca="1" si="493"/>
        <v>700.32850177888997</v>
      </c>
      <c r="T733" s="69">
        <f t="shared" ca="1" si="494"/>
        <v>794.80058225246353</v>
      </c>
      <c r="U733" s="69">
        <f t="shared" ca="1" si="495"/>
        <v>1694.8495093381139</v>
      </c>
      <c r="V733" s="69">
        <f t="shared" ca="1" si="496"/>
        <v>1911.458369451525</v>
      </c>
      <c r="W733" s="69">
        <f t="shared" ca="1" si="497"/>
        <v>1181.9025173193395</v>
      </c>
      <c r="X733" s="69">
        <f t="shared" ca="1" si="498"/>
        <v>1488.3001231967253</v>
      </c>
      <c r="Y733" s="69">
        <f t="shared" ca="1" si="499"/>
        <v>1202.6894476180494</v>
      </c>
      <c r="AA733" s="20">
        <f t="shared" ca="1" si="459"/>
        <v>6.563035343484304E+16</v>
      </c>
      <c r="AB733" s="20">
        <f t="shared" ca="1" si="460"/>
        <v>1683062077509521.3</v>
      </c>
      <c r="AC733" s="20">
        <f t="shared" ca="1" si="461"/>
        <v>403819320734975.25</v>
      </c>
      <c r="AD733" s="20">
        <f t="shared" ca="1" si="462"/>
        <v>303341931512082.63</v>
      </c>
      <c r="AE733" s="20">
        <f t="shared" ca="1" si="463"/>
        <v>6853645886207822</v>
      </c>
      <c r="AG733" s="16">
        <f t="shared" ca="1" si="464"/>
        <v>-2.5650835396984042E-5</v>
      </c>
      <c r="AH733" s="16">
        <f t="shared" ca="1" si="465"/>
        <v>3.2386453789657688E-4</v>
      </c>
      <c r="AI733" s="16">
        <f t="shared" ca="1" si="466"/>
        <v>9.9985473353533024E-4</v>
      </c>
      <c r="AJ733" s="16">
        <f t="shared" ca="1" si="467"/>
        <v>1.594096681110809E-4</v>
      </c>
      <c r="AK733" s="16">
        <f t="shared" ca="1" si="468"/>
        <v>-2.253977242852017E-4</v>
      </c>
      <c r="AM733" s="16">
        <f t="shared" ca="1" si="469"/>
        <v>1.457478104146004E-3</v>
      </c>
      <c r="AO733" s="16">
        <f t="shared" ca="1" si="470"/>
        <v>-2.5650835396984042E-5</v>
      </c>
      <c r="AP733" s="16">
        <f t="shared" ca="1" si="471"/>
        <v>0</v>
      </c>
      <c r="AQ733" s="16">
        <f t="shared" ca="1" si="472"/>
        <v>0</v>
      </c>
      <c r="AR733" s="16">
        <f t="shared" ca="1" si="473"/>
        <v>0</v>
      </c>
      <c r="AS733" s="16">
        <f t="shared" ca="1" si="474"/>
        <v>-2.253977242852017E-4</v>
      </c>
    </row>
    <row r="734" spans="1:45" x14ac:dyDescent="0.25">
      <c r="A734" s="69">
        <f t="shared" ca="1" si="475"/>
        <v>2450.8934927200985</v>
      </c>
      <c r="B734" s="69">
        <f t="shared" ca="1" si="476"/>
        <v>2138.390461372946</v>
      </c>
      <c r="C734" s="69">
        <f t="shared" ca="1" si="477"/>
        <v>2233.1662795135967</v>
      </c>
      <c r="D734" s="69">
        <f t="shared" ca="1" si="478"/>
        <v>2901.5386503870459</v>
      </c>
      <c r="E734" s="69">
        <f t="shared" ca="1" si="479"/>
        <v>1932.55887865003</v>
      </c>
      <c r="F734" s="69">
        <f t="shared" ca="1" si="480"/>
        <v>1218.0655394170039</v>
      </c>
      <c r="G734" s="69">
        <f t="shared" ca="1" si="481"/>
        <v>967.98514020187929</v>
      </c>
      <c r="H734" s="69">
        <f t="shared" ca="1" si="482"/>
        <v>1187.0909225759303</v>
      </c>
      <c r="I734" s="69">
        <f t="shared" ca="1" si="483"/>
        <v>1050.9666107242401</v>
      </c>
      <c r="J734" s="69">
        <f t="shared" ca="1" si="484"/>
        <v>1144.5335755394271</v>
      </c>
      <c r="K734" s="69">
        <f t="shared" ca="1" si="485"/>
        <v>1172.7086695067746</v>
      </c>
      <c r="L734" s="69">
        <f t="shared" ca="1" si="486"/>
        <v>959.74275703831847</v>
      </c>
      <c r="M734" s="69">
        <f t="shared" ca="1" si="487"/>
        <v>995.27465313792948</v>
      </c>
      <c r="N734" s="69">
        <f t="shared" ca="1" si="488"/>
        <v>572.36702929264322</v>
      </c>
      <c r="O734" s="69">
        <f t="shared" ca="1" si="489"/>
        <v>630.46182334054197</v>
      </c>
      <c r="P734" s="69">
        <f t="shared" ca="1" si="490"/>
        <v>725.16271057096128</v>
      </c>
      <c r="Q734" s="69">
        <f t="shared" ca="1" si="491"/>
        <v>962.39986656572648</v>
      </c>
      <c r="R734" s="69">
        <f t="shared" ca="1" si="492"/>
        <v>780.61180853092674</v>
      </c>
      <c r="S734" s="69">
        <f t="shared" ca="1" si="493"/>
        <v>700.32207906457393</v>
      </c>
      <c r="T734" s="69">
        <f t="shared" ca="1" si="494"/>
        <v>795.20247941149796</v>
      </c>
      <c r="U734" s="69">
        <f t="shared" ca="1" si="495"/>
        <v>1694.862471791306</v>
      </c>
      <c r="V734" s="69">
        <f t="shared" ca="1" si="496"/>
        <v>1911.458369451525</v>
      </c>
      <c r="W734" s="69">
        <f t="shared" ca="1" si="497"/>
        <v>1181.9025173193395</v>
      </c>
      <c r="X734" s="69">
        <f t="shared" ca="1" si="498"/>
        <v>1488.5355345535106</v>
      </c>
      <c r="Y734" s="69">
        <f t="shared" ca="1" si="499"/>
        <v>1202.2190379231247</v>
      </c>
      <c r="AA734" s="20">
        <f t="shared" ca="1" si="459"/>
        <v>6.5628669983041104E+16</v>
      </c>
      <c r="AB734" s="20">
        <f t="shared" ca="1" si="460"/>
        <v>1683607249907743.5</v>
      </c>
      <c r="AC734" s="20">
        <f t="shared" ca="1" si="461"/>
        <v>404223283312599.06</v>
      </c>
      <c r="AD734" s="20">
        <f t="shared" ca="1" si="462"/>
        <v>303390291003091.94</v>
      </c>
      <c r="AE734" s="20">
        <f t="shared" ca="1" si="463"/>
        <v>6852101264105707</v>
      </c>
      <c r="AG734" s="16">
        <f t="shared" ca="1" si="464"/>
        <v>3.6010802156156212E-5</v>
      </c>
      <c r="AH734" s="16">
        <f t="shared" ca="1" si="465"/>
        <v>5.6577164620338601E-4</v>
      </c>
      <c r="AI734" s="16">
        <f t="shared" ca="1" si="466"/>
        <v>-4.1613942588813796E-4</v>
      </c>
      <c r="AJ734" s="16">
        <f t="shared" ca="1" si="467"/>
        <v>2.655458009135898E-4</v>
      </c>
      <c r="AK734" s="16">
        <f t="shared" ca="1" si="468"/>
        <v>-9.1442980628772435E-5</v>
      </c>
      <c r="AM734" s="16">
        <f t="shared" ca="1" si="469"/>
        <v>4.5118882338499407E-4</v>
      </c>
      <c r="AO734" s="16">
        <f t="shared" ca="1" si="470"/>
        <v>0</v>
      </c>
      <c r="AP734" s="16">
        <f t="shared" ca="1" si="471"/>
        <v>0</v>
      </c>
      <c r="AQ734" s="16">
        <f t="shared" ca="1" si="472"/>
        <v>-4.1613942588813796E-4</v>
      </c>
      <c r="AR734" s="16">
        <f t="shared" ca="1" si="473"/>
        <v>0</v>
      </c>
      <c r="AS734" s="16">
        <f t="shared" ca="1" si="474"/>
        <v>-9.1442980628772435E-5</v>
      </c>
    </row>
    <row r="735" spans="1:45" x14ac:dyDescent="0.25">
      <c r="A735" s="69">
        <f t="shared" ca="1" si="475"/>
        <v>2450.9939457021519</v>
      </c>
      <c r="B735" s="69">
        <f t="shared" ca="1" si="476"/>
        <v>2138.390461372946</v>
      </c>
      <c r="C735" s="69">
        <f t="shared" ca="1" si="477"/>
        <v>2233.1551703702294</v>
      </c>
      <c r="D735" s="69">
        <f t="shared" ca="1" si="478"/>
        <v>2901.5386503870459</v>
      </c>
      <c r="E735" s="69">
        <f t="shared" ca="1" si="479"/>
        <v>1932.55887865003</v>
      </c>
      <c r="F735" s="69">
        <f t="shared" ca="1" si="480"/>
        <v>1218.3581217474173</v>
      </c>
      <c r="G735" s="69">
        <f t="shared" ca="1" si="481"/>
        <v>968.33724030218445</v>
      </c>
      <c r="H735" s="69">
        <f t="shared" ca="1" si="482"/>
        <v>1186.7291612751344</v>
      </c>
      <c r="I735" s="69">
        <f t="shared" ca="1" si="483"/>
        <v>1050.9666107242401</v>
      </c>
      <c r="J735" s="69">
        <f t="shared" ca="1" si="484"/>
        <v>1144.8388763352846</v>
      </c>
      <c r="K735" s="69">
        <f t="shared" ca="1" si="485"/>
        <v>1172.2207607203941</v>
      </c>
      <c r="L735" s="69">
        <f t="shared" ca="1" si="486"/>
        <v>959.74275703831847</v>
      </c>
      <c r="M735" s="69">
        <f t="shared" ca="1" si="487"/>
        <v>995.27465313792948</v>
      </c>
      <c r="N735" s="69">
        <f t="shared" ca="1" si="488"/>
        <v>572.36702929264322</v>
      </c>
      <c r="O735" s="69">
        <f t="shared" ca="1" si="489"/>
        <v>630.46182334054197</v>
      </c>
      <c r="P735" s="69">
        <f t="shared" ca="1" si="490"/>
        <v>725.16271057096128</v>
      </c>
      <c r="Q735" s="69">
        <f t="shared" ca="1" si="491"/>
        <v>962.3002003388782</v>
      </c>
      <c r="R735" s="69">
        <f t="shared" ca="1" si="492"/>
        <v>780.61180853092674</v>
      </c>
      <c r="S735" s="69">
        <f t="shared" ca="1" si="493"/>
        <v>700.65483188915698</v>
      </c>
      <c r="T735" s="69">
        <f t="shared" ca="1" si="494"/>
        <v>795.11825725772212</v>
      </c>
      <c r="U735" s="69">
        <f t="shared" ca="1" si="495"/>
        <v>1694.862471791306</v>
      </c>
      <c r="V735" s="69">
        <f t="shared" ca="1" si="496"/>
        <v>1911.283587992265</v>
      </c>
      <c r="W735" s="69">
        <f t="shared" ca="1" si="497"/>
        <v>1181.9025173193395</v>
      </c>
      <c r="X735" s="69">
        <f t="shared" ca="1" si="498"/>
        <v>1488.5355345535106</v>
      </c>
      <c r="Y735" s="69">
        <f t="shared" ca="1" si="499"/>
        <v>1202.2190379231247</v>
      </c>
      <c r="AA735" s="20">
        <f t="shared" ca="1" si="459"/>
        <v>6.5631033366645056E+16</v>
      </c>
      <c r="AB735" s="20">
        <f t="shared" ca="1" si="460"/>
        <v>1684560056663191.3</v>
      </c>
      <c r="AC735" s="20">
        <f t="shared" ca="1" si="461"/>
        <v>404055105062777.88</v>
      </c>
      <c r="AD735" s="20">
        <f t="shared" ca="1" si="462"/>
        <v>303470865718570.94</v>
      </c>
      <c r="AE735" s="20">
        <f t="shared" ca="1" si="463"/>
        <v>6851474716189688</v>
      </c>
      <c r="AG735" s="16">
        <f t="shared" ca="1" si="464"/>
        <v>2.1948213159693212E-4</v>
      </c>
      <c r="AH735" s="16">
        <f t="shared" ca="1" si="465"/>
        <v>4.2019677476998082E-4</v>
      </c>
      <c r="AI735" s="16">
        <f t="shared" ca="1" si="466"/>
        <v>1.2195607910338838E-3</v>
      </c>
      <c r="AJ735" s="16">
        <f t="shared" ca="1" si="467"/>
        <v>1.4324770809856128E-4</v>
      </c>
      <c r="AK735" s="16">
        <f t="shared" ca="1" si="468"/>
        <v>-9.0460094652510843E-5</v>
      </c>
      <c r="AM735" s="16">
        <f t="shared" ca="1" si="469"/>
        <v>2.0024874054993579E-3</v>
      </c>
      <c r="AO735" s="16">
        <f t="shared" ca="1" si="470"/>
        <v>0</v>
      </c>
      <c r="AP735" s="16">
        <f t="shared" ca="1" si="471"/>
        <v>0</v>
      </c>
      <c r="AQ735" s="16">
        <f t="shared" ca="1" si="472"/>
        <v>0</v>
      </c>
      <c r="AR735" s="16">
        <f t="shared" ca="1" si="473"/>
        <v>0</v>
      </c>
      <c r="AS735" s="16">
        <f t="shared" ca="1" si="474"/>
        <v>-9.0460094652510843E-5</v>
      </c>
    </row>
    <row r="736" spans="1:45" x14ac:dyDescent="0.25">
      <c r="A736" s="69">
        <f t="shared" ca="1" si="475"/>
        <v>2451.4601423815161</v>
      </c>
      <c r="B736" s="69">
        <f t="shared" ca="1" si="476"/>
        <v>2138.0304201452595</v>
      </c>
      <c r="C736" s="69">
        <f t="shared" ca="1" si="477"/>
        <v>2233.2757003942138</v>
      </c>
      <c r="D736" s="69">
        <f t="shared" ca="1" si="478"/>
        <v>2901.9556485245007</v>
      </c>
      <c r="E736" s="69">
        <f t="shared" ca="1" si="479"/>
        <v>1932.55887865003</v>
      </c>
      <c r="F736" s="69">
        <f t="shared" ca="1" si="480"/>
        <v>1218.7531069596232</v>
      </c>
      <c r="G736" s="69">
        <f t="shared" ca="1" si="481"/>
        <v>968.33724030218445</v>
      </c>
      <c r="H736" s="69">
        <f t="shared" ca="1" si="482"/>
        <v>1186.8431575947907</v>
      </c>
      <c r="I736" s="69">
        <f t="shared" ca="1" si="483"/>
        <v>1050.9666107242401</v>
      </c>
      <c r="J736" s="69">
        <f t="shared" ca="1" si="484"/>
        <v>1144.8388763352846</v>
      </c>
      <c r="K736" s="69">
        <f t="shared" ca="1" si="485"/>
        <v>1172.3617244381937</v>
      </c>
      <c r="L736" s="69">
        <f t="shared" ca="1" si="486"/>
        <v>960.23264896453327</v>
      </c>
      <c r="M736" s="69">
        <f t="shared" ca="1" si="487"/>
        <v>995.22490538145587</v>
      </c>
      <c r="N736" s="69">
        <f t="shared" ca="1" si="488"/>
        <v>572.42133114462399</v>
      </c>
      <c r="O736" s="69">
        <f t="shared" ca="1" si="489"/>
        <v>630.80496426185948</v>
      </c>
      <c r="P736" s="69">
        <f t="shared" ca="1" si="490"/>
        <v>725.16271057096128</v>
      </c>
      <c r="Q736" s="69">
        <f t="shared" ca="1" si="491"/>
        <v>962.3002003388782</v>
      </c>
      <c r="R736" s="69">
        <f t="shared" ca="1" si="492"/>
        <v>780.29772842159844</v>
      </c>
      <c r="S736" s="69">
        <f t="shared" ca="1" si="493"/>
        <v>701.08939752348101</v>
      </c>
      <c r="T736" s="69">
        <f t="shared" ca="1" si="494"/>
        <v>795.05913788709881</v>
      </c>
      <c r="U736" s="69">
        <f t="shared" ca="1" si="495"/>
        <v>1694.862471791306</v>
      </c>
      <c r="V736" s="69">
        <f t="shared" ca="1" si="496"/>
        <v>1911.676722831231</v>
      </c>
      <c r="W736" s="69">
        <f t="shared" ca="1" si="497"/>
        <v>1181.9025173193395</v>
      </c>
      <c r="X736" s="69">
        <f t="shared" ca="1" si="498"/>
        <v>1488.5355345535106</v>
      </c>
      <c r="Y736" s="69">
        <f t="shared" ca="1" si="499"/>
        <v>1201.8630769428573</v>
      </c>
      <c r="AA736" s="20">
        <f t="shared" ca="1" si="459"/>
        <v>6.5645439786665336E+16</v>
      </c>
      <c r="AB736" s="20">
        <f t="shared" ca="1" si="460"/>
        <v>1685268052104190.5</v>
      </c>
      <c r="AC736" s="20">
        <f t="shared" ca="1" si="461"/>
        <v>404548175429859.88</v>
      </c>
      <c r="AD736" s="20">
        <f t="shared" ca="1" si="462"/>
        <v>303514340338305.31</v>
      </c>
      <c r="AE736" s="20">
        <f t="shared" ca="1" si="463"/>
        <v>6850854959170414</v>
      </c>
      <c r="AG736" s="16">
        <f t="shared" ca="1" si="464"/>
        <v>1.053353517239868E-4</v>
      </c>
      <c r="AH736" s="16">
        <f t="shared" ca="1" si="465"/>
        <v>-5.5137356353761506E-5</v>
      </c>
      <c r="AI736" s="16">
        <f t="shared" ca="1" si="466"/>
        <v>-1.3346582881216198E-4</v>
      </c>
      <c r="AJ736" s="16">
        <f t="shared" ca="1" si="467"/>
        <v>-8.5648775361940729E-4</v>
      </c>
      <c r="AK736" s="16">
        <f t="shared" ca="1" si="468"/>
        <v>-4.1298366896437497E-5</v>
      </c>
      <c r="AM736" s="16">
        <f t="shared" ca="1" si="469"/>
        <v>-9.39755587061344E-4</v>
      </c>
      <c r="AO736" s="16">
        <f t="shared" ca="1" si="470"/>
        <v>0</v>
      </c>
      <c r="AP736" s="16">
        <f t="shared" ca="1" si="471"/>
        <v>-5.5137356353761506E-5</v>
      </c>
      <c r="AQ736" s="16">
        <f t="shared" ca="1" si="472"/>
        <v>-1.3346582881216198E-4</v>
      </c>
      <c r="AR736" s="16">
        <f t="shared" ca="1" si="473"/>
        <v>-8.5648775361940729E-4</v>
      </c>
      <c r="AS736" s="16">
        <f t="shared" ca="1" si="474"/>
        <v>-4.1298366896437497E-5</v>
      </c>
    </row>
    <row r="737" spans="1:45" x14ac:dyDescent="0.25">
      <c r="A737" s="69">
        <f t="shared" ca="1" si="475"/>
        <v>2451.4601423815161</v>
      </c>
      <c r="B737" s="69">
        <f t="shared" ca="1" si="476"/>
        <v>2137.8506230812823</v>
      </c>
      <c r="C737" s="69">
        <f t="shared" ca="1" si="477"/>
        <v>2233.664779416466</v>
      </c>
      <c r="D737" s="69">
        <f t="shared" ca="1" si="478"/>
        <v>2901.9556485245007</v>
      </c>
      <c r="E737" s="69">
        <f t="shared" ca="1" si="479"/>
        <v>1932.5883113520501</v>
      </c>
      <c r="F737" s="69">
        <f t="shared" ca="1" si="480"/>
        <v>1218.7531069596232</v>
      </c>
      <c r="G737" s="69">
        <f t="shared" ca="1" si="481"/>
        <v>968.55687280075244</v>
      </c>
      <c r="H737" s="69">
        <f t="shared" ca="1" si="482"/>
        <v>1186.3580805579575</v>
      </c>
      <c r="I737" s="69">
        <f t="shared" ca="1" si="483"/>
        <v>1051.2930742053125</v>
      </c>
      <c r="J737" s="69">
        <f t="shared" ca="1" si="484"/>
        <v>1144.6285732321601</v>
      </c>
      <c r="K737" s="69">
        <f t="shared" ca="1" si="485"/>
        <v>1172.3598957178217</v>
      </c>
      <c r="L737" s="69">
        <f t="shared" ca="1" si="486"/>
        <v>960.26547570177593</v>
      </c>
      <c r="M737" s="69">
        <f t="shared" ca="1" si="487"/>
        <v>995.22490538145587</v>
      </c>
      <c r="N737" s="69">
        <f t="shared" ca="1" si="488"/>
        <v>572.10301126635068</v>
      </c>
      <c r="O737" s="69">
        <f t="shared" ca="1" si="489"/>
        <v>631.05112508164677</v>
      </c>
      <c r="P737" s="69">
        <f t="shared" ca="1" si="490"/>
        <v>724.70415135602241</v>
      </c>
      <c r="Q737" s="69">
        <f t="shared" ca="1" si="491"/>
        <v>962.3002003388782</v>
      </c>
      <c r="R737" s="69">
        <f t="shared" ca="1" si="492"/>
        <v>780.31028782438057</v>
      </c>
      <c r="S737" s="69">
        <f t="shared" ca="1" si="493"/>
        <v>700.70352576286643</v>
      </c>
      <c r="T737" s="69">
        <f t="shared" ca="1" si="494"/>
        <v>795.30605052816065</v>
      </c>
      <c r="U737" s="69">
        <f t="shared" ca="1" si="495"/>
        <v>1694.862471791306</v>
      </c>
      <c r="V737" s="69">
        <f t="shared" ca="1" si="496"/>
        <v>1911.676722831231</v>
      </c>
      <c r="W737" s="69">
        <f t="shared" ca="1" si="497"/>
        <v>1181.8537076834295</v>
      </c>
      <c r="X737" s="69">
        <f t="shared" ca="1" si="498"/>
        <v>1488.5355345535106</v>
      </c>
      <c r="Y737" s="69">
        <f t="shared" ca="1" si="499"/>
        <v>1201.8630769428573</v>
      </c>
      <c r="AA737" s="20">
        <f t="shared" ca="1" si="459"/>
        <v>6.5652354936352808E+16</v>
      </c>
      <c r="AB737" s="20">
        <f t="shared" ca="1" si="460"/>
        <v>1685175133440718.3</v>
      </c>
      <c r="AC737" s="20">
        <f t="shared" ca="1" si="461"/>
        <v>404494185675305.5</v>
      </c>
      <c r="AD737" s="20">
        <f t="shared" ca="1" si="462"/>
        <v>303254495315682.13</v>
      </c>
      <c r="AE737" s="20">
        <f t="shared" ca="1" si="463"/>
        <v>6850572035890931</v>
      </c>
      <c r="AG737" s="16">
        <f t="shared" ca="1" si="464"/>
        <v>1.7297418809862739E-4</v>
      </c>
      <c r="AH737" s="16">
        <f t="shared" ca="1" si="465"/>
        <v>-9.8961358177105958E-4</v>
      </c>
      <c r="AI737" s="16">
        <f t="shared" ca="1" si="466"/>
        <v>-9.6971137136591128E-4</v>
      </c>
      <c r="AJ737" s="16">
        <f t="shared" ca="1" si="467"/>
        <v>1.963217321911207E-4</v>
      </c>
      <c r="AK737" s="16">
        <f t="shared" ca="1" si="468"/>
        <v>-3.6772584557262408E-4</v>
      </c>
      <c r="AM737" s="16">
        <f t="shared" ca="1" si="469"/>
        <v>-1.5900290328472227E-3</v>
      </c>
      <c r="AO737" s="16">
        <f t="shared" ca="1" si="470"/>
        <v>0</v>
      </c>
      <c r="AP737" s="16">
        <f t="shared" ca="1" si="471"/>
        <v>-9.8961358177105958E-4</v>
      </c>
      <c r="AQ737" s="16">
        <f t="shared" ca="1" si="472"/>
        <v>-9.6971137136591128E-4</v>
      </c>
      <c r="AR737" s="16">
        <f t="shared" ca="1" si="473"/>
        <v>0</v>
      </c>
      <c r="AS737" s="16">
        <f t="shared" ca="1" si="474"/>
        <v>-3.6772584557262408E-4</v>
      </c>
    </row>
    <row r="738" spans="1:45" x14ac:dyDescent="0.25">
      <c r="A738" s="69">
        <f t="shared" ca="1" si="475"/>
        <v>2451.659266813419</v>
      </c>
      <c r="B738" s="69">
        <f t="shared" ca="1" si="476"/>
        <v>2138.1270638546771</v>
      </c>
      <c r="C738" s="69">
        <f t="shared" ca="1" si="477"/>
        <v>2233.664779416466</v>
      </c>
      <c r="D738" s="69">
        <f t="shared" ca="1" si="478"/>
        <v>2901.8466855350953</v>
      </c>
      <c r="E738" s="69">
        <f t="shared" ca="1" si="479"/>
        <v>1932.5883113520501</v>
      </c>
      <c r="F738" s="69">
        <f t="shared" ca="1" si="480"/>
        <v>1218.7531069596232</v>
      </c>
      <c r="G738" s="69">
        <f t="shared" ca="1" si="481"/>
        <v>968.1051427161982</v>
      </c>
      <c r="H738" s="69">
        <f t="shared" ca="1" si="482"/>
        <v>1186.0133220948849</v>
      </c>
      <c r="I738" s="69">
        <f t="shared" ca="1" si="483"/>
        <v>1051.2930742053125</v>
      </c>
      <c r="J738" s="69">
        <f t="shared" ca="1" si="484"/>
        <v>1144.3625178628504</v>
      </c>
      <c r="K738" s="69">
        <f t="shared" ca="1" si="485"/>
        <v>1172.3598957178217</v>
      </c>
      <c r="L738" s="69">
        <f t="shared" ca="1" si="486"/>
        <v>960.38303724137711</v>
      </c>
      <c r="M738" s="69">
        <f t="shared" ca="1" si="487"/>
        <v>994.9475264952822</v>
      </c>
      <c r="N738" s="69">
        <f t="shared" ca="1" si="488"/>
        <v>571.89023216891542</v>
      </c>
      <c r="O738" s="69">
        <f t="shared" ca="1" si="489"/>
        <v>630.77264832013975</v>
      </c>
      <c r="P738" s="69">
        <f t="shared" ca="1" si="490"/>
        <v>724.70415135602241</v>
      </c>
      <c r="Q738" s="69">
        <f t="shared" ca="1" si="491"/>
        <v>962.19674632983595</v>
      </c>
      <c r="R738" s="69">
        <f t="shared" ca="1" si="492"/>
        <v>780.25420174007877</v>
      </c>
      <c r="S738" s="69">
        <f t="shared" ca="1" si="493"/>
        <v>700.78221834381486</v>
      </c>
      <c r="T738" s="69">
        <f t="shared" ca="1" si="494"/>
        <v>795.51557362092672</v>
      </c>
      <c r="U738" s="69">
        <f t="shared" ca="1" si="495"/>
        <v>1694.8996397589176</v>
      </c>
      <c r="V738" s="69">
        <f t="shared" ca="1" si="496"/>
        <v>1911.7818692032258</v>
      </c>
      <c r="W738" s="69">
        <f t="shared" ca="1" si="497"/>
        <v>1181.5512093535701</v>
      </c>
      <c r="X738" s="69">
        <f t="shared" ca="1" si="498"/>
        <v>1488.6923925567155</v>
      </c>
      <c r="Y738" s="69">
        <f t="shared" ca="1" si="499"/>
        <v>1201.5097298270523</v>
      </c>
      <c r="AA738" s="20">
        <f t="shared" ca="1" si="459"/>
        <v>6.5663712081362832E+16</v>
      </c>
      <c r="AB738" s="20">
        <f t="shared" ca="1" si="460"/>
        <v>1683508286144397.5</v>
      </c>
      <c r="AC738" s="20">
        <f t="shared" ca="1" si="461"/>
        <v>404102133183406.44</v>
      </c>
      <c r="AD738" s="20">
        <f t="shared" ca="1" si="462"/>
        <v>303314036607930.81</v>
      </c>
      <c r="AE738" s="20">
        <f t="shared" ca="1" si="463"/>
        <v>6848053366614653</v>
      </c>
      <c r="AG738" s="16">
        <f t="shared" ca="1" si="464"/>
        <v>3.8284824164546647E-4</v>
      </c>
      <c r="AH738" s="16">
        <f t="shared" ca="1" si="465"/>
        <v>-3.0738685073166083E-4</v>
      </c>
      <c r="AI738" s="16">
        <f t="shared" ca="1" si="466"/>
        <v>-3.9482165171382885E-4</v>
      </c>
      <c r="AJ738" s="16">
        <f t="shared" ca="1" si="467"/>
        <v>-6.5569917871910628E-4</v>
      </c>
      <c r="AK738" s="16">
        <f t="shared" ca="1" si="468"/>
        <v>-3.8071221189769737E-4</v>
      </c>
      <c r="AM738" s="16">
        <f t="shared" ca="1" si="469"/>
        <v>-9.7505943951912955E-4</v>
      </c>
      <c r="AO738" s="16">
        <f t="shared" ca="1" si="470"/>
        <v>0</v>
      </c>
      <c r="AP738" s="16">
        <f t="shared" ca="1" si="471"/>
        <v>-3.0738685073166083E-4</v>
      </c>
      <c r="AQ738" s="16">
        <f t="shared" ca="1" si="472"/>
        <v>-3.9482165171382885E-4</v>
      </c>
      <c r="AR738" s="16">
        <f t="shared" ca="1" si="473"/>
        <v>-6.5569917871910628E-4</v>
      </c>
      <c r="AS738" s="16">
        <f t="shared" ca="1" si="474"/>
        <v>-3.8071221189769737E-4</v>
      </c>
    </row>
    <row r="739" spans="1:45" x14ac:dyDescent="0.25">
      <c r="A739" s="69">
        <f t="shared" ca="1" si="475"/>
        <v>2451.9508830261057</v>
      </c>
      <c r="B739" s="69">
        <f t="shared" ca="1" si="476"/>
        <v>2138.4696488568648</v>
      </c>
      <c r="C739" s="69">
        <f t="shared" ca="1" si="477"/>
        <v>2233.8939596216364</v>
      </c>
      <c r="D739" s="69">
        <f t="shared" ca="1" si="478"/>
        <v>2902.1053443770556</v>
      </c>
      <c r="E739" s="69">
        <f t="shared" ca="1" si="479"/>
        <v>1932.4181844292432</v>
      </c>
      <c r="F739" s="69">
        <f t="shared" ca="1" si="480"/>
        <v>1218.7531069596232</v>
      </c>
      <c r="G739" s="69">
        <f t="shared" ca="1" si="481"/>
        <v>968.1051427161982</v>
      </c>
      <c r="H739" s="69">
        <f t="shared" ca="1" si="482"/>
        <v>1186.0133220948849</v>
      </c>
      <c r="I739" s="69">
        <f t="shared" ca="1" si="483"/>
        <v>1050.9699701995419</v>
      </c>
      <c r="J739" s="69">
        <f t="shared" ca="1" si="484"/>
        <v>1144.3625178628504</v>
      </c>
      <c r="K739" s="69">
        <f t="shared" ca="1" si="485"/>
        <v>1172.6135765383879</v>
      </c>
      <c r="L739" s="69">
        <f t="shared" ca="1" si="486"/>
        <v>960.38303724137711</v>
      </c>
      <c r="M739" s="69">
        <f t="shared" ca="1" si="487"/>
        <v>994.9475264952822</v>
      </c>
      <c r="N739" s="69">
        <f t="shared" ca="1" si="488"/>
        <v>571.89023216891542</v>
      </c>
      <c r="O739" s="69">
        <f t="shared" ca="1" si="489"/>
        <v>630.38724858186663</v>
      </c>
      <c r="P739" s="69">
        <f t="shared" ca="1" si="490"/>
        <v>724.70415135602241</v>
      </c>
      <c r="Q739" s="69">
        <f t="shared" ca="1" si="491"/>
        <v>961.75968792187041</v>
      </c>
      <c r="R739" s="69">
        <f t="shared" ca="1" si="492"/>
        <v>780.25420174007877</v>
      </c>
      <c r="S739" s="69">
        <f t="shared" ca="1" si="493"/>
        <v>701.08164254284588</v>
      </c>
      <c r="T739" s="69">
        <f t="shared" ca="1" si="494"/>
        <v>795.0157123132534</v>
      </c>
      <c r="U739" s="69">
        <f t="shared" ca="1" si="495"/>
        <v>1694.9571500902016</v>
      </c>
      <c r="V739" s="69">
        <f t="shared" ca="1" si="496"/>
        <v>1911.7818692032258</v>
      </c>
      <c r="W739" s="69">
        <f t="shared" ca="1" si="497"/>
        <v>1181.5512093535701</v>
      </c>
      <c r="X739" s="69">
        <f t="shared" ca="1" si="498"/>
        <v>1488.2546464076181</v>
      </c>
      <c r="Y739" s="69">
        <f t="shared" ca="1" si="499"/>
        <v>1201.3648936886759</v>
      </c>
      <c r="AA739" s="20">
        <f t="shared" ca="1" si="459"/>
        <v>6.5688856130943568E+16</v>
      </c>
      <c r="AB739" s="20">
        <f t="shared" ca="1" si="460"/>
        <v>1682990877360541.3</v>
      </c>
      <c r="AC739" s="20">
        <f t="shared" ca="1" si="461"/>
        <v>403942616404133.19</v>
      </c>
      <c r="AD739" s="20">
        <f t="shared" ca="1" si="462"/>
        <v>303115219032616.75</v>
      </c>
      <c r="AE739" s="20">
        <f t="shared" ca="1" si="463"/>
        <v>6845446725291832</v>
      </c>
      <c r="AG739" s="16">
        <f t="shared" ca="1" si="464"/>
        <v>1.4546567604055289E-4</v>
      </c>
      <c r="AH739" s="16">
        <f t="shared" ca="1" si="465"/>
        <v>-4.6012025047846718E-4</v>
      </c>
      <c r="AI739" s="16">
        <f t="shared" ca="1" si="466"/>
        <v>-2.100455163278222E-4</v>
      </c>
      <c r="AJ739" s="16">
        <f t="shared" ca="1" si="467"/>
        <v>-1.8383790913650995E-4</v>
      </c>
      <c r="AK739" s="16">
        <f t="shared" ca="1" si="468"/>
        <v>4.3222241444885014E-4</v>
      </c>
      <c r="AM739" s="16">
        <f t="shared" ca="1" si="469"/>
        <v>-7.0853799990224637E-4</v>
      </c>
      <c r="AO739" s="16">
        <f t="shared" ca="1" si="470"/>
        <v>0</v>
      </c>
      <c r="AP739" s="16">
        <f t="shared" ca="1" si="471"/>
        <v>-4.6012025047846718E-4</v>
      </c>
      <c r="AQ739" s="16">
        <f t="shared" ca="1" si="472"/>
        <v>-2.100455163278222E-4</v>
      </c>
      <c r="AR739" s="16">
        <f t="shared" ca="1" si="473"/>
        <v>-1.8383790913650995E-4</v>
      </c>
      <c r="AS739" s="16">
        <f t="shared" ca="1" si="474"/>
        <v>0</v>
      </c>
    </row>
    <row r="740" spans="1:45" x14ac:dyDescent="0.25">
      <c r="A740" s="69">
        <f t="shared" ca="1" si="475"/>
        <v>2452.198435981496</v>
      </c>
      <c r="B740" s="69">
        <f t="shared" ca="1" si="476"/>
        <v>2138.9535490271678</v>
      </c>
      <c r="C740" s="69">
        <f t="shared" ca="1" si="477"/>
        <v>2233.7615725641626</v>
      </c>
      <c r="D740" s="69">
        <f t="shared" ca="1" si="478"/>
        <v>2901.7499047147435</v>
      </c>
      <c r="E740" s="69">
        <f t="shared" ca="1" si="479"/>
        <v>1932.4181844292432</v>
      </c>
      <c r="F740" s="69">
        <f t="shared" ca="1" si="480"/>
        <v>1218.7531069596232</v>
      </c>
      <c r="G740" s="69">
        <f t="shared" ca="1" si="481"/>
        <v>968.23473348368452</v>
      </c>
      <c r="H740" s="69">
        <f t="shared" ca="1" si="482"/>
        <v>1185.5223494009767</v>
      </c>
      <c r="I740" s="69">
        <f t="shared" ca="1" si="483"/>
        <v>1050.7809000023465</v>
      </c>
      <c r="J740" s="69">
        <f t="shared" ca="1" si="484"/>
        <v>1144.3625178628504</v>
      </c>
      <c r="K740" s="69">
        <f t="shared" ca="1" si="485"/>
        <v>1172.6422894849866</v>
      </c>
      <c r="L740" s="69">
        <f t="shared" ca="1" si="486"/>
        <v>960.38303724137711</v>
      </c>
      <c r="M740" s="69">
        <f t="shared" ca="1" si="487"/>
        <v>994.71420732243405</v>
      </c>
      <c r="N740" s="69">
        <f t="shared" ca="1" si="488"/>
        <v>571.89023216891542</v>
      </c>
      <c r="O740" s="69">
        <f t="shared" ca="1" si="489"/>
        <v>630.38724858186663</v>
      </c>
      <c r="P740" s="69">
        <f t="shared" ca="1" si="490"/>
        <v>724.83031300272751</v>
      </c>
      <c r="Q740" s="69">
        <f t="shared" ca="1" si="491"/>
        <v>961.42362120530663</v>
      </c>
      <c r="R740" s="69">
        <f t="shared" ca="1" si="492"/>
        <v>780.24763217822624</v>
      </c>
      <c r="S740" s="69">
        <f t="shared" ca="1" si="493"/>
        <v>701.08164254284588</v>
      </c>
      <c r="T740" s="69">
        <f t="shared" ca="1" si="494"/>
        <v>795.0157123132534</v>
      </c>
      <c r="U740" s="69">
        <f t="shared" ca="1" si="495"/>
        <v>1694.843421504585</v>
      </c>
      <c r="V740" s="69">
        <f t="shared" ca="1" si="496"/>
        <v>1911.4226639731473</v>
      </c>
      <c r="W740" s="69">
        <f t="shared" ca="1" si="497"/>
        <v>1181.8771132921188</v>
      </c>
      <c r="X740" s="69">
        <f t="shared" ca="1" si="498"/>
        <v>1488.2546464076181</v>
      </c>
      <c r="Y740" s="69">
        <f t="shared" ca="1" si="499"/>
        <v>1201.8592869533595</v>
      </c>
      <c r="AA740" s="20">
        <f t="shared" ca="1" si="459"/>
        <v>6.5698412299839424E+16</v>
      </c>
      <c r="AB740" s="20">
        <f t="shared" ca="1" si="460"/>
        <v>1682216677302718.3</v>
      </c>
      <c r="AC740" s="20">
        <f t="shared" ca="1" si="461"/>
        <v>403857778978876.06</v>
      </c>
      <c r="AD740" s="20">
        <f t="shared" ca="1" si="462"/>
        <v>303059500086306.56</v>
      </c>
      <c r="AE740" s="20">
        <f t="shared" ca="1" si="463"/>
        <v>6848406120315778</v>
      </c>
      <c r="AG740" s="16">
        <f t="shared" ca="1" si="464"/>
        <v>-3.8025442482970788E-4</v>
      </c>
      <c r="AH740" s="16">
        <f t="shared" ca="1" si="465"/>
        <v>3.7170214197759766E-4</v>
      </c>
      <c r="AI740" s="16">
        <f t="shared" ca="1" si="466"/>
        <v>3.3499765721081579E-4</v>
      </c>
      <c r="AJ740" s="16">
        <f t="shared" ca="1" si="467"/>
        <v>-8.2081934033987743E-5</v>
      </c>
      <c r="AK740" s="16">
        <f t="shared" ca="1" si="468"/>
        <v>-6.2497194035759679E-4</v>
      </c>
      <c r="AM740" s="16">
        <f t="shared" ca="1" si="469"/>
        <v>2.4436344032471781E-4</v>
      </c>
      <c r="AO740" s="16">
        <f t="shared" ca="1" si="470"/>
        <v>-3.8025442482970788E-4</v>
      </c>
      <c r="AP740" s="16">
        <f t="shared" ca="1" si="471"/>
        <v>0</v>
      </c>
      <c r="AQ740" s="16">
        <f t="shared" ca="1" si="472"/>
        <v>0</v>
      </c>
      <c r="AR740" s="16">
        <f t="shared" ca="1" si="473"/>
        <v>-8.2081934033987743E-5</v>
      </c>
      <c r="AS740" s="16">
        <f t="shared" ca="1" si="474"/>
        <v>-6.2497194035759679E-4</v>
      </c>
    </row>
    <row r="741" spans="1:45" x14ac:dyDescent="0.25">
      <c r="A741" s="69">
        <f t="shared" ca="1" si="475"/>
        <v>2452.198435981496</v>
      </c>
      <c r="B741" s="69">
        <f t="shared" ca="1" si="476"/>
        <v>2138.4865573902161</v>
      </c>
      <c r="C741" s="69">
        <f t="shared" ca="1" si="477"/>
        <v>2233.6029121681831</v>
      </c>
      <c r="D741" s="69">
        <f t="shared" ca="1" si="478"/>
        <v>2901.7499047147435</v>
      </c>
      <c r="E741" s="69">
        <f t="shared" ca="1" si="479"/>
        <v>1932.2425886117587</v>
      </c>
      <c r="F741" s="69">
        <f t="shared" ca="1" si="480"/>
        <v>1218.7091963259584</v>
      </c>
      <c r="G741" s="69">
        <f t="shared" ca="1" si="481"/>
        <v>968.63496905957288</v>
      </c>
      <c r="H741" s="69">
        <f t="shared" ca="1" si="482"/>
        <v>1185.4583628829787</v>
      </c>
      <c r="I741" s="69">
        <f t="shared" ca="1" si="483"/>
        <v>1051.0138858262656</v>
      </c>
      <c r="J741" s="69">
        <f t="shared" ca="1" si="484"/>
        <v>1144.1642445142766</v>
      </c>
      <c r="K741" s="69">
        <f t="shared" ca="1" si="485"/>
        <v>1172.2410146238583</v>
      </c>
      <c r="L741" s="69">
        <f t="shared" ca="1" si="486"/>
        <v>960.51932346045135</v>
      </c>
      <c r="M741" s="69">
        <f t="shared" ca="1" si="487"/>
        <v>994.90920638529883</v>
      </c>
      <c r="N741" s="69">
        <f t="shared" ca="1" si="488"/>
        <v>571.89023216891542</v>
      </c>
      <c r="O741" s="69">
        <f t="shared" ca="1" si="489"/>
        <v>630.6011999887686</v>
      </c>
      <c r="P741" s="69">
        <f t="shared" ca="1" si="490"/>
        <v>724.8218695967845</v>
      </c>
      <c r="Q741" s="69">
        <f t="shared" ca="1" si="491"/>
        <v>960.95831443915051</v>
      </c>
      <c r="R741" s="69">
        <f t="shared" ca="1" si="492"/>
        <v>780.24763217822624</v>
      </c>
      <c r="S741" s="69">
        <f t="shared" ca="1" si="493"/>
        <v>701.08164254284588</v>
      </c>
      <c r="T741" s="69">
        <f t="shared" ca="1" si="494"/>
        <v>795.34464728288594</v>
      </c>
      <c r="U741" s="69">
        <f t="shared" ca="1" si="495"/>
        <v>1694.7704180237138</v>
      </c>
      <c r="V741" s="69">
        <f t="shared" ca="1" si="496"/>
        <v>1911.4226639731473</v>
      </c>
      <c r="W741" s="69">
        <f t="shared" ca="1" si="497"/>
        <v>1181.4845160672749</v>
      </c>
      <c r="X741" s="69">
        <f t="shared" ca="1" si="498"/>
        <v>1487.8831338484651</v>
      </c>
      <c r="Y741" s="69">
        <f t="shared" ca="1" si="499"/>
        <v>1201.8592869533595</v>
      </c>
      <c r="AA741" s="20">
        <f t="shared" ca="1" si="459"/>
        <v>6.5673434937035448E+16</v>
      </c>
      <c r="AB741" s="20">
        <f t="shared" ca="1" si="460"/>
        <v>1682842077068957.8</v>
      </c>
      <c r="AC741" s="20">
        <f t="shared" ca="1" si="461"/>
        <v>403993093052363.69</v>
      </c>
      <c r="AD741" s="20">
        <f t="shared" ca="1" si="462"/>
        <v>303034625397307.38</v>
      </c>
      <c r="AE741" s="20">
        <f t="shared" ca="1" si="463"/>
        <v>6844127395835047</v>
      </c>
      <c r="AG741" s="16">
        <f t="shared" ca="1" si="464"/>
        <v>-1.5419296013096328E-4</v>
      </c>
      <c r="AH741" s="16">
        <f t="shared" ca="1" si="465"/>
        <v>-2.8805894652515404E-4</v>
      </c>
      <c r="AI741" s="16">
        <f t="shared" ca="1" si="466"/>
        <v>7.4463376023278414E-4</v>
      </c>
      <c r="AJ741" s="16">
        <f t="shared" ca="1" si="467"/>
        <v>-1.1071881888614593E-3</v>
      </c>
      <c r="AK741" s="16">
        <f t="shared" ca="1" si="468"/>
        <v>5.9151569437556337E-4</v>
      </c>
      <c r="AM741" s="16">
        <f t="shared" ca="1" si="469"/>
        <v>-8.0480633528479248E-4</v>
      </c>
      <c r="AO741" s="16">
        <f t="shared" ca="1" si="470"/>
        <v>-1.5419296013096328E-4</v>
      </c>
      <c r="AP741" s="16">
        <f t="shared" ca="1" si="471"/>
        <v>-2.8805894652515404E-4</v>
      </c>
      <c r="AQ741" s="16">
        <f t="shared" ca="1" si="472"/>
        <v>0</v>
      </c>
      <c r="AR741" s="16">
        <f t="shared" ca="1" si="473"/>
        <v>-1.1071881888614593E-3</v>
      </c>
      <c r="AS741" s="16">
        <f t="shared" ca="1" si="474"/>
        <v>0</v>
      </c>
    </row>
    <row r="742" spans="1:45" x14ac:dyDescent="0.25">
      <c r="A742" s="69">
        <f t="shared" ca="1" si="475"/>
        <v>2452.0920889644417</v>
      </c>
      <c r="B742" s="69">
        <f t="shared" ca="1" si="476"/>
        <v>2138.21684280715</v>
      </c>
      <c r="C742" s="69">
        <f t="shared" ca="1" si="477"/>
        <v>2233.6029121681831</v>
      </c>
      <c r="D742" s="69">
        <f t="shared" ca="1" si="478"/>
        <v>2901.794325083376</v>
      </c>
      <c r="E742" s="69">
        <f t="shared" ca="1" si="479"/>
        <v>1932.2425886117587</v>
      </c>
      <c r="F742" s="69">
        <f t="shared" ca="1" si="480"/>
        <v>1218.619772859485</v>
      </c>
      <c r="G742" s="69">
        <f t="shared" ca="1" si="481"/>
        <v>968.63496905957288</v>
      </c>
      <c r="H742" s="69">
        <f t="shared" ca="1" si="482"/>
        <v>1185.2564414678209</v>
      </c>
      <c r="I742" s="69">
        <f t="shared" ca="1" si="483"/>
        <v>1051.3515526107212</v>
      </c>
      <c r="J742" s="69">
        <f t="shared" ca="1" si="484"/>
        <v>1143.7460604522664</v>
      </c>
      <c r="K742" s="69">
        <f t="shared" ca="1" si="485"/>
        <v>1172.2410146238583</v>
      </c>
      <c r="L742" s="69">
        <f t="shared" ca="1" si="486"/>
        <v>960.87207178439223</v>
      </c>
      <c r="M742" s="69">
        <f t="shared" ca="1" si="487"/>
        <v>995.28480940369059</v>
      </c>
      <c r="N742" s="69">
        <f t="shared" ca="1" si="488"/>
        <v>571.89023216891542</v>
      </c>
      <c r="O742" s="69">
        <f t="shared" ca="1" si="489"/>
        <v>630.6011999887686</v>
      </c>
      <c r="P742" s="69">
        <f t="shared" ca="1" si="490"/>
        <v>724.54567924874914</v>
      </c>
      <c r="Q742" s="69">
        <f t="shared" ca="1" si="491"/>
        <v>960.58816152942336</v>
      </c>
      <c r="R742" s="69">
        <f t="shared" ca="1" si="492"/>
        <v>780.24763217822624</v>
      </c>
      <c r="S742" s="69">
        <f t="shared" ca="1" si="493"/>
        <v>700.84275174838547</v>
      </c>
      <c r="T742" s="69">
        <f t="shared" ca="1" si="494"/>
        <v>795.34464728288594</v>
      </c>
      <c r="U742" s="69">
        <f t="shared" ca="1" si="495"/>
        <v>1695.147365760809</v>
      </c>
      <c r="V742" s="69">
        <f t="shared" ca="1" si="496"/>
        <v>1911.4226639731473</v>
      </c>
      <c r="W742" s="69">
        <f t="shared" ca="1" si="497"/>
        <v>1181.9372599761321</v>
      </c>
      <c r="X742" s="69">
        <f t="shared" ca="1" si="498"/>
        <v>1487.8831338484651</v>
      </c>
      <c r="Y742" s="69">
        <f t="shared" ca="1" si="499"/>
        <v>1201.8424567950274</v>
      </c>
      <c r="AA742" s="20">
        <f t="shared" ca="1" si="459"/>
        <v>6.5663309336368768E+16</v>
      </c>
      <c r="AB742" s="20">
        <f t="shared" ca="1" si="460"/>
        <v>1682357389165764</v>
      </c>
      <c r="AC742" s="20">
        <f t="shared" ca="1" si="461"/>
        <v>404294031979088.31</v>
      </c>
      <c r="AD742" s="20">
        <f t="shared" ca="1" si="462"/>
        <v>302699294710595.13</v>
      </c>
      <c r="AE742" s="20">
        <f t="shared" ca="1" si="463"/>
        <v>6848177002188769</v>
      </c>
      <c r="AG742" s="16">
        <f t="shared" ca="1" si="464"/>
        <v>-8.2321983809468489E-5</v>
      </c>
      <c r="AH742" s="16">
        <f t="shared" ca="1" si="465"/>
        <v>-4.4712611001053622E-6</v>
      </c>
      <c r="AI742" s="16">
        <f t="shared" ca="1" si="466"/>
        <v>4.0726099698263707E-4</v>
      </c>
      <c r="AJ742" s="16">
        <f t="shared" ca="1" si="467"/>
        <v>4.0730695813304856E-4</v>
      </c>
      <c r="AK742" s="16">
        <f t="shared" ca="1" si="468"/>
        <v>5.211598644455015E-4</v>
      </c>
      <c r="AM742" s="16">
        <f t="shared" ca="1" si="469"/>
        <v>7.2777471020611184E-4</v>
      </c>
      <c r="AO742" s="16">
        <f t="shared" ca="1" si="470"/>
        <v>-8.2321983809468489E-5</v>
      </c>
      <c r="AP742" s="16">
        <f t="shared" ca="1" si="471"/>
        <v>-4.4712611001053622E-6</v>
      </c>
      <c r="AQ742" s="16">
        <f t="shared" ca="1" si="472"/>
        <v>0</v>
      </c>
      <c r="AR742" s="16">
        <f t="shared" ca="1" si="473"/>
        <v>0</v>
      </c>
      <c r="AS742" s="16">
        <f t="shared" ca="1" si="474"/>
        <v>0</v>
      </c>
    </row>
    <row r="743" spans="1:45" x14ac:dyDescent="0.25">
      <c r="A743" s="69">
        <f t="shared" ca="1" si="475"/>
        <v>2451.6712044680667</v>
      </c>
      <c r="B743" s="69">
        <f t="shared" ca="1" si="476"/>
        <v>2138.4078705890661</v>
      </c>
      <c r="C743" s="69">
        <f t="shared" ca="1" si="477"/>
        <v>2233.6029121681831</v>
      </c>
      <c r="D743" s="69">
        <f t="shared" ca="1" si="478"/>
        <v>2901.794325083376</v>
      </c>
      <c r="E743" s="69">
        <f t="shared" ca="1" si="479"/>
        <v>1932.2425886117587</v>
      </c>
      <c r="F743" s="69">
        <f t="shared" ca="1" si="480"/>
        <v>1218.619772859485</v>
      </c>
      <c r="G743" s="69">
        <f t="shared" ca="1" si="481"/>
        <v>968.63496905957288</v>
      </c>
      <c r="H743" s="69">
        <f t="shared" ca="1" si="482"/>
        <v>1185.0916351856079</v>
      </c>
      <c r="I743" s="69">
        <f t="shared" ca="1" si="483"/>
        <v>1051.3515526107212</v>
      </c>
      <c r="J743" s="69">
        <f t="shared" ca="1" si="484"/>
        <v>1143.9000022722926</v>
      </c>
      <c r="K743" s="69">
        <f t="shared" ca="1" si="485"/>
        <v>1172.6804399422917</v>
      </c>
      <c r="L743" s="69">
        <f t="shared" ca="1" si="486"/>
        <v>960.9554247357031</v>
      </c>
      <c r="M743" s="69">
        <f t="shared" ca="1" si="487"/>
        <v>995.28480940369059</v>
      </c>
      <c r="N743" s="69">
        <f t="shared" ca="1" si="488"/>
        <v>571.89023216891542</v>
      </c>
      <c r="O743" s="69">
        <f t="shared" ca="1" si="489"/>
        <v>630.56697732091675</v>
      </c>
      <c r="P743" s="69">
        <f t="shared" ca="1" si="490"/>
        <v>724.81883379862734</v>
      </c>
      <c r="Q743" s="69">
        <f t="shared" ca="1" si="491"/>
        <v>960.58816152942336</v>
      </c>
      <c r="R743" s="69">
        <f t="shared" ca="1" si="492"/>
        <v>780.24763217822624</v>
      </c>
      <c r="S743" s="69">
        <f t="shared" ca="1" si="493"/>
        <v>700.84275174838547</v>
      </c>
      <c r="T743" s="69">
        <f t="shared" ca="1" si="494"/>
        <v>795.36880772389338</v>
      </c>
      <c r="U743" s="69">
        <f t="shared" ca="1" si="495"/>
        <v>1695.147365760809</v>
      </c>
      <c r="V743" s="69">
        <f t="shared" ca="1" si="496"/>
        <v>1911.4226639731473</v>
      </c>
      <c r="W743" s="69">
        <f t="shared" ca="1" si="497"/>
        <v>1182.344617214266</v>
      </c>
      <c r="X743" s="69">
        <f t="shared" ca="1" si="498"/>
        <v>1488.0403815689938</v>
      </c>
      <c r="Y743" s="69">
        <f t="shared" ca="1" si="499"/>
        <v>1201.9276549754027</v>
      </c>
      <c r="AA743" s="20">
        <f t="shared" ca="1" si="459"/>
        <v>6.5657904024971736E+16</v>
      </c>
      <c r="AB743" s="20">
        <f t="shared" ca="1" si="460"/>
        <v>1682349866923430.3</v>
      </c>
      <c r="AC743" s="20">
        <f t="shared" ca="1" si="461"/>
        <v>404458718702589.56</v>
      </c>
      <c r="AD743" s="20">
        <f t="shared" ca="1" si="462"/>
        <v>302822611351710.88</v>
      </c>
      <c r="AE743" s="20">
        <f t="shared" ca="1" si="463"/>
        <v>6851746927356986</v>
      </c>
      <c r="AG743" s="16">
        <f t="shared" ca="1" si="464"/>
        <v>-1.5807166900095251E-4</v>
      </c>
      <c r="AH743" s="16">
        <f t="shared" ca="1" si="465"/>
        <v>-5.4897196088061692E-4</v>
      </c>
      <c r="AI743" s="16">
        <f t="shared" ca="1" si="466"/>
        <v>3.47558994087129E-4</v>
      </c>
      <c r="AJ743" s="16">
        <f t="shared" ca="1" si="467"/>
        <v>-6.6521921592776058E-4</v>
      </c>
      <c r="AK743" s="16">
        <f t="shared" ca="1" si="468"/>
        <v>-5.3443325440852127E-5</v>
      </c>
      <c r="AM743" s="16">
        <f t="shared" ca="1" si="469"/>
        <v>-1.0247038517222011E-3</v>
      </c>
      <c r="AO743" s="16">
        <f t="shared" ca="1" si="470"/>
        <v>-1.5807166900095251E-4</v>
      </c>
      <c r="AP743" s="16">
        <f t="shared" ca="1" si="471"/>
        <v>-5.4897196088061692E-4</v>
      </c>
      <c r="AQ743" s="16">
        <f t="shared" ca="1" si="472"/>
        <v>0</v>
      </c>
      <c r="AR743" s="16">
        <f t="shared" ca="1" si="473"/>
        <v>-6.6521921592776058E-4</v>
      </c>
      <c r="AS743" s="16">
        <f t="shared" ca="1" si="474"/>
        <v>-5.3443325440852127E-5</v>
      </c>
    </row>
    <row r="744" spans="1:45" x14ac:dyDescent="0.25">
      <c r="A744" s="69">
        <f t="shared" ca="1" si="475"/>
        <v>2451.5117044978247</v>
      </c>
      <c r="B744" s="69">
        <f t="shared" ca="1" si="476"/>
        <v>2138.4078705890661</v>
      </c>
      <c r="C744" s="69">
        <f t="shared" ca="1" si="477"/>
        <v>2233.6841136487164</v>
      </c>
      <c r="D744" s="69">
        <f t="shared" ca="1" si="478"/>
        <v>2901.7341291092139</v>
      </c>
      <c r="E744" s="69">
        <f t="shared" ca="1" si="479"/>
        <v>1932.0327176718761</v>
      </c>
      <c r="F744" s="69">
        <f t="shared" ca="1" si="480"/>
        <v>1218.619772859485</v>
      </c>
      <c r="G744" s="69">
        <f t="shared" ca="1" si="481"/>
        <v>968.36401660994261</v>
      </c>
      <c r="H744" s="69">
        <f t="shared" ca="1" si="482"/>
        <v>1184.7726434408798</v>
      </c>
      <c r="I744" s="69">
        <f t="shared" ca="1" si="483"/>
        <v>1051.3515526107212</v>
      </c>
      <c r="J744" s="69">
        <f t="shared" ca="1" si="484"/>
        <v>1143.9000022722926</v>
      </c>
      <c r="K744" s="69">
        <f t="shared" ca="1" si="485"/>
        <v>1172.6804399422917</v>
      </c>
      <c r="L744" s="69">
        <f t="shared" ca="1" si="486"/>
        <v>960.9554247357031</v>
      </c>
      <c r="M744" s="69">
        <f t="shared" ca="1" si="487"/>
        <v>994.82859055323229</v>
      </c>
      <c r="N744" s="69">
        <f t="shared" ca="1" si="488"/>
        <v>572.26831079256976</v>
      </c>
      <c r="O744" s="69">
        <f t="shared" ca="1" si="489"/>
        <v>630.65851658391921</v>
      </c>
      <c r="P744" s="69">
        <f t="shared" ca="1" si="490"/>
        <v>724.38377027595402</v>
      </c>
      <c r="Q744" s="69">
        <f t="shared" ca="1" si="491"/>
        <v>960.58816152942336</v>
      </c>
      <c r="R744" s="69">
        <f t="shared" ca="1" si="492"/>
        <v>780.24763217822624</v>
      </c>
      <c r="S744" s="69">
        <f t="shared" ca="1" si="493"/>
        <v>700.79733763276352</v>
      </c>
      <c r="T744" s="69">
        <f t="shared" ca="1" si="494"/>
        <v>795.36880772389338</v>
      </c>
      <c r="U744" s="69">
        <f t="shared" ca="1" si="495"/>
        <v>1695.147365760809</v>
      </c>
      <c r="V744" s="69">
        <f t="shared" ca="1" si="496"/>
        <v>1911.4226639731473</v>
      </c>
      <c r="W744" s="69">
        <f t="shared" ca="1" si="497"/>
        <v>1182.2814304745748</v>
      </c>
      <c r="X744" s="69">
        <f t="shared" ca="1" si="498"/>
        <v>1488.0403815689938</v>
      </c>
      <c r="Y744" s="69">
        <f t="shared" ca="1" si="499"/>
        <v>1201.9276549754027</v>
      </c>
      <c r="AA744" s="20">
        <f t="shared" ca="1" si="459"/>
        <v>6.56475261907418E+16</v>
      </c>
      <c r="AB744" s="20">
        <f t="shared" ca="1" si="460"/>
        <v>1681426557476785</v>
      </c>
      <c r="AC744" s="20">
        <f t="shared" ca="1" si="461"/>
        <v>404599316399593.38</v>
      </c>
      <c r="AD744" s="20">
        <f t="shared" ca="1" si="462"/>
        <v>302621234918784.75</v>
      </c>
      <c r="AE744" s="20">
        <f t="shared" ca="1" si="463"/>
        <v>6851380757000877</v>
      </c>
      <c r="AG744" s="16">
        <f t="shared" ca="1" si="464"/>
        <v>1.6054571415414495E-4</v>
      </c>
      <c r="AH744" s="16">
        <f t="shared" ca="1" si="465"/>
        <v>-4.1688356682804538E-4</v>
      </c>
      <c r="AI744" s="16">
        <f t="shared" ca="1" si="466"/>
        <v>-1.3209825248567599E-3</v>
      </c>
      <c r="AJ744" s="16">
        <f t="shared" ca="1" si="467"/>
        <v>5.9545204968720878E-4</v>
      </c>
      <c r="AK744" s="16">
        <f t="shared" ca="1" si="468"/>
        <v>8.3307340316579191E-5</v>
      </c>
      <c r="AM744" s="16">
        <f t="shared" ca="1" si="469"/>
        <v>-9.818683278434515E-4</v>
      </c>
      <c r="AO744" s="16">
        <f t="shared" ca="1" si="470"/>
        <v>0</v>
      </c>
      <c r="AP744" s="16">
        <f t="shared" ca="1" si="471"/>
        <v>-4.1688356682804538E-4</v>
      </c>
      <c r="AQ744" s="16">
        <f t="shared" ca="1" si="472"/>
        <v>-1.3209825248567599E-3</v>
      </c>
      <c r="AR744" s="16">
        <f t="shared" ca="1" si="473"/>
        <v>0</v>
      </c>
      <c r="AS744" s="16">
        <f t="shared" ca="1" si="474"/>
        <v>0</v>
      </c>
    </row>
    <row r="745" spans="1:45" x14ac:dyDescent="0.25">
      <c r="A745" s="69">
        <f t="shared" ca="1" si="475"/>
        <v>2451.5117044978247</v>
      </c>
      <c r="B745" s="69">
        <f t="shared" ca="1" si="476"/>
        <v>2138.8477490800656</v>
      </c>
      <c r="C745" s="69">
        <f t="shared" ca="1" si="477"/>
        <v>2233.6841136487164</v>
      </c>
      <c r="D745" s="69">
        <f t="shared" ca="1" si="478"/>
        <v>2902.1451610998847</v>
      </c>
      <c r="E745" s="69">
        <f t="shared" ca="1" si="479"/>
        <v>1931.6718915090937</v>
      </c>
      <c r="F745" s="69">
        <f t="shared" ca="1" si="480"/>
        <v>1218.619772859485</v>
      </c>
      <c r="G745" s="69">
        <f t="shared" ca="1" si="481"/>
        <v>967.96040569993329</v>
      </c>
      <c r="H745" s="69">
        <f t="shared" ca="1" si="482"/>
        <v>1184.7726434408798</v>
      </c>
      <c r="I745" s="69">
        <f t="shared" ca="1" si="483"/>
        <v>1051.3515526107212</v>
      </c>
      <c r="J745" s="69">
        <f t="shared" ca="1" si="484"/>
        <v>1143.9000022722926</v>
      </c>
      <c r="K745" s="69">
        <f t="shared" ca="1" si="485"/>
        <v>1172.3425680654047</v>
      </c>
      <c r="L745" s="69">
        <f t="shared" ca="1" si="486"/>
        <v>960.73096016060492</v>
      </c>
      <c r="M745" s="69">
        <f t="shared" ca="1" si="487"/>
        <v>994.87912975250595</v>
      </c>
      <c r="N745" s="69">
        <f t="shared" ca="1" si="488"/>
        <v>571.94712144016262</v>
      </c>
      <c r="O745" s="69">
        <f t="shared" ca="1" si="489"/>
        <v>630.47653724945599</v>
      </c>
      <c r="P745" s="69">
        <f t="shared" ca="1" si="490"/>
        <v>724.38377027595402</v>
      </c>
      <c r="Q745" s="69">
        <f t="shared" ca="1" si="491"/>
        <v>960.58816152942336</v>
      </c>
      <c r="R745" s="69">
        <f t="shared" ca="1" si="492"/>
        <v>780.4753987728875</v>
      </c>
      <c r="S745" s="69">
        <f t="shared" ca="1" si="493"/>
        <v>701.07763221789196</v>
      </c>
      <c r="T745" s="69">
        <f t="shared" ca="1" si="494"/>
        <v>795.29221229102063</v>
      </c>
      <c r="U745" s="69">
        <f t="shared" ca="1" si="495"/>
        <v>1695.6042760696739</v>
      </c>
      <c r="V745" s="69">
        <f t="shared" ca="1" si="496"/>
        <v>1911.4226639731473</v>
      </c>
      <c r="W745" s="69">
        <f t="shared" ca="1" si="497"/>
        <v>1181.8371005055787</v>
      </c>
      <c r="X745" s="69">
        <f t="shared" ca="1" si="498"/>
        <v>1488.3549083412749</v>
      </c>
      <c r="Y745" s="69">
        <f t="shared" ca="1" si="499"/>
        <v>1201.9016345797545</v>
      </c>
      <c r="AA745" s="20">
        <f t="shared" ca="1" si="459"/>
        <v>6.5658066465791904E+16</v>
      </c>
      <c r="AB745" s="20">
        <f t="shared" ca="1" si="460"/>
        <v>1680725744465008.3</v>
      </c>
      <c r="AC745" s="20">
        <f t="shared" ca="1" si="461"/>
        <v>404065200629528.88</v>
      </c>
      <c r="AD745" s="20">
        <f t="shared" ca="1" si="462"/>
        <v>302801485013214.25</v>
      </c>
      <c r="AE745" s="20">
        <f t="shared" ca="1" si="463"/>
        <v>6851951551084577</v>
      </c>
      <c r="AG745" s="16">
        <f t="shared" ca="1" si="464"/>
        <v>1.597846504994456E-4</v>
      </c>
      <c r="AH745" s="16">
        <f t="shared" ca="1" si="465"/>
        <v>-3.9171038129850349E-4</v>
      </c>
      <c r="AI745" s="16">
        <f t="shared" ca="1" si="466"/>
        <v>3.3955506656658754E-4</v>
      </c>
      <c r="AJ745" s="16">
        <f t="shared" ca="1" si="467"/>
        <v>1.0865893910520777E-4</v>
      </c>
      <c r="AK745" s="16">
        <f t="shared" ca="1" si="468"/>
        <v>-5.0105771970518138E-5</v>
      </c>
      <c r="AM745" s="16">
        <f t="shared" ca="1" si="469"/>
        <v>2.1628827487273742E-4</v>
      </c>
      <c r="AO745" s="16">
        <f t="shared" ca="1" si="470"/>
        <v>0</v>
      </c>
      <c r="AP745" s="16">
        <f t="shared" ca="1" si="471"/>
        <v>-3.9171038129850349E-4</v>
      </c>
      <c r="AQ745" s="16">
        <f t="shared" ca="1" si="472"/>
        <v>0</v>
      </c>
      <c r="AR745" s="16">
        <f t="shared" ca="1" si="473"/>
        <v>0</v>
      </c>
      <c r="AS745" s="16">
        <f t="shared" ca="1" si="474"/>
        <v>-5.0105771970518138E-5</v>
      </c>
    </row>
    <row r="746" spans="1:45" x14ac:dyDescent="0.25">
      <c r="A746" s="69">
        <f t="shared" ca="1" si="475"/>
        <v>2451.7749992138338</v>
      </c>
      <c r="B746" s="69">
        <f t="shared" ca="1" si="476"/>
        <v>2138.8477490800656</v>
      </c>
      <c r="C746" s="69">
        <f t="shared" ca="1" si="477"/>
        <v>2233.6841136487164</v>
      </c>
      <c r="D746" s="69">
        <f t="shared" ca="1" si="478"/>
        <v>2902.2972068869221</v>
      </c>
      <c r="E746" s="69">
        <f t="shared" ca="1" si="479"/>
        <v>1931.6718915090937</v>
      </c>
      <c r="F746" s="69">
        <f t="shared" ca="1" si="480"/>
        <v>1218.619772859485</v>
      </c>
      <c r="G746" s="69">
        <f t="shared" ca="1" si="481"/>
        <v>968.34586785321949</v>
      </c>
      <c r="H746" s="69">
        <f t="shared" ca="1" si="482"/>
        <v>1184.7726434408798</v>
      </c>
      <c r="I746" s="69">
        <f t="shared" ca="1" si="483"/>
        <v>1050.8654610283118</v>
      </c>
      <c r="J746" s="69">
        <f t="shared" ca="1" si="484"/>
        <v>1143.5255553361164</v>
      </c>
      <c r="K746" s="69">
        <f t="shared" ca="1" si="485"/>
        <v>1172.7705513845772</v>
      </c>
      <c r="L746" s="69">
        <f t="shared" ca="1" si="486"/>
        <v>960.45712510023884</v>
      </c>
      <c r="M746" s="69">
        <f t="shared" ca="1" si="487"/>
        <v>994.42027719383293</v>
      </c>
      <c r="N746" s="69">
        <f t="shared" ca="1" si="488"/>
        <v>571.94712144016262</v>
      </c>
      <c r="O746" s="69">
        <f t="shared" ca="1" si="489"/>
        <v>630.93123950267307</v>
      </c>
      <c r="P746" s="69">
        <f t="shared" ca="1" si="490"/>
        <v>724.38377027595402</v>
      </c>
      <c r="Q746" s="69">
        <f t="shared" ca="1" si="491"/>
        <v>960.70416258482976</v>
      </c>
      <c r="R746" s="69">
        <f t="shared" ca="1" si="492"/>
        <v>780.4753987728875</v>
      </c>
      <c r="S746" s="69">
        <f t="shared" ca="1" si="493"/>
        <v>700.95915040074863</v>
      </c>
      <c r="T746" s="69">
        <f t="shared" ca="1" si="494"/>
        <v>795.41701904572392</v>
      </c>
      <c r="U746" s="69">
        <f t="shared" ca="1" si="495"/>
        <v>1695.6042760696739</v>
      </c>
      <c r="V746" s="69">
        <f t="shared" ca="1" si="496"/>
        <v>1911.3268930643649</v>
      </c>
      <c r="W746" s="69">
        <f t="shared" ca="1" si="497"/>
        <v>1181.8371005055787</v>
      </c>
      <c r="X746" s="69">
        <f t="shared" ca="1" si="498"/>
        <v>1488.3549083412749</v>
      </c>
      <c r="Y746" s="69">
        <f t="shared" ca="1" si="499"/>
        <v>1201.9016345797545</v>
      </c>
      <c r="AA746" s="20">
        <f t="shared" ca="1" si="459"/>
        <v>6.566855845520172E+16</v>
      </c>
      <c r="AB746" s="20">
        <f t="shared" ca="1" si="460"/>
        <v>1680067515668728.5</v>
      </c>
      <c r="AC746" s="20">
        <f t="shared" ca="1" si="461"/>
        <v>404202426312145.25</v>
      </c>
      <c r="AD746" s="20">
        <f t="shared" ca="1" si="462"/>
        <v>302834388888953</v>
      </c>
      <c r="AE746" s="20">
        <f t="shared" ca="1" si="463"/>
        <v>6851608237363677</v>
      </c>
      <c r="AG746" s="16">
        <f t="shared" ca="1" si="464"/>
        <v>-9.4272985437471337E-5</v>
      </c>
      <c r="AH746" s="16">
        <f t="shared" ca="1" si="465"/>
        <v>-6.3838951510541769E-4</v>
      </c>
      <c r="AI746" s="16">
        <f t="shared" ca="1" si="466"/>
        <v>7.5213081733939825E-4</v>
      </c>
      <c r="AJ746" s="16">
        <f t="shared" ca="1" si="467"/>
        <v>-7.3273159323688196E-4</v>
      </c>
      <c r="AK746" s="16">
        <f t="shared" ca="1" si="468"/>
        <v>4.9253724891331707E-4</v>
      </c>
      <c r="AM746" s="16">
        <f t="shared" ca="1" si="469"/>
        <v>-7.1326327644037277E-4</v>
      </c>
      <c r="AO746" s="16">
        <f t="shared" ca="1" si="470"/>
        <v>-9.4272985437471337E-5</v>
      </c>
      <c r="AP746" s="16">
        <f t="shared" ca="1" si="471"/>
        <v>-6.3838951510541769E-4</v>
      </c>
      <c r="AQ746" s="16">
        <f t="shared" ca="1" si="472"/>
        <v>0</v>
      </c>
      <c r="AR746" s="16">
        <f t="shared" ca="1" si="473"/>
        <v>-7.3273159323688196E-4</v>
      </c>
      <c r="AS746" s="16">
        <f t="shared" ca="1" si="474"/>
        <v>0</v>
      </c>
    </row>
    <row r="747" spans="1:45" x14ac:dyDescent="0.25">
      <c r="A747" s="69">
        <f t="shared" ca="1" si="475"/>
        <v>2451.3640647933016</v>
      </c>
      <c r="B747" s="69">
        <f t="shared" ca="1" si="476"/>
        <v>2138.8477490800656</v>
      </c>
      <c r="C747" s="69">
        <f t="shared" ca="1" si="477"/>
        <v>2234.1103712140957</v>
      </c>
      <c r="D747" s="69">
        <f t="shared" ca="1" si="478"/>
        <v>2902.5891203328683</v>
      </c>
      <c r="E747" s="69">
        <f t="shared" ca="1" si="479"/>
        <v>1931.2507546656877</v>
      </c>
      <c r="F747" s="69">
        <f t="shared" ca="1" si="480"/>
        <v>1218.619772859485</v>
      </c>
      <c r="G747" s="69">
        <f t="shared" ca="1" si="481"/>
        <v>968.28440155309909</v>
      </c>
      <c r="H747" s="69">
        <f t="shared" ca="1" si="482"/>
        <v>1184.7726434408798</v>
      </c>
      <c r="I747" s="69">
        <f t="shared" ca="1" si="483"/>
        <v>1050.6910347435314</v>
      </c>
      <c r="J747" s="69">
        <f t="shared" ca="1" si="484"/>
        <v>1143.0580465187618</v>
      </c>
      <c r="K747" s="69">
        <f t="shared" ca="1" si="485"/>
        <v>1173.2055805987593</v>
      </c>
      <c r="L747" s="69">
        <f t="shared" ca="1" si="486"/>
        <v>960.70398682388361</v>
      </c>
      <c r="M747" s="69">
        <f t="shared" ca="1" si="487"/>
        <v>994.40775154854089</v>
      </c>
      <c r="N747" s="69">
        <f t="shared" ca="1" si="488"/>
        <v>572.42008612577308</v>
      </c>
      <c r="O747" s="69">
        <f t="shared" ca="1" si="489"/>
        <v>630.49621473960678</v>
      </c>
      <c r="P747" s="69">
        <f t="shared" ca="1" si="490"/>
        <v>724.47938989909278</v>
      </c>
      <c r="Q747" s="69">
        <f t="shared" ca="1" si="491"/>
        <v>960.31774595958461</v>
      </c>
      <c r="R747" s="69">
        <f t="shared" ca="1" si="492"/>
        <v>780.1172307573014</v>
      </c>
      <c r="S747" s="69">
        <f t="shared" ca="1" si="493"/>
        <v>700.95676320517066</v>
      </c>
      <c r="T747" s="69">
        <f t="shared" ca="1" si="494"/>
        <v>795.41701904572392</v>
      </c>
      <c r="U747" s="69">
        <f t="shared" ca="1" si="495"/>
        <v>1695.9028382648009</v>
      </c>
      <c r="V747" s="69">
        <f t="shared" ca="1" si="496"/>
        <v>1911.3268930643649</v>
      </c>
      <c r="W747" s="69">
        <f t="shared" ca="1" si="497"/>
        <v>1181.8371005055787</v>
      </c>
      <c r="X747" s="69">
        <f t="shared" ca="1" si="498"/>
        <v>1488.2072891507389</v>
      </c>
      <c r="Y747" s="69">
        <f t="shared" ca="1" si="499"/>
        <v>1202.4013212674993</v>
      </c>
      <c r="AA747" s="20">
        <f t="shared" ca="1" si="459"/>
        <v>6.566236797594884E+16</v>
      </c>
      <c r="AB747" s="20">
        <f t="shared" ca="1" si="460"/>
        <v>1678995320457560.5</v>
      </c>
      <c r="AC747" s="20">
        <f t="shared" ca="1" si="461"/>
        <v>404506553770897.94</v>
      </c>
      <c r="AD747" s="20">
        <f t="shared" ca="1" si="462"/>
        <v>302612573840066.88</v>
      </c>
      <c r="AE747" s="20">
        <f t="shared" ca="1" si="463"/>
        <v>6854983740847900</v>
      </c>
      <c r="AG747" s="16">
        <f t="shared" ca="1" si="464"/>
        <v>8.2296415399931696E-5</v>
      </c>
      <c r="AH747" s="16">
        <f t="shared" ca="1" si="465"/>
        <v>-1.5920779068125511E-4</v>
      </c>
      <c r="AI747" s="16">
        <f t="shared" ca="1" si="466"/>
        <v>-7.2865135476086074E-4</v>
      </c>
      <c r="AJ747" s="16">
        <f t="shared" ca="1" si="467"/>
        <v>-1.9170558559133594E-4</v>
      </c>
      <c r="AK747" s="16">
        <f t="shared" ca="1" si="468"/>
        <v>4.1201733051512487E-6</v>
      </c>
      <c r="AM747" s="16">
        <f t="shared" ca="1" si="469"/>
        <v>-9.9726831563352013E-4</v>
      </c>
      <c r="AO747" s="16">
        <f t="shared" ca="1" si="470"/>
        <v>0</v>
      </c>
      <c r="AP747" s="16">
        <f t="shared" ca="1" si="471"/>
        <v>-1.5920779068125511E-4</v>
      </c>
      <c r="AQ747" s="16">
        <f t="shared" ca="1" si="472"/>
        <v>-7.2865135476086074E-4</v>
      </c>
      <c r="AR747" s="16">
        <f t="shared" ca="1" si="473"/>
        <v>-1.9170558559133594E-4</v>
      </c>
      <c r="AS747" s="16">
        <f t="shared" ca="1" si="474"/>
        <v>0</v>
      </c>
    </row>
    <row r="748" spans="1:45" x14ac:dyDescent="0.25">
      <c r="A748" s="69">
        <f t="shared" ca="1" si="475"/>
        <v>2451.5658115700789</v>
      </c>
      <c r="B748" s="69">
        <f t="shared" ca="1" si="476"/>
        <v>2138.8477490800656</v>
      </c>
      <c r="C748" s="69">
        <f t="shared" ca="1" si="477"/>
        <v>2234.1103712140957</v>
      </c>
      <c r="D748" s="69">
        <f t="shared" ca="1" si="478"/>
        <v>2902.5891203328683</v>
      </c>
      <c r="E748" s="69">
        <f t="shared" ca="1" si="479"/>
        <v>1931.2507546656877</v>
      </c>
      <c r="F748" s="69">
        <f t="shared" ca="1" si="480"/>
        <v>1218.619772859485</v>
      </c>
      <c r="G748" s="69">
        <f t="shared" ca="1" si="481"/>
        <v>968.28440155309909</v>
      </c>
      <c r="H748" s="69">
        <f t="shared" ca="1" si="482"/>
        <v>1184.9452159409027</v>
      </c>
      <c r="I748" s="69">
        <f t="shared" ca="1" si="483"/>
        <v>1050.6910347435314</v>
      </c>
      <c r="J748" s="69">
        <f t="shared" ca="1" si="484"/>
        <v>1142.7096316040238</v>
      </c>
      <c r="K748" s="69">
        <f t="shared" ca="1" si="485"/>
        <v>1173.2055805987593</v>
      </c>
      <c r="L748" s="69">
        <f t="shared" ca="1" si="486"/>
        <v>961.20326994129846</v>
      </c>
      <c r="M748" s="69">
        <f t="shared" ca="1" si="487"/>
        <v>994.40775154854089</v>
      </c>
      <c r="N748" s="69">
        <f t="shared" ca="1" si="488"/>
        <v>572.05170131290083</v>
      </c>
      <c r="O748" s="69">
        <f t="shared" ca="1" si="489"/>
        <v>630.11522148112613</v>
      </c>
      <c r="P748" s="69">
        <f t="shared" ca="1" si="490"/>
        <v>724.47938989909278</v>
      </c>
      <c r="Q748" s="69">
        <f t="shared" ca="1" si="491"/>
        <v>960.78111778890127</v>
      </c>
      <c r="R748" s="69">
        <f t="shared" ca="1" si="492"/>
        <v>779.72204122216203</v>
      </c>
      <c r="S748" s="69">
        <f t="shared" ca="1" si="493"/>
        <v>700.95676320517066</v>
      </c>
      <c r="T748" s="69">
        <f t="shared" ca="1" si="494"/>
        <v>795.28387497498136</v>
      </c>
      <c r="U748" s="69">
        <f t="shared" ca="1" si="495"/>
        <v>1695.9028382648009</v>
      </c>
      <c r="V748" s="69">
        <f t="shared" ca="1" si="496"/>
        <v>1911.782012565279</v>
      </c>
      <c r="W748" s="69">
        <f t="shared" ca="1" si="497"/>
        <v>1181.8371005055787</v>
      </c>
      <c r="X748" s="69">
        <f t="shared" ca="1" si="498"/>
        <v>1488.1928879104744</v>
      </c>
      <c r="Y748" s="69">
        <f t="shared" ca="1" si="499"/>
        <v>1202.1316630307385</v>
      </c>
      <c r="AA748" s="20">
        <f t="shared" ca="1" si="459"/>
        <v>6.5667771975821792E+16</v>
      </c>
      <c r="AB748" s="20">
        <f t="shared" ca="1" si="460"/>
        <v>1678728032599745.5</v>
      </c>
      <c r="AC748" s="20">
        <f t="shared" ca="1" si="461"/>
        <v>404211916879304.25</v>
      </c>
      <c r="AD748" s="20">
        <f t="shared" ca="1" si="462"/>
        <v>302554566879698.38</v>
      </c>
      <c r="AE748" s="20">
        <f t="shared" ca="1" si="463"/>
        <v>6855011984627101</v>
      </c>
      <c r="AG748" s="16">
        <f t="shared" ca="1" si="464"/>
        <v>-5.6073000389166831E-5</v>
      </c>
      <c r="AH748" s="16">
        <f t="shared" ca="1" si="465"/>
        <v>-2.8348979521039099E-5</v>
      </c>
      <c r="AI748" s="16">
        <f t="shared" ca="1" si="466"/>
        <v>1.2527289999410037E-3</v>
      </c>
      <c r="AJ748" s="16">
        <f t="shared" ca="1" si="467"/>
        <v>6.0103135472200928E-4</v>
      </c>
      <c r="AK748" s="16">
        <f t="shared" ca="1" si="468"/>
        <v>-6.213155432061773E-4</v>
      </c>
      <c r="AM748" s="16">
        <f t="shared" ca="1" si="469"/>
        <v>1.769338374752807E-3</v>
      </c>
      <c r="AO748" s="16">
        <f t="shared" ca="1" si="470"/>
        <v>-5.6073000389166831E-5</v>
      </c>
      <c r="AP748" s="16">
        <f t="shared" ca="1" si="471"/>
        <v>-2.8348979521039099E-5</v>
      </c>
      <c r="AQ748" s="16">
        <f t="shared" ca="1" si="472"/>
        <v>0</v>
      </c>
      <c r="AR748" s="16">
        <f t="shared" ca="1" si="473"/>
        <v>0</v>
      </c>
      <c r="AS748" s="16">
        <f t="shared" ca="1" si="474"/>
        <v>-6.213155432061773E-4</v>
      </c>
    </row>
    <row r="749" spans="1:45" x14ac:dyDescent="0.25">
      <c r="A749" s="69">
        <f t="shared" ca="1" si="475"/>
        <v>2451.2413120475112</v>
      </c>
      <c r="B749" s="69">
        <f t="shared" ca="1" si="476"/>
        <v>2139.0028234245819</v>
      </c>
      <c r="C749" s="69">
        <f t="shared" ca="1" si="477"/>
        <v>2233.8392644136698</v>
      </c>
      <c r="D749" s="69">
        <f t="shared" ca="1" si="478"/>
        <v>2902.3991290295216</v>
      </c>
      <c r="E749" s="69">
        <f t="shared" ca="1" si="479"/>
        <v>1931.6189114195004</v>
      </c>
      <c r="F749" s="69">
        <f t="shared" ca="1" si="480"/>
        <v>1218.619772859485</v>
      </c>
      <c r="G749" s="69">
        <f t="shared" ca="1" si="481"/>
        <v>968.47305123436581</v>
      </c>
      <c r="H749" s="69">
        <f t="shared" ca="1" si="482"/>
        <v>1184.7542199856102</v>
      </c>
      <c r="I749" s="69">
        <f t="shared" ca="1" si="483"/>
        <v>1050.6259355960842</v>
      </c>
      <c r="J749" s="69">
        <f t="shared" ca="1" si="484"/>
        <v>1142.7096316040238</v>
      </c>
      <c r="K749" s="69">
        <f t="shared" ca="1" si="485"/>
        <v>1173.2055805987593</v>
      </c>
      <c r="L749" s="69">
        <f t="shared" ca="1" si="486"/>
        <v>961.63137096723631</v>
      </c>
      <c r="M749" s="69">
        <f t="shared" ca="1" si="487"/>
        <v>994.65868564491723</v>
      </c>
      <c r="N749" s="69">
        <f t="shared" ca="1" si="488"/>
        <v>572.36996371007706</v>
      </c>
      <c r="O749" s="69">
        <f t="shared" ca="1" si="489"/>
        <v>630.11455140898875</v>
      </c>
      <c r="P749" s="69">
        <f t="shared" ca="1" si="490"/>
        <v>724.70776405826871</v>
      </c>
      <c r="Q749" s="69">
        <f t="shared" ca="1" si="491"/>
        <v>960.41731793120982</v>
      </c>
      <c r="R749" s="69">
        <f t="shared" ca="1" si="492"/>
        <v>779.96375778124855</v>
      </c>
      <c r="S749" s="69">
        <f t="shared" ca="1" si="493"/>
        <v>701.20538209486222</v>
      </c>
      <c r="T749" s="69">
        <f t="shared" ca="1" si="494"/>
        <v>795.28387497498136</v>
      </c>
      <c r="U749" s="69">
        <f t="shared" ca="1" si="495"/>
        <v>1695.4238097008429</v>
      </c>
      <c r="V749" s="69">
        <f t="shared" ca="1" si="496"/>
        <v>1911.782012565279</v>
      </c>
      <c r="W749" s="69">
        <f t="shared" ca="1" si="497"/>
        <v>1181.4059181528191</v>
      </c>
      <c r="X749" s="69">
        <f t="shared" ca="1" si="498"/>
        <v>1488.2317212662088</v>
      </c>
      <c r="Y749" s="69">
        <f t="shared" ca="1" si="499"/>
        <v>1202.1316630307385</v>
      </c>
      <c r="AA749" s="20">
        <f t="shared" ca="1" si="459"/>
        <v>6.5664089890052E+16</v>
      </c>
      <c r="AB749" s="20">
        <f t="shared" ca="1" si="460"/>
        <v>1678680443047688.8</v>
      </c>
      <c r="AC749" s="20">
        <f t="shared" ca="1" si="461"/>
        <v>404718602173118.38</v>
      </c>
      <c r="AD749" s="20">
        <f t="shared" ca="1" si="462"/>
        <v>302736466319064.88</v>
      </c>
      <c r="AE749" s="20">
        <f t="shared" ca="1" si="463"/>
        <v>6850754181988638</v>
      </c>
      <c r="AG749" s="16">
        <f t="shared" ca="1" si="464"/>
        <v>5.816977057309509E-5</v>
      </c>
      <c r="AH749" s="16">
        <f t="shared" ca="1" si="465"/>
        <v>3.5149015471521621E-4</v>
      </c>
      <c r="AI749" s="16">
        <f t="shared" ca="1" si="466"/>
        <v>-5.4695022277684974E-4</v>
      </c>
      <c r="AJ749" s="16">
        <f t="shared" ca="1" si="467"/>
        <v>-4.9621442023276843E-4</v>
      </c>
      <c r="AK749" s="16">
        <f t="shared" ca="1" si="468"/>
        <v>-6.8974040131057385E-4</v>
      </c>
      <c r="AM749" s="16">
        <f t="shared" ca="1" si="469"/>
        <v>-6.3350471772130688E-4</v>
      </c>
      <c r="AO749" s="16">
        <f t="shared" ca="1" si="470"/>
        <v>0</v>
      </c>
      <c r="AP749" s="16">
        <f t="shared" ca="1" si="471"/>
        <v>0</v>
      </c>
      <c r="AQ749" s="16">
        <f t="shared" ca="1" si="472"/>
        <v>-5.4695022277684974E-4</v>
      </c>
      <c r="AR749" s="16">
        <f t="shared" ca="1" si="473"/>
        <v>-4.9621442023276843E-4</v>
      </c>
      <c r="AS749" s="16">
        <f t="shared" ca="1" si="474"/>
        <v>-6.8974040131057385E-4</v>
      </c>
    </row>
    <row r="750" spans="1:45" x14ac:dyDescent="0.25">
      <c r="A750" s="69">
        <f t="shared" ca="1" si="475"/>
        <v>2451.5870628833882</v>
      </c>
      <c r="B750" s="69">
        <f t="shared" ca="1" si="476"/>
        <v>2139.0028234245819</v>
      </c>
      <c r="C750" s="69">
        <f t="shared" ca="1" si="477"/>
        <v>2233.7914678107218</v>
      </c>
      <c r="D750" s="69">
        <f t="shared" ca="1" si="478"/>
        <v>2902.4472148456375</v>
      </c>
      <c r="E750" s="69">
        <f t="shared" ca="1" si="479"/>
        <v>1931.4681694452556</v>
      </c>
      <c r="F750" s="69">
        <f t="shared" ca="1" si="480"/>
        <v>1218.619772859485</v>
      </c>
      <c r="G750" s="69">
        <f t="shared" ca="1" si="481"/>
        <v>968.89401563881961</v>
      </c>
      <c r="H750" s="69">
        <f t="shared" ca="1" si="482"/>
        <v>1184.7542199856102</v>
      </c>
      <c r="I750" s="69">
        <f t="shared" ca="1" si="483"/>
        <v>1050.405078379591</v>
      </c>
      <c r="J750" s="69">
        <f t="shared" ca="1" si="484"/>
        <v>1142.8549402790352</v>
      </c>
      <c r="K750" s="69">
        <f t="shared" ca="1" si="485"/>
        <v>1173.4663658737452</v>
      </c>
      <c r="L750" s="69">
        <f t="shared" ca="1" si="486"/>
        <v>961.48606002768304</v>
      </c>
      <c r="M750" s="69">
        <f t="shared" ca="1" si="487"/>
        <v>994.38881697089164</v>
      </c>
      <c r="N750" s="69">
        <f t="shared" ca="1" si="488"/>
        <v>572.36996371007706</v>
      </c>
      <c r="O750" s="69">
        <f t="shared" ca="1" si="489"/>
        <v>629.89610649733936</v>
      </c>
      <c r="P750" s="69">
        <f t="shared" ca="1" si="490"/>
        <v>724.70776405826871</v>
      </c>
      <c r="Q750" s="69">
        <f t="shared" ca="1" si="491"/>
        <v>960.24375947204817</v>
      </c>
      <c r="R750" s="69">
        <f t="shared" ca="1" si="492"/>
        <v>779.65468607068317</v>
      </c>
      <c r="S750" s="69">
        <f t="shared" ca="1" si="493"/>
        <v>701.14741839093938</v>
      </c>
      <c r="T750" s="69">
        <f t="shared" ca="1" si="494"/>
        <v>795.41393242234608</v>
      </c>
      <c r="U750" s="69">
        <f t="shared" ca="1" si="495"/>
        <v>1695.4238097008429</v>
      </c>
      <c r="V750" s="69">
        <f t="shared" ca="1" si="496"/>
        <v>1911.782012565279</v>
      </c>
      <c r="W750" s="69">
        <f t="shared" ca="1" si="497"/>
        <v>1181.0800760280281</v>
      </c>
      <c r="X750" s="69">
        <f t="shared" ca="1" si="498"/>
        <v>1488.2317212662088</v>
      </c>
      <c r="Y750" s="69">
        <f t="shared" ca="1" si="499"/>
        <v>1201.634211407144</v>
      </c>
      <c r="AA750" s="20">
        <f t="shared" ca="1" si="459"/>
        <v>6.5667909666192472E+16</v>
      </c>
      <c r="AB750" s="20">
        <f t="shared" ca="1" si="460"/>
        <v>1679270586405047.3</v>
      </c>
      <c r="AC750" s="20">
        <f t="shared" ca="1" si="461"/>
        <v>404497301769167.38</v>
      </c>
      <c r="AD750" s="20">
        <f t="shared" ca="1" si="462"/>
        <v>302586281383993.94</v>
      </c>
      <c r="AE750" s="20">
        <f t="shared" ca="1" si="463"/>
        <v>6846030569270407</v>
      </c>
      <c r="AG750" s="16">
        <f t="shared" ca="1" si="464"/>
        <v>-4.970268235292476E-5</v>
      </c>
      <c r="AH750" s="16">
        <f t="shared" ca="1" si="465"/>
        <v>-1.5969165172266742E-4</v>
      </c>
      <c r="AI750" s="16">
        <f t="shared" ca="1" si="466"/>
        <v>1.4198528325049033E-4</v>
      </c>
      <c r="AJ750" s="16">
        <f t="shared" ca="1" si="467"/>
        <v>2.5169904758330524E-5</v>
      </c>
      <c r="AK750" s="16">
        <f t="shared" ca="1" si="468"/>
        <v>-7.0099931213436705E-5</v>
      </c>
      <c r="AM750" s="16">
        <f t="shared" ca="1" si="469"/>
        <v>-4.2239146066771322E-5</v>
      </c>
      <c r="AO750" s="16">
        <f t="shared" ca="1" si="470"/>
        <v>-4.970268235292476E-5</v>
      </c>
      <c r="AP750" s="16">
        <f t="shared" ca="1" si="471"/>
        <v>-1.5969165172266742E-4</v>
      </c>
      <c r="AQ750" s="16">
        <f t="shared" ca="1" si="472"/>
        <v>0</v>
      </c>
      <c r="AR750" s="16">
        <f t="shared" ca="1" si="473"/>
        <v>0</v>
      </c>
      <c r="AS750" s="16">
        <f t="shared" ca="1" si="474"/>
        <v>-7.0099931213436705E-5</v>
      </c>
    </row>
    <row r="751" spans="1:45" x14ac:dyDescent="0.25">
      <c r="A751" s="69">
        <f t="shared" ca="1" si="475"/>
        <v>2451.9923003747399</v>
      </c>
      <c r="B751" s="69">
        <f t="shared" ca="1" si="476"/>
        <v>2138.8585474403612</v>
      </c>
      <c r="C751" s="69">
        <f t="shared" ca="1" si="477"/>
        <v>2234.2811022300707</v>
      </c>
      <c r="D751" s="69">
        <f t="shared" ca="1" si="478"/>
        <v>2902.0847278953893</v>
      </c>
      <c r="E751" s="69">
        <f t="shared" ca="1" si="479"/>
        <v>1931.0011872167258</v>
      </c>
      <c r="F751" s="69">
        <f t="shared" ca="1" si="480"/>
        <v>1218.619772859485</v>
      </c>
      <c r="G751" s="69">
        <f t="shared" ca="1" si="481"/>
        <v>968.73930370654864</v>
      </c>
      <c r="H751" s="69">
        <f t="shared" ca="1" si="482"/>
        <v>1184.7542199856102</v>
      </c>
      <c r="I751" s="69">
        <f t="shared" ca="1" si="483"/>
        <v>1050.405078379591</v>
      </c>
      <c r="J751" s="69">
        <f t="shared" ca="1" si="484"/>
        <v>1142.8549402790352</v>
      </c>
      <c r="K751" s="69">
        <f t="shared" ca="1" si="485"/>
        <v>1173.2948014894246</v>
      </c>
      <c r="L751" s="69">
        <f t="shared" ca="1" si="486"/>
        <v>961.76319932201613</v>
      </c>
      <c r="M751" s="69">
        <f t="shared" ca="1" si="487"/>
        <v>994.38881697089164</v>
      </c>
      <c r="N751" s="69">
        <f t="shared" ca="1" si="488"/>
        <v>572.36996371007706</v>
      </c>
      <c r="O751" s="69">
        <f t="shared" ca="1" si="489"/>
        <v>629.89610649733936</v>
      </c>
      <c r="P751" s="69">
        <f t="shared" ca="1" si="490"/>
        <v>724.70776405826871</v>
      </c>
      <c r="Q751" s="69">
        <f t="shared" ca="1" si="491"/>
        <v>960.38663755346352</v>
      </c>
      <c r="R751" s="69">
        <f t="shared" ca="1" si="492"/>
        <v>779.22225982419207</v>
      </c>
      <c r="S751" s="69">
        <f t="shared" ca="1" si="493"/>
        <v>701.43987669542162</v>
      </c>
      <c r="T751" s="69">
        <f t="shared" ca="1" si="494"/>
        <v>795.42518965028592</v>
      </c>
      <c r="U751" s="69">
        <f t="shared" ca="1" si="495"/>
        <v>1695.0574669361383</v>
      </c>
      <c r="V751" s="69">
        <f t="shared" ca="1" si="496"/>
        <v>1911.782012565279</v>
      </c>
      <c r="W751" s="69">
        <f t="shared" ca="1" si="497"/>
        <v>1181.0800760280281</v>
      </c>
      <c r="X751" s="69">
        <f t="shared" ca="1" si="498"/>
        <v>1488.4490201722235</v>
      </c>
      <c r="Y751" s="69">
        <f t="shared" ca="1" si="499"/>
        <v>1201.634211407144</v>
      </c>
      <c r="AA751" s="20">
        <f t="shared" ca="1" si="459"/>
        <v>6.5664645876047784E+16</v>
      </c>
      <c r="AB751" s="20">
        <f t="shared" ca="1" si="460"/>
        <v>1679002442322170.5</v>
      </c>
      <c r="AC751" s="20">
        <f t="shared" ca="1" si="461"/>
        <v>404554738510622.63</v>
      </c>
      <c r="AD751" s="20">
        <f t="shared" ca="1" si="462"/>
        <v>302593897547726.19</v>
      </c>
      <c r="AE751" s="20">
        <f t="shared" ca="1" si="463"/>
        <v>6845550679818721</v>
      </c>
      <c r="AG751" s="16">
        <f t="shared" ca="1" si="464"/>
        <v>-1.0321374959709696E-4</v>
      </c>
      <c r="AH751" s="16">
        <f t="shared" ca="1" si="465"/>
        <v>-2.8912093652040969E-4</v>
      </c>
      <c r="AI751" s="16">
        <f t="shared" ca="1" si="466"/>
        <v>-1.3656897800559415E-3</v>
      </c>
      <c r="AJ751" s="16">
        <f t="shared" ca="1" si="467"/>
        <v>8.0325867889966191E-4</v>
      </c>
      <c r="AK751" s="16">
        <f t="shared" ca="1" si="468"/>
        <v>-6.2869247879753312E-4</v>
      </c>
      <c r="AM751" s="16">
        <f t="shared" ca="1" si="469"/>
        <v>-9.547657872737862E-4</v>
      </c>
      <c r="AO751" s="16">
        <f t="shared" ca="1" si="470"/>
        <v>-1.0321374959709696E-4</v>
      </c>
      <c r="AP751" s="16">
        <f t="shared" ca="1" si="471"/>
        <v>-2.8912093652040969E-4</v>
      </c>
      <c r="AQ751" s="16">
        <f t="shared" ca="1" si="472"/>
        <v>-1.3656897800559415E-3</v>
      </c>
      <c r="AR751" s="16">
        <f t="shared" ca="1" si="473"/>
        <v>0</v>
      </c>
      <c r="AS751" s="16">
        <f t="shared" ca="1" si="474"/>
        <v>-6.2869247879753312E-4</v>
      </c>
    </row>
    <row r="752" spans="1:45" x14ac:dyDescent="0.25">
      <c r="A752" s="69">
        <f t="shared" ca="1" si="475"/>
        <v>2451.9923003747399</v>
      </c>
      <c r="B752" s="69">
        <f t="shared" ca="1" si="476"/>
        <v>2138.6552748817485</v>
      </c>
      <c r="C752" s="69">
        <f t="shared" ca="1" si="477"/>
        <v>2234.5454022244717</v>
      </c>
      <c r="D752" s="69">
        <f t="shared" ca="1" si="478"/>
        <v>2902.2628913417152</v>
      </c>
      <c r="E752" s="69">
        <f t="shared" ca="1" si="479"/>
        <v>1930.6384883053679</v>
      </c>
      <c r="F752" s="69">
        <f t="shared" ca="1" si="480"/>
        <v>1218.619772859485</v>
      </c>
      <c r="G752" s="69">
        <f t="shared" ca="1" si="481"/>
        <v>968.73930370654864</v>
      </c>
      <c r="H752" s="69">
        <f t="shared" ca="1" si="482"/>
        <v>1184.8024660827934</v>
      </c>
      <c r="I752" s="69">
        <f t="shared" ca="1" si="483"/>
        <v>1050.0586672135712</v>
      </c>
      <c r="J752" s="69">
        <f t="shared" ca="1" si="484"/>
        <v>1142.8549402790352</v>
      </c>
      <c r="K752" s="69">
        <f t="shared" ca="1" si="485"/>
        <v>1172.8351319255937</v>
      </c>
      <c r="L752" s="69">
        <f t="shared" ca="1" si="486"/>
        <v>961.43872142733926</v>
      </c>
      <c r="M752" s="69">
        <f t="shared" ca="1" si="487"/>
        <v>994.38881697089164</v>
      </c>
      <c r="N752" s="69">
        <f t="shared" ca="1" si="488"/>
        <v>572.38235439311336</v>
      </c>
      <c r="O752" s="69">
        <f t="shared" ca="1" si="489"/>
        <v>629.48174032493273</v>
      </c>
      <c r="P752" s="69">
        <f t="shared" ca="1" si="490"/>
        <v>725.14781709807471</v>
      </c>
      <c r="Q752" s="69">
        <f t="shared" ca="1" si="491"/>
        <v>960.04711022243214</v>
      </c>
      <c r="R752" s="69">
        <f t="shared" ca="1" si="492"/>
        <v>779.22225982419207</v>
      </c>
      <c r="S752" s="69">
        <f t="shared" ca="1" si="493"/>
        <v>701.43987669542162</v>
      </c>
      <c r="T752" s="69">
        <f t="shared" ca="1" si="494"/>
        <v>795.86265290070071</v>
      </c>
      <c r="U752" s="69">
        <f t="shared" ca="1" si="495"/>
        <v>1694.6585841232582</v>
      </c>
      <c r="V752" s="69">
        <f t="shared" ca="1" si="496"/>
        <v>1911.9691603834949</v>
      </c>
      <c r="W752" s="69">
        <f t="shared" ca="1" si="497"/>
        <v>1180.9078281545719</v>
      </c>
      <c r="X752" s="69">
        <f t="shared" ca="1" si="498"/>
        <v>1488.4490201722235</v>
      </c>
      <c r="Y752" s="69">
        <f t="shared" ca="1" si="499"/>
        <v>1201.2192617091696</v>
      </c>
      <c r="AA752" s="20">
        <f t="shared" ca="1" si="459"/>
        <v>6.5657868731484216E+16</v>
      </c>
      <c r="AB752" s="20">
        <f t="shared" ca="1" si="460"/>
        <v>1678517077731539.8</v>
      </c>
      <c r="AC752" s="20">
        <f t="shared" ca="1" si="461"/>
        <v>404002619336335.81</v>
      </c>
      <c r="AD752" s="20">
        <f t="shared" ca="1" si="462"/>
        <v>302837056368755.81</v>
      </c>
      <c r="AE752" s="20">
        <f t="shared" ca="1" si="463"/>
        <v>6841248286176065</v>
      </c>
      <c r="AG752" s="16">
        <f t="shared" ca="1" si="464"/>
        <v>2.3339916806244107E-4</v>
      </c>
      <c r="AH752" s="16">
        <f t="shared" ca="1" si="465"/>
        <v>-4.0804085571454617E-5</v>
      </c>
      <c r="AI752" s="16">
        <f t="shared" ca="1" si="466"/>
        <v>7.2230974900840602E-5</v>
      </c>
      <c r="AJ752" s="16">
        <f t="shared" ca="1" si="467"/>
        <v>7.1328576043666527E-4</v>
      </c>
      <c r="AK752" s="16">
        <f t="shared" ca="1" si="468"/>
        <v>-6.1446210871457898E-4</v>
      </c>
      <c r="AM752" s="16">
        <f t="shared" ca="1" si="469"/>
        <v>9.7811181782849225E-4</v>
      </c>
      <c r="AO752" s="16">
        <f t="shared" ca="1" si="470"/>
        <v>0</v>
      </c>
      <c r="AP752" s="16">
        <f t="shared" ca="1" si="471"/>
        <v>-4.0804085571454617E-5</v>
      </c>
      <c r="AQ752" s="16">
        <f t="shared" ca="1" si="472"/>
        <v>0</v>
      </c>
      <c r="AR752" s="16">
        <f t="shared" ca="1" si="473"/>
        <v>0</v>
      </c>
      <c r="AS752" s="16">
        <f t="shared" ca="1" si="474"/>
        <v>-6.1446210871457898E-4</v>
      </c>
    </row>
    <row r="753" spans="1:45" x14ac:dyDescent="0.25">
      <c r="A753" s="69">
        <f t="shared" ca="1" si="475"/>
        <v>2451.9923003747399</v>
      </c>
      <c r="B753" s="69">
        <f t="shared" ca="1" si="476"/>
        <v>2138.6529724947641</v>
      </c>
      <c r="C753" s="69">
        <f t="shared" ca="1" si="477"/>
        <v>2234.9856960510547</v>
      </c>
      <c r="D753" s="69">
        <f t="shared" ca="1" si="478"/>
        <v>2901.9766636895483</v>
      </c>
      <c r="E753" s="69">
        <f t="shared" ca="1" si="479"/>
        <v>1930.9012326462057</v>
      </c>
      <c r="F753" s="69">
        <f t="shared" ca="1" si="480"/>
        <v>1218.619772859485</v>
      </c>
      <c r="G753" s="69">
        <f t="shared" ca="1" si="481"/>
        <v>968.65091867026558</v>
      </c>
      <c r="H753" s="69">
        <f t="shared" ca="1" si="482"/>
        <v>1184.7742263933542</v>
      </c>
      <c r="I753" s="69">
        <f t="shared" ca="1" si="483"/>
        <v>1050.0586672135712</v>
      </c>
      <c r="J753" s="69">
        <f t="shared" ca="1" si="484"/>
        <v>1142.9398260899602</v>
      </c>
      <c r="K753" s="69">
        <f t="shared" ca="1" si="485"/>
        <v>1172.3870054012932</v>
      </c>
      <c r="L753" s="69">
        <f t="shared" ca="1" si="486"/>
        <v>961.0955889511863</v>
      </c>
      <c r="M753" s="69">
        <f t="shared" ca="1" si="487"/>
        <v>994.38881697089164</v>
      </c>
      <c r="N753" s="69">
        <f t="shared" ca="1" si="488"/>
        <v>572.39995507167657</v>
      </c>
      <c r="O753" s="69">
        <f t="shared" ca="1" si="489"/>
        <v>629.97330645400541</v>
      </c>
      <c r="P753" s="69">
        <f t="shared" ca="1" si="490"/>
        <v>725.56205353476093</v>
      </c>
      <c r="Q753" s="69">
        <f t="shared" ca="1" si="491"/>
        <v>960.18364316475095</v>
      </c>
      <c r="R753" s="69">
        <f t="shared" ca="1" si="492"/>
        <v>779.22225982419207</v>
      </c>
      <c r="S753" s="69">
        <f t="shared" ca="1" si="493"/>
        <v>701.43987669542162</v>
      </c>
      <c r="T753" s="69">
        <f t="shared" ca="1" si="494"/>
        <v>795.86265290070071</v>
      </c>
      <c r="U753" s="69">
        <f t="shared" ca="1" si="495"/>
        <v>1694.6585841232582</v>
      </c>
      <c r="V753" s="69">
        <f t="shared" ca="1" si="496"/>
        <v>1911.9691603834949</v>
      </c>
      <c r="W753" s="69">
        <f t="shared" ca="1" si="497"/>
        <v>1180.4247922293682</v>
      </c>
      <c r="X753" s="69">
        <f t="shared" ca="1" si="498"/>
        <v>1488.2048669224496</v>
      </c>
      <c r="Y753" s="69">
        <f t="shared" ca="1" si="499"/>
        <v>1201.1696581423344</v>
      </c>
      <c r="AA753" s="20">
        <f t="shared" ca="1" si="459"/>
        <v>6.567319501192388E+16</v>
      </c>
      <c r="AB753" s="20">
        <f t="shared" ca="1" si="460"/>
        <v>1678448588774391</v>
      </c>
      <c r="AC753" s="20">
        <f t="shared" ca="1" si="461"/>
        <v>404031801893322.56</v>
      </c>
      <c r="AD753" s="20">
        <f t="shared" ca="1" si="462"/>
        <v>303053142785316.56</v>
      </c>
      <c r="AE753" s="20">
        <f t="shared" ca="1" si="463"/>
        <v>6837045889566865</v>
      </c>
      <c r="AG753" s="16">
        <f t="shared" ca="1" si="464"/>
        <v>-4.2891972581155852E-4</v>
      </c>
      <c r="AH753" s="16">
        <f t="shared" ca="1" si="465"/>
        <v>-5.9622395863646405E-4</v>
      </c>
      <c r="AI753" s="16">
        <f t="shared" ca="1" si="466"/>
        <v>-8.3837155773985709E-4</v>
      </c>
      <c r="AJ753" s="16">
        <f t="shared" ca="1" si="467"/>
        <v>-7.0526353098582944E-4</v>
      </c>
      <c r="AK753" s="16">
        <f t="shared" ca="1" si="468"/>
        <v>-6.1244849413430403E-4</v>
      </c>
      <c r="AM753" s="16">
        <f t="shared" ca="1" si="469"/>
        <v>-2.5687787731737089E-3</v>
      </c>
      <c r="AO753" s="16">
        <f t="shared" ca="1" si="470"/>
        <v>-4.2891972581155852E-4</v>
      </c>
      <c r="AP753" s="16">
        <f t="shared" ca="1" si="471"/>
        <v>-5.9622395863646405E-4</v>
      </c>
      <c r="AQ753" s="16">
        <f t="shared" ca="1" si="472"/>
        <v>-8.3837155773985709E-4</v>
      </c>
      <c r="AR753" s="16">
        <f t="shared" ca="1" si="473"/>
        <v>-7.0526353098582944E-4</v>
      </c>
      <c r="AS753" s="16">
        <f t="shared" ca="1" si="474"/>
        <v>-6.1244849413430403E-4</v>
      </c>
    </row>
    <row r="754" spans="1:45" x14ac:dyDescent="0.25">
      <c r="A754" s="69">
        <f t="shared" ca="1" si="475"/>
        <v>2451.7623993936709</v>
      </c>
      <c r="B754" s="69">
        <f t="shared" ca="1" si="476"/>
        <v>2138.2645846826658</v>
      </c>
      <c r="C754" s="69">
        <f t="shared" ca="1" si="477"/>
        <v>2235.0894117773346</v>
      </c>
      <c r="D754" s="69">
        <f t="shared" ca="1" si="478"/>
        <v>2901.9766636895483</v>
      </c>
      <c r="E754" s="69">
        <f t="shared" ca="1" si="479"/>
        <v>1930.5152097961648</v>
      </c>
      <c r="F754" s="69">
        <f t="shared" ca="1" si="480"/>
        <v>1218.3547608980732</v>
      </c>
      <c r="G754" s="69">
        <f t="shared" ca="1" si="481"/>
        <v>968.41935244711055</v>
      </c>
      <c r="H754" s="69">
        <f t="shared" ca="1" si="482"/>
        <v>1184.3592316227844</v>
      </c>
      <c r="I754" s="69">
        <f t="shared" ca="1" si="483"/>
        <v>1050.5153827248071</v>
      </c>
      <c r="J754" s="69">
        <f t="shared" ca="1" si="484"/>
        <v>1142.6836581351408</v>
      </c>
      <c r="K754" s="69">
        <f t="shared" ca="1" si="485"/>
        <v>1172.4536527787927</v>
      </c>
      <c r="L754" s="69">
        <f t="shared" ca="1" si="486"/>
        <v>960.77757176493549</v>
      </c>
      <c r="M754" s="69">
        <f t="shared" ca="1" si="487"/>
        <v>994.38881697089164</v>
      </c>
      <c r="N754" s="69">
        <f t="shared" ca="1" si="488"/>
        <v>572.07705662821979</v>
      </c>
      <c r="O754" s="69">
        <f t="shared" ca="1" si="489"/>
        <v>629.97330645400541</v>
      </c>
      <c r="P754" s="69">
        <f t="shared" ca="1" si="490"/>
        <v>725.15029138953992</v>
      </c>
      <c r="Q754" s="69">
        <f t="shared" ca="1" si="491"/>
        <v>960.18364316475095</v>
      </c>
      <c r="R754" s="69">
        <f t="shared" ca="1" si="492"/>
        <v>779.36248408218125</v>
      </c>
      <c r="S754" s="69">
        <f t="shared" ca="1" si="493"/>
        <v>701.43987669542162</v>
      </c>
      <c r="T754" s="69">
        <f t="shared" ca="1" si="494"/>
        <v>795.60998072741552</v>
      </c>
      <c r="U754" s="69">
        <f t="shared" ca="1" si="495"/>
        <v>1694.2911553196898</v>
      </c>
      <c r="V754" s="69">
        <f t="shared" ca="1" si="496"/>
        <v>1911.9691603834949</v>
      </c>
      <c r="W754" s="69">
        <f t="shared" ca="1" si="497"/>
        <v>1180.4247922293682</v>
      </c>
      <c r="X754" s="69">
        <f t="shared" ca="1" si="498"/>
        <v>1487.71450849966</v>
      </c>
      <c r="Y754" s="69">
        <f t="shared" ca="1" si="499"/>
        <v>1201.0903135654589</v>
      </c>
      <c r="AA754" s="20">
        <f t="shared" ca="1" si="459"/>
        <v>6.5645032523281408E+16</v>
      </c>
      <c r="AB754" s="20">
        <f t="shared" ca="1" si="460"/>
        <v>1677448155783119.8</v>
      </c>
      <c r="AC754" s="20">
        <f t="shared" ca="1" si="461"/>
        <v>403693215072804.69</v>
      </c>
      <c r="AD754" s="20">
        <f t="shared" ca="1" si="462"/>
        <v>302839485806853</v>
      </c>
      <c r="AE754" s="20">
        <f t="shared" ca="1" si="463"/>
        <v>6832859833110306</v>
      </c>
      <c r="AG754" s="16">
        <f t="shared" ca="1" si="464"/>
        <v>-3.2250937837447944E-5</v>
      </c>
      <c r="AH754" s="16">
        <f t="shared" ca="1" si="465"/>
        <v>6.1257895883389587E-4</v>
      </c>
      <c r="AI754" s="16">
        <f t="shared" ca="1" si="466"/>
        <v>6.9438223939209621E-4</v>
      </c>
      <c r="AJ754" s="16">
        <f t="shared" ca="1" si="467"/>
        <v>8.3410177104285203E-4</v>
      </c>
      <c r="AK754" s="16">
        <f t="shared" ca="1" si="468"/>
        <v>1.7460424487991516E-5</v>
      </c>
      <c r="AM754" s="16">
        <f t="shared" ca="1" si="469"/>
        <v>2.1088120314313964E-3</v>
      </c>
      <c r="AO754" s="16">
        <f t="shared" ca="1" si="470"/>
        <v>-3.2250937837447944E-5</v>
      </c>
      <c r="AP754" s="16">
        <f t="shared" ca="1" si="471"/>
        <v>0</v>
      </c>
      <c r="AQ754" s="16">
        <f t="shared" ca="1" si="472"/>
        <v>0</v>
      </c>
      <c r="AR754" s="16">
        <f t="shared" ca="1" si="473"/>
        <v>0</v>
      </c>
      <c r="AS754" s="16">
        <f t="shared" ca="1" si="474"/>
        <v>0</v>
      </c>
    </row>
    <row r="755" spans="1:45" x14ac:dyDescent="0.25">
      <c r="A755" s="69">
        <f t="shared" ca="1" si="475"/>
        <v>2451.9445560816748</v>
      </c>
      <c r="B755" s="69">
        <f t="shared" ca="1" si="476"/>
        <v>2137.8764127335999</v>
      </c>
      <c r="C755" s="69">
        <f t="shared" ca="1" si="477"/>
        <v>2235.0894117773346</v>
      </c>
      <c r="D755" s="69">
        <f t="shared" ca="1" si="478"/>
        <v>2901.9766636895483</v>
      </c>
      <c r="E755" s="69">
        <f t="shared" ca="1" si="479"/>
        <v>1930.6600194164455</v>
      </c>
      <c r="F755" s="69">
        <f t="shared" ca="1" si="480"/>
        <v>1218.7160662809144</v>
      </c>
      <c r="G755" s="69">
        <f t="shared" ca="1" si="481"/>
        <v>968.41935244711055</v>
      </c>
      <c r="H755" s="69">
        <f t="shared" ca="1" si="482"/>
        <v>1184.2916680986668</v>
      </c>
      <c r="I755" s="69">
        <f t="shared" ca="1" si="483"/>
        <v>1050.5153827248071</v>
      </c>
      <c r="J755" s="69">
        <f t="shared" ca="1" si="484"/>
        <v>1143.1100948501889</v>
      </c>
      <c r="K755" s="69">
        <f t="shared" ca="1" si="485"/>
        <v>1172.7395591803627</v>
      </c>
      <c r="L755" s="69">
        <f t="shared" ca="1" si="486"/>
        <v>960.77757176493549</v>
      </c>
      <c r="M755" s="69">
        <f t="shared" ca="1" si="487"/>
        <v>994.83694866434473</v>
      </c>
      <c r="N755" s="69">
        <f t="shared" ca="1" si="488"/>
        <v>572.07705662821979</v>
      </c>
      <c r="O755" s="69">
        <f t="shared" ca="1" si="489"/>
        <v>629.97330645400541</v>
      </c>
      <c r="P755" s="69">
        <f t="shared" ca="1" si="490"/>
        <v>725.3246839111489</v>
      </c>
      <c r="Q755" s="69">
        <f t="shared" ca="1" si="491"/>
        <v>960.18364316475095</v>
      </c>
      <c r="R755" s="69">
        <f t="shared" ca="1" si="492"/>
        <v>779.36248408218125</v>
      </c>
      <c r="S755" s="69">
        <f t="shared" ca="1" si="493"/>
        <v>701.85640247357821</v>
      </c>
      <c r="T755" s="69">
        <f t="shared" ca="1" si="494"/>
        <v>795.60998072741552</v>
      </c>
      <c r="U755" s="69">
        <f t="shared" ca="1" si="495"/>
        <v>1694.2236598054167</v>
      </c>
      <c r="V755" s="69">
        <f t="shared" ca="1" si="496"/>
        <v>1911.9691603834949</v>
      </c>
      <c r="W755" s="69">
        <f t="shared" ca="1" si="497"/>
        <v>1180.4247922293682</v>
      </c>
      <c r="X755" s="69">
        <f t="shared" ca="1" si="498"/>
        <v>1487.71450849966</v>
      </c>
      <c r="Y755" s="69">
        <f t="shared" ca="1" si="499"/>
        <v>1201.1591358983649</v>
      </c>
      <c r="AA755" s="20">
        <f t="shared" ca="1" si="459"/>
        <v>6.5642915443557248E+16</v>
      </c>
      <c r="AB755" s="20">
        <f t="shared" ca="1" si="460"/>
        <v>1678476040025873.8</v>
      </c>
      <c r="AC755" s="20">
        <f t="shared" ca="1" si="461"/>
        <v>403973629817756.38</v>
      </c>
      <c r="AD755" s="20">
        <f t="shared" ca="1" si="462"/>
        <v>303092190134218.63</v>
      </c>
      <c r="AE755" s="20">
        <f t="shared" ca="1" si="463"/>
        <v>6832979138785020</v>
      </c>
      <c r="AG755" s="16">
        <f t="shared" ca="1" si="464"/>
        <v>-1.7548906463726426E-4</v>
      </c>
      <c r="AH755" s="16">
        <f t="shared" ca="1" si="465"/>
        <v>-1.059148097639258E-3</v>
      </c>
      <c r="AI755" s="16">
        <f t="shared" ca="1" si="466"/>
        <v>7.6275825989232759E-4</v>
      </c>
      <c r="AJ755" s="16">
        <f t="shared" ca="1" si="467"/>
        <v>7.0890258071338132E-4</v>
      </c>
      <c r="AK755" s="16">
        <f t="shared" ca="1" si="468"/>
        <v>3.5147962110813511E-4</v>
      </c>
      <c r="AM755" s="16">
        <f t="shared" ca="1" si="469"/>
        <v>2.370236783291866E-4</v>
      </c>
      <c r="AO755" s="16">
        <f t="shared" ca="1" si="470"/>
        <v>-1.7548906463726426E-4</v>
      </c>
      <c r="AP755" s="16">
        <f t="shared" ca="1" si="471"/>
        <v>-1.059148097639258E-3</v>
      </c>
      <c r="AQ755" s="16">
        <f t="shared" ca="1" si="472"/>
        <v>0</v>
      </c>
      <c r="AR755" s="16">
        <f t="shared" ca="1" si="473"/>
        <v>0</v>
      </c>
      <c r="AS755" s="16">
        <f t="shared" ca="1" si="474"/>
        <v>0</v>
      </c>
    </row>
    <row r="756" spans="1:45" x14ac:dyDescent="0.25">
      <c r="A756" s="69">
        <f t="shared" ca="1" si="475"/>
        <v>2451.7839649969678</v>
      </c>
      <c r="B756" s="69">
        <f t="shared" ca="1" si="476"/>
        <v>2137.7749040733988</v>
      </c>
      <c r="C756" s="69">
        <f t="shared" ca="1" si="477"/>
        <v>2234.9497022154655</v>
      </c>
      <c r="D756" s="69">
        <f t="shared" ca="1" si="478"/>
        <v>2901.9766636895483</v>
      </c>
      <c r="E756" s="69">
        <f t="shared" ca="1" si="479"/>
        <v>1930.6600194164455</v>
      </c>
      <c r="F756" s="69">
        <f t="shared" ca="1" si="480"/>
        <v>1218.2275466989297</v>
      </c>
      <c r="G756" s="69">
        <f t="shared" ca="1" si="481"/>
        <v>968.05049201000259</v>
      </c>
      <c r="H756" s="69">
        <f t="shared" ca="1" si="482"/>
        <v>1184.2916680986668</v>
      </c>
      <c r="I756" s="69">
        <f t="shared" ca="1" si="483"/>
        <v>1050.1019436091999</v>
      </c>
      <c r="J756" s="69">
        <f t="shared" ca="1" si="484"/>
        <v>1143.2431349472183</v>
      </c>
      <c r="K756" s="69">
        <f t="shared" ca="1" si="485"/>
        <v>1173.1472589171367</v>
      </c>
      <c r="L756" s="69">
        <f t="shared" ca="1" si="486"/>
        <v>960.52714502740491</v>
      </c>
      <c r="M756" s="69">
        <f t="shared" ca="1" si="487"/>
        <v>994.91904723021901</v>
      </c>
      <c r="N756" s="69">
        <f t="shared" ca="1" si="488"/>
        <v>572.41659021822556</v>
      </c>
      <c r="O756" s="69">
        <f t="shared" ca="1" si="489"/>
        <v>629.97330645400541</v>
      </c>
      <c r="P756" s="69">
        <f t="shared" ca="1" si="490"/>
        <v>725.7390713518439</v>
      </c>
      <c r="Q756" s="69">
        <f t="shared" ca="1" si="491"/>
        <v>960.18364316475095</v>
      </c>
      <c r="R756" s="69">
        <f t="shared" ca="1" si="492"/>
        <v>779.36248408218125</v>
      </c>
      <c r="S756" s="69">
        <f t="shared" ca="1" si="493"/>
        <v>701.95309174110014</v>
      </c>
      <c r="T756" s="69">
        <f t="shared" ca="1" si="494"/>
        <v>795.60998072741552</v>
      </c>
      <c r="U756" s="69">
        <f t="shared" ca="1" si="495"/>
        <v>1694.7023479733705</v>
      </c>
      <c r="V756" s="69">
        <f t="shared" ca="1" si="496"/>
        <v>1911.9691603834949</v>
      </c>
      <c r="W756" s="69">
        <f t="shared" ca="1" si="497"/>
        <v>1180.792754227208</v>
      </c>
      <c r="X756" s="69">
        <f t="shared" ca="1" si="498"/>
        <v>1487.353494131055</v>
      </c>
      <c r="Y756" s="69">
        <f t="shared" ca="1" si="499"/>
        <v>1201.1591358983649</v>
      </c>
      <c r="AA756" s="20">
        <f t="shared" ca="1" si="459"/>
        <v>6.563139684045E+16</v>
      </c>
      <c r="AB756" s="20">
        <f t="shared" ca="1" si="460"/>
        <v>1676699226441612.8</v>
      </c>
      <c r="AC756" s="20">
        <f t="shared" ca="1" si="461"/>
        <v>404281881586524.88</v>
      </c>
      <c r="AD756" s="20">
        <f t="shared" ca="1" si="462"/>
        <v>303307129146407.75</v>
      </c>
      <c r="AE756" s="20">
        <f t="shared" ca="1" si="463"/>
        <v>6835381213819243</v>
      </c>
      <c r="AG756" s="16">
        <f t="shared" ca="1" si="464"/>
        <v>3.1470612146392859E-4</v>
      </c>
      <c r="AH756" s="16">
        <f t="shared" ca="1" si="465"/>
        <v>-1.2985132247121335E-3</v>
      </c>
      <c r="AI756" s="16">
        <f t="shared" ca="1" si="466"/>
        <v>-6.6857770103077928E-4</v>
      </c>
      <c r="AJ756" s="16">
        <f t="shared" ca="1" si="467"/>
        <v>-3.2119157987226996E-4</v>
      </c>
      <c r="AK756" s="16">
        <f t="shared" ca="1" si="468"/>
        <v>-5.8355997517349279E-5</v>
      </c>
      <c r="AM756" s="16">
        <f t="shared" ca="1" si="469"/>
        <v>-1.9735763841512541E-3</v>
      </c>
      <c r="AO756" s="16">
        <f t="shared" ca="1" si="470"/>
        <v>0</v>
      </c>
      <c r="AP756" s="16">
        <f t="shared" ca="1" si="471"/>
        <v>-1.2985132247121335E-3</v>
      </c>
      <c r="AQ756" s="16">
        <f t="shared" ca="1" si="472"/>
        <v>-6.6857770103077928E-4</v>
      </c>
      <c r="AR756" s="16">
        <f t="shared" ca="1" si="473"/>
        <v>-3.2119157987226996E-4</v>
      </c>
      <c r="AS756" s="16">
        <f t="shared" ca="1" si="474"/>
        <v>-5.8355997517349279E-5</v>
      </c>
    </row>
    <row r="757" spans="1:45" x14ac:dyDescent="0.25">
      <c r="A757" s="69">
        <f t="shared" ca="1" si="475"/>
        <v>2452.0573036228157</v>
      </c>
      <c r="B757" s="69">
        <f t="shared" ca="1" si="476"/>
        <v>2138.2094012207072</v>
      </c>
      <c r="C757" s="69">
        <f t="shared" ca="1" si="477"/>
        <v>2234.9497022154655</v>
      </c>
      <c r="D757" s="69">
        <f t="shared" ca="1" si="478"/>
        <v>2901.9766636895483</v>
      </c>
      <c r="E757" s="69">
        <f t="shared" ca="1" si="479"/>
        <v>1930.6600194164455</v>
      </c>
      <c r="F757" s="69">
        <f t="shared" ca="1" si="480"/>
        <v>1218.5245157562897</v>
      </c>
      <c r="G757" s="69">
        <f t="shared" ca="1" si="481"/>
        <v>967.55627333762516</v>
      </c>
      <c r="H757" s="69">
        <f t="shared" ca="1" si="482"/>
        <v>1183.9497843012898</v>
      </c>
      <c r="I757" s="69">
        <f t="shared" ca="1" si="483"/>
        <v>1049.6828516145572</v>
      </c>
      <c r="J757" s="69">
        <f t="shared" ca="1" si="484"/>
        <v>1142.8502757348874</v>
      </c>
      <c r="K757" s="69">
        <f t="shared" ca="1" si="485"/>
        <v>1173.1472589171367</v>
      </c>
      <c r="L757" s="69">
        <f t="shared" ca="1" si="486"/>
        <v>960.1387260877525</v>
      </c>
      <c r="M757" s="69">
        <f t="shared" ca="1" si="487"/>
        <v>995.11122603761066</v>
      </c>
      <c r="N757" s="69">
        <f t="shared" ca="1" si="488"/>
        <v>572.05626495861566</v>
      </c>
      <c r="O757" s="69">
        <f t="shared" ca="1" si="489"/>
        <v>630.0819374045002</v>
      </c>
      <c r="P757" s="69">
        <f t="shared" ca="1" si="490"/>
        <v>725.7390713518439</v>
      </c>
      <c r="Q757" s="69">
        <f t="shared" ca="1" si="491"/>
        <v>959.75526609392659</v>
      </c>
      <c r="R757" s="69">
        <f t="shared" ca="1" si="492"/>
        <v>779.5627414961973</v>
      </c>
      <c r="S757" s="69">
        <f t="shared" ca="1" si="493"/>
        <v>701.8605323150623</v>
      </c>
      <c r="T757" s="69">
        <f t="shared" ca="1" si="494"/>
        <v>795.60998072741552</v>
      </c>
      <c r="U757" s="69">
        <f t="shared" ca="1" si="495"/>
        <v>1694.5614610686555</v>
      </c>
      <c r="V757" s="69">
        <f t="shared" ca="1" si="496"/>
        <v>1912.0070901030906</v>
      </c>
      <c r="W757" s="69">
        <f t="shared" ca="1" si="497"/>
        <v>1180.792754227208</v>
      </c>
      <c r="X757" s="69">
        <f t="shared" ca="1" si="498"/>
        <v>1487.353494131055</v>
      </c>
      <c r="Y757" s="69">
        <f t="shared" ca="1" si="499"/>
        <v>1201.1650736416982</v>
      </c>
      <c r="AA757" s="20">
        <f t="shared" ca="1" si="459"/>
        <v>6.5652054693201784E+16</v>
      </c>
      <c r="AB757" s="20">
        <f t="shared" ca="1" si="460"/>
        <v>1674523423282527</v>
      </c>
      <c r="AC757" s="20">
        <f t="shared" ca="1" si="461"/>
        <v>404011678071652.75</v>
      </c>
      <c r="AD757" s="20">
        <f t="shared" ca="1" si="462"/>
        <v>303209725093928.81</v>
      </c>
      <c r="AE757" s="20">
        <f t="shared" ca="1" si="463"/>
        <v>6834982339968553</v>
      </c>
      <c r="AG757" s="16">
        <f t="shared" ca="1" si="464"/>
        <v>-8.7264287755343449E-5</v>
      </c>
      <c r="AH757" s="16">
        <f t="shared" ca="1" si="465"/>
        <v>-1.4296269498531144E-3</v>
      </c>
      <c r="AI757" s="16">
        <f t="shared" ca="1" si="466"/>
        <v>1.1455944348576183E-4</v>
      </c>
      <c r="AJ757" s="16">
        <f t="shared" ca="1" si="467"/>
        <v>-9.8200699908287514E-4</v>
      </c>
      <c r="AK757" s="16">
        <f t="shared" ca="1" si="468"/>
        <v>6.4730017161776271E-4</v>
      </c>
      <c r="AM757" s="16">
        <f t="shared" ca="1" si="469"/>
        <v>-2.3843387932055713E-3</v>
      </c>
      <c r="AO757" s="16">
        <f t="shared" ca="1" si="470"/>
        <v>-8.7264287755343449E-5</v>
      </c>
      <c r="AP757" s="16">
        <f t="shared" ca="1" si="471"/>
        <v>-1.4296269498531144E-3</v>
      </c>
      <c r="AQ757" s="16">
        <f t="shared" ca="1" si="472"/>
        <v>0</v>
      </c>
      <c r="AR757" s="16">
        <f t="shared" ca="1" si="473"/>
        <v>-9.8200699908287514E-4</v>
      </c>
      <c r="AS757" s="16">
        <f t="shared" ca="1" si="474"/>
        <v>0</v>
      </c>
    </row>
    <row r="758" spans="1:45" x14ac:dyDescent="0.25">
      <c r="A758" s="69">
        <f t="shared" ca="1" si="475"/>
        <v>2451.7630568844597</v>
      </c>
      <c r="B758" s="69">
        <f t="shared" ca="1" si="476"/>
        <v>2138.2094012207072</v>
      </c>
      <c r="C758" s="69">
        <f t="shared" ca="1" si="477"/>
        <v>2234.5683125083137</v>
      </c>
      <c r="D758" s="69">
        <f t="shared" ca="1" si="478"/>
        <v>2901.9766636895483</v>
      </c>
      <c r="E758" s="69">
        <f t="shared" ca="1" si="479"/>
        <v>1931.0527660767364</v>
      </c>
      <c r="F758" s="69">
        <f t="shared" ca="1" si="480"/>
        <v>1218.3896039473213</v>
      </c>
      <c r="G758" s="69">
        <f t="shared" ca="1" si="481"/>
        <v>967.40517075229945</v>
      </c>
      <c r="H758" s="69">
        <f t="shared" ca="1" si="482"/>
        <v>1183.5843949940188</v>
      </c>
      <c r="I758" s="69">
        <f t="shared" ca="1" si="483"/>
        <v>1049.1938213082697</v>
      </c>
      <c r="J758" s="69">
        <f t="shared" ca="1" si="484"/>
        <v>1142.406863879243</v>
      </c>
      <c r="K758" s="69">
        <f t="shared" ca="1" si="485"/>
        <v>1172.6726333384174</v>
      </c>
      <c r="L758" s="69">
        <f t="shared" ca="1" si="486"/>
        <v>959.99063318621825</v>
      </c>
      <c r="M758" s="69">
        <f t="shared" ca="1" si="487"/>
        <v>995.11122603761066</v>
      </c>
      <c r="N758" s="69">
        <f t="shared" ca="1" si="488"/>
        <v>572.05626495861566</v>
      </c>
      <c r="O758" s="69">
        <f t="shared" ca="1" si="489"/>
        <v>630.50642094678301</v>
      </c>
      <c r="P758" s="69">
        <f t="shared" ca="1" si="490"/>
        <v>725.7390713518439</v>
      </c>
      <c r="Q758" s="69">
        <f t="shared" ca="1" si="491"/>
        <v>959.81770333705128</v>
      </c>
      <c r="R758" s="69">
        <f t="shared" ca="1" si="492"/>
        <v>779.13552606128815</v>
      </c>
      <c r="S758" s="69">
        <f t="shared" ca="1" si="493"/>
        <v>701.7591661989685</v>
      </c>
      <c r="T758" s="69">
        <f t="shared" ca="1" si="494"/>
        <v>795.32802241861498</v>
      </c>
      <c r="U758" s="69">
        <f t="shared" ca="1" si="495"/>
        <v>1694.5357951809717</v>
      </c>
      <c r="V758" s="69">
        <f t="shared" ca="1" si="496"/>
        <v>1912.3296433661012</v>
      </c>
      <c r="W758" s="69">
        <f t="shared" ca="1" si="497"/>
        <v>1180.792754227208</v>
      </c>
      <c r="X758" s="69">
        <f t="shared" ca="1" si="498"/>
        <v>1487.5637780690506</v>
      </c>
      <c r="Y758" s="69">
        <f t="shared" ca="1" si="499"/>
        <v>1201.5884273732897</v>
      </c>
      <c r="AA758" s="20">
        <f t="shared" ca="1" si="459"/>
        <v>6.5646325863374072E+16</v>
      </c>
      <c r="AB758" s="20">
        <f t="shared" ca="1" si="460"/>
        <v>1672131189876559.5</v>
      </c>
      <c r="AC758" s="20">
        <f t="shared" ca="1" si="461"/>
        <v>404057964075853.25</v>
      </c>
      <c r="AD758" s="20">
        <f t="shared" ca="1" si="462"/>
        <v>302912117172143.88</v>
      </c>
      <c r="AE758" s="20">
        <f t="shared" ca="1" si="463"/>
        <v>6839408057439528</v>
      </c>
      <c r="AG758" s="16">
        <f t="shared" ca="1" si="464"/>
        <v>1.5743731264895047E-4</v>
      </c>
      <c r="AH758" s="16">
        <f t="shared" ca="1" si="465"/>
        <v>-7.3647118238381925E-4</v>
      </c>
      <c r="AI758" s="16">
        <f t="shared" ca="1" si="466"/>
        <v>-1.9139963992159512E-3</v>
      </c>
      <c r="AJ758" s="16">
        <f t="shared" ca="1" si="467"/>
        <v>-9.9077387064249687E-6</v>
      </c>
      <c r="AK758" s="16">
        <f t="shared" ca="1" si="468"/>
        <v>2.2819543368809202E-4</v>
      </c>
      <c r="AM758" s="16">
        <f t="shared" ca="1" si="469"/>
        <v>-2.5029380076572452E-3</v>
      </c>
      <c r="AO758" s="16">
        <f t="shared" ca="1" si="470"/>
        <v>0</v>
      </c>
      <c r="AP758" s="16">
        <f t="shared" ca="1" si="471"/>
        <v>-7.3647118238381925E-4</v>
      </c>
      <c r="AQ758" s="16">
        <f t="shared" ca="1" si="472"/>
        <v>-1.9139963992159512E-3</v>
      </c>
      <c r="AR758" s="16">
        <f t="shared" ca="1" si="473"/>
        <v>-9.9077387064249687E-6</v>
      </c>
      <c r="AS758" s="16">
        <f t="shared" ca="1" si="474"/>
        <v>0</v>
      </c>
    </row>
    <row r="759" spans="1:45" x14ac:dyDescent="0.25">
      <c r="A759" s="69">
        <f t="shared" ca="1" si="475"/>
        <v>2451.9956624826873</v>
      </c>
      <c r="B759" s="69">
        <f t="shared" ca="1" si="476"/>
        <v>2138.2310344039238</v>
      </c>
      <c r="C759" s="69">
        <f t="shared" ca="1" si="477"/>
        <v>2234.5683125083137</v>
      </c>
      <c r="D759" s="69">
        <f t="shared" ca="1" si="478"/>
        <v>2901.7116974172422</v>
      </c>
      <c r="E759" s="69">
        <f t="shared" ca="1" si="479"/>
        <v>1931.3303966110188</v>
      </c>
      <c r="F759" s="69">
        <f t="shared" ca="1" si="480"/>
        <v>1218.3896039473213</v>
      </c>
      <c r="G759" s="69">
        <f t="shared" ca="1" si="481"/>
        <v>966.93603016766065</v>
      </c>
      <c r="H759" s="69">
        <f t="shared" ca="1" si="482"/>
        <v>1183.2876351809573</v>
      </c>
      <c r="I759" s="69">
        <f t="shared" ca="1" si="483"/>
        <v>1048.9572591399842</v>
      </c>
      <c r="J759" s="69">
        <f t="shared" ca="1" si="484"/>
        <v>1142.6637638865329</v>
      </c>
      <c r="K759" s="69">
        <f t="shared" ca="1" si="485"/>
        <v>1172.7157063824548</v>
      </c>
      <c r="L759" s="69">
        <f t="shared" ca="1" si="486"/>
        <v>959.67785657835964</v>
      </c>
      <c r="M759" s="69">
        <f t="shared" ca="1" si="487"/>
        <v>994.9894601976689</v>
      </c>
      <c r="N759" s="69">
        <f t="shared" ca="1" si="488"/>
        <v>571.61004961541687</v>
      </c>
      <c r="O759" s="69">
        <f t="shared" ca="1" si="489"/>
        <v>630.05125551294827</v>
      </c>
      <c r="P759" s="69">
        <f t="shared" ca="1" si="490"/>
        <v>725.49757706040543</v>
      </c>
      <c r="Q759" s="69">
        <f t="shared" ca="1" si="491"/>
        <v>959.81770333705128</v>
      </c>
      <c r="R759" s="69">
        <f t="shared" ca="1" si="492"/>
        <v>779.13552606128815</v>
      </c>
      <c r="S759" s="69">
        <f t="shared" ca="1" si="493"/>
        <v>701.98580362749908</v>
      </c>
      <c r="T759" s="69">
        <f t="shared" ca="1" si="494"/>
        <v>795.32802241861498</v>
      </c>
      <c r="U759" s="69">
        <f t="shared" ca="1" si="495"/>
        <v>1694.5357951809717</v>
      </c>
      <c r="V759" s="69">
        <f t="shared" ca="1" si="496"/>
        <v>1912.6734350165941</v>
      </c>
      <c r="W759" s="69">
        <f t="shared" ca="1" si="497"/>
        <v>1180.8499475900671</v>
      </c>
      <c r="X759" s="69">
        <f t="shared" ca="1" si="498"/>
        <v>1487.5637780690506</v>
      </c>
      <c r="Y759" s="69">
        <f t="shared" ca="1" si="499"/>
        <v>1201.5884273732897</v>
      </c>
      <c r="AA759" s="20">
        <f t="shared" ca="1" si="459"/>
        <v>6.5656661858117552E+16</v>
      </c>
      <c r="AB759" s="20">
        <f t="shared" ca="1" si="460"/>
        <v>1670900166804200.3</v>
      </c>
      <c r="AC759" s="20">
        <f t="shared" ca="1" si="461"/>
        <v>403285338224954.44</v>
      </c>
      <c r="AD759" s="20">
        <f t="shared" ca="1" si="462"/>
        <v>302909116012903.31</v>
      </c>
      <c r="AE759" s="20">
        <f t="shared" ca="1" si="463"/>
        <v>6840968957215692</v>
      </c>
      <c r="AG759" s="16">
        <f t="shared" ca="1" si="464"/>
        <v>1.6122395876083391E-4</v>
      </c>
      <c r="AH759" s="16">
        <f t="shared" ca="1" si="465"/>
        <v>-4.1477032970371389E-4</v>
      </c>
      <c r="AI759" s="16">
        <f t="shared" ca="1" si="466"/>
        <v>3.9663534859793161E-4</v>
      </c>
      <c r="AJ759" s="16">
        <f t="shared" ca="1" si="467"/>
        <v>7.2208401746513861E-4</v>
      </c>
      <c r="AK759" s="16">
        <f t="shared" ca="1" si="468"/>
        <v>2.0612523185905036E-4</v>
      </c>
      <c r="AM759" s="16">
        <f t="shared" ca="1" si="469"/>
        <v>8.6517299512019023E-4</v>
      </c>
      <c r="AO759" s="16">
        <f t="shared" ca="1" si="470"/>
        <v>0</v>
      </c>
      <c r="AP759" s="16">
        <f t="shared" ca="1" si="471"/>
        <v>-4.1477032970371389E-4</v>
      </c>
      <c r="AQ759" s="16">
        <f t="shared" ca="1" si="472"/>
        <v>0</v>
      </c>
      <c r="AR759" s="16">
        <f t="shared" ca="1" si="473"/>
        <v>0</v>
      </c>
      <c r="AS759" s="16">
        <f t="shared" ca="1" si="474"/>
        <v>0</v>
      </c>
    </row>
    <row r="760" spans="1:45" x14ac:dyDescent="0.25">
      <c r="A760" s="69">
        <f t="shared" ca="1" si="475"/>
        <v>2452.2476628270902</v>
      </c>
      <c r="B760" s="69">
        <f t="shared" ca="1" si="476"/>
        <v>2138.2310344039238</v>
      </c>
      <c r="C760" s="69">
        <f t="shared" ca="1" si="477"/>
        <v>2235.0309587453285</v>
      </c>
      <c r="D760" s="69">
        <f t="shared" ca="1" si="478"/>
        <v>2901.2806411597321</v>
      </c>
      <c r="E760" s="69">
        <f t="shared" ca="1" si="479"/>
        <v>1931.3303966110188</v>
      </c>
      <c r="F760" s="69">
        <f t="shared" ca="1" si="480"/>
        <v>1218.3896039473213</v>
      </c>
      <c r="G760" s="69">
        <f t="shared" ca="1" si="481"/>
        <v>967.14718809719648</v>
      </c>
      <c r="H760" s="69">
        <f t="shared" ca="1" si="482"/>
        <v>1182.8335542773102</v>
      </c>
      <c r="I760" s="69">
        <f t="shared" ca="1" si="483"/>
        <v>1049.1257822774494</v>
      </c>
      <c r="J760" s="69">
        <f t="shared" ca="1" si="484"/>
        <v>1142.1954238140561</v>
      </c>
      <c r="K760" s="69">
        <f t="shared" ca="1" si="485"/>
        <v>1172.7157063824548</v>
      </c>
      <c r="L760" s="69">
        <f t="shared" ca="1" si="486"/>
        <v>960.03190012514176</v>
      </c>
      <c r="M760" s="69">
        <f t="shared" ca="1" si="487"/>
        <v>994.50488888631344</v>
      </c>
      <c r="N760" s="69">
        <f t="shared" ca="1" si="488"/>
        <v>571.90445562588786</v>
      </c>
      <c r="O760" s="69">
        <f t="shared" ca="1" si="489"/>
        <v>630.05125551294827</v>
      </c>
      <c r="P760" s="69">
        <f t="shared" ca="1" si="490"/>
        <v>725.96131435535756</v>
      </c>
      <c r="Q760" s="69">
        <f t="shared" ca="1" si="491"/>
        <v>959.52486806273362</v>
      </c>
      <c r="R760" s="69">
        <f t="shared" ca="1" si="492"/>
        <v>779.13552606128815</v>
      </c>
      <c r="S760" s="69">
        <f t="shared" ca="1" si="493"/>
        <v>702.25838882999005</v>
      </c>
      <c r="T760" s="69">
        <f t="shared" ca="1" si="494"/>
        <v>795.32802241861498</v>
      </c>
      <c r="U760" s="69">
        <f t="shared" ca="1" si="495"/>
        <v>1694.2268340884075</v>
      </c>
      <c r="V760" s="69">
        <f t="shared" ca="1" si="496"/>
        <v>1912.4802154940389</v>
      </c>
      <c r="W760" s="69">
        <f t="shared" ca="1" si="497"/>
        <v>1181.1363722635654</v>
      </c>
      <c r="X760" s="69">
        <f t="shared" ca="1" si="498"/>
        <v>1487.9312023473058</v>
      </c>
      <c r="Y760" s="69">
        <f t="shared" ca="1" si="499"/>
        <v>1201.5884273732897</v>
      </c>
      <c r="AA760" s="20">
        <f t="shared" ca="1" si="459"/>
        <v>6.5667248138419424E+16</v>
      </c>
      <c r="AB760" s="20">
        <f t="shared" ca="1" si="460"/>
        <v>1670207270697419.8</v>
      </c>
      <c r="AC760" s="20">
        <f t="shared" ca="1" si="461"/>
        <v>403445327172204.25</v>
      </c>
      <c r="AD760" s="20">
        <f t="shared" ca="1" si="462"/>
        <v>303127920832545.19</v>
      </c>
      <c r="AE760" s="20">
        <f t="shared" ca="1" si="463"/>
        <v>6842379198866339</v>
      </c>
      <c r="AG760" s="16">
        <f t="shared" ca="1" si="464"/>
        <v>-1.0990609113294215E-4</v>
      </c>
      <c r="AH760" s="16">
        <f t="shared" ca="1" si="465"/>
        <v>-6.2052379475732364E-4</v>
      </c>
      <c r="AI760" s="16">
        <f t="shared" ca="1" si="466"/>
        <v>5.2172894887592776E-4</v>
      </c>
      <c r="AJ760" s="16">
        <f t="shared" ca="1" si="467"/>
        <v>9.4209800193925707E-4</v>
      </c>
      <c r="AK760" s="16">
        <f t="shared" ca="1" si="468"/>
        <v>4.2192754309773573E-4</v>
      </c>
      <c r="AM760" s="16">
        <f t="shared" ca="1" si="469"/>
        <v>7.3339706492491906E-4</v>
      </c>
      <c r="AO760" s="16">
        <f t="shared" ca="1" si="470"/>
        <v>-1.0990609113294215E-4</v>
      </c>
      <c r="AP760" s="16">
        <f t="shared" ca="1" si="471"/>
        <v>-6.2052379475732364E-4</v>
      </c>
      <c r="AQ760" s="16">
        <f t="shared" ca="1" si="472"/>
        <v>0</v>
      </c>
      <c r="AR760" s="16">
        <f t="shared" ca="1" si="473"/>
        <v>0</v>
      </c>
      <c r="AS760" s="16">
        <f t="shared" ca="1" si="474"/>
        <v>0</v>
      </c>
    </row>
    <row r="761" spans="1:45" x14ac:dyDescent="0.25">
      <c r="A761" s="69">
        <f t="shared" ca="1" si="475"/>
        <v>2452.2476628270902</v>
      </c>
      <c r="B761" s="69">
        <f t="shared" ca="1" si="476"/>
        <v>2138.2310344039238</v>
      </c>
      <c r="C761" s="69">
        <f t="shared" ca="1" si="477"/>
        <v>2234.5400422551274</v>
      </c>
      <c r="D761" s="69">
        <f t="shared" ca="1" si="478"/>
        <v>2901.2806411597321</v>
      </c>
      <c r="E761" s="69">
        <f t="shared" ca="1" si="479"/>
        <v>1931.5423996232398</v>
      </c>
      <c r="F761" s="69">
        <f t="shared" ca="1" si="480"/>
        <v>1218.023281029479</v>
      </c>
      <c r="G761" s="69">
        <f t="shared" ca="1" si="481"/>
        <v>966.83792741394393</v>
      </c>
      <c r="H761" s="69">
        <f t="shared" ca="1" si="482"/>
        <v>1182.8335542773102</v>
      </c>
      <c r="I761" s="69">
        <f t="shared" ca="1" si="483"/>
        <v>1049.1257822774494</v>
      </c>
      <c r="J761" s="69">
        <f t="shared" ca="1" si="484"/>
        <v>1142.1954238140561</v>
      </c>
      <c r="K761" s="69">
        <f t="shared" ca="1" si="485"/>
        <v>1172.308866496084</v>
      </c>
      <c r="L761" s="69">
        <f t="shared" ca="1" si="486"/>
        <v>960.29371421919234</v>
      </c>
      <c r="M761" s="69">
        <f t="shared" ca="1" si="487"/>
        <v>994.74248843239116</v>
      </c>
      <c r="N761" s="69">
        <f t="shared" ca="1" si="488"/>
        <v>572.15880302079972</v>
      </c>
      <c r="O761" s="69">
        <f t="shared" ca="1" si="489"/>
        <v>629.99613534572893</v>
      </c>
      <c r="P761" s="69">
        <f t="shared" ca="1" si="490"/>
        <v>725.86954741408772</v>
      </c>
      <c r="Q761" s="69">
        <f t="shared" ca="1" si="491"/>
        <v>959.83509332291158</v>
      </c>
      <c r="R761" s="69">
        <f t="shared" ca="1" si="492"/>
        <v>779.35476352618264</v>
      </c>
      <c r="S761" s="69">
        <f t="shared" ca="1" si="493"/>
        <v>702.58424800731893</v>
      </c>
      <c r="T761" s="69">
        <f t="shared" ca="1" si="494"/>
        <v>795.32802241861498</v>
      </c>
      <c r="U761" s="69">
        <f t="shared" ca="1" si="495"/>
        <v>1694.4206963908284</v>
      </c>
      <c r="V761" s="69">
        <f t="shared" ca="1" si="496"/>
        <v>1912.4802154940389</v>
      </c>
      <c r="W761" s="69">
        <f t="shared" ca="1" si="497"/>
        <v>1181.3767236658534</v>
      </c>
      <c r="X761" s="69">
        <f t="shared" ca="1" si="498"/>
        <v>1487.8842708679656</v>
      </c>
      <c r="Y761" s="69">
        <f t="shared" ca="1" si="499"/>
        <v>1201.7513495649175</v>
      </c>
      <c r="AA761" s="20">
        <f t="shared" ca="1" si="459"/>
        <v>6.5660031304455344E+16</v>
      </c>
      <c r="AB761" s="20">
        <f t="shared" ca="1" si="460"/>
        <v>1669171188833745.5</v>
      </c>
      <c r="AC761" s="20">
        <f t="shared" ca="1" si="461"/>
        <v>403655871197359.31</v>
      </c>
      <c r="AD761" s="20">
        <f t="shared" ca="1" si="462"/>
        <v>303413631603735</v>
      </c>
      <c r="AE761" s="20">
        <f t="shared" ca="1" si="463"/>
        <v>6845266796246255</v>
      </c>
      <c r="AG761" s="16">
        <f t="shared" ca="1" si="464"/>
        <v>-1.5701266896693227E-4</v>
      </c>
      <c r="AH761" s="16">
        <f t="shared" ca="1" si="465"/>
        <v>-4.8170865190936616E-5</v>
      </c>
      <c r="AI761" s="16">
        <f t="shared" ca="1" si="466"/>
        <v>-5.7553624582580467E-4</v>
      </c>
      <c r="AJ761" s="16">
        <f t="shared" ca="1" si="467"/>
        <v>8.6003523006353754E-4</v>
      </c>
      <c r="AK761" s="16">
        <f t="shared" ca="1" si="468"/>
        <v>4.9824124625101813E-4</v>
      </c>
      <c r="AM761" s="16">
        <f t="shared" ca="1" si="469"/>
        <v>7.9315450079863944E-5</v>
      </c>
      <c r="AO761" s="16">
        <f t="shared" ca="1" si="470"/>
        <v>-1.5701266896693227E-4</v>
      </c>
      <c r="AP761" s="16">
        <f t="shared" ca="1" si="471"/>
        <v>-4.8170865190936616E-5</v>
      </c>
      <c r="AQ761" s="16">
        <f t="shared" ca="1" si="472"/>
        <v>-5.7553624582580467E-4</v>
      </c>
      <c r="AR761" s="16">
        <f t="shared" ca="1" si="473"/>
        <v>0</v>
      </c>
      <c r="AS761" s="16">
        <f t="shared" ca="1" si="474"/>
        <v>0</v>
      </c>
    </row>
    <row r="762" spans="1:45" x14ac:dyDescent="0.25">
      <c r="A762" s="69">
        <f t="shared" ca="1" si="475"/>
        <v>2452.2476628270902</v>
      </c>
      <c r="B762" s="69">
        <f t="shared" ca="1" si="476"/>
        <v>2138.2310344039238</v>
      </c>
      <c r="C762" s="69">
        <f t="shared" ca="1" si="477"/>
        <v>2234.1568670308238</v>
      </c>
      <c r="D762" s="69">
        <f t="shared" ca="1" si="478"/>
        <v>2901.2806411597321</v>
      </c>
      <c r="E762" s="69">
        <f t="shared" ca="1" si="479"/>
        <v>1931.5703692904806</v>
      </c>
      <c r="F762" s="69">
        <f t="shared" ca="1" si="480"/>
        <v>1218.1311701007121</v>
      </c>
      <c r="G762" s="69">
        <f t="shared" ca="1" si="481"/>
        <v>966.35751225080514</v>
      </c>
      <c r="H762" s="69">
        <f t="shared" ca="1" si="482"/>
        <v>1183.2930528696863</v>
      </c>
      <c r="I762" s="69">
        <f t="shared" ca="1" si="483"/>
        <v>1049.1257822774494</v>
      </c>
      <c r="J762" s="69">
        <f t="shared" ca="1" si="484"/>
        <v>1142.1633002853446</v>
      </c>
      <c r="K762" s="69">
        <f t="shared" ca="1" si="485"/>
        <v>1172.4223382004286</v>
      </c>
      <c r="L762" s="69">
        <f t="shared" ca="1" si="486"/>
        <v>960.23709388767452</v>
      </c>
      <c r="M762" s="69">
        <f t="shared" ca="1" si="487"/>
        <v>994.48129293195905</v>
      </c>
      <c r="N762" s="69">
        <f t="shared" ca="1" si="488"/>
        <v>571.9581528100922</v>
      </c>
      <c r="O762" s="69">
        <f t="shared" ca="1" si="489"/>
        <v>629.99613534572893</v>
      </c>
      <c r="P762" s="69">
        <f t="shared" ca="1" si="490"/>
        <v>726.30096012472643</v>
      </c>
      <c r="Q762" s="69">
        <f t="shared" ca="1" si="491"/>
        <v>959.83509332291158</v>
      </c>
      <c r="R762" s="69">
        <f t="shared" ca="1" si="492"/>
        <v>779.77726304752059</v>
      </c>
      <c r="S762" s="69">
        <f t="shared" ca="1" si="493"/>
        <v>702.39029477664576</v>
      </c>
      <c r="T762" s="69">
        <f t="shared" ca="1" si="494"/>
        <v>795.32802241861498</v>
      </c>
      <c r="U762" s="69">
        <f t="shared" ca="1" si="495"/>
        <v>1694.6009807678315</v>
      </c>
      <c r="V762" s="69">
        <f t="shared" ca="1" si="496"/>
        <v>1912.7255074397042</v>
      </c>
      <c r="W762" s="69">
        <f t="shared" ca="1" si="497"/>
        <v>1181.7191241333635</v>
      </c>
      <c r="X762" s="69">
        <f t="shared" ca="1" si="498"/>
        <v>1487.3899446789183</v>
      </c>
      <c r="Y762" s="69">
        <f t="shared" ca="1" si="499"/>
        <v>1202.1192589625095</v>
      </c>
      <c r="AA762" s="20">
        <f t="shared" ca="1" si="459"/>
        <v>6.564972265701108E+16</v>
      </c>
      <c r="AB762" s="20">
        <f t="shared" ca="1" si="460"/>
        <v>1669090785349995.8</v>
      </c>
      <c r="AC762" s="20">
        <f t="shared" ca="1" si="461"/>
        <v>403423619453704.13</v>
      </c>
      <c r="AD762" s="20">
        <f t="shared" ca="1" si="462"/>
        <v>303674690259925.19</v>
      </c>
      <c r="AE762" s="20">
        <f t="shared" ca="1" si="463"/>
        <v>6848678240296232</v>
      </c>
      <c r="AG762" s="16">
        <f t="shared" ca="1" si="464"/>
        <v>6.3146147414208304E-5</v>
      </c>
      <c r="AH762" s="16">
        <f t="shared" ca="1" si="465"/>
        <v>-5.5439777305264983E-5</v>
      </c>
      <c r="AI762" s="16">
        <f t="shared" ca="1" si="466"/>
        <v>-8.605146365420948E-4</v>
      </c>
      <c r="AJ762" s="16">
        <f t="shared" ca="1" si="467"/>
        <v>-6.6739917477886103E-4</v>
      </c>
      <c r="AK762" s="16">
        <f t="shared" ca="1" si="468"/>
        <v>-6.741316663543323E-4</v>
      </c>
      <c r="AM762" s="16">
        <f t="shared" ca="1" si="469"/>
        <v>-1.5202074412120127E-3</v>
      </c>
      <c r="AO762" s="16">
        <f t="shared" ca="1" si="470"/>
        <v>0</v>
      </c>
      <c r="AP762" s="16">
        <f t="shared" ca="1" si="471"/>
        <v>-5.5439777305264983E-5</v>
      </c>
      <c r="AQ762" s="16">
        <f t="shared" ca="1" si="472"/>
        <v>-8.605146365420948E-4</v>
      </c>
      <c r="AR762" s="16">
        <f t="shared" ca="1" si="473"/>
        <v>-6.6739917477886103E-4</v>
      </c>
      <c r="AS762" s="16">
        <f t="shared" ca="1" si="474"/>
        <v>-6.741316663543323E-4</v>
      </c>
    </row>
    <row r="763" spans="1:45" x14ac:dyDescent="0.25">
      <c r="A763" s="69">
        <f t="shared" ca="1" si="475"/>
        <v>2452.225994180134</v>
      </c>
      <c r="B763" s="69">
        <f t="shared" ca="1" si="476"/>
        <v>2138.6812154599384</v>
      </c>
      <c r="C763" s="69">
        <f t="shared" ca="1" si="477"/>
        <v>2234.6022307495114</v>
      </c>
      <c r="D763" s="69">
        <f t="shared" ca="1" si="478"/>
        <v>2900.8444665523389</v>
      </c>
      <c r="E763" s="69">
        <f t="shared" ca="1" si="479"/>
        <v>1931.2082189330006</v>
      </c>
      <c r="F763" s="69">
        <f t="shared" ca="1" si="480"/>
        <v>1217.6608044736679</v>
      </c>
      <c r="G763" s="69">
        <f t="shared" ca="1" si="481"/>
        <v>966.0372752706686</v>
      </c>
      <c r="H763" s="69">
        <f t="shared" ca="1" si="482"/>
        <v>1183.615408736342</v>
      </c>
      <c r="I763" s="69">
        <f t="shared" ca="1" si="483"/>
        <v>1049.1257822774494</v>
      </c>
      <c r="J763" s="69">
        <f t="shared" ca="1" si="484"/>
        <v>1142.6086329911095</v>
      </c>
      <c r="K763" s="69">
        <f t="shared" ca="1" si="485"/>
        <v>1172.1691042056771</v>
      </c>
      <c r="L763" s="69">
        <f t="shared" ca="1" si="486"/>
        <v>960.21603474291578</v>
      </c>
      <c r="M763" s="69">
        <f t="shared" ca="1" si="487"/>
        <v>994.27161795337599</v>
      </c>
      <c r="N763" s="69">
        <f t="shared" ca="1" si="488"/>
        <v>571.9581528100922</v>
      </c>
      <c r="O763" s="69">
        <f t="shared" ca="1" si="489"/>
        <v>629.73681492368883</v>
      </c>
      <c r="P763" s="69">
        <f t="shared" ca="1" si="490"/>
        <v>726.26000085075157</v>
      </c>
      <c r="Q763" s="69">
        <f t="shared" ca="1" si="491"/>
        <v>959.78607290045818</v>
      </c>
      <c r="R763" s="69">
        <f t="shared" ca="1" si="492"/>
        <v>779.38695720384521</v>
      </c>
      <c r="S763" s="69">
        <f t="shared" ca="1" si="493"/>
        <v>702.34866543382657</v>
      </c>
      <c r="T763" s="69">
        <f t="shared" ca="1" si="494"/>
        <v>795.32802241861498</v>
      </c>
      <c r="U763" s="69">
        <f t="shared" ca="1" si="495"/>
        <v>1694.1486110589565</v>
      </c>
      <c r="V763" s="69">
        <f t="shared" ca="1" si="496"/>
        <v>1912.6949475675356</v>
      </c>
      <c r="W763" s="69">
        <f t="shared" ca="1" si="497"/>
        <v>1181.3020525320319</v>
      </c>
      <c r="X763" s="69">
        <f t="shared" ca="1" si="498"/>
        <v>1487.5807474933474</v>
      </c>
      <c r="Y763" s="69">
        <f t="shared" ca="1" si="499"/>
        <v>1201.919189370414</v>
      </c>
      <c r="AA763" s="20">
        <f t="shared" ca="1" si="459"/>
        <v>6.5653868314965472E+16</v>
      </c>
      <c r="AB763" s="20">
        <f t="shared" ca="1" si="460"/>
        <v>1668998253893539</v>
      </c>
      <c r="AC763" s="20">
        <f t="shared" ca="1" si="461"/>
        <v>403076616846261.25</v>
      </c>
      <c r="AD763" s="20">
        <f t="shared" ca="1" si="462"/>
        <v>303472085638843.31</v>
      </c>
      <c r="AE763" s="20">
        <f t="shared" ca="1" si="463"/>
        <v>6844062885275051</v>
      </c>
      <c r="AG763" s="16">
        <f t="shared" ca="1" si="464"/>
        <v>-2.1583455226078789E-4</v>
      </c>
      <c r="AH763" s="16">
        <f t="shared" ca="1" si="465"/>
        <v>3.3677328887319599E-4</v>
      </c>
      <c r="AI763" s="16">
        <f t="shared" ca="1" si="466"/>
        <v>1.4082980837428445E-4</v>
      </c>
      <c r="AJ763" s="16">
        <f t="shared" ca="1" si="467"/>
        <v>9.6311364387612378E-4</v>
      </c>
      <c r="AK763" s="16">
        <f t="shared" ca="1" si="468"/>
        <v>-5.3595201770944851E-4</v>
      </c>
      <c r="AM763" s="16">
        <f t="shared" ca="1" si="469"/>
        <v>1.2248821888628163E-3</v>
      </c>
      <c r="AO763" s="16">
        <f t="shared" ca="1" si="470"/>
        <v>-2.1583455226078789E-4</v>
      </c>
      <c r="AP763" s="16">
        <f t="shared" ca="1" si="471"/>
        <v>0</v>
      </c>
      <c r="AQ763" s="16">
        <f t="shared" ca="1" si="472"/>
        <v>0</v>
      </c>
      <c r="AR763" s="16">
        <f t="shared" ca="1" si="473"/>
        <v>0</v>
      </c>
      <c r="AS763" s="16">
        <f t="shared" ca="1" si="474"/>
        <v>-5.3595201770944851E-4</v>
      </c>
    </row>
    <row r="764" spans="1:45" x14ac:dyDescent="0.25">
      <c r="A764" s="69">
        <f t="shared" ca="1" si="475"/>
        <v>2451.8709112277397</v>
      </c>
      <c r="B764" s="69">
        <f t="shared" ca="1" si="476"/>
        <v>2138.4175599923897</v>
      </c>
      <c r="C764" s="69">
        <f t="shared" ca="1" si="477"/>
        <v>2234.6022307495114</v>
      </c>
      <c r="D764" s="69">
        <f t="shared" ca="1" si="478"/>
        <v>2900.5961401121772</v>
      </c>
      <c r="E764" s="69">
        <f t="shared" ca="1" si="479"/>
        <v>1931.4744964277991</v>
      </c>
      <c r="F764" s="69">
        <f t="shared" ca="1" si="480"/>
        <v>1217.6608044736679</v>
      </c>
      <c r="G764" s="69">
        <f t="shared" ca="1" si="481"/>
        <v>966.49661283557759</v>
      </c>
      <c r="H764" s="69">
        <f t="shared" ca="1" si="482"/>
        <v>1183.4513709127036</v>
      </c>
      <c r="I764" s="69">
        <f t="shared" ca="1" si="483"/>
        <v>1049.1257822774494</v>
      </c>
      <c r="J764" s="69">
        <f t="shared" ca="1" si="484"/>
        <v>1142.6086329911095</v>
      </c>
      <c r="K764" s="69">
        <f t="shared" ca="1" si="485"/>
        <v>1171.9235059063653</v>
      </c>
      <c r="L764" s="69">
        <f t="shared" ca="1" si="486"/>
        <v>960.21603474291578</v>
      </c>
      <c r="M764" s="69">
        <f t="shared" ca="1" si="487"/>
        <v>994.62004829382363</v>
      </c>
      <c r="N764" s="69">
        <f t="shared" ca="1" si="488"/>
        <v>571.9581528100922</v>
      </c>
      <c r="O764" s="69">
        <f t="shared" ca="1" si="489"/>
        <v>629.73681492368883</v>
      </c>
      <c r="P764" s="69">
        <f t="shared" ca="1" si="490"/>
        <v>726.51872762836365</v>
      </c>
      <c r="Q764" s="69">
        <f t="shared" ca="1" si="491"/>
        <v>959.78607290045818</v>
      </c>
      <c r="R764" s="69">
        <f t="shared" ca="1" si="492"/>
        <v>779.86013542872843</v>
      </c>
      <c r="S764" s="69">
        <f t="shared" ca="1" si="493"/>
        <v>702.34866543382657</v>
      </c>
      <c r="T764" s="69">
        <f t="shared" ca="1" si="494"/>
        <v>795.32802241861498</v>
      </c>
      <c r="U764" s="69">
        <f t="shared" ca="1" si="495"/>
        <v>1694.0318098812827</v>
      </c>
      <c r="V764" s="69">
        <f t="shared" ca="1" si="496"/>
        <v>1912.6502649050526</v>
      </c>
      <c r="W764" s="69">
        <f t="shared" ca="1" si="497"/>
        <v>1181.3020525320319</v>
      </c>
      <c r="X764" s="69">
        <f t="shared" ca="1" si="498"/>
        <v>1487.3292650735209</v>
      </c>
      <c r="Y764" s="69">
        <f t="shared" ca="1" si="499"/>
        <v>1201.5892171590699</v>
      </c>
      <c r="AA764" s="20">
        <f t="shared" ca="1" si="459"/>
        <v>6.5639699470811592E+16</v>
      </c>
      <c r="AB764" s="20">
        <f t="shared" ca="1" si="460"/>
        <v>1669560422581012</v>
      </c>
      <c r="AC764" s="20">
        <f t="shared" ca="1" si="461"/>
        <v>403133386046275.81</v>
      </c>
      <c r="AD764" s="20">
        <f t="shared" ca="1" si="462"/>
        <v>303764504538770.06</v>
      </c>
      <c r="AE764" s="20">
        <f t="shared" ca="1" si="463"/>
        <v>6840395778746709</v>
      </c>
      <c r="AG764" s="16">
        <f t="shared" ca="1" si="464"/>
        <v>-5.3562836471076215E-5</v>
      </c>
      <c r="AH764" s="16">
        <f t="shared" ca="1" si="465"/>
        <v>-3.328499738253741E-4</v>
      </c>
      <c r="AI764" s="16">
        <f t="shared" ca="1" si="466"/>
        <v>-6.4453148260060374E-4</v>
      </c>
      <c r="AJ764" s="16">
        <f t="shared" ca="1" si="467"/>
        <v>9.0483869866495167E-4</v>
      </c>
      <c r="AK764" s="16">
        <f t="shared" ca="1" si="468"/>
        <v>-2.9928826211775766E-4</v>
      </c>
      <c r="AM764" s="16">
        <f t="shared" ca="1" si="469"/>
        <v>-1.2610559423210238E-4</v>
      </c>
      <c r="AO764" s="16">
        <f t="shared" ca="1" si="470"/>
        <v>-5.3562836471076215E-5</v>
      </c>
      <c r="AP764" s="16">
        <f t="shared" ca="1" si="471"/>
        <v>-3.328499738253741E-4</v>
      </c>
      <c r="AQ764" s="16">
        <f t="shared" ca="1" si="472"/>
        <v>-6.4453148260060374E-4</v>
      </c>
      <c r="AR764" s="16">
        <f t="shared" ca="1" si="473"/>
        <v>0</v>
      </c>
      <c r="AS764" s="16">
        <f t="shared" ca="1" si="474"/>
        <v>-2.9928826211775766E-4</v>
      </c>
    </row>
    <row r="765" spans="1:45" x14ac:dyDescent="0.25">
      <c r="A765" s="69">
        <f t="shared" ca="1" si="475"/>
        <v>2452.289974729918</v>
      </c>
      <c r="B765" s="69">
        <f t="shared" ca="1" si="476"/>
        <v>2137.9433460525279</v>
      </c>
      <c r="C765" s="69">
        <f t="shared" ca="1" si="477"/>
        <v>2234.6022307495114</v>
      </c>
      <c r="D765" s="69">
        <f t="shared" ca="1" si="478"/>
        <v>2900.8916719311851</v>
      </c>
      <c r="E765" s="69">
        <f t="shared" ca="1" si="479"/>
        <v>1931.2725490029388</v>
      </c>
      <c r="F765" s="69">
        <f t="shared" ca="1" si="480"/>
        <v>1217.8318738047456</v>
      </c>
      <c r="G765" s="69">
        <f t="shared" ca="1" si="481"/>
        <v>966.5392594387414</v>
      </c>
      <c r="H765" s="69">
        <f t="shared" ca="1" si="482"/>
        <v>1183.4513709127036</v>
      </c>
      <c r="I765" s="69">
        <f t="shared" ca="1" si="483"/>
        <v>1048.8045345756884</v>
      </c>
      <c r="J765" s="69">
        <f t="shared" ca="1" si="484"/>
        <v>1142.3673370384081</v>
      </c>
      <c r="K765" s="69">
        <f t="shared" ca="1" si="485"/>
        <v>1171.56072632326</v>
      </c>
      <c r="L765" s="69">
        <f t="shared" ca="1" si="486"/>
        <v>960.21603474291578</v>
      </c>
      <c r="M765" s="69">
        <f t="shared" ca="1" si="487"/>
        <v>994.62004829382363</v>
      </c>
      <c r="N765" s="69">
        <f t="shared" ca="1" si="488"/>
        <v>571.9581528100922</v>
      </c>
      <c r="O765" s="69">
        <f t="shared" ca="1" si="489"/>
        <v>629.52593597625889</v>
      </c>
      <c r="P765" s="69">
        <f t="shared" ca="1" si="490"/>
        <v>726.93033539651549</v>
      </c>
      <c r="Q765" s="69">
        <f t="shared" ca="1" si="491"/>
        <v>959.34497610281073</v>
      </c>
      <c r="R765" s="69">
        <f t="shared" ca="1" si="492"/>
        <v>779.92212206771796</v>
      </c>
      <c r="S765" s="69">
        <f t="shared" ca="1" si="493"/>
        <v>702.78645263473288</v>
      </c>
      <c r="T765" s="69">
        <f t="shared" ca="1" si="494"/>
        <v>795.40400301216391</v>
      </c>
      <c r="U765" s="69">
        <f t="shared" ca="1" si="495"/>
        <v>1693.7074276721441</v>
      </c>
      <c r="V765" s="69">
        <f t="shared" ca="1" si="496"/>
        <v>1912.7647526629191</v>
      </c>
      <c r="W765" s="69">
        <f t="shared" ca="1" si="497"/>
        <v>1181.3020525320319</v>
      </c>
      <c r="X765" s="69">
        <f t="shared" ca="1" si="498"/>
        <v>1487.1070502411637</v>
      </c>
      <c r="Y765" s="69">
        <f t="shared" ca="1" si="499"/>
        <v>1201.5673189156084</v>
      </c>
      <c r="AA765" s="20">
        <f t="shared" ca="1" si="459"/>
        <v>6.5636183716480552E+16</v>
      </c>
      <c r="AB765" s="20">
        <f t="shared" ca="1" si="460"/>
        <v>1669004801912348.3</v>
      </c>
      <c r="AC765" s="20">
        <f t="shared" ca="1" si="461"/>
        <v>402873637604297.88</v>
      </c>
      <c r="AD765" s="20">
        <f t="shared" ca="1" si="462"/>
        <v>304039486806294.63</v>
      </c>
      <c r="AE765" s="20">
        <f t="shared" ca="1" si="463"/>
        <v>6838348834910301</v>
      </c>
      <c r="AG765" s="16">
        <f t="shared" ca="1" si="464"/>
        <v>-6.5719631481138836E-5</v>
      </c>
      <c r="AH765" s="16">
        <f t="shared" ca="1" si="465"/>
        <v>6.4829297119525623E-5</v>
      </c>
      <c r="AI765" s="16">
        <f t="shared" ca="1" si="466"/>
        <v>1.1499864617171901E-4</v>
      </c>
      <c r="AJ765" s="16">
        <f t="shared" ca="1" si="467"/>
        <v>-2.125347592812958E-4</v>
      </c>
      <c r="AK765" s="16">
        <f t="shared" ca="1" si="468"/>
        <v>5.5468881759854007E-5</v>
      </c>
      <c r="AM765" s="16">
        <f t="shared" ca="1" si="469"/>
        <v>-9.8426447471190007E-5</v>
      </c>
      <c r="AO765" s="16">
        <f t="shared" ca="1" si="470"/>
        <v>-6.5719631481138836E-5</v>
      </c>
      <c r="AP765" s="16">
        <f t="shared" ca="1" si="471"/>
        <v>0</v>
      </c>
      <c r="AQ765" s="16">
        <f t="shared" ca="1" si="472"/>
        <v>0</v>
      </c>
      <c r="AR765" s="16">
        <f t="shared" ca="1" si="473"/>
        <v>-2.125347592812958E-4</v>
      </c>
      <c r="AS765" s="16">
        <f t="shared" ca="1" si="474"/>
        <v>0</v>
      </c>
    </row>
    <row r="766" spans="1:45" x14ac:dyDescent="0.25">
      <c r="A766" s="69">
        <f t="shared" ca="1" si="475"/>
        <v>2451.8989132802535</v>
      </c>
      <c r="B766" s="69">
        <f t="shared" ca="1" si="476"/>
        <v>2137.9433460525279</v>
      </c>
      <c r="C766" s="69">
        <f t="shared" ca="1" si="477"/>
        <v>2234.6022307495114</v>
      </c>
      <c r="D766" s="69">
        <f t="shared" ca="1" si="478"/>
        <v>2900.8916719311851</v>
      </c>
      <c r="E766" s="69">
        <f t="shared" ca="1" si="479"/>
        <v>1931.4536354432676</v>
      </c>
      <c r="F766" s="69">
        <f t="shared" ca="1" si="480"/>
        <v>1217.7993357658279</v>
      </c>
      <c r="G766" s="69">
        <f t="shared" ca="1" si="481"/>
        <v>966.5392594387414</v>
      </c>
      <c r="H766" s="69">
        <f t="shared" ca="1" si="482"/>
        <v>1183.5597180755024</v>
      </c>
      <c r="I766" s="69">
        <f t="shared" ca="1" si="483"/>
        <v>1048.8045345756884</v>
      </c>
      <c r="J766" s="69">
        <f t="shared" ca="1" si="484"/>
        <v>1142.3673370384081</v>
      </c>
      <c r="K766" s="69">
        <f t="shared" ca="1" si="485"/>
        <v>1171.56072632326</v>
      </c>
      <c r="L766" s="69">
        <f t="shared" ca="1" si="486"/>
        <v>960.46126248465055</v>
      </c>
      <c r="M766" s="69">
        <f t="shared" ca="1" si="487"/>
        <v>994.48045636283359</v>
      </c>
      <c r="N766" s="69">
        <f t="shared" ca="1" si="488"/>
        <v>571.9581528100922</v>
      </c>
      <c r="O766" s="69">
        <f t="shared" ca="1" si="489"/>
        <v>629.52593597625889</v>
      </c>
      <c r="P766" s="69">
        <f t="shared" ca="1" si="490"/>
        <v>727.19417274673765</v>
      </c>
      <c r="Q766" s="69">
        <f t="shared" ca="1" si="491"/>
        <v>959.03480187910691</v>
      </c>
      <c r="R766" s="69">
        <f t="shared" ca="1" si="492"/>
        <v>779.66771783164404</v>
      </c>
      <c r="S766" s="69">
        <f t="shared" ca="1" si="493"/>
        <v>702.78645263473288</v>
      </c>
      <c r="T766" s="69">
        <f t="shared" ca="1" si="494"/>
        <v>795.4630241419128</v>
      </c>
      <c r="U766" s="69">
        <f t="shared" ca="1" si="495"/>
        <v>1693.7074276721441</v>
      </c>
      <c r="V766" s="69">
        <f t="shared" ca="1" si="496"/>
        <v>1912.6601239815836</v>
      </c>
      <c r="W766" s="69">
        <f t="shared" ca="1" si="497"/>
        <v>1181.3020525320319</v>
      </c>
      <c r="X766" s="69">
        <f t="shared" ca="1" si="498"/>
        <v>1487.2708947614503</v>
      </c>
      <c r="Y766" s="69">
        <f t="shared" ca="1" si="499"/>
        <v>1201.5673189156084</v>
      </c>
      <c r="AA766" s="20">
        <f t="shared" ca="1" si="459"/>
        <v>6.5631870272415408E+16</v>
      </c>
      <c r="AB766" s="20">
        <f t="shared" ca="1" si="460"/>
        <v>1669113005827899.5</v>
      </c>
      <c r="AC766" s="20">
        <f t="shared" ca="1" si="461"/>
        <v>402919970191241.94</v>
      </c>
      <c r="AD766" s="20">
        <f t="shared" ca="1" si="462"/>
        <v>303974874713555.25</v>
      </c>
      <c r="AE766" s="20">
        <f t="shared" ca="1" si="463"/>
        <v>6838728160993557</v>
      </c>
      <c r="AG766" s="16">
        <f t="shared" ca="1" si="464"/>
        <v>-2.0926046373009925E-4</v>
      </c>
      <c r="AH766" s="16">
        <f t="shared" ca="1" si="465"/>
        <v>-1.6174273452327441E-4</v>
      </c>
      <c r="AI766" s="16">
        <f t="shared" ca="1" si="466"/>
        <v>8.1580083486708312E-5</v>
      </c>
      <c r="AJ766" s="16">
        <f t="shared" ca="1" si="467"/>
        <v>1.4607991841508676E-4</v>
      </c>
      <c r="AK766" s="16">
        <f t="shared" ca="1" si="468"/>
        <v>1.5403720197247465E-4</v>
      </c>
      <c r="AM766" s="16">
        <f t="shared" ca="1" si="469"/>
        <v>-1.4334319635157856E-4</v>
      </c>
      <c r="AO766" s="16">
        <f t="shared" ca="1" si="470"/>
        <v>-2.0926046373009925E-4</v>
      </c>
      <c r="AP766" s="16">
        <f t="shared" ca="1" si="471"/>
        <v>-1.6174273452327441E-4</v>
      </c>
      <c r="AQ766" s="16">
        <f t="shared" ca="1" si="472"/>
        <v>0</v>
      </c>
      <c r="AR766" s="16">
        <f t="shared" ca="1" si="473"/>
        <v>0</v>
      </c>
      <c r="AS766" s="16">
        <f t="shared" ca="1" si="474"/>
        <v>0</v>
      </c>
    </row>
    <row r="767" spans="1:45" x14ac:dyDescent="0.25">
      <c r="A767" s="69">
        <f t="shared" ca="1" si="475"/>
        <v>2451.471565905907</v>
      </c>
      <c r="B767" s="69">
        <f t="shared" ca="1" si="476"/>
        <v>2138.1059184477226</v>
      </c>
      <c r="C767" s="69">
        <f t="shared" ca="1" si="477"/>
        <v>2234.4927094577561</v>
      </c>
      <c r="D767" s="69">
        <f t="shared" ca="1" si="478"/>
        <v>2901.0460954778951</v>
      </c>
      <c r="E767" s="69">
        <f t="shared" ca="1" si="479"/>
        <v>1931.2311246482104</v>
      </c>
      <c r="F767" s="69">
        <f t="shared" ca="1" si="480"/>
        <v>1217.7788230992965</v>
      </c>
      <c r="G767" s="69">
        <f t="shared" ca="1" si="481"/>
        <v>966.86716483894975</v>
      </c>
      <c r="H767" s="69">
        <f t="shared" ca="1" si="482"/>
        <v>1183.408185176653</v>
      </c>
      <c r="I767" s="69">
        <f t="shared" ca="1" si="483"/>
        <v>1048.5446979734804</v>
      </c>
      <c r="J767" s="69">
        <f t="shared" ca="1" si="484"/>
        <v>1142.243645522082</v>
      </c>
      <c r="K767" s="69">
        <f t="shared" ca="1" si="485"/>
        <v>1171.6311458331306</v>
      </c>
      <c r="L767" s="69">
        <f t="shared" ca="1" si="486"/>
        <v>960.46126248465055</v>
      </c>
      <c r="M767" s="69">
        <f t="shared" ca="1" si="487"/>
        <v>994.50181251809886</v>
      </c>
      <c r="N767" s="69">
        <f t="shared" ca="1" si="488"/>
        <v>571.9581528100922</v>
      </c>
      <c r="O767" s="69">
        <f t="shared" ca="1" si="489"/>
        <v>629.52593597625889</v>
      </c>
      <c r="P767" s="69">
        <f t="shared" ca="1" si="490"/>
        <v>726.73878058286346</v>
      </c>
      <c r="Q767" s="69">
        <f t="shared" ca="1" si="491"/>
        <v>959.31936863573151</v>
      </c>
      <c r="R767" s="69">
        <f t="shared" ca="1" si="492"/>
        <v>779.66771783164404</v>
      </c>
      <c r="S767" s="69">
        <f t="shared" ca="1" si="493"/>
        <v>702.78645263473288</v>
      </c>
      <c r="T767" s="69">
        <f t="shared" ca="1" si="494"/>
        <v>795.84161932287248</v>
      </c>
      <c r="U767" s="69">
        <f t="shared" ca="1" si="495"/>
        <v>1693.7067566251246</v>
      </c>
      <c r="V767" s="69">
        <f t="shared" ca="1" si="496"/>
        <v>1912.6601239815836</v>
      </c>
      <c r="W767" s="69">
        <f t="shared" ca="1" si="497"/>
        <v>1181.3020525320319</v>
      </c>
      <c r="X767" s="69">
        <f t="shared" ca="1" si="498"/>
        <v>1487.307316414292</v>
      </c>
      <c r="Y767" s="69">
        <f t="shared" ca="1" si="499"/>
        <v>1201.723466468095</v>
      </c>
      <c r="AA767" s="20">
        <f t="shared" ca="1" si="459"/>
        <v>6.5618137553714384E+16</v>
      </c>
      <c r="AB767" s="20">
        <f t="shared" ca="1" si="460"/>
        <v>1668843060757524</v>
      </c>
      <c r="AC767" s="20">
        <f t="shared" ca="1" si="461"/>
        <v>402952841776863.69</v>
      </c>
      <c r="AD767" s="20">
        <f t="shared" ca="1" si="462"/>
        <v>304019282581923.56</v>
      </c>
      <c r="AE767" s="20">
        <f t="shared" ca="1" si="463"/>
        <v>6839781660681516</v>
      </c>
      <c r="AG767" s="16">
        <f t="shared" ca="1" si="464"/>
        <v>3.7478418655359792E-5</v>
      </c>
      <c r="AH767" s="16">
        <f t="shared" ca="1" si="465"/>
        <v>-4.9273906228284084E-4</v>
      </c>
      <c r="AI767" s="16">
        <f t="shared" ca="1" si="466"/>
        <v>9.6174778231495838E-5</v>
      </c>
      <c r="AJ767" s="16">
        <f t="shared" ca="1" si="467"/>
        <v>6.6206489166072065E-5</v>
      </c>
      <c r="AK767" s="16">
        <f t="shared" ca="1" si="468"/>
        <v>2.0779389198660698E-4</v>
      </c>
      <c r="AM767" s="16">
        <f t="shared" ca="1" si="469"/>
        <v>-2.9287937622991312E-4</v>
      </c>
      <c r="AO767" s="16">
        <f t="shared" ca="1" si="470"/>
        <v>0</v>
      </c>
      <c r="AP767" s="16">
        <f t="shared" ca="1" si="471"/>
        <v>-4.9273906228284084E-4</v>
      </c>
      <c r="AQ767" s="16">
        <f t="shared" ca="1" si="472"/>
        <v>0</v>
      </c>
      <c r="AR767" s="16">
        <f t="shared" ca="1" si="473"/>
        <v>0</v>
      </c>
      <c r="AS767" s="16">
        <f t="shared" ca="1" si="474"/>
        <v>0</v>
      </c>
    </row>
    <row r="768" spans="1:45" x14ac:dyDescent="0.25">
      <c r="A768" s="69">
        <f t="shared" ca="1" si="475"/>
        <v>2451.471565905907</v>
      </c>
      <c r="B768" s="69">
        <f t="shared" ca="1" si="476"/>
        <v>2138.330628212178</v>
      </c>
      <c r="C768" s="69">
        <f t="shared" ca="1" si="477"/>
        <v>2234.4927094577561</v>
      </c>
      <c r="D768" s="69">
        <f t="shared" ca="1" si="478"/>
        <v>2901.5257574476454</v>
      </c>
      <c r="E768" s="69">
        <f t="shared" ca="1" si="479"/>
        <v>1930.7813141078186</v>
      </c>
      <c r="F768" s="69">
        <f t="shared" ca="1" si="480"/>
        <v>1217.7206661421819</v>
      </c>
      <c r="G768" s="69">
        <f t="shared" ca="1" si="481"/>
        <v>966.86716483894975</v>
      </c>
      <c r="H768" s="69">
        <f t="shared" ca="1" si="482"/>
        <v>1182.9181808786748</v>
      </c>
      <c r="I768" s="69">
        <f t="shared" ca="1" si="483"/>
        <v>1048.5446979734804</v>
      </c>
      <c r="J768" s="69">
        <f t="shared" ca="1" si="484"/>
        <v>1142.2084265327301</v>
      </c>
      <c r="K768" s="69">
        <f t="shared" ca="1" si="485"/>
        <v>1172.0464341941686</v>
      </c>
      <c r="L768" s="69">
        <f t="shared" ca="1" si="486"/>
        <v>960.30421404893661</v>
      </c>
      <c r="M768" s="69">
        <f t="shared" ca="1" si="487"/>
        <v>994.50181251809886</v>
      </c>
      <c r="N768" s="69">
        <f t="shared" ca="1" si="488"/>
        <v>571.9581528100922</v>
      </c>
      <c r="O768" s="69">
        <f t="shared" ca="1" si="489"/>
        <v>629.46632983590291</v>
      </c>
      <c r="P768" s="69">
        <f t="shared" ca="1" si="490"/>
        <v>726.86121687581374</v>
      </c>
      <c r="Q768" s="69">
        <f t="shared" ca="1" si="491"/>
        <v>959.16233445493958</v>
      </c>
      <c r="R768" s="69">
        <f t="shared" ca="1" si="492"/>
        <v>779.18794809952806</v>
      </c>
      <c r="S768" s="69">
        <f t="shared" ca="1" si="493"/>
        <v>703.26239647031377</v>
      </c>
      <c r="T768" s="69">
        <f t="shared" ca="1" si="494"/>
        <v>795.84161932287248</v>
      </c>
      <c r="U768" s="69">
        <f t="shared" ca="1" si="495"/>
        <v>1693.7067566251246</v>
      </c>
      <c r="V768" s="69">
        <f t="shared" ca="1" si="496"/>
        <v>1912.4724834366218</v>
      </c>
      <c r="W768" s="69">
        <f t="shared" ca="1" si="497"/>
        <v>1181.3020525320319</v>
      </c>
      <c r="X768" s="69">
        <f t="shared" ca="1" si="498"/>
        <v>1487.307316414292</v>
      </c>
      <c r="Y768" s="69">
        <f t="shared" ca="1" si="499"/>
        <v>1202.0911337472237</v>
      </c>
      <c r="AA768" s="20">
        <f t="shared" ca="1" si="459"/>
        <v>6.562059686383024E+16</v>
      </c>
      <c r="AB768" s="20">
        <f t="shared" ca="1" si="460"/>
        <v>1668020959150090</v>
      </c>
      <c r="AC768" s="20">
        <f t="shared" ca="1" si="461"/>
        <v>402991597540692.94</v>
      </c>
      <c r="AD768" s="20">
        <f t="shared" ca="1" si="462"/>
        <v>304039411297580.56</v>
      </c>
      <c r="AE768" s="20">
        <f t="shared" ca="1" si="463"/>
        <v>6841203073208434</v>
      </c>
      <c r="AG768" s="16">
        <f t="shared" ca="1" si="464"/>
        <v>8.4722914470031688E-5</v>
      </c>
      <c r="AH768" s="16">
        <f t="shared" ca="1" si="465"/>
        <v>2.3990105377591538E-4</v>
      </c>
      <c r="AI768" s="16">
        <f t="shared" ca="1" si="466"/>
        <v>3.8913226087467546E-5</v>
      </c>
      <c r="AJ768" s="16">
        <f t="shared" ca="1" si="467"/>
        <v>5.5247509153427246E-5</v>
      </c>
      <c r="AK768" s="16">
        <f t="shared" ca="1" si="468"/>
        <v>1.4843342701070669E-4</v>
      </c>
      <c r="AM768" s="16">
        <f t="shared" ca="1" si="469"/>
        <v>4.1878470348684187E-4</v>
      </c>
      <c r="AO768" s="16">
        <f t="shared" ca="1" si="470"/>
        <v>0</v>
      </c>
      <c r="AP768" s="16">
        <f t="shared" ca="1" si="471"/>
        <v>0</v>
      </c>
      <c r="AQ768" s="16">
        <f t="shared" ca="1" si="472"/>
        <v>0</v>
      </c>
      <c r="AR768" s="16">
        <f t="shared" ca="1" si="473"/>
        <v>0</v>
      </c>
      <c r="AS768" s="16">
        <f t="shared" ca="1" si="474"/>
        <v>0</v>
      </c>
    </row>
    <row r="769" spans="1:45" x14ac:dyDescent="0.25">
      <c r="A769" s="69">
        <f t="shared" ca="1" si="475"/>
        <v>2451.7039969713751</v>
      </c>
      <c r="B769" s="69">
        <f t="shared" ca="1" si="476"/>
        <v>2138.330628212178</v>
      </c>
      <c r="C769" s="69">
        <f t="shared" ca="1" si="477"/>
        <v>2234.408518091408</v>
      </c>
      <c r="D769" s="69">
        <f t="shared" ca="1" si="478"/>
        <v>2901.5257574476454</v>
      </c>
      <c r="E769" s="69">
        <f t="shared" ca="1" si="479"/>
        <v>1930.8345914932856</v>
      </c>
      <c r="F769" s="69">
        <f t="shared" ca="1" si="480"/>
        <v>1218.0769348785093</v>
      </c>
      <c r="G769" s="69">
        <f t="shared" ca="1" si="481"/>
        <v>966.86716483894975</v>
      </c>
      <c r="H769" s="69">
        <f t="shared" ca="1" si="482"/>
        <v>1182.9684387966608</v>
      </c>
      <c r="I769" s="69">
        <f t="shared" ca="1" si="483"/>
        <v>1048.5446979734804</v>
      </c>
      <c r="J769" s="69">
        <f t="shared" ca="1" si="484"/>
        <v>1142.0997941948083</v>
      </c>
      <c r="K769" s="69">
        <f t="shared" ca="1" si="485"/>
        <v>1172.0464341941686</v>
      </c>
      <c r="L769" s="69">
        <f t="shared" ca="1" si="486"/>
        <v>959.97977078390818</v>
      </c>
      <c r="M769" s="69">
        <f t="shared" ca="1" si="487"/>
        <v>994.81471587783869</v>
      </c>
      <c r="N769" s="69">
        <f t="shared" ca="1" si="488"/>
        <v>572.23727547455519</v>
      </c>
      <c r="O769" s="69">
        <f t="shared" ca="1" si="489"/>
        <v>629.19845315337011</v>
      </c>
      <c r="P769" s="69">
        <f t="shared" ca="1" si="490"/>
        <v>726.86121687581374</v>
      </c>
      <c r="Q769" s="69">
        <f t="shared" ca="1" si="491"/>
        <v>958.95111103895329</v>
      </c>
      <c r="R769" s="69">
        <f t="shared" ca="1" si="492"/>
        <v>779.18794809952806</v>
      </c>
      <c r="S769" s="69">
        <f t="shared" ca="1" si="493"/>
        <v>703.4561637256727</v>
      </c>
      <c r="T769" s="69">
        <f t="shared" ca="1" si="494"/>
        <v>795.84161932287248</v>
      </c>
      <c r="U769" s="69">
        <f t="shared" ca="1" si="495"/>
        <v>1693.7067566251246</v>
      </c>
      <c r="V769" s="69">
        <f t="shared" ca="1" si="496"/>
        <v>1912.4724834366218</v>
      </c>
      <c r="W769" s="69">
        <f t="shared" ca="1" si="497"/>
        <v>1181.6378935191158</v>
      </c>
      <c r="X769" s="69">
        <f t="shared" ca="1" si="498"/>
        <v>1487.1053188907979</v>
      </c>
      <c r="Y769" s="69">
        <f t="shared" ca="1" si="499"/>
        <v>1202.0911337472237</v>
      </c>
      <c r="AA769" s="20">
        <f t="shared" ca="1" si="459"/>
        <v>6.5626156667563872E+16</v>
      </c>
      <c r="AB769" s="20">
        <f t="shared" ca="1" si="460"/>
        <v>1668421167139150</v>
      </c>
      <c r="AC769" s="20">
        <f t="shared" ca="1" si="461"/>
        <v>403007279548956.19</v>
      </c>
      <c r="AD769" s="20">
        <f t="shared" ca="1" si="462"/>
        <v>304056209181755.56</v>
      </c>
      <c r="AE769" s="20">
        <f t="shared" ca="1" si="463"/>
        <v>6842218611793538</v>
      </c>
      <c r="AG769" s="16">
        <f t="shared" ca="1" si="464"/>
        <v>-2.9196193333824596E-5</v>
      </c>
      <c r="AH769" s="16">
        <f t="shared" ca="1" si="465"/>
        <v>1.0012408951724837E-5</v>
      </c>
      <c r="AI769" s="16">
        <f t="shared" ca="1" si="466"/>
        <v>-1.4724724701126136E-3</v>
      </c>
      <c r="AJ769" s="16">
        <f t="shared" ca="1" si="467"/>
        <v>2.9588482462482275E-4</v>
      </c>
      <c r="AK769" s="16">
        <f t="shared" ca="1" si="468"/>
        <v>3.6717401434274618E-4</v>
      </c>
      <c r="AM769" s="16">
        <f t="shared" ca="1" si="469"/>
        <v>-1.1957714298698905E-3</v>
      </c>
      <c r="AO769" s="16">
        <f t="shared" ca="1" si="470"/>
        <v>-2.9196193333824596E-5</v>
      </c>
      <c r="AP769" s="16">
        <f t="shared" ca="1" si="471"/>
        <v>0</v>
      </c>
      <c r="AQ769" s="16">
        <f t="shared" ca="1" si="472"/>
        <v>-1.4724724701126136E-3</v>
      </c>
      <c r="AR769" s="16">
        <f t="shared" ca="1" si="473"/>
        <v>0</v>
      </c>
      <c r="AS769" s="16">
        <f t="shared" ca="1" si="474"/>
        <v>0</v>
      </c>
    </row>
    <row r="770" spans="1:45" x14ac:dyDescent="0.25">
      <c r="A770" s="69">
        <f t="shared" ca="1" si="475"/>
        <v>2451.7895980856365</v>
      </c>
      <c r="B770" s="69">
        <f t="shared" ca="1" si="476"/>
        <v>2138.330628212178</v>
      </c>
      <c r="C770" s="69">
        <f t="shared" ca="1" si="477"/>
        <v>2234.408518091408</v>
      </c>
      <c r="D770" s="69">
        <f t="shared" ca="1" si="478"/>
        <v>2901.7242255064207</v>
      </c>
      <c r="E770" s="69">
        <f t="shared" ca="1" si="479"/>
        <v>1930.5787545846511</v>
      </c>
      <c r="F770" s="69">
        <f t="shared" ca="1" si="480"/>
        <v>1218.2283209756617</v>
      </c>
      <c r="G770" s="69">
        <f t="shared" ca="1" si="481"/>
        <v>966.88343871540553</v>
      </c>
      <c r="H770" s="69">
        <f t="shared" ca="1" si="482"/>
        <v>1183.0652807569641</v>
      </c>
      <c r="I770" s="69">
        <f t="shared" ca="1" si="483"/>
        <v>1048.5233607341113</v>
      </c>
      <c r="J770" s="69">
        <f t="shared" ca="1" si="484"/>
        <v>1141.8798415573972</v>
      </c>
      <c r="K770" s="69">
        <f t="shared" ca="1" si="485"/>
        <v>1172.2770475530897</v>
      </c>
      <c r="L770" s="69">
        <f t="shared" ca="1" si="486"/>
        <v>959.97977078390818</v>
      </c>
      <c r="M770" s="69">
        <f t="shared" ca="1" si="487"/>
        <v>994.46125963259783</v>
      </c>
      <c r="N770" s="69">
        <f t="shared" ca="1" si="488"/>
        <v>571.82760737748242</v>
      </c>
      <c r="O770" s="69">
        <f t="shared" ca="1" si="489"/>
        <v>628.82249969505574</v>
      </c>
      <c r="P770" s="69">
        <f t="shared" ca="1" si="490"/>
        <v>726.86121687581374</v>
      </c>
      <c r="Q770" s="69">
        <f t="shared" ca="1" si="491"/>
        <v>958.86942461691149</v>
      </c>
      <c r="R770" s="69">
        <f t="shared" ca="1" si="492"/>
        <v>779.18794809952806</v>
      </c>
      <c r="S770" s="69">
        <f t="shared" ca="1" si="493"/>
        <v>703.72598003526582</v>
      </c>
      <c r="T770" s="69">
        <f t="shared" ca="1" si="494"/>
        <v>795.83969894813811</v>
      </c>
      <c r="U770" s="69">
        <f t="shared" ca="1" si="495"/>
        <v>1693.7067566251246</v>
      </c>
      <c r="V770" s="69">
        <f t="shared" ca="1" si="496"/>
        <v>1912.4724834366218</v>
      </c>
      <c r="W770" s="69">
        <f t="shared" ca="1" si="497"/>
        <v>1181.7291276975589</v>
      </c>
      <c r="X770" s="69">
        <f t="shared" ca="1" si="498"/>
        <v>1487.5365929806535</v>
      </c>
      <c r="Y770" s="69">
        <f t="shared" ca="1" si="499"/>
        <v>1202.0911337472237</v>
      </c>
      <c r="AA770" s="20">
        <f t="shared" ca="1" si="459"/>
        <v>6.5624240661576224E+16</v>
      </c>
      <c r="AB770" s="20">
        <f t="shared" ca="1" si="460"/>
        <v>1668437872137807.5</v>
      </c>
      <c r="AC770" s="20">
        <f t="shared" ca="1" si="461"/>
        <v>402414299105395.06</v>
      </c>
      <c r="AD770" s="20">
        <f t="shared" ca="1" si="462"/>
        <v>304146188110928.81</v>
      </c>
      <c r="AE770" s="20">
        <f t="shared" ca="1" si="463"/>
        <v>6844731357947557</v>
      </c>
      <c r="AG770" s="16">
        <f t="shared" ca="1" si="464"/>
        <v>-1.7700789830797113E-4</v>
      </c>
      <c r="AH770" s="16">
        <f t="shared" ca="1" si="465"/>
        <v>-4.5807447756366542E-4</v>
      </c>
      <c r="AI770" s="16">
        <f t="shared" ca="1" si="466"/>
        <v>-9.2320282684317035E-4</v>
      </c>
      <c r="AJ770" s="16">
        <f t="shared" ca="1" si="467"/>
        <v>-9.1858026192659381E-4</v>
      </c>
      <c r="AK770" s="16">
        <f t="shared" ca="1" si="468"/>
        <v>-2.0955691014512245E-4</v>
      </c>
      <c r="AM770" s="16">
        <f t="shared" ca="1" si="469"/>
        <v>-2.4768654646414008E-3</v>
      </c>
      <c r="AO770" s="16">
        <f t="shared" ca="1" si="470"/>
        <v>-1.7700789830797113E-4</v>
      </c>
      <c r="AP770" s="16">
        <f t="shared" ca="1" si="471"/>
        <v>-4.5807447756366542E-4</v>
      </c>
      <c r="AQ770" s="16">
        <f t="shared" ca="1" si="472"/>
        <v>-9.2320282684317035E-4</v>
      </c>
      <c r="AR770" s="16">
        <f t="shared" ca="1" si="473"/>
        <v>-9.1858026192659381E-4</v>
      </c>
      <c r="AS770" s="16">
        <f t="shared" ca="1" si="474"/>
        <v>-2.0955691014512245E-4</v>
      </c>
    </row>
    <row r="771" spans="1:45" x14ac:dyDescent="0.25">
      <c r="A771" s="69">
        <f t="shared" ca="1" si="475"/>
        <v>2451.499217414907</v>
      </c>
      <c r="B771" s="69">
        <f t="shared" ca="1" si="476"/>
        <v>2138.2054012452386</v>
      </c>
      <c r="C771" s="69">
        <f t="shared" ca="1" si="477"/>
        <v>2234.408518091408</v>
      </c>
      <c r="D771" s="69">
        <f t="shared" ca="1" si="478"/>
        <v>2901.7242255064207</v>
      </c>
      <c r="E771" s="69">
        <f t="shared" ca="1" si="479"/>
        <v>1930.5787545846511</v>
      </c>
      <c r="F771" s="69">
        <f t="shared" ca="1" si="480"/>
        <v>1218.5042964561894</v>
      </c>
      <c r="G771" s="69">
        <f t="shared" ca="1" si="481"/>
        <v>966.48216815715193</v>
      </c>
      <c r="H771" s="69">
        <f t="shared" ca="1" si="482"/>
        <v>1183.0652807569641</v>
      </c>
      <c r="I771" s="69">
        <f t="shared" ca="1" si="483"/>
        <v>1048.6285433805258</v>
      </c>
      <c r="J771" s="69">
        <f t="shared" ca="1" si="484"/>
        <v>1141.4576562806601</v>
      </c>
      <c r="K771" s="69">
        <f t="shared" ca="1" si="485"/>
        <v>1172.2258829674929</v>
      </c>
      <c r="L771" s="69">
        <f t="shared" ca="1" si="486"/>
        <v>959.79070891021911</v>
      </c>
      <c r="M771" s="69">
        <f t="shared" ca="1" si="487"/>
        <v>994.0020590703781</v>
      </c>
      <c r="N771" s="69">
        <f t="shared" ca="1" si="488"/>
        <v>571.83297454011142</v>
      </c>
      <c r="O771" s="69">
        <f t="shared" ca="1" si="489"/>
        <v>628.6778151193688</v>
      </c>
      <c r="P771" s="69">
        <f t="shared" ca="1" si="490"/>
        <v>726.57418617347503</v>
      </c>
      <c r="Q771" s="69">
        <f t="shared" ca="1" si="491"/>
        <v>958.71183703107283</v>
      </c>
      <c r="R771" s="69">
        <f t="shared" ca="1" si="492"/>
        <v>779.18794809952806</v>
      </c>
      <c r="S771" s="69">
        <f t="shared" ca="1" si="493"/>
        <v>703.47321130209923</v>
      </c>
      <c r="T771" s="69">
        <f t="shared" ca="1" si="494"/>
        <v>795.83969894813811</v>
      </c>
      <c r="U771" s="69">
        <f t="shared" ca="1" si="495"/>
        <v>1693.7067566251246</v>
      </c>
      <c r="V771" s="69">
        <f t="shared" ca="1" si="496"/>
        <v>1912.4724834366218</v>
      </c>
      <c r="W771" s="69">
        <f t="shared" ca="1" si="497"/>
        <v>1181.7291276975589</v>
      </c>
      <c r="X771" s="69">
        <f t="shared" ca="1" si="498"/>
        <v>1487.5717258416348</v>
      </c>
      <c r="Y771" s="69">
        <f t="shared" ca="1" si="499"/>
        <v>1201.8108690878084</v>
      </c>
      <c r="AA771" s="20">
        <f t="shared" ref="AA771:AA834" ca="1" si="500">A771*B771*C771*D771*E771</f>
        <v>6.5612625680660672E+16</v>
      </c>
      <c r="AB771" s="20">
        <f t="shared" ref="AB771:AB834" ca="1" si="501">F771*G771*H771*I771*J771</f>
        <v>1667673778350472.8</v>
      </c>
      <c r="AC771" s="20">
        <f t="shared" ref="AC771:AC834" ca="1" si="502">K771*L771*M771*N771*O771</f>
        <v>402042960523687.44</v>
      </c>
      <c r="AD771" s="20">
        <f t="shared" ref="AD771:AD834" ca="1" si="503">P771*Q771*R771*S771*T771</f>
        <v>303866933704218.94</v>
      </c>
      <c r="AE771" s="20">
        <f t="shared" ref="AE771:AE834" ca="1" si="504">U771*V771*W771*X771*Y771</f>
        <v>6843297147473018</v>
      </c>
      <c r="AG771" s="16">
        <f t="shared" ca="1" si="464"/>
        <v>1.2314972922973172E-4</v>
      </c>
      <c r="AH771" s="16">
        <f t="shared" ca="1" si="465"/>
        <v>-2.6895052414362217E-5</v>
      </c>
      <c r="AI771" s="16">
        <f t="shared" ca="1" si="466"/>
        <v>-4.2488309482569144E-4</v>
      </c>
      <c r="AJ771" s="16">
        <f t="shared" ca="1" si="467"/>
        <v>1.0956228352956138E-4</v>
      </c>
      <c r="AK771" s="16">
        <f t="shared" ca="1" si="468"/>
        <v>5.2272772244969215E-4</v>
      </c>
      <c r="AM771" s="16">
        <f t="shared" ca="1" si="469"/>
        <v>-2.1906613448076059E-4</v>
      </c>
      <c r="AO771" s="16">
        <f t="shared" ca="1" si="470"/>
        <v>0</v>
      </c>
      <c r="AP771" s="16">
        <f t="shared" ca="1" si="471"/>
        <v>-2.6895052414362217E-5</v>
      </c>
      <c r="AQ771" s="16">
        <f t="shared" ca="1" si="472"/>
        <v>-4.2488309482569144E-4</v>
      </c>
      <c r="AR771" s="16">
        <f t="shared" ca="1" si="473"/>
        <v>0</v>
      </c>
      <c r="AS771" s="16">
        <f t="shared" ca="1" si="474"/>
        <v>0</v>
      </c>
    </row>
    <row r="772" spans="1:45" x14ac:dyDescent="0.25">
      <c r="A772" s="69">
        <f t="shared" ca="1" si="475"/>
        <v>2451.0201639933348</v>
      </c>
      <c r="B772" s="69">
        <f t="shared" ca="1" si="476"/>
        <v>2138.5384783850104</v>
      </c>
      <c r="C772" s="69">
        <f t="shared" ca="1" si="477"/>
        <v>2234.5973102726662</v>
      </c>
      <c r="D772" s="69">
        <f t="shared" ca="1" si="478"/>
        <v>2901.7242255064207</v>
      </c>
      <c r="E772" s="69">
        <f t="shared" ca="1" si="479"/>
        <v>1930.7299820967382</v>
      </c>
      <c r="F772" s="69">
        <f t="shared" ca="1" si="480"/>
        <v>1218.2628340757833</v>
      </c>
      <c r="G772" s="69">
        <f t="shared" ca="1" si="481"/>
        <v>966.48216815715193</v>
      </c>
      <c r="H772" s="69">
        <f t="shared" ca="1" si="482"/>
        <v>1183.0781419447858</v>
      </c>
      <c r="I772" s="69">
        <f t="shared" ca="1" si="483"/>
        <v>1048.796774195004</v>
      </c>
      <c r="J772" s="69">
        <f t="shared" ca="1" si="484"/>
        <v>1141.4576562806601</v>
      </c>
      <c r="K772" s="69">
        <f t="shared" ca="1" si="485"/>
        <v>1172.2258829674929</v>
      </c>
      <c r="L772" s="69">
        <f t="shared" ca="1" si="486"/>
        <v>959.79070891021911</v>
      </c>
      <c r="M772" s="69">
        <f t="shared" ca="1" si="487"/>
        <v>994.0020590703781</v>
      </c>
      <c r="N772" s="69">
        <f t="shared" ca="1" si="488"/>
        <v>571.52321038101604</v>
      </c>
      <c r="O772" s="69">
        <f t="shared" ca="1" si="489"/>
        <v>628.75135434991125</v>
      </c>
      <c r="P772" s="69">
        <f t="shared" ca="1" si="490"/>
        <v>726.73345160419967</v>
      </c>
      <c r="Q772" s="69">
        <f t="shared" ca="1" si="491"/>
        <v>958.71183703107283</v>
      </c>
      <c r="R772" s="69">
        <f t="shared" ca="1" si="492"/>
        <v>779.18794809952806</v>
      </c>
      <c r="S772" s="69">
        <f t="shared" ca="1" si="493"/>
        <v>703.39686588818654</v>
      </c>
      <c r="T772" s="69">
        <f t="shared" ca="1" si="494"/>
        <v>795.8388379170035</v>
      </c>
      <c r="U772" s="69">
        <f t="shared" ca="1" si="495"/>
        <v>1693.7067566251246</v>
      </c>
      <c r="V772" s="69">
        <f t="shared" ca="1" si="496"/>
        <v>1912.7614298236001</v>
      </c>
      <c r="W772" s="69">
        <f t="shared" ca="1" si="497"/>
        <v>1181.9324821857113</v>
      </c>
      <c r="X772" s="69">
        <f t="shared" ca="1" si="498"/>
        <v>1487.8686547628015</v>
      </c>
      <c r="Y772" s="69">
        <f t="shared" ca="1" si="499"/>
        <v>1201.8108690878084</v>
      </c>
      <c r="AA772" s="20">
        <f t="shared" ca="1" si="500"/>
        <v>6.5620706355303536E+16</v>
      </c>
      <c r="AB772" s="20">
        <f t="shared" ca="1" si="501"/>
        <v>1667628926779939.3</v>
      </c>
      <c r="AC772" s="20">
        <f t="shared" ca="1" si="502"/>
        <v>401872175550760.44</v>
      </c>
      <c r="AD772" s="20">
        <f t="shared" ca="1" si="503"/>
        <v>303900227883224.56</v>
      </c>
      <c r="AE772" s="20">
        <f t="shared" ca="1" si="504"/>
        <v>6846875263713765</v>
      </c>
      <c r="AG772" s="16">
        <f t="shared" ref="AG772:AG835" ca="1" si="505">LN(AA773/AA772)</f>
        <v>-2.9062565307388867E-4</v>
      </c>
      <c r="AH772" s="16">
        <f t="shared" ref="AH772:AH835" ca="1" si="506">LN(AB773/AB772)</f>
        <v>5.6325214518786572E-4</v>
      </c>
      <c r="AI772" s="16">
        <f t="shared" ref="AI772:AI835" ca="1" si="507">LN(AC773/AC772)</f>
        <v>7.5939621637575061E-4</v>
      </c>
      <c r="AJ772" s="16">
        <f t="shared" ref="AJ772:AJ835" ca="1" si="508">LN(AD773/AD772)</f>
        <v>1.0412551764316265E-3</v>
      </c>
      <c r="AK772" s="16">
        <f t="shared" ref="AK772:AK835" ca="1" si="509">LN(AE773/AE772)</f>
        <v>3.3243581097750229E-4</v>
      </c>
      <c r="AM772" s="16">
        <f t="shared" ref="AM772:AM835" ca="1" si="510">AG772+AH772+AI772+AJ772</f>
        <v>2.0732778849213542E-3</v>
      </c>
      <c r="AO772" s="16">
        <f t="shared" ref="AO772:AO835" ca="1" si="511">MIN(AG772,0)</f>
        <v>-2.9062565307388867E-4</v>
      </c>
      <c r="AP772" s="16">
        <f t="shared" ref="AP772:AP835" ca="1" si="512">MIN(AH772,0)</f>
        <v>0</v>
      </c>
      <c r="AQ772" s="16">
        <f t="shared" ref="AQ772:AQ835" ca="1" si="513">MIN(AI772,0)</f>
        <v>0</v>
      </c>
      <c r="AR772" s="16">
        <f t="shared" ref="AR772:AR835" ca="1" si="514">MIN(AJ772,0)</f>
        <v>0</v>
      </c>
      <c r="AS772" s="16">
        <f t="shared" ref="AS772:AS835" ca="1" si="515">MIN(AK772,0)</f>
        <v>0</v>
      </c>
    </row>
    <row r="773" spans="1:45" x14ac:dyDescent="0.25">
      <c r="A773" s="69">
        <f t="shared" ref="A773:A836" ca="1" si="516">A772+ $A$1 * RAND()  * RANDBETWEEN(-1,1)</f>
        <v>2450.7741701650007</v>
      </c>
      <c r="B773" s="69">
        <f t="shared" ref="B773:B836" ca="1" si="517">B772+ $A$1 * RAND()  * RANDBETWEEN(-1,1)</f>
        <v>2138.2148762526876</v>
      </c>
      <c r="C773" s="69">
        <f t="shared" ref="C773:C836" ca="1" si="518">C772+ $A$1 * RAND()  * RANDBETWEEN(-1,1)</f>
        <v>2234.7396327751835</v>
      </c>
      <c r="D773" s="69">
        <f t="shared" ref="D773:D836" ca="1" si="519">D772+ $A$1 * RAND()  * RANDBETWEEN(-1,1)</f>
        <v>2901.4264819810624</v>
      </c>
      <c r="E773" s="69">
        <f t="shared" ref="E773:E836" ca="1" si="520">E772+ $A$1 * RAND()  * RANDBETWEEN(-1,1)</f>
        <v>1930.7299820967382</v>
      </c>
      <c r="F773" s="69">
        <f t="shared" ref="F773:F836" ca="1" si="521">F772+ $A$1 * RAND()  * RANDBETWEEN(-1,1)</f>
        <v>1218.2414541388709</v>
      </c>
      <c r="G773" s="69">
        <f t="shared" ref="G773:G836" ca="1" si="522">G772+ $A$1 * RAND()  * RANDBETWEEN(-1,1)</f>
        <v>966.93961382297027</v>
      </c>
      <c r="H773" s="69">
        <f t="shared" ref="H773:H836" ca="1" si="523">H772+ $A$1 * RAND()  * RANDBETWEEN(-1,1)</f>
        <v>1183.0781419447858</v>
      </c>
      <c r="I773" s="69">
        <f t="shared" ref="I773:I836" ca="1" si="524">I772+ $A$1 * RAND()  * RANDBETWEEN(-1,1)</f>
        <v>1049.1206281857844</v>
      </c>
      <c r="J773" s="69">
        <f t="shared" ref="J773:J836" ca="1" si="525">J772+ $A$1 * RAND()  * RANDBETWEEN(-1,1)</f>
        <v>1141.2280925759019</v>
      </c>
      <c r="K773" s="69">
        <f t="shared" ref="K773:K836" ca="1" si="526">K772+ $A$1 * RAND()  * RANDBETWEEN(-1,1)</f>
        <v>1172.2258829674929</v>
      </c>
      <c r="L773" s="69">
        <f t="shared" ref="L773:L836" ca="1" si="527">L772+ $A$1 * RAND()  * RANDBETWEEN(-1,1)</f>
        <v>959.99186986209634</v>
      </c>
      <c r="M773" s="69">
        <f t="shared" ref="M773:M836" ca="1" si="528">M772+ $A$1 * RAND()  * RANDBETWEEN(-1,1)</f>
        <v>993.95234099639868</v>
      </c>
      <c r="N773" s="69">
        <f t="shared" ref="N773:N836" ca="1" si="529">N772+ $A$1 * RAND()  * RANDBETWEEN(-1,1)</f>
        <v>572.00694146656531</v>
      </c>
      <c r="O773" s="69">
        <f t="shared" ref="O773:O836" ca="1" si="530">O772+ $A$1 * RAND()  * RANDBETWEEN(-1,1)</f>
        <v>628.59658608478981</v>
      </c>
      <c r="P773" s="69">
        <f t="shared" ref="P773:P836" ca="1" si="531">P772+ $A$1 * RAND()  * RANDBETWEEN(-1,1)</f>
        <v>726.73345160419967</v>
      </c>
      <c r="Q773" s="69">
        <f t="shared" ref="Q773:Q836" ca="1" si="532">Q772+ $A$1 * RAND()  * RANDBETWEEN(-1,1)</f>
        <v>958.71183703107283</v>
      </c>
      <c r="R773" s="69">
        <f t="shared" ref="R773:R836" ca="1" si="533">R772+ $A$1 * RAND()  * RANDBETWEEN(-1,1)</f>
        <v>779.62664792781209</v>
      </c>
      <c r="S773" s="69">
        <f t="shared" ref="S773:S836" ca="1" si="534">S772+ $A$1 * RAND()  * RANDBETWEEN(-1,1)</f>
        <v>703.73344566817138</v>
      </c>
      <c r="T773" s="69">
        <f t="shared" ref="T773:T836" ca="1" si="535">T772+ $A$1 * RAND()  * RANDBETWEEN(-1,1)</f>
        <v>795.8388379170035</v>
      </c>
      <c r="U773" s="69">
        <f t="shared" ref="U773:U836" ca="1" si="536">U772+ $A$1 * RAND()  * RANDBETWEEN(-1,1)</f>
        <v>1694.0765656837884</v>
      </c>
      <c r="V773" s="69">
        <f t="shared" ref="V773:V836" ca="1" si="537">V772+ $A$1 * RAND()  * RANDBETWEEN(-1,1)</f>
        <v>1912.8737987224517</v>
      </c>
      <c r="W773" s="69">
        <f t="shared" ref="W773:W836" ca="1" si="538">W772+ $A$1 * RAND()  * RANDBETWEEN(-1,1)</f>
        <v>1181.9324821857113</v>
      </c>
      <c r="X773" s="69">
        <f t="shared" ref="X773:X836" ca="1" si="539">X772+ $A$1 * RAND()  * RANDBETWEEN(-1,1)</f>
        <v>1487.9510424057885</v>
      </c>
      <c r="Y773" s="69">
        <f t="shared" ref="Y773:Y836" ca="1" si="540">Y772+ $A$1 * RAND()  * RANDBETWEEN(-1,1)</f>
        <v>1201.8108690878084</v>
      </c>
      <c r="AA773" s="20">
        <f t="shared" ca="1" si="500"/>
        <v>6.5601638065665136E+16</v>
      </c>
      <c r="AB773" s="20">
        <f t="shared" ca="1" si="501"/>
        <v>1668568486930120.5</v>
      </c>
      <c r="AC773" s="20">
        <f t="shared" ca="1" si="502"/>
        <v>402177471666026.19</v>
      </c>
      <c r="AD773" s="20">
        <f t="shared" ca="1" si="503"/>
        <v>304216830372011.5</v>
      </c>
      <c r="AE773" s="20">
        <f t="shared" ca="1" si="504"/>
        <v>6849151788622956</v>
      </c>
      <c r="AG773" s="16">
        <f t="shared" ca="1" si="505"/>
        <v>4.4653931744917619E-4</v>
      </c>
      <c r="AH773" s="16">
        <f t="shared" ca="1" si="506"/>
        <v>8.3117095183769178E-4</v>
      </c>
      <c r="AI773" s="16">
        <f t="shared" ca="1" si="507"/>
        <v>-1.4148528657880618E-4</v>
      </c>
      <c r="AJ773" s="16">
        <f t="shared" ca="1" si="508"/>
        <v>-1.2109822955184769E-3</v>
      </c>
      <c r="AK773" s="16">
        <f t="shared" ca="1" si="509"/>
        <v>-3.216376582948945E-4</v>
      </c>
      <c r="AM773" s="16">
        <f t="shared" ca="1" si="510"/>
        <v>-7.4757312810415106E-5</v>
      </c>
      <c r="AO773" s="16">
        <f t="shared" ca="1" si="511"/>
        <v>0</v>
      </c>
      <c r="AP773" s="16">
        <f t="shared" ca="1" si="512"/>
        <v>0</v>
      </c>
      <c r="AQ773" s="16">
        <f t="shared" ca="1" si="513"/>
        <v>-1.4148528657880618E-4</v>
      </c>
      <c r="AR773" s="16">
        <f t="shared" ca="1" si="514"/>
        <v>-1.2109822955184769E-3</v>
      </c>
      <c r="AS773" s="16">
        <f t="shared" ca="1" si="515"/>
        <v>-3.216376582948945E-4</v>
      </c>
    </row>
    <row r="774" spans="1:45" x14ac:dyDescent="0.25">
      <c r="A774" s="69">
        <f t="shared" ca="1" si="516"/>
        <v>2450.4587582103395</v>
      </c>
      <c r="B774" s="69">
        <f t="shared" ca="1" si="517"/>
        <v>2138.4805921352704</v>
      </c>
      <c r="C774" s="69">
        <f t="shared" ca="1" si="518"/>
        <v>2234.8732238767943</v>
      </c>
      <c r="D774" s="69">
        <f t="shared" ca="1" si="519"/>
        <v>2901.9184959282029</v>
      </c>
      <c r="E774" s="69">
        <f t="shared" ca="1" si="520"/>
        <v>1931.1579653798724</v>
      </c>
      <c r="F774" s="69">
        <f t="shared" ca="1" si="521"/>
        <v>1218.6297288019364</v>
      </c>
      <c r="G774" s="69">
        <f t="shared" ca="1" si="522"/>
        <v>967.31740258983007</v>
      </c>
      <c r="H774" s="69">
        <f t="shared" ca="1" si="523"/>
        <v>1183.222338452287</v>
      </c>
      <c r="I774" s="69">
        <f t="shared" ca="1" si="524"/>
        <v>1049.1206281857844</v>
      </c>
      <c r="J774" s="69">
        <f t="shared" ca="1" si="525"/>
        <v>1141.2280925759019</v>
      </c>
      <c r="K774" s="69">
        <f t="shared" ca="1" si="526"/>
        <v>1171.7268628546233</v>
      </c>
      <c r="L774" s="69">
        <f t="shared" ca="1" si="527"/>
        <v>960.1225777225784</v>
      </c>
      <c r="M774" s="69">
        <f t="shared" ca="1" si="528"/>
        <v>993.68980835148352</v>
      </c>
      <c r="N774" s="69">
        <f t="shared" ca="1" si="529"/>
        <v>571.79348408301689</v>
      </c>
      <c r="O774" s="69">
        <f t="shared" ca="1" si="530"/>
        <v>629.09058655202455</v>
      </c>
      <c r="P774" s="69">
        <f t="shared" ca="1" si="531"/>
        <v>726.27477021736922</v>
      </c>
      <c r="Q774" s="69">
        <f t="shared" ca="1" si="532"/>
        <v>958.71183703107283</v>
      </c>
      <c r="R774" s="69">
        <f t="shared" ca="1" si="533"/>
        <v>779.1748853373449</v>
      </c>
      <c r="S774" s="69">
        <f t="shared" ca="1" si="534"/>
        <v>703.73344566817138</v>
      </c>
      <c r="T774" s="69">
        <f t="shared" ca="1" si="535"/>
        <v>795.8388379170035</v>
      </c>
      <c r="U774" s="69">
        <f t="shared" ca="1" si="536"/>
        <v>1693.5817573743775</v>
      </c>
      <c r="V774" s="69">
        <f t="shared" ca="1" si="537"/>
        <v>1912.8737987224517</v>
      </c>
      <c r="W774" s="69">
        <f t="shared" ca="1" si="538"/>
        <v>1181.9058488306694</v>
      </c>
      <c r="X774" s="69">
        <f t="shared" ca="1" si="539"/>
        <v>1487.6623594890566</v>
      </c>
      <c r="Y774" s="69">
        <f t="shared" ca="1" si="540"/>
        <v>1202.0356924079786</v>
      </c>
      <c r="AA774" s="20">
        <f t="shared" ca="1" si="500"/>
        <v>6.5630938317720936E+16</v>
      </c>
      <c r="AB774" s="20">
        <f t="shared" ca="1" si="501"/>
        <v>1669955929108551</v>
      </c>
      <c r="AC774" s="20">
        <f t="shared" ca="1" si="502"/>
        <v>402120573496413.81</v>
      </c>
      <c r="AD774" s="20">
        <f t="shared" ca="1" si="503"/>
        <v>303848652150080.19</v>
      </c>
      <c r="AE774" s="20">
        <f t="shared" ca="1" si="504"/>
        <v>6846949197717436</v>
      </c>
      <c r="AG774" s="16">
        <f t="shared" ca="1" si="505"/>
        <v>4.843812338101385E-4</v>
      </c>
      <c r="AH774" s="16">
        <f t="shared" ca="1" si="506"/>
        <v>1.474161700908185E-4</v>
      </c>
      <c r="AI774" s="16">
        <f t="shared" ca="1" si="507"/>
        <v>-4.3650618400815851E-4</v>
      </c>
      <c r="AJ774" s="16">
        <f t="shared" ca="1" si="508"/>
        <v>9.0603409713198811E-4</v>
      </c>
      <c r="AK774" s="16">
        <f t="shared" ca="1" si="509"/>
        <v>3.9072481793276314E-4</v>
      </c>
      <c r="AM774" s="16">
        <f t="shared" ca="1" si="510"/>
        <v>1.1013253170247866E-3</v>
      </c>
      <c r="AO774" s="16">
        <f t="shared" ca="1" si="511"/>
        <v>0</v>
      </c>
      <c r="AP774" s="16">
        <f t="shared" ca="1" si="512"/>
        <v>0</v>
      </c>
      <c r="AQ774" s="16">
        <f t="shared" ca="1" si="513"/>
        <v>-4.3650618400815851E-4</v>
      </c>
      <c r="AR774" s="16">
        <f t="shared" ca="1" si="514"/>
        <v>0</v>
      </c>
      <c r="AS774" s="16">
        <f t="shared" ca="1" si="515"/>
        <v>0</v>
      </c>
    </row>
    <row r="775" spans="1:45" x14ac:dyDescent="0.25">
      <c r="A775" s="69">
        <f t="shared" ca="1" si="516"/>
        <v>2450.4587582103395</v>
      </c>
      <c r="B775" s="69">
        <f t="shared" ca="1" si="517"/>
        <v>2138.6335912394679</v>
      </c>
      <c r="C775" s="69">
        <f t="shared" ca="1" si="518"/>
        <v>2235.2364098045214</v>
      </c>
      <c r="D775" s="69">
        <f t="shared" ca="1" si="519"/>
        <v>2902.0994827057903</v>
      </c>
      <c r="E775" s="69">
        <f t="shared" ca="1" si="520"/>
        <v>1931.5210122916017</v>
      </c>
      <c r="F775" s="69">
        <f t="shared" ca="1" si="521"/>
        <v>1218.2548270989371</v>
      </c>
      <c r="G775" s="69">
        <f t="shared" ca="1" si="522"/>
        <v>967.43359969624294</v>
      </c>
      <c r="H775" s="69">
        <f t="shared" ca="1" si="523"/>
        <v>1183.6756116569857</v>
      </c>
      <c r="I775" s="69">
        <f t="shared" ca="1" si="524"/>
        <v>1049.2657059604624</v>
      </c>
      <c r="J775" s="69">
        <f t="shared" ca="1" si="525"/>
        <v>1141.015505891927</v>
      </c>
      <c r="K775" s="69">
        <f t="shared" ca="1" si="526"/>
        <v>1171.7268628546233</v>
      </c>
      <c r="L775" s="69">
        <f t="shared" ca="1" si="527"/>
        <v>960.53861537699595</v>
      </c>
      <c r="M775" s="69">
        <f t="shared" ca="1" si="528"/>
        <v>993.68980835148352</v>
      </c>
      <c r="N775" s="69">
        <f t="shared" ca="1" si="529"/>
        <v>571.55602400223984</v>
      </c>
      <c r="O775" s="69">
        <f t="shared" ca="1" si="530"/>
        <v>628.80482205259773</v>
      </c>
      <c r="P775" s="69">
        <f t="shared" ca="1" si="531"/>
        <v>726.0464947001384</v>
      </c>
      <c r="Q775" s="69">
        <f t="shared" ca="1" si="532"/>
        <v>958.72622033781397</v>
      </c>
      <c r="R775" s="69">
        <f t="shared" ca="1" si="533"/>
        <v>779.22461477241598</v>
      </c>
      <c r="S775" s="69">
        <f t="shared" ca="1" si="534"/>
        <v>704.15863648557092</v>
      </c>
      <c r="T775" s="69">
        <f t="shared" ca="1" si="535"/>
        <v>796.26676348978151</v>
      </c>
      <c r="U775" s="69">
        <f t="shared" ca="1" si="536"/>
        <v>1693.9214216752396</v>
      </c>
      <c r="V775" s="69">
        <f t="shared" ca="1" si="537"/>
        <v>1912.7138913802301</v>
      </c>
      <c r="W775" s="69">
        <f t="shared" ca="1" si="538"/>
        <v>1182.2086602848747</v>
      </c>
      <c r="X775" s="69">
        <f t="shared" ca="1" si="539"/>
        <v>1487.6885586119488</v>
      </c>
      <c r="Y775" s="69">
        <f t="shared" ca="1" si="540"/>
        <v>1202.0356924079786</v>
      </c>
      <c r="AA775" s="20">
        <f t="shared" ca="1" si="500"/>
        <v>6.5662736413178024E+16</v>
      </c>
      <c r="AB775" s="20">
        <f t="shared" ca="1" si="501"/>
        <v>1670202125762078.8</v>
      </c>
      <c r="AC775" s="20">
        <f t="shared" ca="1" si="502"/>
        <v>401945083683346.5</v>
      </c>
      <c r="AD775" s="20">
        <f t="shared" ca="1" si="503"/>
        <v>304124074141312.25</v>
      </c>
      <c r="AE775" s="20">
        <f t="shared" ca="1" si="504"/>
        <v>6849624993411960</v>
      </c>
      <c r="AG775" s="16">
        <f t="shared" ca="1" si="505"/>
        <v>-2.1581669027326796E-4</v>
      </c>
      <c r="AH775" s="16">
        <f t="shared" ca="1" si="506"/>
        <v>-3.7523752413203882E-4</v>
      </c>
      <c r="AI775" s="16">
        <f t="shared" ca="1" si="507"/>
        <v>7.097082581816027E-4</v>
      </c>
      <c r="AJ775" s="16">
        <f t="shared" ca="1" si="508"/>
        <v>-5.6918742322633806E-4</v>
      </c>
      <c r="AK775" s="16">
        <f t="shared" ca="1" si="509"/>
        <v>4.9589657797651399E-4</v>
      </c>
      <c r="AM775" s="16">
        <f t="shared" ca="1" si="510"/>
        <v>-4.5053337945004217E-4</v>
      </c>
      <c r="AO775" s="16">
        <f t="shared" ca="1" si="511"/>
        <v>-2.1581669027326796E-4</v>
      </c>
      <c r="AP775" s="16">
        <f t="shared" ca="1" si="512"/>
        <v>-3.7523752413203882E-4</v>
      </c>
      <c r="AQ775" s="16">
        <f t="shared" ca="1" si="513"/>
        <v>0</v>
      </c>
      <c r="AR775" s="16">
        <f t="shared" ca="1" si="514"/>
        <v>-5.6918742322633806E-4</v>
      </c>
      <c r="AS775" s="16">
        <f t="shared" ca="1" si="515"/>
        <v>0</v>
      </c>
    </row>
    <row r="776" spans="1:45" x14ac:dyDescent="0.25">
      <c r="A776" s="69">
        <f t="shared" ca="1" si="516"/>
        <v>2450.5538476639708</v>
      </c>
      <c r="B776" s="69">
        <f t="shared" ca="1" si="517"/>
        <v>2138.8964762103446</v>
      </c>
      <c r="C776" s="69">
        <f t="shared" ca="1" si="518"/>
        <v>2235.1222764983354</v>
      </c>
      <c r="D776" s="69">
        <f t="shared" ca="1" si="519"/>
        <v>2901.6275605246838</v>
      </c>
      <c r="E776" s="69">
        <f t="shared" ca="1" si="520"/>
        <v>1931.2045671374324</v>
      </c>
      <c r="F776" s="69">
        <f t="shared" ca="1" si="521"/>
        <v>1217.7977779302166</v>
      </c>
      <c r="G776" s="69">
        <f t="shared" ca="1" si="522"/>
        <v>967.43359969624294</v>
      </c>
      <c r="H776" s="69">
        <f t="shared" ca="1" si="523"/>
        <v>1183.6756116569857</v>
      </c>
      <c r="I776" s="69">
        <f t="shared" ca="1" si="524"/>
        <v>1049.2657059604624</v>
      </c>
      <c r="J776" s="69">
        <f t="shared" ca="1" si="525"/>
        <v>1141.015505891927</v>
      </c>
      <c r="K776" s="69">
        <f t="shared" ca="1" si="526"/>
        <v>1172.0982389206129</v>
      </c>
      <c r="L776" s="69">
        <f t="shared" ca="1" si="527"/>
        <v>960.15669308037207</v>
      </c>
      <c r="M776" s="69">
        <f t="shared" ca="1" si="528"/>
        <v>994.13293182312907</v>
      </c>
      <c r="N776" s="69">
        <f t="shared" ca="1" si="529"/>
        <v>571.55602400223984</v>
      </c>
      <c r="O776" s="69">
        <f t="shared" ca="1" si="530"/>
        <v>629.02158611987386</v>
      </c>
      <c r="P776" s="69">
        <f t="shared" ca="1" si="531"/>
        <v>725.84778002628559</v>
      </c>
      <c r="Q776" s="69">
        <f t="shared" ca="1" si="532"/>
        <v>958.7629158948921</v>
      </c>
      <c r="R776" s="69">
        <f t="shared" ca="1" si="533"/>
        <v>779.23739685699729</v>
      </c>
      <c r="S776" s="69">
        <f t="shared" ca="1" si="534"/>
        <v>703.9121298547575</v>
      </c>
      <c r="T776" s="69">
        <f t="shared" ca="1" si="535"/>
        <v>796.26676348978151</v>
      </c>
      <c r="U776" s="69">
        <f t="shared" ca="1" si="536"/>
        <v>1693.4779838645563</v>
      </c>
      <c r="V776" s="69">
        <f t="shared" ca="1" si="537"/>
        <v>1912.9163164106694</v>
      </c>
      <c r="W776" s="69">
        <f t="shared" ca="1" si="538"/>
        <v>1182.5272642356326</v>
      </c>
      <c r="X776" s="69">
        <f t="shared" ca="1" si="539"/>
        <v>1488.0321435270189</v>
      </c>
      <c r="Y776" s="69">
        <f t="shared" ca="1" si="540"/>
        <v>1202.2178131897172</v>
      </c>
      <c r="AA776" s="20">
        <f t="shared" ca="1" si="500"/>
        <v>6.5648566827802552E+16</v>
      </c>
      <c r="AB776" s="20">
        <f t="shared" ca="1" si="501"/>
        <v>1669575520821803.3</v>
      </c>
      <c r="AC776" s="20">
        <f t="shared" ca="1" si="502"/>
        <v>402230448679541.38</v>
      </c>
      <c r="AD776" s="20">
        <f t="shared" ca="1" si="503"/>
        <v>303951019798060.63</v>
      </c>
      <c r="AE776" s="20">
        <f t="shared" ca="1" si="504"/>
        <v>6853022541353189</v>
      </c>
      <c r="AG776" s="16">
        <f t="shared" ca="1" si="505"/>
        <v>-5.6765465928568714E-4</v>
      </c>
      <c r="AH776" s="16">
        <f t="shared" ca="1" si="506"/>
        <v>3.6016821929971837E-4</v>
      </c>
      <c r="AI776" s="16">
        <f t="shared" ca="1" si="507"/>
        <v>-3.0581746981088865E-4</v>
      </c>
      <c r="AJ776" s="16">
        <f t="shared" ca="1" si="508"/>
        <v>-5.4456017193214683E-4</v>
      </c>
      <c r="AK776" s="16">
        <f t="shared" ca="1" si="509"/>
        <v>-4.272355963440806E-4</v>
      </c>
      <c r="AM776" s="16">
        <f t="shared" ca="1" si="510"/>
        <v>-1.0578640817290041E-3</v>
      </c>
      <c r="AO776" s="16">
        <f t="shared" ca="1" si="511"/>
        <v>-5.6765465928568714E-4</v>
      </c>
      <c r="AP776" s="16">
        <f t="shared" ca="1" si="512"/>
        <v>0</v>
      </c>
      <c r="AQ776" s="16">
        <f t="shared" ca="1" si="513"/>
        <v>-3.0581746981088865E-4</v>
      </c>
      <c r="AR776" s="16">
        <f t="shared" ca="1" si="514"/>
        <v>-5.4456017193214683E-4</v>
      </c>
      <c r="AS776" s="16">
        <f t="shared" ca="1" si="515"/>
        <v>-4.272355963440806E-4</v>
      </c>
    </row>
    <row r="777" spans="1:45" x14ac:dyDescent="0.25">
      <c r="A777" s="69">
        <f t="shared" ca="1" si="516"/>
        <v>2450.215864229046</v>
      </c>
      <c r="B777" s="69">
        <f t="shared" ca="1" si="517"/>
        <v>2138.5358345716377</v>
      </c>
      <c r="C777" s="69">
        <f t="shared" ca="1" si="518"/>
        <v>2235.0737783088362</v>
      </c>
      <c r="D777" s="69">
        <f t="shared" ca="1" si="519"/>
        <v>2901.6275605246838</v>
      </c>
      <c r="E777" s="69">
        <f t="shared" ca="1" si="520"/>
        <v>1930.7422918151208</v>
      </c>
      <c r="F777" s="69">
        <f t="shared" ca="1" si="521"/>
        <v>1218.2624313133008</v>
      </c>
      <c r="G777" s="69">
        <f t="shared" ca="1" si="522"/>
        <v>967.43359969624294</v>
      </c>
      <c r="H777" s="69">
        <f t="shared" ca="1" si="523"/>
        <v>1183.6756116569857</v>
      </c>
      <c r="I777" s="69">
        <f t="shared" ca="1" si="524"/>
        <v>1049.6490388772229</v>
      </c>
      <c r="J777" s="69">
        <f t="shared" ca="1" si="525"/>
        <v>1140.5744986029504</v>
      </c>
      <c r="K777" s="69">
        <f t="shared" ca="1" si="526"/>
        <v>1172.0982389206129</v>
      </c>
      <c r="L777" s="69">
        <f t="shared" ca="1" si="527"/>
        <v>960.50149986480858</v>
      </c>
      <c r="M777" s="69">
        <f t="shared" ca="1" si="528"/>
        <v>993.85917212102186</v>
      </c>
      <c r="N777" s="69">
        <f t="shared" ca="1" si="529"/>
        <v>571.55602400223984</v>
      </c>
      <c r="O777" s="69">
        <f t="shared" ca="1" si="530"/>
        <v>628.77665830908165</v>
      </c>
      <c r="P777" s="69">
        <f t="shared" ca="1" si="531"/>
        <v>726.07823623954118</v>
      </c>
      <c r="Q777" s="69">
        <f t="shared" ca="1" si="532"/>
        <v>958.79229454426468</v>
      </c>
      <c r="R777" s="69">
        <f t="shared" ca="1" si="533"/>
        <v>779.04774116678777</v>
      </c>
      <c r="S777" s="69">
        <f t="shared" ca="1" si="534"/>
        <v>703.45527376500411</v>
      </c>
      <c r="T777" s="69">
        <f t="shared" ca="1" si="535"/>
        <v>796.26676348978151</v>
      </c>
      <c r="U777" s="69">
        <f t="shared" ca="1" si="536"/>
        <v>1693.4779838645563</v>
      </c>
      <c r="V777" s="69">
        <f t="shared" ca="1" si="537"/>
        <v>1912.9705809652517</v>
      </c>
      <c r="W777" s="69">
        <f t="shared" ca="1" si="538"/>
        <v>1182.1322688274704</v>
      </c>
      <c r="X777" s="69">
        <f t="shared" ca="1" si="539"/>
        <v>1487.8085107880283</v>
      </c>
      <c r="Y777" s="69">
        <f t="shared" ca="1" si="540"/>
        <v>1202.2524117061912</v>
      </c>
      <c r="AA777" s="20">
        <f t="shared" ca="1" si="500"/>
        <v>6.5611311687994568E+16</v>
      </c>
      <c r="AB777" s="20">
        <f t="shared" ca="1" si="501"/>
        <v>1670176957166751.3</v>
      </c>
      <c r="AC777" s="20">
        <f t="shared" ca="1" si="502"/>
        <v>402107458388693.63</v>
      </c>
      <c r="AD777" s="20">
        <f t="shared" ca="1" si="503"/>
        <v>303785545237977.13</v>
      </c>
      <c r="AE777" s="20">
        <f t="shared" ca="1" si="504"/>
        <v>6850095311533889</v>
      </c>
      <c r="AG777" s="16">
        <f t="shared" ca="1" si="505"/>
        <v>-1.0908493372882081E-4</v>
      </c>
      <c r="AH777" s="16">
        <f t="shared" ca="1" si="506"/>
        <v>-9.2968412778475734E-4</v>
      </c>
      <c r="AI777" s="16">
        <f t="shared" ca="1" si="507"/>
        <v>-4.1320625580575576E-4</v>
      </c>
      <c r="AJ777" s="16">
        <f t="shared" ca="1" si="508"/>
        <v>-8.0209922349845406E-6</v>
      </c>
      <c r="AK777" s="16">
        <f t="shared" ca="1" si="509"/>
        <v>-7.0654704319218645E-4</v>
      </c>
      <c r="AM777" s="16">
        <f t="shared" ca="1" si="510"/>
        <v>-1.4599963095543185E-3</v>
      </c>
      <c r="AO777" s="16">
        <f t="shared" ca="1" si="511"/>
        <v>-1.0908493372882081E-4</v>
      </c>
      <c r="AP777" s="16">
        <f t="shared" ca="1" si="512"/>
        <v>-9.2968412778475734E-4</v>
      </c>
      <c r="AQ777" s="16">
        <f t="shared" ca="1" si="513"/>
        <v>-4.1320625580575576E-4</v>
      </c>
      <c r="AR777" s="16">
        <f t="shared" ca="1" si="514"/>
        <v>-8.0209922349845406E-6</v>
      </c>
      <c r="AS777" s="16">
        <f t="shared" ca="1" si="515"/>
        <v>-7.0654704319218645E-4</v>
      </c>
    </row>
    <row r="778" spans="1:45" x14ac:dyDescent="0.25">
      <c r="A778" s="69">
        <f t="shared" ca="1" si="516"/>
        <v>2450.215864229046</v>
      </c>
      <c r="B778" s="69">
        <f t="shared" ca="1" si="517"/>
        <v>2138.9617083676189</v>
      </c>
      <c r="C778" s="69">
        <f t="shared" ca="1" si="518"/>
        <v>2234.6485074473053</v>
      </c>
      <c r="D778" s="69">
        <f t="shared" ca="1" si="519"/>
        <v>2901.6275605246838</v>
      </c>
      <c r="E778" s="69">
        <f t="shared" ca="1" si="520"/>
        <v>1930.5146355972558</v>
      </c>
      <c r="F778" s="69">
        <f t="shared" ca="1" si="521"/>
        <v>1218.2624313133008</v>
      </c>
      <c r="G778" s="69">
        <f t="shared" ca="1" si="522"/>
        <v>967.00837344221077</v>
      </c>
      <c r="H778" s="69">
        <f t="shared" ca="1" si="523"/>
        <v>1183.4548080056254</v>
      </c>
      <c r="I778" s="69">
        <f t="shared" ca="1" si="524"/>
        <v>1049.3305303621946</v>
      </c>
      <c r="J778" s="69">
        <f t="shared" ca="1" si="525"/>
        <v>1140.5744986029504</v>
      </c>
      <c r="K778" s="69">
        <f t="shared" ca="1" si="526"/>
        <v>1172.0982389206129</v>
      </c>
      <c r="L778" s="69">
        <f t="shared" ca="1" si="527"/>
        <v>960.8681569242749</v>
      </c>
      <c r="M778" s="69">
        <f t="shared" ca="1" si="528"/>
        <v>993.85917212102186</v>
      </c>
      <c r="N778" s="69">
        <f t="shared" ca="1" si="529"/>
        <v>571.55602400223984</v>
      </c>
      <c r="O778" s="69">
        <f t="shared" ca="1" si="530"/>
        <v>628.27706217441994</v>
      </c>
      <c r="P778" s="69">
        <f t="shared" ca="1" si="531"/>
        <v>726.22262351558459</v>
      </c>
      <c r="Q778" s="69">
        <f t="shared" ca="1" si="532"/>
        <v>958.38285033834313</v>
      </c>
      <c r="R778" s="69">
        <f t="shared" ca="1" si="533"/>
        <v>779.04774116678777</v>
      </c>
      <c r="S778" s="69">
        <f t="shared" ca="1" si="534"/>
        <v>703.93843715776836</v>
      </c>
      <c r="T778" s="69">
        <f t="shared" ca="1" si="535"/>
        <v>795.89552312495789</v>
      </c>
      <c r="U778" s="69">
        <f t="shared" ca="1" si="536"/>
        <v>1693.4779838645563</v>
      </c>
      <c r="V778" s="69">
        <f t="shared" ca="1" si="537"/>
        <v>1913.1050429804741</v>
      </c>
      <c r="W778" s="69">
        <f t="shared" ca="1" si="538"/>
        <v>1181.8167313000401</v>
      </c>
      <c r="X778" s="69">
        <f t="shared" ca="1" si="539"/>
        <v>1487.4011737678652</v>
      </c>
      <c r="Y778" s="69">
        <f t="shared" ca="1" si="540"/>
        <v>1201.9686468880955</v>
      </c>
      <c r="AA778" s="20">
        <f t="shared" ca="1" si="500"/>
        <v>6.560415487276468E+16</v>
      </c>
      <c r="AB778" s="20">
        <f t="shared" ca="1" si="501"/>
        <v>1668624941712933.8</v>
      </c>
      <c r="AC778" s="20">
        <f t="shared" ca="1" si="502"/>
        <v>401941339394448.69</v>
      </c>
      <c r="AD778" s="20">
        <f t="shared" ca="1" si="503"/>
        <v>303783108586249.88</v>
      </c>
      <c r="AE778" s="20">
        <f t="shared" ca="1" si="504"/>
        <v>6845257106356994</v>
      </c>
      <c r="AG778" s="16">
        <f t="shared" ca="1" si="505"/>
        <v>3.447942039147379E-4</v>
      </c>
      <c r="AH778" s="16">
        <f t="shared" ca="1" si="506"/>
        <v>7.7560393652210624E-5</v>
      </c>
      <c r="AI778" s="16">
        <f t="shared" ca="1" si="507"/>
        <v>3.9402173516672273E-4</v>
      </c>
      <c r="AJ778" s="16">
        <f t="shared" ca="1" si="508"/>
        <v>-5.3755381648798049E-4</v>
      </c>
      <c r="AK778" s="16">
        <f t="shared" ca="1" si="509"/>
        <v>-1.3663757162484192E-4</v>
      </c>
      <c r="AM778" s="16">
        <f t="shared" ca="1" si="510"/>
        <v>2.788225162456908E-4</v>
      </c>
      <c r="AO778" s="16">
        <f t="shared" ca="1" si="511"/>
        <v>0</v>
      </c>
      <c r="AP778" s="16">
        <f t="shared" ca="1" si="512"/>
        <v>0</v>
      </c>
      <c r="AQ778" s="16">
        <f t="shared" ca="1" si="513"/>
        <v>0</v>
      </c>
      <c r="AR778" s="16">
        <f t="shared" ca="1" si="514"/>
        <v>-5.3755381648798049E-4</v>
      </c>
      <c r="AS778" s="16">
        <f t="shared" ca="1" si="515"/>
        <v>-1.3663757162484192E-4</v>
      </c>
    </row>
    <row r="779" spans="1:45" x14ac:dyDescent="0.25">
      <c r="A779" s="69">
        <f t="shared" ca="1" si="516"/>
        <v>2450.215864229046</v>
      </c>
      <c r="B779" s="69">
        <f t="shared" ca="1" si="517"/>
        <v>2138.9617083676189</v>
      </c>
      <c r="C779" s="69">
        <f t="shared" ca="1" si="518"/>
        <v>2234.8809153301545</v>
      </c>
      <c r="D779" s="69">
        <f t="shared" ca="1" si="519"/>
        <v>2901.6969195485804</v>
      </c>
      <c r="E779" s="69">
        <f t="shared" ca="1" si="520"/>
        <v>1930.9333988652031</v>
      </c>
      <c r="F779" s="69">
        <f t="shared" ca="1" si="521"/>
        <v>1218.4150512223705</v>
      </c>
      <c r="G779" s="69">
        <f t="shared" ca="1" si="522"/>
        <v>967.40298232094403</v>
      </c>
      <c r="H779" s="69">
        <f t="shared" ca="1" si="523"/>
        <v>1183.3252139905444</v>
      </c>
      <c r="I779" s="69">
        <f t="shared" ca="1" si="524"/>
        <v>1049.3305303621946</v>
      </c>
      <c r="J779" s="69">
        <f t="shared" ca="1" si="525"/>
        <v>1140.1797157448352</v>
      </c>
      <c r="K779" s="69">
        <f t="shared" ca="1" si="526"/>
        <v>1171.6909404698092</v>
      </c>
      <c r="L779" s="69">
        <f t="shared" ca="1" si="527"/>
        <v>961.20173765305776</v>
      </c>
      <c r="M779" s="69">
        <f t="shared" ca="1" si="528"/>
        <v>994.2512986238512</v>
      </c>
      <c r="N779" s="69">
        <f t="shared" ca="1" si="529"/>
        <v>571.55602400223984</v>
      </c>
      <c r="O779" s="69">
        <f t="shared" ca="1" si="530"/>
        <v>628.27706217441994</v>
      </c>
      <c r="P779" s="69">
        <f t="shared" ca="1" si="531"/>
        <v>725.95589570351342</v>
      </c>
      <c r="Q779" s="69">
        <f t="shared" ca="1" si="532"/>
        <v>958.69756401805034</v>
      </c>
      <c r="R779" s="69">
        <f t="shared" ca="1" si="533"/>
        <v>779.04774116678777</v>
      </c>
      <c r="S779" s="69">
        <f t="shared" ca="1" si="534"/>
        <v>703.5875892701082</v>
      </c>
      <c r="T779" s="69">
        <f t="shared" ca="1" si="535"/>
        <v>795.89552312495789</v>
      </c>
      <c r="U779" s="69">
        <f t="shared" ca="1" si="536"/>
        <v>1693.2346805642671</v>
      </c>
      <c r="V779" s="69">
        <f t="shared" ca="1" si="537"/>
        <v>1913.1513142741758</v>
      </c>
      <c r="W779" s="69">
        <f t="shared" ca="1" si="538"/>
        <v>1181.6681346853832</v>
      </c>
      <c r="X779" s="69">
        <f t="shared" ca="1" si="539"/>
        <v>1487.4011737678652</v>
      </c>
      <c r="Y779" s="69">
        <f t="shared" ca="1" si="540"/>
        <v>1202.099188960173</v>
      </c>
      <c r="AA779" s="20">
        <f t="shared" ca="1" si="500"/>
        <v>6.5626778705176544E+16</v>
      </c>
      <c r="AB779" s="20">
        <f t="shared" ca="1" si="501"/>
        <v>1668754365939303</v>
      </c>
      <c r="AC779" s="20">
        <f t="shared" ca="1" si="502"/>
        <v>402099744223855.56</v>
      </c>
      <c r="AD779" s="20">
        <f t="shared" ca="1" si="503"/>
        <v>303619852700188.31</v>
      </c>
      <c r="AE779" s="20">
        <f t="shared" ca="1" si="504"/>
        <v>6844321850945803</v>
      </c>
      <c r="AG779" s="16">
        <f t="shared" ca="1" si="505"/>
        <v>1.7915308529378471E-4</v>
      </c>
      <c r="AH779" s="16">
        <f t="shared" ca="1" si="506"/>
        <v>-8.1740017076337927E-4</v>
      </c>
      <c r="AI779" s="16">
        <f t="shared" ca="1" si="507"/>
        <v>-7.2260186266632066E-4</v>
      </c>
      <c r="AJ779" s="16">
        <f t="shared" ca="1" si="508"/>
        <v>-2.6212962656001001E-5</v>
      </c>
      <c r="AK779" s="16">
        <f t="shared" ca="1" si="509"/>
        <v>-3.4610023770822128E-4</v>
      </c>
      <c r="AM779" s="16">
        <f t="shared" ca="1" si="510"/>
        <v>-1.3870619107919163E-3</v>
      </c>
      <c r="AO779" s="16">
        <f t="shared" ca="1" si="511"/>
        <v>0</v>
      </c>
      <c r="AP779" s="16">
        <f t="shared" ca="1" si="512"/>
        <v>-8.1740017076337927E-4</v>
      </c>
      <c r="AQ779" s="16">
        <f t="shared" ca="1" si="513"/>
        <v>-7.2260186266632066E-4</v>
      </c>
      <c r="AR779" s="16">
        <f t="shared" ca="1" si="514"/>
        <v>-2.6212962656001001E-5</v>
      </c>
      <c r="AS779" s="16">
        <f t="shared" ca="1" si="515"/>
        <v>-3.4610023770822128E-4</v>
      </c>
    </row>
    <row r="780" spans="1:45" x14ac:dyDescent="0.25">
      <c r="A780" s="69">
        <f t="shared" ca="1" si="516"/>
        <v>2449.7193377108006</v>
      </c>
      <c r="B780" s="69">
        <f t="shared" ca="1" si="517"/>
        <v>2139.4033597132743</v>
      </c>
      <c r="C780" s="69">
        <f t="shared" ca="1" si="518"/>
        <v>2235.2728621030242</v>
      </c>
      <c r="D780" s="69">
        <f t="shared" ca="1" si="519"/>
        <v>2901.6969195485804</v>
      </c>
      <c r="E780" s="69">
        <f t="shared" ca="1" si="520"/>
        <v>1930.9333988652031</v>
      </c>
      <c r="F780" s="69">
        <f t="shared" ca="1" si="521"/>
        <v>1217.983103334891</v>
      </c>
      <c r="G780" s="69">
        <f t="shared" ca="1" si="522"/>
        <v>967.39342393760273</v>
      </c>
      <c r="H780" s="69">
        <f t="shared" ca="1" si="523"/>
        <v>1182.9386673606796</v>
      </c>
      <c r="I780" s="69">
        <f t="shared" ca="1" si="524"/>
        <v>1049.1980860645717</v>
      </c>
      <c r="J780" s="69">
        <f t="shared" ca="1" si="525"/>
        <v>1140.1797157448352</v>
      </c>
      <c r="K780" s="69">
        <f t="shared" ca="1" si="526"/>
        <v>1171.6909404698092</v>
      </c>
      <c r="L780" s="69">
        <f t="shared" ca="1" si="527"/>
        <v>961.20173765305776</v>
      </c>
      <c r="M780" s="69">
        <f t="shared" ca="1" si="528"/>
        <v>994.19229167401181</v>
      </c>
      <c r="N780" s="69">
        <f t="shared" ca="1" si="529"/>
        <v>571.13527028878082</v>
      </c>
      <c r="O780" s="69">
        <f t="shared" ca="1" si="530"/>
        <v>628.32303735392463</v>
      </c>
      <c r="P780" s="69">
        <f t="shared" ca="1" si="531"/>
        <v>725.77055372869768</v>
      </c>
      <c r="Q780" s="69">
        <f t="shared" ca="1" si="532"/>
        <v>958.69756401805034</v>
      </c>
      <c r="R780" s="69">
        <f t="shared" ca="1" si="533"/>
        <v>779.28105786033359</v>
      </c>
      <c r="S780" s="69">
        <f t="shared" ca="1" si="534"/>
        <v>703.16707257243183</v>
      </c>
      <c r="T780" s="69">
        <f t="shared" ca="1" si="535"/>
        <v>796.3154974473548</v>
      </c>
      <c r="U780" s="69">
        <f t="shared" ca="1" si="536"/>
        <v>1693.2681916591878</v>
      </c>
      <c r="V780" s="69">
        <f t="shared" ca="1" si="537"/>
        <v>1912.8157939806263</v>
      </c>
      <c r="W780" s="69">
        <f t="shared" ca="1" si="538"/>
        <v>1181.620510859532</v>
      </c>
      <c r="X780" s="69">
        <f t="shared" ca="1" si="539"/>
        <v>1487.1777872063162</v>
      </c>
      <c r="Y780" s="69">
        <f t="shared" ca="1" si="540"/>
        <v>1202.099188960173</v>
      </c>
      <c r="AA780" s="20">
        <f t="shared" ca="1" si="500"/>
        <v>6.5638536998295264E+16</v>
      </c>
      <c r="AB780" s="20">
        <f t="shared" ca="1" si="501"/>
        <v>1667390883167064.3</v>
      </c>
      <c r="AC780" s="20">
        <f t="shared" ca="1" si="502"/>
        <v>401809291153305.06</v>
      </c>
      <c r="AD780" s="20">
        <f t="shared" ca="1" si="503"/>
        <v>303611894028638.5</v>
      </c>
      <c r="AE780" s="20">
        <f t="shared" ca="1" si="504"/>
        <v>6841953439403780</v>
      </c>
      <c r="AG780" s="16">
        <f t="shared" ca="1" si="505"/>
        <v>3.8848444927237058E-4</v>
      </c>
      <c r="AH780" s="16">
        <f t="shared" ca="1" si="506"/>
        <v>-1.8017587323265576E-4</v>
      </c>
      <c r="AI780" s="16">
        <f t="shared" ca="1" si="507"/>
        <v>-2.4762262240310716E-4</v>
      </c>
      <c r="AJ780" s="16">
        <f t="shared" ca="1" si="508"/>
        <v>8.8945994008936757E-4</v>
      </c>
      <c r="AK780" s="16">
        <f t="shared" ca="1" si="509"/>
        <v>-5.1177765116559642E-4</v>
      </c>
      <c r="AM780" s="16">
        <f t="shared" ca="1" si="510"/>
        <v>8.5014589372597524E-4</v>
      </c>
      <c r="AO780" s="16">
        <f t="shared" ca="1" si="511"/>
        <v>0</v>
      </c>
      <c r="AP780" s="16">
        <f t="shared" ca="1" si="512"/>
        <v>-1.8017587323265576E-4</v>
      </c>
      <c r="AQ780" s="16">
        <f t="shared" ca="1" si="513"/>
        <v>-2.4762262240310716E-4</v>
      </c>
      <c r="AR780" s="16">
        <f t="shared" ca="1" si="514"/>
        <v>0</v>
      </c>
      <c r="AS780" s="16">
        <f t="shared" ca="1" si="515"/>
        <v>-5.1177765116559642E-4</v>
      </c>
    </row>
    <row r="781" spans="1:45" x14ac:dyDescent="0.25">
      <c r="A781" s="69">
        <f t="shared" ca="1" si="516"/>
        <v>2449.7193377108006</v>
      </c>
      <c r="B781" s="69">
        <f t="shared" ca="1" si="517"/>
        <v>2139.8808466796663</v>
      </c>
      <c r="C781" s="69">
        <f t="shared" ca="1" si="518"/>
        <v>2235.4891959256879</v>
      </c>
      <c r="D781" s="69">
        <f t="shared" ca="1" si="519"/>
        <v>2901.8958238128898</v>
      </c>
      <c r="E781" s="69">
        <f t="shared" ca="1" si="520"/>
        <v>1930.9333988652031</v>
      </c>
      <c r="F781" s="69">
        <f t="shared" ca="1" si="521"/>
        <v>1217.8227655629253</v>
      </c>
      <c r="G781" s="69">
        <f t="shared" ca="1" si="522"/>
        <v>967.73008040777461</v>
      </c>
      <c r="H781" s="69">
        <f t="shared" ca="1" si="523"/>
        <v>1182.9400461583389</v>
      </c>
      <c r="I781" s="69">
        <f t="shared" ca="1" si="524"/>
        <v>1048.7809722902216</v>
      </c>
      <c r="J781" s="69">
        <f t="shared" ca="1" si="525"/>
        <v>1140.1797157448352</v>
      </c>
      <c r="K781" s="69">
        <f t="shared" ca="1" si="526"/>
        <v>1171.6909404698092</v>
      </c>
      <c r="L781" s="69">
        <f t="shared" ca="1" si="527"/>
        <v>961.1166524335332</v>
      </c>
      <c r="M781" s="69">
        <f t="shared" ca="1" si="528"/>
        <v>994.19229167401181</v>
      </c>
      <c r="N781" s="69">
        <f t="shared" ca="1" si="529"/>
        <v>571.13527028878082</v>
      </c>
      <c r="O781" s="69">
        <f t="shared" ca="1" si="530"/>
        <v>628.22307969038002</v>
      </c>
      <c r="P781" s="69">
        <f t="shared" ca="1" si="531"/>
        <v>726.09062914468939</v>
      </c>
      <c r="Q781" s="69">
        <f t="shared" ca="1" si="532"/>
        <v>958.69756401805034</v>
      </c>
      <c r="R781" s="69">
        <f t="shared" ca="1" si="533"/>
        <v>779.55319434655189</v>
      </c>
      <c r="S781" s="69">
        <f t="shared" ca="1" si="534"/>
        <v>703.44236208353777</v>
      </c>
      <c r="T781" s="69">
        <f t="shared" ca="1" si="535"/>
        <v>796.08298010829662</v>
      </c>
      <c r="U781" s="69">
        <f t="shared" ca="1" si="536"/>
        <v>1693.2681916591878</v>
      </c>
      <c r="V781" s="69">
        <f t="shared" ca="1" si="537"/>
        <v>1912.4455765860046</v>
      </c>
      <c r="W781" s="69">
        <f t="shared" ca="1" si="538"/>
        <v>1181.620510859532</v>
      </c>
      <c r="X781" s="69">
        <f t="shared" ca="1" si="539"/>
        <v>1486.7046229587854</v>
      </c>
      <c r="Y781" s="69">
        <f t="shared" ca="1" si="540"/>
        <v>1202.099188960173</v>
      </c>
      <c r="AA781" s="20">
        <f t="shared" ca="1" si="500"/>
        <v>6.5664041502923048E+16</v>
      </c>
      <c r="AB781" s="20">
        <f t="shared" ca="1" si="501"/>
        <v>1667090486621587</v>
      </c>
      <c r="AC781" s="20">
        <f t="shared" ca="1" si="502"/>
        <v>401709806400769.75</v>
      </c>
      <c r="AD781" s="20">
        <f t="shared" ca="1" si="503"/>
        <v>303882064780930.31</v>
      </c>
      <c r="AE781" s="20">
        <f t="shared" ca="1" si="504"/>
        <v>6838452776400129</v>
      </c>
      <c r="AG781" s="16">
        <f t="shared" ca="1" si="505"/>
        <v>2.4286072892884377E-5</v>
      </c>
      <c r="AH781" s="16">
        <f t="shared" ca="1" si="506"/>
        <v>-3.5084235070115494E-4</v>
      </c>
      <c r="AI781" s="16">
        <f t="shared" ca="1" si="507"/>
        <v>-4.9328353399421784E-4</v>
      </c>
      <c r="AJ781" s="16">
        <f t="shared" ca="1" si="508"/>
        <v>4.9778538986067558E-4</v>
      </c>
      <c r="AK781" s="16">
        <f t="shared" ca="1" si="509"/>
        <v>-7.7144935128999997E-5</v>
      </c>
      <c r="AM781" s="16">
        <f t="shared" ca="1" si="510"/>
        <v>-3.2205442194181287E-4</v>
      </c>
      <c r="AO781" s="16">
        <f t="shared" ca="1" si="511"/>
        <v>0</v>
      </c>
      <c r="AP781" s="16">
        <f t="shared" ca="1" si="512"/>
        <v>-3.5084235070115494E-4</v>
      </c>
      <c r="AQ781" s="16">
        <f t="shared" ca="1" si="513"/>
        <v>-4.9328353399421784E-4</v>
      </c>
      <c r="AR781" s="16">
        <f t="shared" ca="1" si="514"/>
        <v>0</v>
      </c>
      <c r="AS781" s="16">
        <f t="shared" ca="1" si="515"/>
        <v>-7.7144935128999997E-5</v>
      </c>
    </row>
    <row r="782" spans="1:45" x14ac:dyDescent="0.25">
      <c r="A782" s="69">
        <f t="shared" ca="1" si="516"/>
        <v>2449.7193377108006</v>
      </c>
      <c r="B782" s="69">
        <f t="shared" ca="1" si="517"/>
        <v>2139.8808466796663</v>
      </c>
      <c r="C782" s="69">
        <f t="shared" ca="1" si="518"/>
        <v>2235.0662294901558</v>
      </c>
      <c r="D782" s="69">
        <f t="shared" ca="1" si="519"/>
        <v>2902.3461320639603</v>
      </c>
      <c r="E782" s="69">
        <f t="shared" ca="1" si="520"/>
        <v>1931.0460606544657</v>
      </c>
      <c r="F782" s="69">
        <f t="shared" ca="1" si="521"/>
        <v>1217.8227655629253</v>
      </c>
      <c r="G782" s="69">
        <f t="shared" ca="1" si="522"/>
        <v>967.73008040777461</v>
      </c>
      <c r="H782" s="69">
        <f t="shared" ca="1" si="523"/>
        <v>1182.525093487548</v>
      </c>
      <c r="I782" s="69">
        <f t="shared" ca="1" si="524"/>
        <v>1048.7809722902216</v>
      </c>
      <c r="J782" s="69">
        <f t="shared" ca="1" si="525"/>
        <v>1140.1797157448352</v>
      </c>
      <c r="K782" s="69">
        <f t="shared" ca="1" si="526"/>
        <v>1171.2107951277053</v>
      </c>
      <c r="L782" s="69">
        <f t="shared" ca="1" si="527"/>
        <v>961.1166524335332</v>
      </c>
      <c r="M782" s="69">
        <f t="shared" ca="1" si="528"/>
        <v>994.19229167401181</v>
      </c>
      <c r="N782" s="69">
        <f t="shared" ca="1" si="529"/>
        <v>571.10250270936649</v>
      </c>
      <c r="O782" s="69">
        <f t="shared" ca="1" si="530"/>
        <v>628.2067229836814</v>
      </c>
      <c r="P782" s="69">
        <f t="shared" ca="1" si="531"/>
        <v>725.80179908505477</v>
      </c>
      <c r="Q782" s="69">
        <f t="shared" ca="1" si="532"/>
        <v>958.97497537897004</v>
      </c>
      <c r="R782" s="69">
        <f t="shared" ca="1" si="533"/>
        <v>779.49017451022655</v>
      </c>
      <c r="S782" s="69">
        <f t="shared" ca="1" si="534"/>
        <v>703.92591675250446</v>
      </c>
      <c r="T782" s="69">
        <f t="shared" ca="1" si="535"/>
        <v>796.08298010829662</v>
      </c>
      <c r="U782" s="69">
        <f t="shared" ca="1" si="536"/>
        <v>1693.4243863658005</v>
      </c>
      <c r="V782" s="69">
        <f t="shared" ca="1" si="537"/>
        <v>1912.5292509722008</v>
      </c>
      <c r="W782" s="69">
        <f t="shared" ca="1" si="538"/>
        <v>1181.620510859532</v>
      </c>
      <c r="X782" s="69">
        <f t="shared" ca="1" si="539"/>
        <v>1486.7046229587854</v>
      </c>
      <c r="Y782" s="69">
        <f t="shared" ca="1" si="540"/>
        <v>1201.8430046891733</v>
      </c>
      <c r="AA782" s="20">
        <f t="shared" ca="1" si="500"/>
        <v>6.5665636243986344E+16</v>
      </c>
      <c r="AB782" s="20">
        <f t="shared" ca="1" si="501"/>
        <v>1666505703265811.3</v>
      </c>
      <c r="AC782" s="20">
        <f t="shared" ca="1" si="502"/>
        <v>401511698433544.44</v>
      </c>
      <c r="AD782" s="20">
        <f t="shared" ca="1" si="503"/>
        <v>304033370488780</v>
      </c>
      <c r="AE782" s="20">
        <f t="shared" ca="1" si="504"/>
        <v>6837925244752770</v>
      </c>
      <c r="AG782" s="16">
        <f t="shared" ca="1" si="505"/>
        <v>-2.1069907796340441E-4</v>
      </c>
      <c r="AH782" s="16">
        <f t="shared" ca="1" si="506"/>
        <v>6.1385561866890957E-4</v>
      </c>
      <c r="AI782" s="16">
        <f t="shared" ca="1" si="507"/>
        <v>-5.2962604418351194E-4</v>
      </c>
      <c r="AJ782" s="16">
        <f t="shared" ca="1" si="508"/>
        <v>4.4258133819926281E-4</v>
      </c>
      <c r="AK782" s="16">
        <f t="shared" ca="1" si="509"/>
        <v>4.7782408309322426E-4</v>
      </c>
      <c r="AM782" s="16">
        <f t="shared" ca="1" si="510"/>
        <v>3.1611183472125603E-4</v>
      </c>
      <c r="AO782" s="16">
        <f t="shared" ca="1" si="511"/>
        <v>-2.1069907796340441E-4</v>
      </c>
      <c r="AP782" s="16">
        <f t="shared" ca="1" si="512"/>
        <v>0</v>
      </c>
      <c r="AQ782" s="16">
        <f t="shared" ca="1" si="513"/>
        <v>-5.2962604418351194E-4</v>
      </c>
      <c r="AR782" s="16">
        <f t="shared" ca="1" si="514"/>
        <v>0</v>
      </c>
      <c r="AS782" s="16">
        <f t="shared" ca="1" si="515"/>
        <v>0</v>
      </c>
    </row>
    <row r="783" spans="1:45" x14ac:dyDescent="0.25">
      <c r="A783" s="69">
        <f t="shared" ca="1" si="516"/>
        <v>2449.857321378573</v>
      </c>
      <c r="B783" s="69">
        <f t="shared" ca="1" si="517"/>
        <v>2139.7933428884712</v>
      </c>
      <c r="C783" s="69">
        <f t="shared" ca="1" si="518"/>
        <v>2235.0662294901558</v>
      </c>
      <c r="D783" s="69">
        <f t="shared" ca="1" si="519"/>
        <v>2902.2732102097098</v>
      </c>
      <c r="E783" s="69">
        <f t="shared" ca="1" si="520"/>
        <v>1930.6579485562297</v>
      </c>
      <c r="F783" s="69">
        <f t="shared" ca="1" si="521"/>
        <v>1217.8227655629253</v>
      </c>
      <c r="G783" s="69">
        <f t="shared" ca="1" si="522"/>
        <v>967.84249113921919</v>
      </c>
      <c r="H783" s="69">
        <f t="shared" ca="1" si="523"/>
        <v>1182.547602372621</v>
      </c>
      <c r="I783" s="69">
        <f t="shared" ca="1" si="524"/>
        <v>1049.0696830710126</v>
      </c>
      <c r="J783" s="69">
        <f t="shared" ca="1" si="525"/>
        <v>1140.4116797246497</v>
      </c>
      <c r="K783" s="69">
        <f t="shared" ca="1" si="526"/>
        <v>1170.7561452117327</v>
      </c>
      <c r="L783" s="69">
        <f t="shared" ca="1" si="527"/>
        <v>961.59249099962551</v>
      </c>
      <c r="M783" s="69">
        <f t="shared" ca="1" si="528"/>
        <v>994.14140250057221</v>
      </c>
      <c r="N783" s="69">
        <f t="shared" ca="1" si="529"/>
        <v>570.92271842253467</v>
      </c>
      <c r="O783" s="69">
        <f t="shared" ca="1" si="530"/>
        <v>628.03694789890801</v>
      </c>
      <c r="P783" s="69">
        <f t="shared" ca="1" si="531"/>
        <v>725.877537071593</v>
      </c>
      <c r="Q783" s="69">
        <f t="shared" ca="1" si="532"/>
        <v>958.97497537897004</v>
      </c>
      <c r="R783" s="69">
        <f t="shared" ca="1" si="533"/>
        <v>779.59517474856432</v>
      </c>
      <c r="S783" s="69">
        <f t="shared" ca="1" si="534"/>
        <v>703.94552613462986</v>
      </c>
      <c r="T783" s="69">
        <f t="shared" ca="1" si="535"/>
        <v>796.22285187902651</v>
      </c>
      <c r="U783" s="69">
        <f t="shared" ca="1" si="536"/>
        <v>1693.7474643674691</v>
      </c>
      <c r="V783" s="69">
        <f t="shared" ca="1" si="537"/>
        <v>1912.3618347030072</v>
      </c>
      <c r="W783" s="69">
        <f t="shared" ca="1" si="538"/>
        <v>1181.9849233856824</v>
      </c>
      <c r="X783" s="69">
        <f t="shared" ca="1" si="539"/>
        <v>1486.7046229587854</v>
      </c>
      <c r="Y783" s="69">
        <f t="shared" ca="1" si="540"/>
        <v>1201.9226243254436</v>
      </c>
      <c r="AA783" s="20">
        <f t="shared" ca="1" si="500"/>
        <v>6.5651802012456952E+16</v>
      </c>
      <c r="AB783" s="20">
        <f t="shared" ca="1" si="501"/>
        <v>1667529011204835.3</v>
      </c>
      <c r="AC783" s="20">
        <f t="shared" ca="1" si="502"/>
        <v>401299103683837.31</v>
      </c>
      <c r="AD783" s="20">
        <f t="shared" ca="1" si="503"/>
        <v>304167959765902.44</v>
      </c>
      <c r="AE783" s="20">
        <f t="shared" ca="1" si="504"/>
        <v>6841193350840822</v>
      </c>
      <c r="AG783" s="16">
        <f t="shared" ca="1" si="505"/>
        <v>4.0693429102150166E-5</v>
      </c>
      <c r="AH783" s="16">
        <f t="shared" ca="1" si="506"/>
        <v>4.9441769661559247E-5</v>
      </c>
      <c r="AI783" s="16">
        <f t="shared" ca="1" si="507"/>
        <v>4.2157235933773296E-4</v>
      </c>
      <c r="AJ783" s="16">
        <f t="shared" ca="1" si="508"/>
        <v>-1.1516221864030962E-3</v>
      </c>
      <c r="AK783" s="16">
        <f t="shared" ca="1" si="509"/>
        <v>9.7016700874861004E-5</v>
      </c>
      <c r="AM783" s="16">
        <f t="shared" ca="1" si="510"/>
        <v>-6.3991462830165387E-4</v>
      </c>
      <c r="AO783" s="16">
        <f t="shared" ca="1" si="511"/>
        <v>0</v>
      </c>
      <c r="AP783" s="16">
        <f t="shared" ca="1" si="512"/>
        <v>0</v>
      </c>
      <c r="AQ783" s="16">
        <f t="shared" ca="1" si="513"/>
        <v>0</v>
      </c>
      <c r="AR783" s="16">
        <f t="shared" ca="1" si="514"/>
        <v>-1.1516221864030962E-3</v>
      </c>
      <c r="AS783" s="16">
        <f t="shared" ca="1" si="515"/>
        <v>0</v>
      </c>
    </row>
    <row r="784" spans="1:45" x14ac:dyDescent="0.25">
      <c r="A784" s="69">
        <f t="shared" ca="1" si="516"/>
        <v>2450.0307305141341</v>
      </c>
      <c r="B784" s="69">
        <f t="shared" ca="1" si="517"/>
        <v>2139.7933428884712</v>
      </c>
      <c r="C784" s="69">
        <f t="shared" ca="1" si="518"/>
        <v>2234.9968162938289</v>
      </c>
      <c r="D784" s="69">
        <f t="shared" ca="1" si="519"/>
        <v>2902.0344917654338</v>
      </c>
      <c r="E784" s="69">
        <f t="shared" ca="1" si="520"/>
        <v>1930.8186344562728</v>
      </c>
      <c r="F784" s="69">
        <f t="shared" ca="1" si="521"/>
        <v>1218.1113593444363</v>
      </c>
      <c r="G784" s="69">
        <f t="shared" ca="1" si="522"/>
        <v>967.60471945332688</v>
      </c>
      <c r="H784" s="69">
        <f t="shared" ca="1" si="523"/>
        <v>1182.6164247639881</v>
      </c>
      <c r="I784" s="69">
        <f t="shared" ca="1" si="524"/>
        <v>1049.0696830710126</v>
      </c>
      <c r="J784" s="69">
        <f t="shared" ca="1" si="525"/>
        <v>1140.4116797246497</v>
      </c>
      <c r="K784" s="69">
        <f t="shared" ca="1" si="526"/>
        <v>1171.2387417811838</v>
      </c>
      <c r="L784" s="69">
        <f t="shared" ca="1" si="527"/>
        <v>961.59249099962551</v>
      </c>
      <c r="M784" s="69">
        <f t="shared" ca="1" si="528"/>
        <v>993.68429129300739</v>
      </c>
      <c r="N784" s="69">
        <f t="shared" ca="1" si="529"/>
        <v>570.90674021140444</v>
      </c>
      <c r="O784" s="69">
        <f t="shared" ca="1" si="530"/>
        <v>628.34937712002863</v>
      </c>
      <c r="P784" s="69">
        <f t="shared" ca="1" si="531"/>
        <v>725.877537071593</v>
      </c>
      <c r="Q784" s="69">
        <f t="shared" ca="1" si="532"/>
        <v>958.56940546022588</v>
      </c>
      <c r="R784" s="69">
        <f t="shared" ca="1" si="533"/>
        <v>779.68552816350473</v>
      </c>
      <c r="S784" s="69">
        <f t="shared" ca="1" si="534"/>
        <v>703.7153227886663</v>
      </c>
      <c r="T784" s="69">
        <f t="shared" ca="1" si="535"/>
        <v>795.81096768765428</v>
      </c>
      <c r="U784" s="69">
        <f t="shared" ca="1" si="536"/>
        <v>1693.9988406950126</v>
      </c>
      <c r="V784" s="69">
        <f t="shared" ca="1" si="537"/>
        <v>1912.1524559106902</v>
      </c>
      <c r="W784" s="69">
        <f t="shared" ca="1" si="538"/>
        <v>1182.0398268003803</v>
      </c>
      <c r="X784" s="69">
        <f t="shared" ca="1" si="539"/>
        <v>1486.7046229587854</v>
      </c>
      <c r="Y784" s="69">
        <f t="shared" ca="1" si="540"/>
        <v>1201.9366356168468</v>
      </c>
      <c r="AA784" s="20">
        <f t="shared" ca="1" si="500"/>
        <v>6.5654473663766536E+16</v>
      </c>
      <c r="AB784" s="20">
        <f t="shared" ca="1" si="501"/>
        <v>1667611458828272.8</v>
      </c>
      <c r="AC784" s="20">
        <f t="shared" ca="1" si="502"/>
        <v>401468315958880.31</v>
      </c>
      <c r="AD784" s="20">
        <f t="shared" ca="1" si="503"/>
        <v>303817874816531.69</v>
      </c>
      <c r="AE784" s="20">
        <f t="shared" ca="1" si="504"/>
        <v>6841857093046286</v>
      </c>
      <c r="AG784" s="16">
        <f t="shared" ca="1" si="505"/>
        <v>-2.9223319889338492E-4</v>
      </c>
      <c r="AH784" s="16">
        <f t="shared" ca="1" si="506"/>
        <v>3.254733985474463E-4</v>
      </c>
      <c r="AI784" s="16">
        <f t="shared" ca="1" si="507"/>
        <v>-2.51670361451882E-4</v>
      </c>
      <c r="AJ784" s="16">
        <f t="shared" ca="1" si="508"/>
        <v>1.5983760799541234E-4</v>
      </c>
      <c r="AK784" s="16">
        <f t="shared" ca="1" si="509"/>
        <v>-1.5141043172717532E-4</v>
      </c>
      <c r="AM784" s="16">
        <f t="shared" ca="1" si="510"/>
        <v>-5.859255380240828E-5</v>
      </c>
      <c r="AO784" s="16">
        <f t="shared" ca="1" si="511"/>
        <v>-2.9223319889338492E-4</v>
      </c>
      <c r="AP784" s="16">
        <f t="shared" ca="1" si="512"/>
        <v>0</v>
      </c>
      <c r="AQ784" s="16">
        <f t="shared" ca="1" si="513"/>
        <v>-2.51670361451882E-4</v>
      </c>
      <c r="AR784" s="16">
        <f t="shared" ca="1" si="514"/>
        <v>0</v>
      </c>
      <c r="AS784" s="16">
        <f t="shared" ca="1" si="515"/>
        <v>-1.5141043172717532E-4</v>
      </c>
    </row>
    <row r="785" spans="1:45" x14ac:dyDescent="0.25">
      <c r="A785" s="69">
        <f t="shared" ca="1" si="516"/>
        <v>2449.8773435504768</v>
      </c>
      <c r="B785" s="69">
        <f t="shared" ca="1" si="517"/>
        <v>2139.4565372311686</v>
      </c>
      <c r="C785" s="69">
        <f t="shared" ca="1" si="518"/>
        <v>2234.580108329807</v>
      </c>
      <c r="D785" s="69">
        <f t="shared" ca="1" si="519"/>
        <v>2902.0344917654338</v>
      </c>
      <c r="E785" s="69">
        <f t="shared" ca="1" si="520"/>
        <v>1931.039247866499</v>
      </c>
      <c r="F785" s="69">
        <f t="shared" ca="1" si="521"/>
        <v>1217.6885592868116</v>
      </c>
      <c r="G785" s="69">
        <f t="shared" ca="1" si="522"/>
        <v>967.9450698163696</v>
      </c>
      <c r="H785" s="69">
        <f t="shared" ca="1" si="523"/>
        <v>1182.8474410541476</v>
      </c>
      <c r="I785" s="69">
        <f t="shared" ca="1" si="524"/>
        <v>1049.0696830710126</v>
      </c>
      <c r="J785" s="69">
        <f t="shared" ca="1" si="525"/>
        <v>1140.5549480311849</v>
      </c>
      <c r="K785" s="69">
        <f t="shared" ca="1" si="526"/>
        <v>1170.8724231164392</v>
      </c>
      <c r="L785" s="69">
        <f t="shared" ca="1" si="527"/>
        <v>961.80728980313836</v>
      </c>
      <c r="M785" s="69">
        <f t="shared" ca="1" si="528"/>
        <v>993.7595995922743</v>
      </c>
      <c r="N785" s="69">
        <f t="shared" ca="1" si="529"/>
        <v>570.7708822659996</v>
      </c>
      <c r="O785" s="69">
        <f t="shared" ca="1" si="530"/>
        <v>628.34937712002863</v>
      </c>
      <c r="P785" s="69">
        <f t="shared" ca="1" si="531"/>
        <v>726.01970076701059</v>
      </c>
      <c r="Q785" s="69">
        <f t="shared" ca="1" si="532"/>
        <v>958.3924172560919</v>
      </c>
      <c r="R785" s="69">
        <f t="shared" ca="1" si="533"/>
        <v>779.68552816350473</v>
      </c>
      <c r="S785" s="69">
        <f t="shared" ca="1" si="534"/>
        <v>703.81994551389732</v>
      </c>
      <c r="T785" s="69">
        <f t="shared" ca="1" si="535"/>
        <v>795.81096768765428</v>
      </c>
      <c r="U785" s="69">
        <f t="shared" ca="1" si="536"/>
        <v>1693.9378822117383</v>
      </c>
      <c r="V785" s="69">
        <f t="shared" ca="1" si="537"/>
        <v>1911.7571544216485</v>
      </c>
      <c r="W785" s="69">
        <f t="shared" ca="1" si="538"/>
        <v>1182.0398268003803</v>
      </c>
      <c r="X785" s="69">
        <f t="shared" ca="1" si="539"/>
        <v>1487.1225376321192</v>
      </c>
      <c r="Y785" s="69">
        <f t="shared" ca="1" si="540"/>
        <v>1201.7086088354865</v>
      </c>
      <c r="AA785" s="20">
        <f t="shared" ca="1" si="500"/>
        <v>6.5635290050087032E+16</v>
      </c>
      <c r="AB785" s="20">
        <f t="shared" ca="1" si="501"/>
        <v>1668154310334304.3</v>
      </c>
      <c r="AC785" s="20">
        <f t="shared" ca="1" si="502"/>
        <v>401367290995719.19</v>
      </c>
      <c r="AD785" s="20">
        <f t="shared" ca="1" si="503"/>
        <v>303866440220094.19</v>
      </c>
      <c r="AE785" s="20">
        <f t="shared" ca="1" si="504"/>
        <v>6840821242931248</v>
      </c>
      <c r="AG785" s="16">
        <f t="shared" ca="1" si="505"/>
        <v>1.5456402119755583E-4</v>
      </c>
      <c r="AH785" s="16">
        <f t="shared" ca="1" si="506"/>
        <v>4.2625702897798406E-4</v>
      </c>
      <c r="AI785" s="16">
        <f t="shared" ca="1" si="507"/>
        <v>-2.8458005747723899E-4</v>
      </c>
      <c r="AJ785" s="16">
        <f t="shared" ca="1" si="508"/>
        <v>6.8481132830840272E-4</v>
      </c>
      <c r="AK785" s="16">
        <f t="shared" ca="1" si="509"/>
        <v>2.6071180237733857E-4</v>
      </c>
      <c r="AM785" s="16">
        <f t="shared" ca="1" si="510"/>
        <v>9.8105232100670348E-4</v>
      </c>
      <c r="AO785" s="16">
        <f t="shared" ca="1" si="511"/>
        <v>0</v>
      </c>
      <c r="AP785" s="16">
        <f t="shared" ca="1" si="512"/>
        <v>0</v>
      </c>
      <c r="AQ785" s="16">
        <f t="shared" ca="1" si="513"/>
        <v>-2.8458005747723899E-4</v>
      </c>
      <c r="AR785" s="16">
        <f t="shared" ca="1" si="514"/>
        <v>0</v>
      </c>
      <c r="AS785" s="16">
        <f t="shared" ca="1" si="515"/>
        <v>0</v>
      </c>
    </row>
    <row r="786" spans="1:45" x14ac:dyDescent="0.25">
      <c r="A786" s="69">
        <f t="shared" ca="1" si="516"/>
        <v>2450.0945099795963</v>
      </c>
      <c r="B786" s="69">
        <f t="shared" ca="1" si="517"/>
        <v>2139.5975837407259</v>
      </c>
      <c r="C786" s="69">
        <f t="shared" ca="1" si="518"/>
        <v>2234.580108329807</v>
      </c>
      <c r="D786" s="69">
        <f t="shared" ca="1" si="519"/>
        <v>2902.0344917654338</v>
      </c>
      <c r="E786" s="69">
        <f t="shared" ca="1" si="520"/>
        <v>1931.039247866499</v>
      </c>
      <c r="F786" s="69">
        <f t="shared" ca="1" si="521"/>
        <v>1217.694938136842</v>
      </c>
      <c r="G786" s="69">
        <f t="shared" ca="1" si="522"/>
        <v>968.34353522390268</v>
      </c>
      <c r="H786" s="69">
        <f t="shared" ca="1" si="523"/>
        <v>1183.0006637569195</v>
      </c>
      <c r="I786" s="69">
        <f t="shared" ca="1" si="524"/>
        <v>1048.9437113279262</v>
      </c>
      <c r="J786" s="69">
        <f t="shared" ca="1" si="525"/>
        <v>1140.5549480311849</v>
      </c>
      <c r="K786" s="69">
        <f t="shared" ca="1" si="526"/>
        <v>1170.8724231164392</v>
      </c>
      <c r="L786" s="69">
        <f t="shared" ca="1" si="527"/>
        <v>961.80728980313836</v>
      </c>
      <c r="M786" s="69">
        <f t="shared" ca="1" si="528"/>
        <v>993.7595995922743</v>
      </c>
      <c r="N786" s="69">
        <f t="shared" ca="1" si="529"/>
        <v>570.7708822659996</v>
      </c>
      <c r="O786" s="69">
        <f t="shared" ca="1" si="530"/>
        <v>628.17058685944994</v>
      </c>
      <c r="P786" s="69">
        <f t="shared" ca="1" si="531"/>
        <v>725.98552502449456</v>
      </c>
      <c r="Q786" s="69">
        <f t="shared" ca="1" si="532"/>
        <v>958.3924172560919</v>
      </c>
      <c r="R786" s="69">
        <f t="shared" ca="1" si="533"/>
        <v>779.68552816350473</v>
      </c>
      <c r="S786" s="69">
        <f t="shared" ca="1" si="534"/>
        <v>704.07888695319537</v>
      </c>
      <c r="T786" s="69">
        <f t="shared" ca="1" si="535"/>
        <v>796.10073079937058</v>
      </c>
      <c r="U786" s="69">
        <f t="shared" ca="1" si="536"/>
        <v>1694.2614761173691</v>
      </c>
      <c r="V786" s="69">
        <f t="shared" ca="1" si="537"/>
        <v>1911.7783756216606</v>
      </c>
      <c r="W786" s="69">
        <f t="shared" ca="1" si="538"/>
        <v>1181.9625299191937</v>
      </c>
      <c r="X786" s="69">
        <f t="shared" ca="1" si="539"/>
        <v>1487.3069434993072</v>
      </c>
      <c r="Y786" s="69">
        <f t="shared" ca="1" si="540"/>
        <v>1201.7086088354865</v>
      </c>
      <c r="AA786" s="20">
        <f t="shared" ca="1" si="500"/>
        <v>6.5645435688504776E+16</v>
      </c>
      <c r="AB786" s="20">
        <f t="shared" ca="1" si="501"/>
        <v>1668865524403733.8</v>
      </c>
      <c r="AC786" s="20">
        <f t="shared" ca="1" si="502"/>
        <v>401253086119963.94</v>
      </c>
      <c r="AD786" s="20">
        <f t="shared" ca="1" si="503"/>
        <v>304074602668515.94</v>
      </c>
      <c r="AE786" s="20">
        <f t="shared" ca="1" si="504"/>
        <v>6842604958274952</v>
      </c>
      <c r="AG786" s="16">
        <f t="shared" ca="1" si="505"/>
        <v>-1.2939150548099321E-4</v>
      </c>
      <c r="AH786" s="16">
        <f t="shared" ca="1" si="506"/>
        <v>1.9727543592849533E-4</v>
      </c>
      <c r="AI786" s="16">
        <f t="shared" ca="1" si="507"/>
        <v>-1.8572416905963979E-3</v>
      </c>
      <c r="AJ786" s="16">
        <f t="shared" ca="1" si="508"/>
        <v>1.0529539642774328E-4</v>
      </c>
      <c r="AK786" s="16">
        <f t="shared" ca="1" si="509"/>
        <v>9.4038608916697988E-4</v>
      </c>
      <c r="AM786" s="16">
        <f t="shared" ca="1" si="510"/>
        <v>-1.6840623637211524E-3</v>
      </c>
      <c r="AO786" s="16">
        <f t="shared" ca="1" si="511"/>
        <v>-1.2939150548099321E-4</v>
      </c>
      <c r="AP786" s="16">
        <f t="shared" ca="1" si="512"/>
        <v>0</v>
      </c>
      <c r="AQ786" s="16">
        <f t="shared" ca="1" si="513"/>
        <v>-1.8572416905963979E-3</v>
      </c>
      <c r="AR786" s="16">
        <f t="shared" ca="1" si="514"/>
        <v>0</v>
      </c>
      <c r="AS786" s="16">
        <f t="shared" ca="1" si="515"/>
        <v>0</v>
      </c>
    </row>
    <row r="787" spans="1:45" x14ac:dyDescent="0.25">
      <c r="A787" s="69">
        <f t="shared" ca="1" si="516"/>
        <v>2449.9891315158334</v>
      </c>
      <c r="B787" s="69">
        <f t="shared" ca="1" si="517"/>
        <v>2139.6398588629095</v>
      </c>
      <c r="C787" s="69">
        <f t="shared" ca="1" si="518"/>
        <v>2234.4677231252463</v>
      </c>
      <c r="D787" s="69">
        <f t="shared" ca="1" si="519"/>
        <v>2902.1673077571395</v>
      </c>
      <c r="E787" s="69">
        <f t="shared" ca="1" si="520"/>
        <v>1930.8430460685388</v>
      </c>
      <c r="F787" s="69">
        <f t="shared" ca="1" si="521"/>
        <v>1217.7405183674948</v>
      </c>
      <c r="G787" s="69">
        <f t="shared" ca="1" si="522"/>
        <v>968.34353522390268</v>
      </c>
      <c r="H787" s="69">
        <f t="shared" ca="1" si="523"/>
        <v>1183.1897751015488</v>
      </c>
      <c r="I787" s="69">
        <f t="shared" ca="1" si="524"/>
        <v>1048.9437113279262</v>
      </c>
      <c r="J787" s="69">
        <f t="shared" ca="1" si="525"/>
        <v>1140.5549480311849</v>
      </c>
      <c r="K787" s="69">
        <f t="shared" ca="1" si="526"/>
        <v>1170.5611797321644</v>
      </c>
      <c r="L787" s="69">
        <f t="shared" ca="1" si="527"/>
        <v>961.64694885607003</v>
      </c>
      <c r="M787" s="69">
        <f t="shared" ca="1" si="528"/>
        <v>993.46127712805696</v>
      </c>
      <c r="N787" s="69">
        <f t="shared" ca="1" si="529"/>
        <v>570.29398041582999</v>
      </c>
      <c r="O787" s="69">
        <f t="shared" ca="1" si="530"/>
        <v>627.98936527033504</v>
      </c>
      <c r="P787" s="69">
        <f t="shared" ca="1" si="531"/>
        <v>725.98552502449456</v>
      </c>
      <c r="Q787" s="69">
        <f t="shared" ca="1" si="532"/>
        <v>958.78789115772668</v>
      </c>
      <c r="R787" s="69">
        <f t="shared" ca="1" si="533"/>
        <v>779.41927911950665</v>
      </c>
      <c r="S787" s="69">
        <f t="shared" ca="1" si="534"/>
        <v>704.47815305106053</v>
      </c>
      <c r="T787" s="69">
        <f t="shared" ca="1" si="535"/>
        <v>795.67681130489848</v>
      </c>
      <c r="U787" s="69">
        <f t="shared" ca="1" si="536"/>
        <v>1694.3684591509523</v>
      </c>
      <c r="V787" s="69">
        <f t="shared" ca="1" si="537"/>
        <v>1912.0310139964299</v>
      </c>
      <c r="W787" s="69">
        <f t="shared" ca="1" si="538"/>
        <v>1182.4551232236972</v>
      </c>
      <c r="X787" s="69">
        <f t="shared" ca="1" si="539"/>
        <v>1487.3069434993072</v>
      </c>
      <c r="Y787" s="69">
        <f t="shared" ca="1" si="540"/>
        <v>1202.1033533518762</v>
      </c>
      <c r="AA787" s="20">
        <f t="shared" ca="1" si="500"/>
        <v>6.5636942276252632E+16</v>
      </c>
      <c r="AB787" s="20">
        <f t="shared" ca="1" si="501"/>
        <v>1669194783053820.5</v>
      </c>
      <c r="AC787" s="20">
        <f t="shared" ca="1" si="502"/>
        <v>400508553762221.38</v>
      </c>
      <c r="AD787" s="20">
        <f t="shared" ca="1" si="503"/>
        <v>304106622010062.56</v>
      </c>
      <c r="AE787" s="20">
        <f t="shared" ca="1" si="504"/>
        <v>6849042675286721</v>
      </c>
      <c r="AG787" s="16">
        <f t="shared" ca="1" si="505"/>
        <v>-3.7781316220070351E-4</v>
      </c>
      <c r="AH787" s="16">
        <f t="shared" ca="1" si="506"/>
        <v>4.2947064523881051E-4</v>
      </c>
      <c r="AI787" s="16">
        <f t="shared" ca="1" si="507"/>
        <v>2.6565612614827023E-4</v>
      </c>
      <c r="AJ787" s="16">
        <f t="shared" ca="1" si="508"/>
        <v>-1.3677355339034053E-3</v>
      </c>
      <c r="AK787" s="16">
        <f t="shared" ca="1" si="509"/>
        <v>5.463833327103082E-4</v>
      </c>
      <c r="AM787" s="16">
        <f t="shared" ca="1" si="510"/>
        <v>-1.0504219247170282E-3</v>
      </c>
      <c r="AO787" s="16">
        <f t="shared" ca="1" si="511"/>
        <v>-3.7781316220070351E-4</v>
      </c>
      <c r="AP787" s="16">
        <f t="shared" ca="1" si="512"/>
        <v>0</v>
      </c>
      <c r="AQ787" s="16">
        <f t="shared" ca="1" si="513"/>
        <v>0</v>
      </c>
      <c r="AR787" s="16">
        <f t="shared" ca="1" si="514"/>
        <v>-1.3677355339034053E-3</v>
      </c>
      <c r="AS787" s="16">
        <f t="shared" ca="1" si="515"/>
        <v>0</v>
      </c>
    </row>
    <row r="788" spans="1:45" x14ac:dyDescent="0.25">
      <c r="A788" s="69">
        <f t="shared" ca="1" si="516"/>
        <v>2449.797799682698</v>
      </c>
      <c r="B788" s="69">
        <f t="shared" ca="1" si="517"/>
        <v>2139.6398588629095</v>
      </c>
      <c r="C788" s="69">
        <f t="shared" ca="1" si="518"/>
        <v>2234.1365073856159</v>
      </c>
      <c r="D788" s="69">
        <f t="shared" ca="1" si="519"/>
        <v>2902.1673077571395</v>
      </c>
      <c r="E788" s="69">
        <f t="shared" ca="1" si="520"/>
        <v>1930.5505959119478</v>
      </c>
      <c r="F788" s="69">
        <f t="shared" ca="1" si="521"/>
        <v>1217.7405183674948</v>
      </c>
      <c r="G788" s="69">
        <f t="shared" ca="1" si="522"/>
        <v>968.81332563252283</v>
      </c>
      <c r="H788" s="69">
        <f t="shared" ca="1" si="523"/>
        <v>1183.0234357674367</v>
      </c>
      <c r="I788" s="69">
        <f t="shared" ca="1" si="524"/>
        <v>1048.9437113279262</v>
      </c>
      <c r="J788" s="69">
        <f t="shared" ca="1" si="525"/>
        <v>1140.651939457892</v>
      </c>
      <c r="K788" s="69">
        <f t="shared" ca="1" si="526"/>
        <v>1170.7494994706642</v>
      </c>
      <c r="L788" s="69">
        <f t="shared" ca="1" si="527"/>
        <v>961.64694885607003</v>
      </c>
      <c r="M788" s="69">
        <f t="shared" ca="1" si="528"/>
        <v>993.41047530473986</v>
      </c>
      <c r="N788" s="69">
        <f t="shared" ca="1" si="529"/>
        <v>569.97009734893004</v>
      </c>
      <c r="O788" s="69">
        <f t="shared" ca="1" si="530"/>
        <v>628.44420111955583</v>
      </c>
      <c r="P788" s="69">
        <f t="shared" ca="1" si="531"/>
        <v>725.51068545575242</v>
      </c>
      <c r="Q788" s="69">
        <f t="shared" ca="1" si="532"/>
        <v>958.59851096447142</v>
      </c>
      <c r="R788" s="69">
        <f t="shared" ca="1" si="533"/>
        <v>779.16921692410858</v>
      </c>
      <c r="S788" s="69">
        <f t="shared" ca="1" si="534"/>
        <v>704.48350418757218</v>
      </c>
      <c r="T788" s="69">
        <f t="shared" ca="1" si="535"/>
        <v>795.51559763253192</v>
      </c>
      <c r="U788" s="69">
        <f t="shared" ca="1" si="536"/>
        <v>1694.700122592046</v>
      </c>
      <c r="V788" s="69">
        <f t="shared" ca="1" si="537"/>
        <v>1912.4932308254511</v>
      </c>
      <c r="W788" s="69">
        <f t="shared" ca="1" si="538"/>
        <v>1182.7351670894311</v>
      </c>
      <c r="X788" s="69">
        <f t="shared" ca="1" si="539"/>
        <v>1487.3069434993072</v>
      </c>
      <c r="Y788" s="69">
        <f t="shared" ca="1" si="540"/>
        <v>1201.9496638398819</v>
      </c>
      <c r="AA788" s="20">
        <f t="shared" ca="1" si="500"/>
        <v>6.5612148459544128E+16</v>
      </c>
      <c r="AB788" s="20">
        <f t="shared" ca="1" si="501"/>
        <v>1669911807173712.8</v>
      </c>
      <c r="AC788" s="20">
        <f t="shared" ca="1" si="502"/>
        <v>400614965446935.25</v>
      </c>
      <c r="AD788" s="20">
        <f t="shared" ca="1" si="503"/>
        <v>303690968893609.5</v>
      </c>
      <c r="AE788" s="20">
        <f t="shared" ca="1" si="504"/>
        <v>6852785900574349</v>
      </c>
      <c r="AG788" s="16">
        <f t="shared" ca="1" si="505"/>
        <v>-3.713731131179301E-4</v>
      </c>
      <c r="AH788" s="16">
        <f t="shared" ca="1" si="506"/>
        <v>3.3684124752713529E-5</v>
      </c>
      <c r="AI788" s="16">
        <f t="shared" ca="1" si="507"/>
        <v>7.3223144224631028E-4</v>
      </c>
      <c r="AJ788" s="16">
        <f t="shared" ca="1" si="508"/>
        <v>-3.8046946567416598E-4</v>
      </c>
      <c r="AK788" s="16">
        <f t="shared" ca="1" si="509"/>
        <v>1.6364973464571739E-4</v>
      </c>
      <c r="AM788" s="16">
        <f t="shared" ca="1" si="510"/>
        <v>1.4072988206927756E-5</v>
      </c>
      <c r="AO788" s="16">
        <f t="shared" ca="1" si="511"/>
        <v>-3.713731131179301E-4</v>
      </c>
      <c r="AP788" s="16">
        <f t="shared" ca="1" si="512"/>
        <v>0</v>
      </c>
      <c r="AQ788" s="16">
        <f t="shared" ca="1" si="513"/>
        <v>0</v>
      </c>
      <c r="AR788" s="16">
        <f t="shared" ca="1" si="514"/>
        <v>-3.8046946567416598E-4</v>
      </c>
      <c r="AS788" s="16">
        <f t="shared" ca="1" si="515"/>
        <v>0</v>
      </c>
    </row>
    <row r="789" spans="1:45" x14ac:dyDescent="0.25">
      <c r="A789" s="69">
        <f t="shared" ca="1" si="516"/>
        <v>2449.797799682698</v>
      </c>
      <c r="B789" s="69">
        <f t="shared" ca="1" si="517"/>
        <v>2139.4247383560064</v>
      </c>
      <c r="C789" s="69">
        <f t="shared" ca="1" si="518"/>
        <v>2234.1365073856159</v>
      </c>
      <c r="D789" s="69">
        <f t="shared" ca="1" si="519"/>
        <v>2901.6932502159298</v>
      </c>
      <c r="E789" s="69">
        <f t="shared" ca="1" si="520"/>
        <v>1930.3431343522864</v>
      </c>
      <c r="F789" s="69">
        <f t="shared" ca="1" si="521"/>
        <v>1217.8694224498213</v>
      </c>
      <c r="G789" s="69">
        <f t="shared" ca="1" si="522"/>
        <v>968.62185985721851</v>
      </c>
      <c r="H789" s="69">
        <f t="shared" ca="1" si="523"/>
        <v>1183.1718947652896</v>
      </c>
      <c r="I789" s="69">
        <f t="shared" ca="1" si="524"/>
        <v>1048.9437113279262</v>
      </c>
      <c r="J789" s="69">
        <f t="shared" ca="1" si="525"/>
        <v>1140.651939457892</v>
      </c>
      <c r="K789" s="69">
        <f t="shared" ca="1" si="526"/>
        <v>1170.9920773109764</v>
      </c>
      <c r="L789" s="69">
        <f t="shared" ca="1" si="527"/>
        <v>961.95129637201114</v>
      </c>
      <c r="M789" s="69">
        <f t="shared" ca="1" si="528"/>
        <v>993.61774073796539</v>
      </c>
      <c r="N789" s="69">
        <f t="shared" ca="1" si="529"/>
        <v>569.97009734893004</v>
      </c>
      <c r="O789" s="69">
        <f t="shared" ca="1" si="530"/>
        <v>628.44420111955583</v>
      </c>
      <c r="P789" s="69">
        <f t="shared" ca="1" si="531"/>
        <v>725.51068545575242</v>
      </c>
      <c r="Q789" s="69">
        <f t="shared" ca="1" si="532"/>
        <v>958.59851096447142</v>
      </c>
      <c r="R789" s="69">
        <f t="shared" ca="1" si="533"/>
        <v>779.16921692410858</v>
      </c>
      <c r="S789" s="69">
        <f t="shared" ca="1" si="534"/>
        <v>704.37041212357087</v>
      </c>
      <c r="T789" s="69">
        <f t="shared" ca="1" si="535"/>
        <v>795.34066334400848</v>
      </c>
      <c r="U789" s="69">
        <f t="shared" ca="1" si="536"/>
        <v>1694.5768765283269</v>
      </c>
      <c r="V789" s="69">
        <f t="shared" ca="1" si="537"/>
        <v>1912.3003006273468</v>
      </c>
      <c r="W789" s="69">
        <f t="shared" ca="1" si="538"/>
        <v>1182.5939170628801</v>
      </c>
      <c r="X789" s="69">
        <f t="shared" ca="1" si="539"/>
        <v>1487.6905597858408</v>
      </c>
      <c r="Y789" s="69">
        <f t="shared" ca="1" si="540"/>
        <v>1202.1886363512076</v>
      </c>
      <c r="AA789" s="20">
        <f t="shared" ca="1" si="500"/>
        <v>6.5587786395700096E+16</v>
      </c>
      <c r="AB789" s="20">
        <f t="shared" ca="1" si="501"/>
        <v>1669968057638720.3</v>
      </c>
      <c r="AC789" s="20">
        <f t="shared" ca="1" si="502"/>
        <v>400908415744525.81</v>
      </c>
      <c r="AD789" s="20">
        <f t="shared" ca="1" si="503"/>
        <v>303575445730856.06</v>
      </c>
      <c r="AE789" s="20">
        <f t="shared" ca="1" si="504"/>
        <v>6853907448936605</v>
      </c>
      <c r="AG789" s="16">
        <f t="shared" ca="1" si="505"/>
        <v>2.7702585920675433E-4</v>
      </c>
      <c r="AH789" s="16">
        <f t="shared" ca="1" si="506"/>
        <v>9.4892978414546307E-5</v>
      </c>
      <c r="AI789" s="16">
        <f t="shared" ca="1" si="507"/>
        <v>2.3954110933242011E-4</v>
      </c>
      <c r="AJ789" s="16">
        <f t="shared" ca="1" si="508"/>
        <v>-4.6494375836920802E-5</v>
      </c>
      <c r="AK789" s="16">
        <f t="shared" ca="1" si="509"/>
        <v>5.7713796595099598E-4</v>
      </c>
      <c r="AM789" s="16">
        <f t="shared" ca="1" si="510"/>
        <v>5.6496557111679986E-4</v>
      </c>
      <c r="AO789" s="16">
        <f t="shared" ca="1" si="511"/>
        <v>0</v>
      </c>
      <c r="AP789" s="16">
        <f t="shared" ca="1" si="512"/>
        <v>0</v>
      </c>
      <c r="AQ789" s="16">
        <f t="shared" ca="1" si="513"/>
        <v>0</v>
      </c>
      <c r="AR789" s="16">
        <f t="shared" ca="1" si="514"/>
        <v>-4.6494375836920802E-5</v>
      </c>
      <c r="AS789" s="16">
        <f t="shared" ca="1" si="515"/>
        <v>0</v>
      </c>
    </row>
    <row r="790" spans="1:45" x14ac:dyDescent="0.25">
      <c r="A790" s="69">
        <f t="shared" ca="1" si="516"/>
        <v>2449.797799682698</v>
      </c>
      <c r="B790" s="69">
        <f t="shared" ca="1" si="517"/>
        <v>2139.801532558407</v>
      </c>
      <c r="C790" s="69">
        <f t="shared" ca="1" si="518"/>
        <v>2234.1365073856159</v>
      </c>
      <c r="D790" s="69">
        <f t="shared" ca="1" si="519"/>
        <v>2901.6932502159298</v>
      </c>
      <c r="E790" s="69">
        <f t="shared" ca="1" si="520"/>
        <v>1930.5379582070598</v>
      </c>
      <c r="F790" s="69">
        <f t="shared" ca="1" si="521"/>
        <v>1217.8694224498213</v>
      </c>
      <c r="G790" s="69">
        <f t="shared" ca="1" si="522"/>
        <v>968.62185985721851</v>
      </c>
      <c r="H790" s="69">
        <f t="shared" ca="1" si="523"/>
        <v>1183.2152226471476</v>
      </c>
      <c r="I790" s="69">
        <f t="shared" ca="1" si="524"/>
        <v>1049.0048387738746</v>
      </c>
      <c r="J790" s="69">
        <f t="shared" ca="1" si="525"/>
        <v>1140.651939457892</v>
      </c>
      <c r="K790" s="69">
        <f t="shared" ca="1" si="526"/>
        <v>1171.3618039585899</v>
      </c>
      <c r="L790" s="69">
        <f t="shared" ca="1" si="527"/>
        <v>961.65951099087113</v>
      </c>
      <c r="M790" s="69">
        <f t="shared" ca="1" si="528"/>
        <v>993.69083079632981</v>
      </c>
      <c r="N790" s="69">
        <f t="shared" ca="1" si="529"/>
        <v>569.97009734893004</v>
      </c>
      <c r="O790" s="69">
        <f t="shared" ca="1" si="530"/>
        <v>628.54078076432552</v>
      </c>
      <c r="P790" s="69">
        <f t="shared" ca="1" si="531"/>
        <v>725.91651338412964</v>
      </c>
      <c r="Q790" s="69">
        <f t="shared" ca="1" si="532"/>
        <v>958.53703732401129</v>
      </c>
      <c r="R790" s="69">
        <f t="shared" ca="1" si="533"/>
        <v>779.16921692410858</v>
      </c>
      <c r="S790" s="69">
        <f t="shared" ca="1" si="534"/>
        <v>703.8896155256482</v>
      </c>
      <c r="T790" s="69">
        <f t="shared" ca="1" si="535"/>
        <v>795.4530113366352</v>
      </c>
      <c r="U790" s="69">
        <f t="shared" ca="1" si="536"/>
        <v>1694.7019397607885</v>
      </c>
      <c r="V790" s="69">
        <f t="shared" ca="1" si="537"/>
        <v>1912.1828215627622</v>
      </c>
      <c r="W790" s="69">
        <f t="shared" ca="1" si="538"/>
        <v>1182.8933930701091</v>
      </c>
      <c r="X790" s="69">
        <f t="shared" ca="1" si="539"/>
        <v>1487.5792692232976</v>
      </c>
      <c r="Y790" s="69">
        <f t="shared" ca="1" si="540"/>
        <v>1202.6532275254758</v>
      </c>
      <c r="AA790" s="20">
        <f t="shared" ca="1" si="500"/>
        <v>6.5605958425524712E+16</v>
      </c>
      <c r="AB790" s="20">
        <f t="shared" ca="1" si="501"/>
        <v>1670126533400566.5</v>
      </c>
      <c r="AC790" s="20">
        <f t="shared" ca="1" si="502"/>
        <v>401004461294143.44</v>
      </c>
      <c r="AD790" s="20">
        <f t="shared" ca="1" si="503"/>
        <v>303561331508105.94</v>
      </c>
      <c r="AE790" s="20">
        <f t="shared" ca="1" si="504"/>
        <v>6857864240838085</v>
      </c>
      <c r="AG790" s="16">
        <f t="shared" ca="1" si="505"/>
        <v>-3.7219352504926252E-4</v>
      </c>
      <c r="AH790" s="16">
        <f t="shared" ca="1" si="506"/>
        <v>-7.0529386731741023E-4</v>
      </c>
      <c r="AI790" s="16">
        <f t="shared" ca="1" si="507"/>
        <v>9.551214232062067E-4</v>
      </c>
      <c r="AJ790" s="16">
        <f t="shared" ca="1" si="508"/>
        <v>-3.9567844951207826E-5</v>
      </c>
      <c r="AK790" s="16">
        <f t="shared" ca="1" si="509"/>
        <v>-8.2038771079814214E-4</v>
      </c>
      <c r="AM790" s="16">
        <f t="shared" ca="1" si="510"/>
        <v>-1.6193381411167394E-4</v>
      </c>
      <c r="AO790" s="16">
        <f t="shared" ca="1" si="511"/>
        <v>-3.7219352504926252E-4</v>
      </c>
      <c r="AP790" s="16">
        <f t="shared" ca="1" si="512"/>
        <v>-7.0529386731741023E-4</v>
      </c>
      <c r="AQ790" s="16">
        <f t="shared" ca="1" si="513"/>
        <v>0</v>
      </c>
      <c r="AR790" s="16">
        <f t="shared" ca="1" si="514"/>
        <v>-3.9567844951207826E-5</v>
      </c>
      <c r="AS790" s="16">
        <f t="shared" ca="1" si="515"/>
        <v>-8.2038771079814214E-4</v>
      </c>
    </row>
    <row r="791" spans="1:45" x14ac:dyDescent="0.25">
      <c r="A791" s="69">
        <f t="shared" ca="1" si="516"/>
        <v>2449.3160661097804</v>
      </c>
      <c r="B791" s="69">
        <f t="shared" ca="1" si="517"/>
        <v>2139.801532558407</v>
      </c>
      <c r="C791" s="69">
        <f t="shared" ca="1" si="518"/>
        <v>2233.9751940750248</v>
      </c>
      <c r="D791" s="69">
        <f t="shared" ca="1" si="519"/>
        <v>2901.943987864448</v>
      </c>
      <c r="E791" s="69">
        <f t="shared" ca="1" si="520"/>
        <v>1930.1717069629615</v>
      </c>
      <c r="F791" s="69">
        <f t="shared" ca="1" si="521"/>
        <v>1217.5025169205253</v>
      </c>
      <c r="G791" s="69">
        <f t="shared" ca="1" si="522"/>
        <v>968.28587708188104</v>
      </c>
      <c r="H791" s="69">
        <f t="shared" ca="1" si="523"/>
        <v>1182.9028603036688</v>
      </c>
      <c r="I791" s="69">
        <f t="shared" ca="1" si="524"/>
        <v>1049.2791353120995</v>
      </c>
      <c r="J791" s="69">
        <f t="shared" ca="1" si="525"/>
        <v>1140.5898073376004</v>
      </c>
      <c r="K791" s="69">
        <f t="shared" ca="1" si="526"/>
        <v>1171.3618039585899</v>
      </c>
      <c r="L791" s="69">
        <f t="shared" ca="1" si="527"/>
        <v>961.68713088999164</v>
      </c>
      <c r="M791" s="69">
        <f t="shared" ca="1" si="528"/>
        <v>993.95618736818665</v>
      </c>
      <c r="N791" s="69">
        <f t="shared" ca="1" si="529"/>
        <v>569.97009734893004</v>
      </c>
      <c r="O791" s="69">
        <f t="shared" ca="1" si="530"/>
        <v>628.95537410315774</v>
      </c>
      <c r="P791" s="69">
        <f t="shared" ca="1" si="531"/>
        <v>725.91651338412964</v>
      </c>
      <c r="Q791" s="69">
        <f t="shared" ca="1" si="532"/>
        <v>958.45905568237947</v>
      </c>
      <c r="R791" s="69">
        <f t="shared" ca="1" si="533"/>
        <v>779.09860193446139</v>
      </c>
      <c r="S791" s="69">
        <f t="shared" ca="1" si="534"/>
        <v>703.98283286761171</v>
      </c>
      <c r="T791" s="69">
        <f t="shared" ca="1" si="535"/>
        <v>795.4530113366352</v>
      </c>
      <c r="U791" s="69">
        <f t="shared" ca="1" si="536"/>
        <v>1695.0088338992971</v>
      </c>
      <c r="V791" s="69">
        <f t="shared" ca="1" si="537"/>
        <v>1911.7097640471975</v>
      </c>
      <c r="W791" s="69">
        <f t="shared" ca="1" si="538"/>
        <v>1182.4572494096458</v>
      </c>
      <c r="X791" s="69">
        <f t="shared" ca="1" si="539"/>
        <v>1487.4325969973042</v>
      </c>
      <c r="Y791" s="69">
        <f t="shared" ca="1" si="540"/>
        <v>1202.3085246979786</v>
      </c>
      <c r="AA791" s="20">
        <f t="shared" ca="1" si="500"/>
        <v>6.5581544856162128E+16</v>
      </c>
      <c r="AB791" s="20">
        <f t="shared" ca="1" si="501"/>
        <v>1668949018694677.3</v>
      </c>
      <c r="AC791" s="20">
        <f t="shared" ca="1" si="502"/>
        <v>401387652213724.25</v>
      </c>
      <c r="AD791" s="20">
        <f t="shared" ca="1" si="503"/>
        <v>303549320478034.5</v>
      </c>
      <c r="AE791" s="20">
        <f t="shared" ca="1" si="504"/>
        <v>6852240440456358</v>
      </c>
      <c r="AG791" s="16">
        <f t="shared" ca="1" si="505"/>
        <v>6.4269121945790723E-5</v>
      </c>
      <c r="AH791" s="16">
        <f t="shared" ca="1" si="506"/>
        <v>-2.2823596781985117E-4</v>
      </c>
      <c r="AI791" s="16">
        <f t="shared" ca="1" si="507"/>
        <v>1.0784858474182869E-3</v>
      </c>
      <c r="AJ791" s="16">
        <f t="shared" ca="1" si="508"/>
        <v>-7.1673786854571805E-4</v>
      </c>
      <c r="AK791" s="16">
        <f t="shared" ca="1" si="509"/>
        <v>-2.669806637776651E-4</v>
      </c>
      <c r="AM791" s="16">
        <f t="shared" ca="1" si="510"/>
        <v>1.9778113299850843E-4</v>
      </c>
      <c r="AO791" s="16">
        <f t="shared" ca="1" si="511"/>
        <v>0</v>
      </c>
      <c r="AP791" s="16">
        <f t="shared" ca="1" si="512"/>
        <v>-2.2823596781985117E-4</v>
      </c>
      <c r="AQ791" s="16">
        <f t="shared" ca="1" si="513"/>
        <v>0</v>
      </c>
      <c r="AR791" s="16">
        <f t="shared" ca="1" si="514"/>
        <v>-7.1673786854571805E-4</v>
      </c>
      <c r="AS791" s="16">
        <f t="shared" ca="1" si="515"/>
        <v>-2.669806637776651E-4</v>
      </c>
    </row>
    <row r="792" spans="1:45" x14ac:dyDescent="0.25">
      <c r="A792" s="69">
        <f t="shared" ca="1" si="516"/>
        <v>2449.3160661097804</v>
      </c>
      <c r="B792" s="69">
        <f t="shared" ca="1" si="517"/>
        <v>2139.801532558407</v>
      </c>
      <c r="C792" s="69">
        <f t="shared" ca="1" si="518"/>
        <v>2233.7691063379275</v>
      </c>
      <c r="D792" s="69">
        <f t="shared" ca="1" si="519"/>
        <v>2902.3982500687343</v>
      </c>
      <c r="E792" s="69">
        <f t="shared" ca="1" si="520"/>
        <v>1930.1717069629615</v>
      </c>
      <c r="F792" s="69">
        <f t="shared" ca="1" si="521"/>
        <v>1217.7515429648136</v>
      </c>
      <c r="G792" s="69">
        <f t="shared" ca="1" si="522"/>
        <v>967.86693865859581</v>
      </c>
      <c r="H792" s="69">
        <f t="shared" ca="1" si="523"/>
        <v>1182.9028603036688</v>
      </c>
      <c r="I792" s="69">
        <f t="shared" ca="1" si="524"/>
        <v>1049.2791353120995</v>
      </c>
      <c r="J792" s="69">
        <f t="shared" ca="1" si="525"/>
        <v>1140.5898073376004</v>
      </c>
      <c r="K792" s="69">
        <f t="shared" ca="1" si="526"/>
        <v>1171.3618039585899</v>
      </c>
      <c r="L792" s="69">
        <f t="shared" ca="1" si="527"/>
        <v>961.68713088999164</v>
      </c>
      <c r="M792" s="69">
        <f t="shared" ca="1" si="528"/>
        <v>994.26918207063898</v>
      </c>
      <c r="N792" s="69">
        <f t="shared" ca="1" si="529"/>
        <v>570.40551413599803</v>
      </c>
      <c r="O792" s="69">
        <f t="shared" ca="1" si="530"/>
        <v>628.95537410315774</v>
      </c>
      <c r="P792" s="69">
        <f t="shared" ca="1" si="531"/>
        <v>725.6746967196201</v>
      </c>
      <c r="Q792" s="69">
        <f t="shared" ca="1" si="532"/>
        <v>958.02375144100938</v>
      </c>
      <c r="R792" s="69">
        <f t="shared" ca="1" si="533"/>
        <v>779.09860193446139</v>
      </c>
      <c r="S792" s="69">
        <f t="shared" ca="1" si="534"/>
        <v>704.13505096830625</v>
      </c>
      <c r="T792" s="69">
        <f t="shared" ca="1" si="535"/>
        <v>795.33728933233965</v>
      </c>
      <c r="U792" s="69">
        <f t="shared" ca="1" si="536"/>
        <v>1695.0088338992971</v>
      </c>
      <c r="V792" s="69">
        <f t="shared" ca="1" si="537"/>
        <v>1911.310183783346</v>
      </c>
      <c r="W792" s="69">
        <f t="shared" ca="1" si="538"/>
        <v>1182.0725587969057</v>
      </c>
      <c r="X792" s="69">
        <f t="shared" ca="1" si="539"/>
        <v>1487.8757668838336</v>
      </c>
      <c r="Y792" s="69">
        <f t="shared" ca="1" si="540"/>
        <v>1202.2719082228773</v>
      </c>
      <c r="AA792" s="20">
        <f t="shared" ca="1" si="500"/>
        <v>6.558575985991172E+16</v>
      </c>
      <c r="AB792" s="20">
        <f t="shared" ca="1" si="501"/>
        <v>1668568147966006.5</v>
      </c>
      <c r="AC792" s="20">
        <f t="shared" ca="1" si="502"/>
        <v>401820776633261.81</v>
      </c>
      <c r="AD792" s="20">
        <f t="shared" ca="1" si="503"/>
        <v>303331833135094.38</v>
      </c>
      <c r="AE792" s="20">
        <f t="shared" ca="1" si="504"/>
        <v>6850411268942778</v>
      </c>
      <c r="AG792" s="16">
        <f t="shared" ca="1" si="505"/>
        <v>-5.0197517059097027E-4</v>
      </c>
      <c r="AH792" s="16">
        <f t="shared" ca="1" si="506"/>
        <v>5.7715646324762592E-4</v>
      </c>
      <c r="AI792" s="16">
        <f t="shared" ca="1" si="507"/>
        <v>-5.0266715681308784E-4</v>
      </c>
      <c r="AJ792" s="16">
        <f t="shared" ca="1" si="508"/>
        <v>-2.7853215959181861E-4</v>
      </c>
      <c r="AK792" s="16">
        <f t="shared" ca="1" si="509"/>
        <v>-3.328889291811316E-4</v>
      </c>
      <c r="AM792" s="16">
        <f t="shared" ca="1" si="510"/>
        <v>-7.0601802374825086E-4</v>
      </c>
      <c r="AO792" s="16">
        <f t="shared" ca="1" si="511"/>
        <v>-5.0197517059097027E-4</v>
      </c>
      <c r="AP792" s="16">
        <f t="shared" ca="1" si="512"/>
        <v>0</v>
      </c>
      <c r="AQ792" s="16">
        <f t="shared" ca="1" si="513"/>
        <v>-5.0266715681308784E-4</v>
      </c>
      <c r="AR792" s="16">
        <f t="shared" ca="1" si="514"/>
        <v>-2.7853215959181861E-4</v>
      </c>
      <c r="AS792" s="16">
        <f t="shared" ca="1" si="515"/>
        <v>-3.328889291811316E-4</v>
      </c>
    </row>
    <row r="793" spans="1:45" x14ac:dyDescent="0.25">
      <c r="A793" s="69">
        <f t="shared" ca="1" si="516"/>
        <v>2449.3464587411377</v>
      </c>
      <c r="B793" s="69">
        <f t="shared" ca="1" si="517"/>
        <v>2139.6444806612162</v>
      </c>
      <c r="C793" s="69">
        <f t="shared" ca="1" si="518"/>
        <v>2233.3014453062619</v>
      </c>
      <c r="D793" s="69">
        <f t="shared" ca="1" si="519"/>
        <v>2902.3982500687343</v>
      </c>
      <c r="E793" s="69">
        <f t="shared" ca="1" si="520"/>
        <v>1929.7247233431799</v>
      </c>
      <c r="F793" s="69">
        <f t="shared" ca="1" si="521"/>
        <v>1217.7515429648136</v>
      </c>
      <c r="G793" s="69">
        <f t="shared" ca="1" si="522"/>
        <v>967.86693865859581</v>
      </c>
      <c r="H793" s="69">
        <f t="shared" ca="1" si="523"/>
        <v>1183.3050529490192</v>
      </c>
      <c r="I793" s="69">
        <f t="shared" ca="1" si="524"/>
        <v>1049.5280637679871</v>
      </c>
      <c r="J793" s="69">
        <f t="shared" ca="1" si="525"/>
        <v>1140.5898073376004</v>
      </c>
      <c r="K793" s="69">
        <f t="shared" ca="1" si="526"/>
        <v>1171.3790524829394</v>
      </c>
      <c r="L793" s="69">
        <f t="shared" ca="1" si="527"/>
        <v>961.68713088999164</v>
      </c>
      <c r="M793" s="69">
        <f t="shared" ca="1" si="528"/>
        <v>994.13302564976311</v>
      </c>
      <c r="N793" s="69">
        <f t="shared" ca="1" si="529"/>
        <v>569.93769708207708</v>
      </c>
      <c r="O793" s="69">
        <f t="shared" ca="1" si="530"/>
        <v>629.23220244675713</v>
      </c>
      <c r="P793" s="69">
        <f t="shared" ca="1" si="531"/>
        <v>725.43492124863008</v>
      </c>
      <c r="Q793" s="69">
        <f t="shared" ca="1" si="532"/>
        <v>958.3549200266358</v>
      </c>
      <c r="R793" s="69">
        <f t="shared" ca="1" si="533"/>
        <v>778.8698303038974</v>
      </c>
      <c r="S793" s="69">
        <f t="shared" ca="1" si="534"/>
        <v>704.13505096830625</v>
      </c>
      <c r="T793" s="69">
        <f t="shared" ca="1" si="535"/>
        <v>795.33728933233965</v>
      </c>
      <c r="U793" s="69">
        <f t="shared" ca="1" si="536"/>
        <v>1694.7199277389409</v>
      </c>
      <c r="V793" s="69">
        <f t="shared" ca="1" si="537"/>
        <v>1911.310183783346</v>
      </c>
      <c r="W793" s="69">
        <f t="shared" ca="1" si="538"/>
        <v>1181.6654313422744</v>
      </c>
      <c r="X793" s="69">
        <f t="shared" ca="1" si="539"/>
        <v>1487.8757668838336</v>
      </c>
      <c r="Y793" s="69">
        <f t="shared" ca="1" si="540"/>
        <v>1202.4907999155455</v>
      </c>
      <c r="AA793" s="20">
        <f t="shared" ca="1" si="500"/>
        <v>6.5552845698654696E+16</v>
      </c>
      <c r="AB793" s="20">
        <f t="shared" ca="1" si="501"/>
        <v>1669531450818467.3</v>
      </c>
      <c r="AC793" s="20">
        <f t="shared" ca="1" si="502"/>
        <v>401618845282304.06</v>
      </c>
      <c r="AD793" s="20">
        <f t="shared" ca="1" si="503"/>
        <v>303247357229712.63</v>
      </c>
      <c r="AE793" s="20">
        <f t="shared" ca="1" si="504"/>
        <v>6848131222393192</v>
      </c>
      <c r="AG793" s="16">
        <f t="shared" ca="1" si="505"/>
        <v>-2.6923968240204443E-4</v>
      </c>
      <c r="AH793" s="16">
        <f t="shared" ca="1" si="506"/>
        <v>2.385744258104523E-4</v>
      </c>
      <c r="AI793" s="16">
        <f t="shared" ca="1" si="507"/>
        <v>4.7514711804228556E-4</v>
      </c>
      <c r="AJ793" s="16">
        <f t="shared" ca="1" si="508"/>
        <v>1.2939339930841437E-3</v>
      </c>
      <c r="AK793" s="16">
        <f t="shared" ca="1" si="509"/>
        <v>-2.1190955699453066E-4</v>
      </c>
      <c r="AM793" s="16">
        <f t="shared" ca="1" si="510"/>
        <v>1.7384158545348371E-3</v>
      </c>
      <c r="AO793" s="16">
        <f t="shared" ca="1" si="511"/>
        <v>-2.6923968240204443E-4</v>
      </c>
      <c r="AP793" s="16">
        <f t="shared" ca="1" si="512"/>
        <v>0</v>
      </c>
      <c r="AQ793" s="16">
        <f t="shared" ca="1" si="513"/>
        <v>0</v>
      </c>
      <c r="AR793" s="16">
        <f t="shared" ca="1" si="514"/>
        <v>0</v>
      </c>
      <c r="AS793" s="16">
        <f t="shared" ca="1" si="515"/>
        <v>-2.1190955699453066E-4</v>
      </c>
    </row>
    <row r="794" spans="1:45" x14ac:dyDescent="0.25">
      <c r="A794" s="69">
        <f t="shared" ca="1" si="516"/>
        <v>2449.3464587411377</v>
      </c>
      <c r="B794" s="69">
        <f t="shared" ca="1" si="517"/>
        <v>2139.363408035008</v>
      </c>
      <c r="C794" s="69">
        <f t="shared" ca="1" si="518"/>
        <v>2233.1428265919094</v>
      </c>
      <c r="D794" s="69">
        <f t="shared" ca="1" si="519"/>
        <v>2902.1962187594277</v>
      </c>
      <c r="E794" s="69">
        <f t="shared" ca="1" si="520"/>
        <v>1929.7300702064854</v>
      </c>
      <c r="F794" s="69">
        <f t="shared" ca="1" si="521"/>
        <v>1217.7515429648136</v>
      </c>
      <c r="G794" s="69">
        <f t="shared" ca="1" si="522"/>
        <v>967.86693865859581</v>
      </c>
      <c r="H794" s="69">
        <f t="shared" ca="1" si="523"/>
        <v>1183.5873929507977</v>
      </c>
      <c r="I794" s="69">
        <f t="shared" ca="1" si="524"/>
        <v>1049.5280637679871</v>
      </c>
      <c r="J794" s="69">
        <f t="shared" ca="1" si="525"/>
        <v>1140.5898073376004</v>
      </c>
      <c r="K794" s="69">
        <f t="shared" ca="1" si="526"/>
        <v>1171.7973994500087</v>
      </c>
      <c r="L794" s="69">
        <f t="shared" ca="1" si="527"/>
        <v>961.68713088999164</v>
      </c>
      <c r="M794" s="69">
        <f t="shared" ca="1" si="528"/>
        <v>994.13302564976311</v>
      </c>
      <c r="N794" s="69">
        <f t="shared" ca="1" si="529"/>
        <v>569.61853266016647</v>
      </c>
      <c r="O794" s="69">
        <f t="shared" ca="1" si="530"/>
        <v>629.6591088211585</v>
      </c>
      <c r="P794" s="69">
        <f t="shared" ca="1" si="531"/>
        <v>725.43492124863008</v>
      </c>
      <c r="Q794" s="69">
        <f t="shared" ca="1" si="532"/>
        <v>958.74573468534493</v>
      </c>
      <c r="R794" s="69">
        <f t="shared" ca="1" si="533"/>
        <v>778.8698303038974</v>
      </c>
      <c r="S794" s="69">
        <f t="shared" ca="1" si="534"/>
        <v>704.52500697717949</v>
      </c>
      <c r="T794" s="69">
        <f t="shared" ca="1" si="535"/>
        <v>795.60183423070691</v>
      </c>
      <c r="U794" s="69">
        <f t="shared" ca="1" si="536"/>
        <v>1695.005568674012</v>
      </c>
      <c r="V794" s="69">
        <f t="shared" ca="1" si="537"/>
        <v>1911.0133928894097</v>
      </c>
      <c r="W794" s="69">
        <f t="shared" ca="1" si="538"/>
        <v>1181.6654313422744</v>
      </c>
      <c r="X794" s="69">
        <f t="shared" ca="1" si="539"/>
        <v>1487.5408101275038</v>
      </c>
      <c r="Y794" s="69">
        <f t="shared" ca="1" si="540"/>
        <v>1202.4907999155455</v>
      </c>
      <c r="AA794" s="20">
        <f t="shared" ca="1" si="500"/>
        <v>6.5535198647048128E+16</v>
      </c>
      <c r="AB794" s="20">
        <f t="shared" ca="1" si="501"/>
        <v>1669929805842489.8</v>
      </c>
      <c r="AC794" s="20">
        <f t="shared" ca="1" si="502"/>
        <v>401809718662068.56</v>
      </c>
      <c r="AD794" s="20">
        <f t="shared" ca="1" si="503"/>
        <v>303639993261317.81</v>
      </c>
      <c r="AE794" s="20">
        <f t="shared" ca="1" si="504"/>
        <v>6846680191688681</v>
      </c>
      <c r="AG794" s="16">
        <f t="shared" ca="1" si="505"/>
        <v>2.0380335856403926E-4</v>
      </c>
      <c r="AH794" s="16">
        <f t="shared" ca="1" si="506"/>
        <v>-6.5651005320420701E-4</v>
      </c>
      <c r="AI794" s="16">
        <f t="shared" ca="1" si="507"/>
        <v>-2.6502541315316826E-4</v>
      </c>
      <c r="AJ794" s="16">
        <f t="shared" ca="1" si="508"/>
        <v>-3.4681497607829971E-4</v>
      </c>
      <c r="AK794" s="16">
        <f t="shared" ca="1" si="509"/>
        <v>-1.6784083505306003E-5</v>
      </c>
      <c r="AM794" s="16">
        <f t="shared" ca="1" si="510"/>
        <v>-1.0645470838716357E-3</v>
      </c>
      <c r="AO794" s="16">
        <f t="shared" ca="1" si="511"/>
        <v>0</v>
      </c>
      <c r="AP794" s="16">
        <f t="shared" ca="1" si="512"/>
        <v>-6.5651005320420701E-4</v>
      </c>
      <c r="AQ794" s="16">
        <f t="shared" ca="1" si="513"/>
        <v>-2.6502541315316826E-4</v>
      </c>
      <c r="AR794" s="16">
        <f t="shared" ca="1" si="514"/>
        <v>-3.4681497607829971E-4</v>
      </c>
      <c r="AS794" s="16">
        <f t="shared" ca="1" si="515"/>
        <v>-1.6784083505306003E-5</v>
      </c>
    </row>
    <row r="795" spans="1:45" x14ac:dyDescent="0.25">
      <c r="A795" s="69">
        <f t="shared" ca="1" si="516"/>
        <v>2449.3464587411377</v>
      </c>
      <c r="B795" s="69">
        <f t="shared" ca="1" si="517"/>
        <v>2139.363408035008</v>
      </c>
      <c r="C795" s="69">
        <f t="shared" ca="1" si="518"/>
        <v>2232.9940346681528</v>
      </c>
      <c r="D795" s="69">
        <f t="shared" ca="1" si="519"/>
        <v>2902.6383095267879</v>
      </c>
      <c r="E795" s="69">
        <f t="shared" ca="1" si="520"/>
        <v>1929.9580164024999</v>
      </c>
      <c r="F795" s="69">
        <f t="shared" ca="1" si="521"/>
        <v>1218.1445142407781</v>
      </c>
      <c r="G795" s="69">
        <f t="shared" ca="1" si="522"/>
        <v>967.86693865859581</v>
      </c>
      <c r="H795" s="69">
        <f t="shared" ca="1" si="523"/>
        <v>1183.1919954250341</v>
      </c>
      <c r="I795" s="69">
        <f t="shared" ca="1" si="524"/>
        <v>1049.0852729894107</v>
      </c>
      <c r="J795" s="69">
        <f t="shared" ca="1" si="525"/>
        <v>1140.3354233397015</v>
      </c>
      <c r="K795" s="69">
        <f t="shared" ca="1" si="526"/>
        <v>1171.7021589072422</v>
      </c>
      <c r="L795" s="69">
        <f t="shared" ca="1" si="527"/>
        <v>961.68215169243683</v>
      </c>
      <c r="M795" s="69">
        <f t="shared" ca="1" si="528"/>
        <v>994.13302564976311</v>
      </c>
      <c r="N795" s="69">
        <f t="shared" ca="1" si="529"/>
        <v>569.51682654345529</v>
      </c>
      <c r="O795" s="69">
        <f t="shared" ca="1" si="530"/>
        <v>629.6591088211585</v>
      </c>
      <c r="P795" s="69">
        <f t="shared" ca="1" si="531"/>
        <v>725.43515843144644</v>
      </c>
      <c r="Q795" s="69">
        <f t="shared" ca="1" si="532"/>
        <v>958.54956470351533</v>
      </c>
      <c r="R795" s="69">
        <f t="shared" ca="1" si="533"/>
        <v>778.75884152596871</v>
      </c>
      <c r="S795" s="69">
        <f t="shared" ca="1" si="534"/>
        <v>704.52500697717949</v>
      </c>
      <c r="T795" s="69">
        <f t="shared" ca="1" si="535"/>
        <v>795.60183423070691</v>
      </c>
      <c r="U795" s="69">
        <f t="shared" ca="1" si="536"/>
        <v>1695.1083945672376</v>
      </c>
      <c r="V795" s="69">
        <f t="shared" ca="1" si="537"/>
        <v>1911.0133928894097</v>
      </c>
      <c r="W795" s="69">
        <f t="shared" ca="1" si="538"/>
        <v>1181.7433534498405</v>
      </c>
      <c r="X795" s="69">
        <f t="shared" ca="1" si="539"/>
        <v>1487.517218136099</v>
      </c>
      <c r="Y795" s="69">
        <f t="shared" ca="1" si="540"/>
        <v>1202.3374597992267</v>
      </c>
      <c r="AA795" s="20">
        <f t="shared" ca="1" si="500"/>
        <v>6.5548556301757776E+16</v>
      </c>
      <c r="AB795" s="20">
        <f t="shared" ca="1" si="501"/>
        <v>1668833839932491.8</v>
      </c>
      <c r="AC795" s="20">
        <f t="shared" ca="1" si="502"/>
        <v>401703242985374.5</v>
      </c>
      <c r="AD795" s="20">
        <f t="shared" ca="1" si="503"/>
        <v>303534704623212.06</v>
      </c>
      <c r="AE795" s="20">
        <f t="shared" ca="1" si="504"/>
        <v>6846565277400978</v>
      </c>
      <c r="AG795" s="16">
        <f t="shared" ca="1" si="505"/>
        <v>-1.8584527327788722E-5</v>
      </c>
      <c r="AH795" s="16">
        <f t="shared" ca="1" si="506"/>
        <v>3.0999844707523097E-4</v>
      </c>
      <c r="AI795" s="16">
        <f t="shared" ca="1" si="507"/>
        <v>3.5759492893357538E-4</v>
      </c>
      <c r="AJ795" s="16">
        <f t="shared" ca="1" si="508"/>
        <v>4.5199573483385063E-4</v>
      </c>
      <c r="AK795" s="16">
        <f t="shared" ca="1" si="509"/>
        <v>1.6919782595182156E-4</v>
      </c>
      <c r="AM795" s="16">
        <f t="shared" ca="1" si="510"/>
        <v>1.1010045835148682E-3</v>
      </c>
      <c r="AO795" s="16">
        <f t="shared" ca="1" si="511"/>
        <v>-1.8584527327788722E-5</v>
      </c>
      <c r="AP795" s="16">
        <f t="shared" ca="1" si="512"/>
        <v>0</v>
      </c>
      <c r="AQ795" s="16">
        <f t="shared" ca="1" si="513"/>
        <v>0</v>
      </c>
      <c r="AR795" s="16">
        <f t="shared" ca="1" si="514"/>
        <v>0</v>
      </c>
      <c r="AS795" s="16">
        <f t="shared" ca="1" si="515"/>
        <v>0</v>
      </c>
    </row>
    <row r="796" spans="1:45" x14ac:dyDescent="0.25">
      <c r="A796" s="69">
        <f t="shared" ca="1" si="516"/>
        <v>2449.3237750098697</v>
      </c>
      <c r="B796" s="69">
        <f t="shared" ca="1" si="517"/>
        <v>2139.363408035008</v>
      </c>
      <c r="C796" s="69">
        <f t="shared" ca="1" si="518"/>
        <v>2232.9940346681528</v>
      </c>
      <c r="D796" s="69">
        <f t="shared" ca="1" si="519"/>
        <v>2902.953460216595</v>
      </c>
      <c r="E796" s="69">
        <f t="shared" ca="1" si="520"/>
        <v>1929.7305044966643</v>
      </c>
      <c r="F796" s="69">
        <f t="shared" ca="1" si="521"/>
        <v>1217.9331596388915</v>
      </c>
      <c r="G796" s="69">
        <f t="shared" ca="1" si="522"/>
        <v>967.86693865859581</v>
      </c>
      <c r="H796" s="69">
        <f t="shared" ca="1" si="523"/>
        <v>1183.6832787451667</v>
      </c>
      <c r="I796" s="69">
        <f t="shared" ca="1" si="524"/>
        <v>1049.0852729894107</v>
      </c>
      <c r="J796" s="69">
        <f t="shared" ca="1" si="525"/>
        <v>1140.4134094896235</v>
      </c>
      <c r="K796" s="69">
        <f t="shared" ca="1" si="526"/>
        <v>1171.7021589072422</v>
      </c>
      <c r="L796" s="69">
        <f t="shared" ca="1" si="527"/>
        <v>961.93030986255701</v>
      </c>
      <c r="M796" s="69">
        <f t="shared" ca="1" si="528"/>
        <v>994.13302564976311</v>
      </c>
      <c r="N796" s="69">
        <f t="shared" ca="1" si="529"/>
        <v>569.51535249232109</v>
      </c>
      <c r="O796" s="69">
        <f t="shared" ca="1" si="530"/>
        <v>629.72344471504186</v>
      </c>
      <c r="P796" s="69">
        <f t="shared" ca="1" si="531"/>
        <v>725.43515843144644</v>
      </c>
      <c r="Q796" s="69">
        <f t="shared" ca="1" si="532"/>
        <v>958.88902947129532</v>
      </c>
      <c r="R796" s="69">
        <f t="shared" ca="1" si="533"/>
        <v>779.0435935170824</v>
      </c>
      <c r="S796" s="69">
        <f t="shared" ca="1" si="534"/>
        <v>704.52500697717949</v>
      </c>
      <c r="T796" s="69">
        <f t="shared" ca="1" si="535"/>
        <v>795.38890603667596</v>
      </c>
      <c r="U796" s="69">
        <f t="shared" ca="1" si="536"/>
        <v>1694.8469314034323</v>
      </c>
      <c r="V796" s="69">
        <f t="shared" ca="1" si="537"/>
        <v>1911.0133928894097</v>
      </c>
      <c r="W796" s="69">
        <f t="shared" ca="1" si="538"/>
        <v>1181.8612805197286</v>
      </c>
      <c r="X796" s="69">
        <f t="shared" ca="1" si="539"/>
        <v>1487.5219094251388</v>
      </c>
      <c r="Y796" s="69">
        <f t="shared" ca="1" si="540"/>
        <v>1202.6026235174963</v>
      </c>
      <c r="AA796" s="20">
        <f t="shared" ca="1" si="500"/>
        <v>6.5547338124141552E+16</v>
      </c>
      <c r="AB796" s="20">
        <f t="shared" ca="1" si="501"/>
        <v>1669351256026246.5</v>
      </c>
      <c r="AC796" s="20">
        <f t="shared" ca="1" si="502"/>
        <v>401846915714791</v>
      </c>
      <c r="AD796" s="20">
        <f t="shared" ca="1" si="503"/>
        <v>303671932025839.88</v>
      </c>
      <c r="AE796" s="20">
        <f t="shared" ca="1" si="504"/>
        <v>6847723799368087</v>
      </c>
      <c r="AG796" s="16">
        <f t="shared" ca="1" si="505"/>
        <v>-7.9656750425260656E-6</v>
      </c>
      <c r="AH796" s="16">
        <f t="shared" ca="1" si="506"/>
        <v>-3.632780355073801E-4</v>
      </c>
      <c r="AI796" s="16">
        <f t="shared" ca="1" si="507"/>
        <v>4.9080748897079333E-4</v>
      </c>
      <c r="AJ796" s="16">
        <f t="shared" ca="1" si="508"/>
        <v>-1.4003079254162754E-4</v>
      </c>
      <c r="AK796" s="16">
        <f t="shared" ca="1" si="509"/>
        <v>1.2039377656529584E-4</v>
      </c>
      <c r="AM796" s="16">
        <f t="shared" ca="1" si="510"/>
        <v>-2.046701412074039E-5</v>
      </c>
      <c r="AO796" s="16">
        <f t="shared" ca="1" si="511"/>
        <v>-7.9656750425260656E-6</v>
      </c>
      <c r="AP796" s="16">
        <f t="shared" ca="1" si="512"/>
        <v>-3.632780355073801E-4</v>
      </c>
      <c r="AQ796" s="16">
        <f t="shared" ca="1" si="513"/>
        <v>0</v>
      </c>
      <c r="AR796" s="16">
        <f t="shared" ca="1" si="514"/>
        <v>-1.4003079254162754E-4</v>
      </c>
      <c r="AS796" s="16">
        <f t="shared" ca="1" si="515"/>
        <v>0</v>
      </c>
    </row>
    <row r="797" spans="1:45" x14ac:dyDescent="0.25">
      <c r="A797" s="69">
        <f t="shared" ca="1" si="516"/>
        <v>2449.2612099306693</v>
      </c>
      <c r="B797" s="69">
        <f t="shared" ca="1" si="517"/>
        <v>2139.260942651149</v>
      </c>
      <c r="C797" s="69">
        <f t="shared" ca="1" si="518"/>
        <v>2232.9940346681528</v>
      </c>
      <c r="D797" s="69">
        <f t="shared" ca="1" si="519"/>
        <v>2902.7811839829992</v>
      </c>
      <c r="E797" s="69">
        <f t="shared" ca="1" si="520"/>
        <v>1929.9713919717312</v>
      </c>
      <c r="F797" s="69">
        <f t="shared" ca="1" si="521"/>
        <v>1217.9331596388915</v>
      </c>
      <c r="G797" s="69">
        <f t="shared" ca="1" si="522"/>
        <v>967.88389047963688</v>
      </c>
      <c r="H797" s="69">
        <f t="shared" ca="1" si="523"/>
        <v>1183.5720297779667</v>
      </c>
      <c r="I797" s="69">
        <f t="shared" ca="1" si="524"/>
        <v>1048.7844356776866</v>
      </c>
      <c r="J797" s="69">
        <f t="shared" ca="1" si="525"/>
        <v>1140.4134094896235</v>
      </c>
      <c r="K797" s="69">
        <f t="shared" ca="1" si="526"/>
        <v>1171.7021589072422</v>
      </c>
      <c r="L797" s="69">
        <f t="shared" ca="1" si="527"/>
        <v>962.37953468280114</v>
      </c>
      <c r="M797" s="69">
        <f t="shared" ca="1" si="528"/>
        <v>993.68066145110379</v>
      </c>
      <c r="N797" s="69">
        <f t="shared" ca="1" si="529"/>
        <v>569.78824442751056</v>
      </c>
      <c r="O797" s="69">
        <f t="shared" ca="1" si="530"/>
        <v>629.72344471504186</v>
      </c>
      <c r="P797" s="69">
        <f t="shared" ca="1" si="531"/>
        <v>724.9832427509109</v>
      </c>
      <c r="Q797" s="69">
        <f t="shared" ca="1" si="532"/>
        <v>959.3654262770757</v>
      </c>
      <c r="R797" s="69">
        <f t="shared" ca="1" si="533"/>
        <v>779.0435935170824</v>
      </c>
      <c r="S797" s="69">
        <f t="shared" ca="1" si="534"/>
        <v>704.41685330094003</v>
      </c>
      <c r="T797" s="69">
        <f t="shared" ca="1" si="535"/>
        <v>795.50022677107495</v>
      </c>
      <c r="U797" s="69">
        <f t="shared" ca="1" si="536"/>
        <v>1694.6261470757786</v>
      </c>
      <c r="V797" s="69">
        <f t="shared" ca="1" si="537"/>
        <v>1911.0133928894097</v>
      </c>
      <c r="W797" s="69">
        <f t="shared" ca="1" si="538"/>
        <v>1181.8612805197286</v>
      </c>
      <c r="X797" s="69">
        <f t="shared" ca="1" si="539"/>
        <v>1487.894833677394</v>
      </c>
      <c r="Y797" s="69">
        <f t="shared" ca="1" si="540"/>
        <v>1202.6026235174963</v>
      </c>
      <c r="AA797" s="20">
        <f t="shared" ca="1" si="500"/>
        <v>6.5546815997425704E+16</v>
      </c>
      <c r="AB797" s="20">
        <f t="shared" ca="1" si="501"/>
        <v>1668744927520967.8</v>
      </c>
      <c r="AC797" s="20">
        <f t="shared" ca="1" si="502"/>
        <v>402044193599214.94</v>
      </c>
      <c r="AD797" s="20">
        <f t="shared" ca="1" si="503"/>
        <v>303629411581680.88</v>
      </c>
      <c r="AE797" s="20">
        <f t="shared" ca="1" si="504"/>
        <v>6848548272326880</v>
      </c>
      <c r="AG797" s="16">
        <f t="shared" ca="1" si="505"/>
        <v>-4.1097725977880137E-5</v>
      </c>
      <c r="AH797" s="16">
        <f t="shared" ca="1" si="506"/>
        <v>-1.4590909600740588E-3</v>
      </c>
      <c r="AI797" s="16">
        <f t="shared" ca="1" si="507"/>
        <v>3.2382780949383042E-4</v>
      </c>
      <c r="AJ797" s="16">
        <f t="shared" ca="1" si="508"/>
        <v>-9.8002361080187024E-4</v>
      </c>
      <c r="AK797" s="16">
        <f t="shared" ca="1" si="509"/>
        <v>-6.3913575395634076E-5</v>
      </c>
      <c r="AM797" s="16">
        <f t="shared" ca="1" si="510"/>
        <v>-2.1563844873599787E-3</v>
      </c>
      <c r="AO797" s="16">
        <f t="shared" ca="1" si="511"/>
        <v>-4.1097725977880137E-5</v>
      </c>
      <c r="AP797" s="16">
        <f t="shared" ca="1" si="512"/>
        <v>-1.4590909600740588E-3</v>
      </c>
      <c r="AQ797" s="16">
        <f t="shared" ca="1" si="513"/>
        <v>0</v>
      </c>
      <c r="AR797" s="16">
        <f t="shared" ca="1" si="514"/>
        <v>-9.8002361080187024E-4</v>
      </c>
      <c r="AS797" s="16">
        <f t="shared" ca="1" si="515"/>
        <v>-6.3913575395634076E-5</v>
      </c>
    </row>
    <row r="798" spans="1:45" x14ac:dyDescent="0.25">
      <c r="A798" s="69">
        <f t="shared" ca="1" si="516"/>
        <v>2449.2612099306693</v>
      </c>
      <c r="B798" s="69">
        <f t="shared" ca="1" si="517"/>
        <v>2139.1299764573582</v>
      </c>
      <c r="C798" s="69">
        <f t="shared" ca="1" si="518"/>
        <v>2232.6762183293536</v>
      </c>
      <c r="D798" s="69">
        <f t="shared" ca="1" si="519"/>
        <v>2902.7811839829992</v>
      </c>
      <c r="E798" s="69">
        <f t="shared" ca="1" si="520"/>
        <v>1930.2849644988082</v>
      </c>
      <c r="F798" s="69">
        <f t="shared" ca="1" si="521"/>
        <v>1217.5003731811889</v>
      </c>
      <c r="G798" s="69">
        <f t="shared" ca="1" si="522"/>
        <v>967.5901961065191</v>
      </c>
      <c r="H798" s="69">
        <f t="shared" ca="1" si="523"/>
        <v>1183.2594096311543</v>
      </c>
      <c r="I798" s="69">
        <f t="shared" ca="1" si="524"/>
        <v>1048.5643785674854</v>
      </c>
      <c r="J798" s="69">
        <f t="shared" ca="1" si="525"/>
        <v>1140.0414829004287</v>
      </c>
      <c r="K798" s="69">
        <f t="shared" ca="1" si="526"/>
        <v>1171.7021589072422</v>
      </c>
      <c r="L798" s="69">
        <f t="shared" ca="1" si="527"/>
        <v>962.80625194185041</v>
      </c>
      <c r="M798" s="69">
        <f t="shared" ca="1" si="528"/>
        <v>993.56195150606732</v>
      </c>
      <c r="N798" s="69">
        <f t="shared" ca="1" si="529"/>
        <v>569.78824442751056</v>
      </c>
      <c r="O798" s="69">
        <f t="shared" ca="1" si="530"/>
        <v>629.72344471504186</v>
      </c>
      <c r="P798" s="69">
        <f t="shared" ca="1" si="531"/>
        <v>724.65492423075409</v>
      </c>
      <c r="Q798" s="69">
        <f t="shared" ca="1" si="532"/>
        <v>959.3654262770757</v>
      </c>
      <c r="R798" s="69">
        <f t="shared" ca="1" si="533"/>
        <v>778.6448167122652</v>
      </c>
      <c r="S798" s="69">
        <f t="shared" ca="1" si="534"/>
        <v>703.97335174651903</v>
      </c>
      <c r="T798" s="69">
        <f t="shared" ca="1" si="535"/>
        <v>795.98941315886407</v>
      </c>
      <c r="U798" s="69">
        <f t="shared" ca="1" si="536"/>
        <v>1694.6261470757786</v>
      </c>
      <c r="V798" s="69">
        <f t="shared" ca="1" si="537"/>
        <v>1911.0133928894097</v>
      </c>
      <c r="W798" s="69">
        <f t="shared" ca="1" si="538"/>
        <v>1181.8612805197286</v>
      </c>
      <c r="X798" s="69">
        <f t="shared" ca="1" si="539"/>
        <v>1487.894833677394</v>
      </c>
      <c r="Y798" s="69">
        <f t="shared" ca="1" si="540"/>
        <v>1202.5257633402778</v>
      </c>
      <c r="AA798" s="20">
        <f t="shared" ca="1" si="500"/>
        <v>6.55441222276974E+16</v>
      </c>
      <c r="AB798" s="20">
        <f t="shared" ca="1" si="501"/>
        <v>1666311852353201</v>
      </c>
      <c r="AC798" s="20">
        <f t="shared" ca="1" si="502"/>
        <v>402174407772095.19</v>
      </c>
      <c r="AD798" s="20">
        <f t="shared" ca="1" si="503"/>
        <v>303331993351645.31</v>
      </c>
      <c r="AE798" s="20">
        <f t="shared" ca="1" si="504"/>
        <v>6848110571108200</v>
      </c>
      <c r="AG798" s="16">
        <f t="shared" ca="1" si="505"/>
        <v>6.4618840422453374E-6</v>
      </c>
      <c r="AH798" s="16">
        <f t="shared" ca="1" si="506"/>
        <v>7.3455250946214334E-4</v>
      </c>
      <c r="AI798" s="16">
        <f t="shared" ca="1" si="507"/>
        <v>-4.6853943519545805E-5</v>
      </c>
      <c r="AJ798" s="16">
        <f t="shared" ca="1" si="508"/>
        <v>2.0463794617660844E-4</v>
      </c>
      <c r="AK798" s="16">
        <f t="shared" ca="1" si="509"/>
        <v>1.8724714679326581E-4</v>
      </c>
      <c r="AM798" s="16">
        <f t="shared" ca="1" si="510"/>
        <v>8.9879839616145132E-4</v>
      </c>
      <c r="AO798" s="16">
        <f t="shared" ca="1" si="511"/>
        <v>0</v>
      </c>
      <c r="AP798" s="16">
        <f t="shared" ca="1" si="512"/>
        <v>0</v>
      </c>
      <c r="AQ798" s="16">
        <f t="shared" ca="1" si="513"/>
        <v>-4.6853943519545805E-5</v>
      </c>
      <c r="AR798" s="16">
        <f t="shared" ca="1" si="514"/>
        <v>0</v>
      </c>
      <c r="AS798" s="16">
        <f t="shared" ca="1" si="515"/>
        <v>0</v>
      </c>
    </row>
    <row r="799" spans="1:45" x14ac:dyDescent="0.25">
      <c r="A799" s="69">
        <f t="shared" ca="1" si="516"/>
        <v>2448.7867772430445</v>
      </c>
      <c r="B799" s="69">
        <f t="shared" ca="1" si="517"/>
        <v>2139.4532957681095</v>
      </c>
      <c r="C799" s="69">
        <f t="shared" ca="1" si="518"/>
        <v>2232.383877614533</v>
      </c>
      <c r="D799" s="69">
        <f t="shared" ca="1" si="519"/>
        <v>2902.7811839829992</v>
      </c>
      <c r="E799" s="69">
        <f t="shared" ca="1" si="520"/>
        <v>1930.6324415859708</v>
      </c>
      <c r="F799" s="69">
        <f t="shared" ca="1" si="521"/>
        <v>1217.8872620464945</v>
      </c>
      <c r="G799" s="69">
        <f t="shared" ca="1" si="522"/>
        <v>967.88252223974064</v>
      </c>
      <c r="H799" s="69">
        <f t="shared" ca="1" si="523"/>
        <v>1183.3952056815385</v>
      </c>
      <c r="I799" s="69">
        <f t="shared" ca="1" si="524"/>
        <v>1048.5643785674854</v>
      </c>
      <c r="J799" s="69">
        <f t="shared" ca="1" si="525"/>
        <v>1140.0414829004287</v>
      </c>
      <c r="K799" s="69">
        <f t="shared" ca="1" si="526"/>
        <v>1171.7021589072422</v>
      </c>
      <c r="L799" s="69">
        <f t="shared" ca="1" si="527"/>
        <v>962.99953922772158</v>
      </c>
      <c r="M799" s="69">
        <f t="shared" ca="1" si="528"/>
        <v>993.99449227512105</v>
      </c>
      <c r="N799" s="69">
        <f t="shared" ca="1" si="529"/>
        <v>569.39930492337771</v>
      </c>
      <c r="O799" s="69">
        <f t="shared" ca="1" si="530"/>
        <v>629.72344471504186</v>
      </c>
      <c r="P799" s="69">
        <f t="shared" ca="1" si="531"/>
        <v>724.52269826376437</v>
      </c>
      <c r="Q799" s="69">
        <f t="shared" ca="1" si="532"/>
        <v>958.87942723803155</v>
      </c>
      <c r="R799" s="69">
        <f t="shared" ca="1" si="533"/>
        <v>778.87614538089611</v>
      </c>
      <c r="S799" s="69">
        <f t="shared" ca="1" si="534"/>
        <v>703.97335174651903</v>
      </c>
      <c r="T799" s="69">
        <f t="shared" ca="1" si="535"/>
        <v>796.46459109966611</v>
      </c>
      <c r="U799" s="69">
        <f t="shared" ca="1" si="536"/>
        <v>1694.7132373248671</v>
      </c>
      <c r="V799" s="69">
        <f t="shared" ca="1" si="537"/>
        <v>1911.2175090746164</v>
      </c>
      <c r="W799" s="69">
        <f t="shared" ca="1" si="538"/>
        <v>1181.8612805197286</v>
      </c>
      <c r="X799" s="69">
        <f t="shared" ca="1" si="539"/>
        <v>1487.9380602035278</v>
      </c>
      <c r="Y799" s="69">
        <f t="shared" ca="1" si="540"/>
        <v>1202.5257633402778</v>
      </c>
      <c r="AA799" s="20">
        <f t="shared" ca="1" si="500"/>
        <v>6.554454576758332E+16</v>
      </c>
      <c r="AB799" s="20">
        <f t="shared" ca="1" si="501"/>
        <v>1667536295559752.8</v>
      </c>
      <c r="AC799" s="20">
        <f t="shared" ca="1" si="502"/>
        <v>402155564756546.69</v>
      </c>
      <c r="AD799" s="20">
        <f t="shared" ca="1" si="503"/>
        <v>303394072939477.5</v>
      </c>
      <c r="AE799" s="20">
        <f t="shared" ca="1" si="504"/>
        <v>6849392980333552</v>
      </c>
      <c r="AG799" s="16">
        <f t="shared" ca="1" si="505"/>
        <v>-1.719728872154531E-4</v>
      </c>
      <c r="AH799" s="16">
        <f t="shared" ca="1" si="506"/>
        <v>-8.7019811631512935E-5</v>
      </c>
      <c r="AI799" s="16">
        <f t="shared" ca="1" si="507"/>
        <v>9.9854880924688606E-6</v>
      </c>
      <c r="AJ799" s="16">
        <f t="shared" ca="1" si="508"/>
        <v>1.0007617201693551E-3</v>
      </c>
      <c r="AK799" s="16">
        <f t="shared" ca="1" si="509"/>
        <v>-3.6789082401834857E-4</v>
      </c>
      <c r="AM799" s="16">
        <f t="shared" ca="1" si="510"/>
        <v>7.5175450941485794E-4</v>
      </c>
      <c r="AO799" s="16">
        <f t="shared" ca="1" si="511"/>
        <v>-1.719728872154531E-4</v>
      </c>
      <c r="AP799" s="16">
        <f t="shared" ca="1" si="512"/>
        <v>-8.7019811631512935E-5</v>
      </c>
      <c r="AQ799" s="16">
        <f t="shared" ca="1" si="513"/>
        <v>0</v>
      </c>
      <c r="AR799" s="16">
        <f t="shared" ca="1" si="514"/>
        <v>0</v>
      </c>
      <c r="AS799" s="16">
        <f t="shared" ca="1" si="515"/>
        <v>-3.6789082401834857E-4</v>
      </c>
    </row>
    <row r="800" spans="1:45" x14ac:dyDescent="0.25">
      <c r="A800" s="69">
        <f t="shared" ca="1" si="516"/>
        <v>2448.7867772430445</v>
      </c>
      <c r="B800" s="69">
        <f t="shared" ca="1" si="517"/>
        <v>2139.2921170372747</v>
      </c>
      <c r="C800" s="69">
        <f t="shared" ca="1" si="518"/>
        <v>2232.2756340323817</v>
      </c>
      <c r="D800" s="69">
        <f t="shared" ca="1" si="519"/>
        <v>2902.6414341824084</v>
      </c>
      <c r="E800" s="69">
        <f t="shared" ca="1" si="520"/>
        <v>1930.6324415859708</v>
      </c>
      <c r="F800" s="69">
        <f t="shared" ca="1" si="521"/>
        <v>1217.874585612002</v>
      </c>
      <c r="G800" s="69">
        <f t="shared" ca="1" si="522"/>
        <v>968.04944484112059</v>
      </c>
      <c r="H800" s="69">
        <f t="shared" ca="1" si="523"/>
        <v>1183.5073733696779</v>
      </c>
      <c r="I800" s="69">
        <f t="shared" ca="1" si="524"/>
        <v>1048.642313484992</v>
      </c>
      <c r="J800" s="69">
        <f t="shared" ca="1" si="525"/>
        <v>1139.5648619973058</v>
      </c>
      <c r="K800" s="69">
        <f t="shared" ca="1" si="526"/>
        <v>1172.0352397620113</v>
      </c>
      <c r="L800" s="69">
        <f t="shared" ca="1" si="527"/>
        <v>962.99953922772158</v>
      </c>
      <c r="M800" s="69">
        <f t="shared" ca="1" si="528"/>
        <v>994.23560373022497</v>
      </c>
      <c r="N800" s="69">
        <f t="shared" ca="1" si="529"/>
        <v>569.39930492337771</v>
      </c>
      <c r="O800" s="69">
        <f t="shared" ca="1" si="530"/>
        <v>629.39809789977903</v>
      </c>
      <c r="P800" s="69">
        <f t="shared" ca="1" si="531"/>
        <v>724.4839260961287</v>
      </c>
      <c r="Q800" s="69">
        <f t="shared" ca="1" si="532"/>
        <v>959.36623584068468</v>
      </c>
      <c r="R800" s="69">
        <f t="shared" ca="1" si="533"/>
        <v>779.05706247829289</v>
      </c>
      <c r="S800" s="69">
        <f t="shared" ca="1" si="534"/>
        <v>703.87604685205883</v>
      </c>
      <c r="T800" s="69">
        <f t="shared" ca="1" si="535"/>
        <v>796.82523258811921</v>
      </c>
      <c r="U800" s="69">
        <f t="shared" ca="1" si="536"/>
        <v>1694.7132373248671</v>
      </c>
      <c r="V800" s="69">
        <f t="shared" ca="1" si="537"/>
        <v>1911.2243219003331</v>
      </c>
      <c r="W800" s="69">
        <f t="shared" ca="1" si="538"/>
        <v>1181.8612805197286</v>
      </c>
      <c r="X800" s="69">
        <f t="shared" ca="1" si="539"/>
        <v>1487.9380602035278</v>
      </c>
      <c r="Y800" s="69">
        <f t="shared" ca="1" si="540"/>
        <v>1202.0791615192998</v>
      </c>
      <c r="AA800" s="20">
        <f t="shared" ca="1" si="500"/>
        <v>6.5533274851980168E+16</v>
      </c>
      <c r="AB800" s="20">
        <f t="shared" ca="1" si="501"/>
        <v>1667391193178907</v>
      </c>
      <c r="AC800" s="20">
        <f t="shared" ca="1" si="502"/>
        <v>402159580496199.38</v>
      </c>
      <c r="AD800" s="20">
        <f t="shared" ca="1" si="503"/>
        <v>303697850092721.44</v>
      </c>
      <c r="AE800" s="20">
        <f t="shared" ca="1" si="504"/>
        <v>6846873614960108</v>
      </c>
      <c r="AG800" s="16">
        <f t="shared" ca="1" si="505"/>
        <v>-1.1831186562868247E-5</v>
      </c>
      <c r="AH800" s="16">
        <f t="shared" ca="1" si="506"/>
        <v>4.3512462813769925E-4</v>
      </c>
      <c r="AI800" s="16">
        <f t="shared" ca="1" si="507"/>
        <v>7.9984798065472736E-4</v>
      </c>
      <c r="AJ800" s="16">
        <f t="shared" ca="1" si="508"/>
        <v>1.009612465153666E-3</v>
      </c>
      <c r="AK800" s="16">
        <f t="shared" ca="1" si="509"/>
        <v>-1.3370407957366326E-4</v>
      </c>
      <c r="AM800" s="16">
        <f t="shared" ca="1" si="510"/>
        <v>2.2327538873832243E-3</v>
      </c>
      <c r="AO800" s="16">
        <f t="shared" ca="1" si="511"/>
        <v>-1.1831186562868247E-5</v>
      </c>
      <c r="AP800" s="16">
        <f t="shared" ca="1" si="512"/>
        <v>0</v>
      </c>
      <c r="AQ800" s="16">
        <f t="shared" ca="1" si="513"/>
        <v>0</v>
      </c>
      <c r="AR800" s="16">
        <f t="shared" ca="1" si="514"/>
        <v>0</v>
      </c>
      <c r="AS800" s="16">
        <f t="shared" ca="1" si="515"/>
        <v>-1.3370407957366326E-4</v>
      </c>
    </row>
    <row r="801" spans="1:45" x14ac:dyDescent="0.25">
      <c r="A801" s="69">
        <f t="shared" ca="1" si="516"/>
        <v>2448.4251808332756</v>
      </c>
      <c r="B801" s="69">
        <f t="shared" ca="1" si="517"/>
        <v>2139.2921170372747</v>
      </c>
      <c r="C801" s="69">
        <f t="shared" ca="1" si="518"/>
        <v>2232.2756340323817</v>
      </c>
      <c r="D801" s="69">
        <f t="shared" ca="1" si="519"/>
        <v>2902.6414341824084</v>
      </c>
      <c r="E801" s="69">
        <f t="shared" ca="1" si="520"/>
        <v>1930.8947227083581</v>
      </c>
      <c r="F801" s="69">
        <f t="shared" ca="1" si="521"/>
        <v>1218.1009188434198</v>
      </c>
      <c r="G801" s="69">
        <f t="shared" ca="1" si="522"/>
        <v>967.82032505531322</v>
      </c>
      <c r="H801" s="69">
        <f t="shared" ca="1" si="523"/>
        <v>1183.7717376051328</v>
      </c>
      <c r="I801" s="69">
        <f t="shared" ca="1" si="524"/>
        <v>1048.9177864775768</v>
      </c>
      <c r="J801" s="69">
        <f t="shared" ca="1" si="525"/>
        <v>1139.5648619973058</v>
      </c>
      <c r="K801" s="69">
        <f t="shared" ca="1" si="526"/>
        <v>1172.2847609490971</v>
      </c>
      <c r="L801" s="69">
        <f t="shared" ca="1" si="527"/>
        <v>962.99953922772158</v>
      </c>
      <c r="M801" s="69">
        <f t="shared" ca="1" si="528"/>
        <v>994.23560373022497</v>
      </c>
      <c r="N801" s="69">
        <f t="shared" ca="1" si="529"/>
        <v>569.73362619235445</v>
      </c>
      <c r="O801" s="69">
        <f t="shared" ca="1" si="530"/>
        <v>629.39809789977903</v>
      </c>
      <c r="P801" s="69">
        <f t="shared" ca="1" si="531"/>
        <v>724.72747582188106</v>
      </c>
      <c r="Q801" s="69">
        <f t="shared" ca="1" si="532"/>
        <v>959.80352926531486</v>
      </c>
      <c r="R801" s="69">
        <f t="shared" ca="1" si="533"/>
        <v>779.22398586925635</v>
      </c>
      <c r="S801" s="69">
        <f t="shared" ca="1" si="534"/>
        <v>704.25270581931136</v>
      </c>
      <c r="T801" s="69">
        <f t="shared" ca="1" si="535"/>
        <v>796.40188786071622</v>
      </c>
      <c r="U801" s="69">
        <f t="shared" ca="1" si="536"/>
        <v>1694.6432564506886</v>
      </c>
      <c r="V801" s="69">
        <f t="shared" ca="1" si="537"/>
        <v>1911.216774380591</v>
      </c>
      <c r="W801" s="69">
        <f t="shared" ca="1" si="538"/>
        <v>1182.3308733784454</v>
      </c>
      <c r="X801" s="69">
        <f t="shared" ca="1" si="539"/>
        <v>1487.7176206210431</v>
      </c>
      <c r="Y801" s="69">
        <f t="shared" ca="1" si="540"/>
        <v>1201.6734646805373</v>
      </c>
      <c r="AA801" s="20">
        <f t="shared" ca="1" si="500"/>
        <v>6.5532499520165872E+16</v>
      </c>
      <c r="AB801" s="20">
        <f t="shared" ca="1" si="501"/>
        <v>1668116874021152.8</v>
      </c>
      <c r="AC801" s="20">
        <f t="shared" ca="1" si="502"/>
        <v>402481375701026.69</v>
      </c>
      <c r="AD801" s="20">
        <f t="shared" ca="1" si="503"/>
        <v>304004622062159.38</v>
      </c>
      <c r="AE801" s="20">
        <f t="shared" ca="1" si="504"/>
        <v>6845958221222765</v>
      </c>
      <c r="AG801" s="16">
        <f t="shared" ca="1" si="505"/>
        <v>1.8038494793321308E-4</v>
      </c>
      <c r="AH801" s="16">
        <f t="shared" ca="1" si="506"/>
        <v>5.5683216714024679E-4</v>
      </c>
      <c r="AI801" s="16">
        <f t="shared" ca="1" si="507"/>
        <v>4.1508727519441437E-4</v>
      </c>
      <c r="AJ801" s="16">
        <f t="shared" ca="1" si="508"/>
        <v>-9.6916212904811277E-4</v>
      </c>
      <c r="AK801" s="16">
        <f t="shared" ca="1" si="509"/>
        <v>3.0513896766113795E-4</v>
      </c>
      <c r="AM801" s="16">
        <f t="shared" ca="1" si="510"/>
        <v>1.831422612197615E-4</v>
      </c>
      <c r="AO801" s="16">
        <f t="shared" ca="1" si="511"/>
        <v>0</v>
      </c>
      <c r="AP801" s="16">
        <f t="shared" ca="1" si="512"/>
        <v>0</v>
      </c>
      <c r="AQ801" s="16">
        <f t="shared" ca="1" si="513"/>
        <v>0</v>
      </c>
      <c r="AR801" s="16">
        <f t="shared" ca="1" si="514"/>
        <v>-9.6916212904811277E-4</v>
      </c>
      <c r="AS801" s="16">
        <f t="shared" ca="1" si="515"/>
        <v>0</v>
      </c>
    </row>
    <row r="802" spans="1:45" x14ac:dyDescent="0.25">
      <c r="A802" s="69">
        <f t="shared" ca="1" si="516"/>
        <v>2448.4251808332756</v>
      </c>
      <c r="B802" s="69">
        <f t="shared" ca="1" si="517"/>
        <v>2139.3187995853946</v>
      </c>
      <c r="C802" s="69">
        <f t="shared" ca="1" si="518"/>
        <v>2232.6772900223041</v>
      </c>
      <c r="D802" s="69">
        <f t="shared" ca="1" si="519"/>
        <v>2902.6065952192198</v>
      </c>
      <c r="E802" s="69">
        <f t="shared" ca="1" si="520"/>
        <v>1930.8947227083581</v>
      </c>
      <c r="F802" s="69">
        <f t="shared" ca="1" si="521"/>
        <v>1218.3992687329537</v>
      </c>
      <c r="G802" s="69">
        <f t="shared" ca="1" si="522"/>
        <v>968.11199634897946</v>
      </c>
      <c r="H802" s="69">
        <f t="shared" ca="1" si="523"/>
        <v>1183.7717376051328</v>
      </c>
      <c r="I802" s="69">
        <f t="shared" ca="1" si="524"/>
        <v>1049.3449850609145</v>
      </c>
      <c r="J802" s="69">
        <f t="shared" ca="1" si="525"/>
        <v>1139.1130176087877</v>
      </c>
      <c r="K802" s="69">
        <f t="shared" ca="1" si="526"/>
        <v>1172.5894532114301</v>
      </c>
      <c r="L802" s="69">
        <f t="shared" ca="1" si="527"/>
        <v>962.88928097758458</v>
      </c>
      <c r="M802" s="69">
        <f t="shared" ca="1" si="528"/>
        <v>994.50379420868308</v>
      </c>
      <c r="N802" s="69">
        <f t="shared" ca="1" si="529"/>
        <v>569.73362619235445</v>
      </c>
      <c r="O802" s="69">
        <f t="shared" ca="1" si="530"/>
        <v>629.39809789977903</v>
      </c>
      <c r="P802" s="69">
        <f t="shared" ca="1" si="531"/>
        <v>724.26420887923314</v>
      </c>
      <c r="Q802" s="69">
        <f t="shared" ca="1" si="532"/>
        <v>959.51687637566272</v>
      </c>
      <c r="R802" s="69">
        <f t="shared" ca="1" si="533"/>
        <v>779.22398586925635</v>
      </c>
      <c r="S802" s="69">
        <f t="shared" ca="1" si="534"/>
        <v>704.59289775296281</v>
      </c>
      <c r="T802" s="69">
        <f t="shared" ca="1" si="535"/>
        <v>795.99267174759973</v>
      </c>
      <c r="U802" s="69">
        <f t="shared" ca="1" si="536"/>
        <v>1694.6432564506886</v>
      </c>
      <c r="V802" s="69">
        <f t="shared" ca="1" si="537"/>
        <v>1911.6169438360973</v>
      </c>
      <c r="W802" s="69">
        <f t="shared" ca="1" si="538"/>
        <v>1182.5320265865655</v>
      </c>
      <c r="X802" s="69">
        <f t="shared" ca="1" si="539"/>
        <v>1487.697538685275</v>
      </c>
      <c r="Y802" s="69">
        <f t="shared" ca="1" si="540"/>
        <v>1201.6003592063139</v>
      </c>
      <c r="AA802" s="20">
        <f t="shared" ca="1" si="500"/>
        <v>6.5544321662916E+16</v>
      </c>
      <c r="AB802" s="20">
        <f t="shared" ca="1" si="501"/>
        <v>1669045993813043.8</v>
      </c>
      <c r="AC802" s="20">
        <f t="shared" ca="1" si="502"/>
        <v>402648475276637.44</v>
      </c>
      <c r="AD802" s="20">
        <f t="shared" ca="1" si="503"/>
        <v>303710135021295.25</v>
      </c>
      <c r="AE802" s="20">
        <f t="shared" ca="1" si="504"/>
        <v>6848047508592325</v>
      </c>
      <c r="AG802" s="16">
        <f t="shared" ca="1" si="505"/>
        <v>8.5710743160545273E-5</v>
      </c>
      <c r="AH802" s="16">
        <f t="shared" ca="1" si="506"/>
        <v>2.1695897067842314E-4</v>
      </c>
      <c r="AI802" s="16">
        <f t="shared" ca="1" si="507"/>
        <v>-4.1913414752629363E-4</v>
      </c>
      <c r="AJ802" s="16">
        <f t="shared" ca="1" si="508"/>
        <v>-1.6860250865034725E-4</v>
      </c>
      <c r="AK802" s="16">
        <f t="shared" ca="1" si="509"/>
        <v>1.6529557542653946E-4</v>
      </c>
      <c r="AM802" s="16">
        <f t="shared" ca="1" si="510"/>
        <v>-2.8506694233767246E-4</v>
      </c>
      <c r="AO802" s="16">
        <f t="shared" ca="1" si="511"/>
        <v>0</v>
      </c>
      <c r="AP802" s="16">
        <f t="shared" ca="1" si="512"/>
        <v>0</v>
      </c>
      <c r="AQ802" s="16">
        <f t="shared" ca="1" si="513"/>
        <v>-4.1913414752629363E-4</v>
      </c>
      <c r="AR802" s="16">
        <f t="shared" ca="1" si="514"/>
        <v>-1.6860250865034725E-4</v>
      </c>
      <c r="AS802" s="16">
        <f t="shared" ca="1" si="515"/>
        <v>0</v>
      </c>
    </row>
    <row r="803" spans="1:45" x14ac:dyDescent="0.25">
      <c r="A803" s="69">
        <f t="shared" ca="1" si="516"/>
        <v>2448.1040946111275</v>
      </c>
      <c r="B803" s="69">
        <f t="shared" ca="1" si="517"/>
        <v>2139.7906340890531</v>
      </c>
      <c r="C803" s="69">
        <f t="shared" ca="1" si="518"/>
        <v>2232.7313058329155</v>
      </c>
      <c r="D803" s="69">
        <f t="shared" ca="1" si="519"/>
        <v>2903.0332826011168</v>
      </c>
      <c r="E803" s="69">
        <f t="shared" ca="1" si="520"/>
        <v>1930.5571281217287</v>
      </c>
      <c r="F803" s="69">
        <f t="shared" ca="1" si="521"/>
        <v>1218.3992687329537</v>
      </c>
      <c r="G803" s="69">
        <f t="shared" ca="1" si="522"/>
        <v>968.36463406161386</v>
      </c>
      <c r="H803" s="69">
        <f t="shared" ca="1" si="523"/>
        <v>1184.2330714264235</v>
      </c>
      <c r="I803" s="69">
        <f t="shared" ca="1" si="524"/>
        <v>1048.8900820080441</v>
      </c>
      <c r="J803" s="69">
        <f t="shared" ca="1" si="525"/>
        <v>1139.1130176087877</v>
      </c>
      <c r="K803" s="69">
        <f t="shared" ca="1" si="526"/>
        <v>1172.7308871737284</v>
      </c>
      <c r="L803" s="69">
        <f t="shared" ca="1" si="527"/>
        <v>963.17756722239676</v>
      </c>
      <c r="M803" s="69">
        <f t="shared" ca="1" si="528"/>
        <v>994.13074640233924</v>
      </c>
      <c r="N803" s="69">
        <f t="shared" ca="1" si="529"/>
        <v>569.73362619235445</v>
      </c>
      <c r="O803" s="69">
        <f t="shared" ca="1" si="530"/>
        <v>629.10617772524847</v>
      </c>
      <c r="P803" s="69">
        <f t="shared" ca="1" si="531"/>
        <v>724.26420887923314</v>
      </c>
      <c r="Q803" s="69">
        <f t="shared" ca="1" si="532"/>
        <v>959.51687637566272</v>
      </c>
      <c r="R803" s="69">
        <f t="shared" ca="1" si="533"/>
        <v>779.09360980207441</v>
      </c>
      <c r="S803" s="69">
        <f t="shared" ca="1" si="534"/>
        <v>704.59289775296281</v>
      </c>
      <c r="T803" s="69">
        <f t="shared" ca="1" si="535"/>
        <v>795.99165825412422</v>
      </c>
      <c r="U803" s="69">
        <f t="shared" ca="1" si="536"/>
        <v>1694.6432564506886</v>
      </c>
      <c r="V803" s="69">
        <f t="shared" ca="1" si="537"/>
        <v>1911.9626262041779</v>
      </c>
      <c r="W803" s="69">
        <f t="shared" ca="1" si="538"/>
        <v>1182.8247696959334</v>
      </c>
      <c r="X803" s="69">
        <f t="shared" ca="1" si="539"/>
        <v>1487.6547159771146</v>
      </c>
      <c r="Y803" s="69">
        <f t="shared" ca="1" si="540"/>
        <v>1201.3189039562844</v>
      </c>
      <c r="AA803" s="20">
        <f t="shared" ca="1" si="500"/>
        <v>6.554993975619772E+16</v>
      </c>
      <c r="AB803" s="20">
        <f t="shared" ca="1" si="501"/>
        <v>1669408147598712</v>
      </c>
      <c r="AC803" s="20">
        <f t="shared" ca="1" si="502"/>
        <v>402479746913579</v>
      </c>
      <c r="AD803" s="20">
        <f t="shared" ca="1" si="503"/>
        <v>303658933047140.06</v>
      </c>
      <c r="AE803" s="20">
        <f t="shared" ca="1" si="504"/>
        <v>6849179554104286</v>
      </c>
      <c r="AG803" s="16">
        <f t="shared" ca="1" si="505"/>
        <v>5.8561643007388678E-5</v>
      </c>
      <c r="AH803" s="16">
        <f t="shared" ca="1" si="506"/>
        <v>6.5395840500120136E-4</v>
      </c>
      <c r="AI803" s="16">
        <f t="shared" ca="1" si="507"/>
        <v>1.4689388140902296E-3</v>
      </c>
      <c r="AJ803" s="16">
        <f t="shared" ca="1" si="508"/>
        <v>-1.8956653408210499E-4</v>
      </c>
      <c r="AK803" s="16">
        <f t="shared" ca="1" si="509"/>
        <v>-4.7455533242690467E-4</v>
      </c>
      <c r="AM803" s="16">
        <f t="shared" ca="1" si="510"/>
        <v>1.9918923280167148E-3</v>
      </c>
      <c r="AO803" s="16">
        <f t="shared" ca="1" si="511"/>
        <v>0</v>
      </c>
      <c r="AP803" s="16">
        <f t="shared" ca="1" si="512"/>
        <v>0</v>
      </c>
      <c r="AQ803" s="16">
        <f t="shared" ca="1" si="513"/>
        <v>0</v>
      </c>
      <c r="AR803" s="16">
        <f t="shared" ca="1" si="514"/>
        <v>-1.8956653408210499E-4</v>
      </c>
      <c r="AS803" s="16">
        <f t="shared" ca="1" si="515"/>
        <v>-4.7455533242690467E-4</v>
      </c>
    </row>
    <row r="804" spans="1:45" x14ac:dyDescent="0.25">
      <c r="A804" s="69">
        <f t="shared" ca="1" si="516"/>
        <v>2448.1040946111275</v>
      </c>
      <c r="B804" s="69">
        <f t="shared" ca="1" si="517"/>
        <v>2140.2428210581579</v>
      </c>
      <c r="C804" s="69">
        <f t="shared" ca="1" si="518"/>
        <v>2232.7313058329155</v>
      </c>
      <c r="D804" s="69">
        <f t="shared" ca="1" si="519"/>
        <v>2903.0332826011168</v>
      </c>
      <c r="E804" s="69">
        <f t="shared" ca="1" si="520"/>
        <v>1930.2622792202651</v>
      </c>
      <c r="F804" s="69">
        <f t="shared" ca="1" si="521"/>
        <v>1218.1660792937766</v>
      </c>
      <c r="G804" s="69">
        <f t="shared" ca="1" si="522"/>
        <v>968.49288559597949</v>
      </c>
      <c r="H804" s="69">
        <f t="shared" ca="1" si="523"/>
        <v>1184.7287084191821</v>
      </c>
      <c r="I804" s="69">
        <f t="shared" ca="1" si="524"/>
        <v>1049.1980085878558</v>
      </c>
      <c r="J804" s="69">
        <f t="shared" ca="1" si="525"/>
        <v>1139.1141124107421</v>
      </c>
      <c r="K804" s="69">
        <f t="shared" ca="1" si="526"/>
        <v>1173.1751472267176</v>
      </c>
      <c r="L804" s="69">
        <f t="shared" ca="1" si="527"/>
        <v>962.94435446521618</v>
      </c>
      <c r="M804" s="69">
        <f t="shared" ca="1" si="528"/>
        <v>994.42720520814578</v>
      </c>
      <c r="N804" s="69">
        <f t="shared" ca="1" si="529"/>
        <v>569.96536176363634</v>
      </c>
      <c r="O804" s="69">
        <f t="shared" ca="1" si="530"/>
        <v>629.50107676421226</v>
      </c>
      <c r="P804" s="69">
        <f t="shared" ca="1" si="531"/>
        <v>724.26420887923314</v>
      </c>
      <c r="Q804" s="69">
        <f t="shared" ca="1" si="532"/>
        <v>959.51687637566272</v>
      </c>
      <c r="R804" s="69">
        <f t="shared" ca="1" si="533"/>
        <v>779.25120043687616</v>
      </c>
      <c r="S804" s="69">
        <f t="shared" ca="1" si="534"/>
        <v>704.31687795676737</v>
      </c>
      <c r="T804" s="69">
        <f t="shared" ca="1" si="535"/>
        <v>795.99165825412422</v>
      </c>
      <c r="U804" s="69">
        <f t="shared" ca="1" si="536"/>
        <v>1694.6432564506886</v>
      </c>
      <c r="V804" s="69">
        <f t="shared" ca="1" si="537"/>
        <v>1911.845036010528</v>
      </c>
      <c r="W804" s="69">
        <f t="shared" ca="1" si="538"/>
        <v>1182.9704939159658</v>
      </c>
      <c r="X804" s="69">
        <f t="shared" ca="1" si="539"/>
        <v>1487.194611271854</v>
      </c>
      <c r="Y804" s="69">
        <f t="shared" ca="1" si="540"/>
        <v>1201.0463388968039</v>
      </c>
      <c r="AA804" s="20">
        <f t="shared" ca="1" si="500"/>
        <v>6.5553778580771712E+16</v>
      </c>
      <c r="AB804" s="20">
        <f t="shared" ca="1" si="501"/>
        <v>1670500228136915</v>
      </c>
      <c r="AC804" s="20">
        <f t="shared" ca="1" si="502"/>
        <v>403071399480027.19</v>
      </c>
      <c r="AD804" s="20">
        <f t="shared" ca="1" si="503"/>
        <v>303601374931377.88</v>
      </c>
      <c r="AE804" s="20">
        <f t="shared" ca="1" si="504"/>
        <v>6845930010529236</v>
      </c>
      <c r="AG804" s="16">
        <f t="shared" ca="1" si="505"/>
        <v>1.0999451299309485E-4</v>
      </c>
      <c r="AH804" s="16">
        <f t="shared" ca="1" si="506"/>
        <v>5.5711505077608804E-4</v>
      </c>
      <c r="AI804" s="16">
        <f t="shared" ca="1" si="507"/>
        <v>3.5361388524954161E-8</v>
      </c>
      <c r="AJ804" s="16">
        <f t="shared" ca="1" si="508"/>
        <v>1.5591221161777901E-3</v>
      </c>
      <c r="AK804" s="16">
        <f t="shared" ca="1" si="509"/>
        <v>1.7798947247252032E-4</v>
      </c>
      <c r="AM804" s="16">
        <f t="shared" ca="1" si="510"/>
        <v>2.226267041335498E-3</v>
      </c>
      <c r="AO804" s="16">
        <f t="shared" ca="1" si="511"/>
        <v>0</v>
      </c>
      <c r="AP804" s="16">
        <f t="shared" ca="1" si="512"/>
        <v>0</v>
      </c>
      <c r="AQ804" s="16">
        <f t="shared" ca="1" si="513"/>
        <v>0</v>
      </c>
      <c r="AR804" s="16">
        <f t="shared" ca="1" si="514"/>
        <v>0</v>
      </c>
      <c r="AS804" s="16">
        <f t="shared" ca="1" si="515"/>
        <v>0</v>
      </c>
    </row>
    <row r="805" spans="1:45" x14ac:dyDescent="0.25">
      <c r="A805" s="69">
        <f t="shared" ca="1" si="516"/>
        <v>2448.1040946111275</v>
      </c>
      <c r="B805" s="69">
        <f t="shared" ca="1" si="517"/>
        <v>2140.3382492278911</v>
      </c>
      <c r="C805" s="69">
        <f t="shared" ca="1" si="518"/>
        <v>2232.8512392873131</v>
      </c>
      <c r="D805" s="69">
        <f t="shared" ca="1" si="519"/>
        <v>2903.4340079880808</v>
      </c>
      <c r="E805" s="69">
        <f t="shared" ca="1" si="520"/>
        <v>1930.0184370976972</v>
      </c>
      <c r="F805" s="69">
        <f t="shared" ca="1" si="521"/>
        <v>1218.3119017605977</v>
      </c>
      <c r="G805" s="69">
        <f t="shared" ca="1" si="522"/>
        <v>968.49288559597949</v>
      </c>
      <c r="H805" s="69">
        <f t="shared" ca="1" si="523"/>
        <v>1185.07081890825</v>
      </c>
      <c r="I805" s="69">
        <f t="shared" ca="1" si="524"/>
        <v>1049.5375918910418</v>
      </c>
      <c r="J805" s="69">
        <f t="shared" ca="1" si="525"/>
        <v>1138.9148792806811</v>
      </c>
      <c r="K805" s="69">
        <f t="shared" ca="1" si="526"/>
        <v>1172.9517226533776</v>
      </c>
      <c r="L805" s="69">
        <f t="shared" ca="1" si="527"/>
        <v>962.94435446521618</v>
      </c>
      <c r="M805" s="69">
        <f t="shared" ca="1" si="528"/>
        <v>994.42720520814578</v>
      </c>
      <c r="N805" s="69">
        <f t="shared" ca="1" si="529"/>
        <v>570.22132629890746</v>
      </c>
      <c r="O805" s="69">
        <f t="shared" ca="1" si="530"/>
        <v>629.33837854750664</v>
      </c>
      <c r="P805" s="69">
        <f t="shared" ca="1" si="531"/>
        <v>724.68140855696197</v>
      </c>
      <c r="Q805" s="69">
        <f t="shared" ca="1" si="532"/>
        <v>959.90382982280369</v>
      </c>
      <c r="R805" s="69">
        <f t="shared" ca="1" si="533"/>
        <v>779.67770898299352</v>
      </c>
      <c r="S805" s="69">
        <f t="shared" ca="1" si="534"/>
        <v>704.53172714636048</v>
      </c>
      <c r="T805" s="69">
        <f t="shared" ca="1" si="535"/>
        <v>795.7750793981005</v>
      </c>
      <c r="U805" s="69">
        <f t="shared" ca="1" si="536"/>
        <v>1694.4596712154873</v>
      </c>
      <c r="V805" s="69">
        <f t="shared" ca="1" si="537"/>
        <v>1911.845036010528</v>
      </c>
      <c r="W805" s="69">
        <f t="shared" ca="1" si="538"/>
        <v>1183.4502681401354</v>
      </c>
      <c r="X805" s="69">
        <f t="shared" ca="1" si="539"/>
        <v>1487.6195921414358</v>
      </c>
      <c r="Y805" s="69">
        <f t="shared" ca="1" si="540"/>
        <v>1200.5601620072289</v>
      </c>
      <c r="AA805" s="20">
        <f t="shared" ca="1" si="500"/>
        <v>6.5560989533296896E+16</v>
      </c>
      <c r="AB805" s="20">
        <f t="shared" ca="1" si="501"/>
        <v>1671431148247059.3</v>
      </c>
      <c r="AC805" s="20">
        <f t="shared" ca="1" si="502"/>
        <v>403071413733191.81</v>
      </c>
      <c r="AD805" s="20">
        <f t="shared" ca="1" si="503"/>
        <v>304075095747873.81</v>
      </c>
      <c r="AE805" s="20">
        <f t="shared" ca="1" si="504"/>
        <v>6847148622447223</v>
      </c>
      <c r="AG805" s="16">
        <f t="shared" ca="1" si="505"/>
        <v>1.3271177789297094E-4</v>
      </c>
      <c r="AH805" s="16">
        <f t="shared" ca="1" si="506"/>
        <v>1.2787421976591061E-3</v>
      </c>
      <c r="AI805" s="16">
        <f t="shared" ca="1" si="507"/>
        <v>-3.9284134348404736E-4</v>
      </c>
      <c r="AJ805" s="16">
        <f t="shared" ca="1" si="508"/>
        <v>2.1120390602805232E-3</v>
      </c>
      <c r="AK805" s="16">
        <f t="shared" ca="1" si="509"/>
        <v>5.0172596280595168E-4</v>
      </c>
      <c r="AM805" s="16">
        <f t="shared" ca="1" si="510"/>
        <v>3.130651692348553E-3</v>
      </c>
      <c r="AO805" s="16">
        <f t="shared" ca="1" si="511"/>
        <v>0</v>
      </c>
      <c r="AP805" s="16">
        <f t="shared" ca="1" si="512"/>
        <v>0</v>
      </c>
      <c r="AQ805" s="16">
        <f t="shared" ca="1" si="513"/>
        <v>-3.9284134348404736E-4</v>
      </c>
      <c r="AR805" s="16">
        <f t="shared" ca="1" si="514"/>
        <v>0</v>
      </c>
      <c r="AS805" s="16">
        <f t="shared" ca="1" si="515"/>
        <v>0</v>
      </c>
    </row>
    <row r="806" spans="1:45" x14ac:dyDescent="0.25">
      <c r="A806" s="69">
        <f t="shared" ca="1" si="516"/>
        <v>2448.1040946111275</v>
      </c>
      <c r="B806" s="69">
        <f t="shared" ca="1" si="517"/>
        <v>2140.6434846276093</v>
      </c>
      <c r="C806" s="69">
        <f t="shared" ca="1" si="518"/>
        <v>2232.6094422139959</v>
      </c>
      <c r="D806" s="69">
        <f t="shared" ca="1" si="519"/>
        <v>2903.8302883672691</v>
      </c>
      <c r="E806" s="69">
        <f t="shared" ca="1" si="520"/>
        <v>1929.9449631481561</v>
      </c>
      <c r="F806" s="69">
        <f t="shared" ca="1" si="521"/>
        <v>1218.5936417653875</v>
      </c>
      <c r="G806" s="69">
        <f t="shared" ca="1" si="522"/>
        <v>968.7375479844643</v>
      </c>
      <c r="H806" s="69">
        <f t="shared" ca="1" si="523"/>
        <v>1185.1717384109288</v>
      </c>
      <c r="I806" s="69">
        <f t="shared" ca="1" si="524"/>
        <v>1049.9826682638206</v>
      </c>
      <c r="J806" s="69">
        <f t="shared" ca="1" si="525"/>
        <v>1139.2404163997983</v>
      </c>
      <c r="K806" s="69">
        <f t="shared" ca="1" si="526"/>
        <v>1173.2122144317716</v>
      </c>
      <c r="L806" s="69">
        <f t="shared" ca="1" si="527"/>
        <v>962.94435446521618</v>
      </c>
      <c r="M806" s="69">
        <f t="shared" ca="1" si="528"/>
        <v>994.42720520814578</v>
      </c>
      <c r="N806" s="69">
        <f t="shared" ca="1" si="529"/>
        <v>570.22132629890746</v>
      </c>
      <c r="O806" s="69">
        <f t="shared" ca="1" si="530"/>
        <v>628.95151798877475</v>
      </c>
      <c r="P806" s="69">
        <f t="shared" ca="1" si="531"/>
        <v>724.59470157399767</v>
      </c>
      <c r="Q806" s="69">
        <f t="shared" ca="1" si="532"/>
        <v>960.40298157900486</v>
      </c>
      <c r="R806" s="69">
        <f t="shared" ca="1" si="533"/>
        <v>780.1259221864932</v>
      </c>
      <c r="S806" s="69">
        <f t="shared" ca="1" si="534"/>
        <v>704.89628701471224</v>
      </c>
      <c r="T806" s="69">
        <f t="shared" ca="1" si="535"/>
        <v>796.26845941938211</v>
      </c>
      <c r="U806" s="69">
        <f t="shared" ca="1" si="536"/>
        <v>1694.4968163596322</v>
      </c>
      <c r="V806" s="69">
        <f t="shared" ca="1" si="537"/>
        <v>1912.0663777926652</v>
      </c>
      <c r="W806" s="69">
        <f t="shared" ca="1" si="538"/>
        <v>1183.5645531533314</v>
      </c>
      <c r="X806" s="69">
        <f t="shared" ca="1" si="539"/>
        <v>1487.6195921414358</v>
      </c>
      <c r="Y806" s="69">
        <f t="shared" ca="1" si="540"/>
        <v>1200.8813221252522</v>
      </c>
      <c r="AA806" s="20">
        <f t="shared" ca="1" si="500"/>
        <v>6.5569690826147528E+16</v>
      </c>
      <c r="AB806" s="20">
        <f t="shared" ca="1" si="501"/>
        <v>1673569844916214.3</v>
      </c>
      <c r="AC806" s="20">
        <f t="shared" ca="1" si="502"/>
        <v>402913101715289.69</v>
      </c>
      <c r="AD806" s="20">
        <f t="shared" ca="1" si="503"/>
        <v>304717992900319.31</v>
      </c>
      <c r="AE806" s="20">
        <f t="shared" ca="1" si="504"/>
        <v>6850584876639184</v>
      </c>
      <c r="AG806" s="16">
        <f t="shared" ca="1" si="505"/>
        <v>-1.568238982859054E-4</v>
      </c>
      <c r="AH806" s="16">
        <f t="shared" ca="1" si="506"/>
        <v>4.3960345597567085E-4</v>
      </c>
      <c r="AI806" s="16">
        <f t="shared" ca="1" si="507"/>
        <v>7.3849242143992646E-4</v>
      </c>
      <c r="AJ806" s="16">
        <f t="shared" ca="1" si="508"/>
        <v>-1.5344040511723427E-4</v>
      </c>
      <c r="AK806" s="16">
        <f t="shared" ca="1" si="509"/>
        <v>-3.3872700988972449E-4</v>
      </c>
      <c r="AM806" s="16">
        <f t="shared" ca="1" si="510"/>
        <v>8.6783157401245758E-4</v>
      </c>
      <c r="AO806" s="16">
        <f t="shared" ca="1" si="511"/>
        <v>-1.568238982859054E-4</v>
      </c>
      <c r="AP806" s="16">
        <f t="shared" ca="1" si="512"/>
        <v>0</v>
      </c>
      <c r="AQ806" s="16">
        <f t="shared" ca="1" si="513"/>
        <v>0</v>
      </c>
      <c r="AR806" s="16">
        <f t="shared" ca="1" si="514"/>
        <v>-1.5344040511723427E-4</v>
      </c>
      <c r="AS806" s="16">
        <f t="shared" ca="1" si="515"/>
        <v>-3.3872700988972449E-4</v>
      </c>
    </row>
    <row r="807" spans="1:45" x14ac:dyDescent="0.25">
      <c r="A807" s="69">
        <f t="shared" ca="1" si="516"/>
        <v>2448.1040946111275</v>
      </c>
      <c r="B807" s="69">
        <f t="shared" ca="1" si="517"/>
        <v>2140.3823099374422</v>
      </c>
      <c r="C807" s="69">
        <f t="shared" ca="1" si="518"/>
        <v>2232.6094422139959</v>
      </c>
      <c r="D807" s="69">
        <f t="shared" ca="1" si="519"/>
        <v>2903.8302883672691</v>
      </c>
      <c r="E807" s="69">
        <f t="shared" ca="1" si="520"/>
        <v>1929.8777850678523</v>
      </c>
      <c r="F807" s="69">
        <f t="shared" ca="1" si="521"/>
        <v>1218.7190833780276</v>
      </c>
      <c r="G807" s="69">
        <f t="shared" ca="1" si="522"/>
        <v>968.7375479844643</v>
      </c>
      <c r="H807" s="69">
        <f t="shared" ca="1" si="523"/>
        <v>1185.5708162834901</v>
      </c>
      <c r="I807" s="69">
        <f t="shared" ca="1" si="524"/>
        <v>1049.9826682638206</v>
      </c>
      <c r="J807" s="69">
        <f t="shared" ca="1" si="525"/>
        <v>1139.2404163997983</v>
      </c>
      <c r="K807" s="69">
        <f t="shared" ca="1" si="526"/>
        <v>1173.2122144317716</v>
      </c>
      <c r="L807" s="69">
        <f t="shared" ca="1" si="527"/>
        <v>962.73031682210069</v>
      </c>
      <c r="M807" s="69">
        <f t="shared" ca="1" si="528"/>
        <v>994.88611412850628</v>
      </c>
      <c r="N807" s="69">
        <f t="shared" ca="1" si="529"/>
        <v>570.20949692827014</v>
      </c>
      <c r="O807" s="69">
        <f t="shared" ca="1" si="530"/>
        <v>629.27876009580609</v>
      </c>
      <c r="P807" s="69">
        <f t="shared" ca="1" si="531"/>
        <v>724.15312238837623</v>
      </c>
      <c r="Q807" s="69">
        <f t="shared" ca="1" si="532"/>
        <v>960.66724628205111</v>
      </c>
      <c r="R807" s="69">
        <f t="shared" ca="1" si="533"/>
        <v>780.1259221864932</v>
      </c>
      <c r="S807" s="69">
        <f t="shared" ca="1" si="534"/>
        <v>705.22404237904925</v>
      </c>
      <c r="T807" s="69">
        <f t="shared" ca="1" si="535"/>
        <v>796.04249206152451</v>
      </c>
      <c r="U807" s="69">
        <f t="shared" ca="1" si="536"/>
        <v>1694.1874290672777</v>
      </c>
      <c r="V807" s="69">
        <f t="shared" ca="1" si="537"/>
        <v>1912.0663777926652</v>
      </c>
      <c r="W807" s="69">
        <f t="shared" ca="1" si="538"/>
        <v>1183.5645531533314</v>
      </c>
      <c r="X807" s="69">
        <f t="shared" ca="1" si="539"/>
        <v>1487.3873530426692</v>
      </c>
      <c r="Y807" s="69">
        <f t="shared" ca="1" si="540"/>
        <v>1200.8813221252522</v>
      </c>
      <c r="AA807" s="20">
        <f t="shared" ca="1" si="500"/>
        <v>6.5559408737882424E+16</v>
      </c>
      <c r="AB807" s="20">
        <f t="shared" ca="1" si="501"/>
        <v>1674305713737243.8</v>
      </c>
      <c r="AC807" s="20">
        <f t="shared" ca="1" si="502"/>
        <v>403210759883027.94</v>
      </c>
      <c r="AD807" s="20">
        <f t="shared" ca="1" si="503"/>
        <v>304671240434992.5</v>
      </c>
      <c r="AE807" s="20">
        <f t="shared" ca="1" si="504"/>
        <v>6848264791467864</v>
      </c>
      <c r="AG807" s="16">
        <f t="shared" ca="1" si="505"/>
        <v>-2.6195471067109672E-5</v>
      </c>
      <c r="AH807" s="16">
        <f t="shared" ca="1" si="506"/>
        <v>-6.2196996931340785E-4</v>
      </c>
      <c r="AI807" s="16">
        <f t="shared" ca="1" si="507"/>
        <v>-1.8033642173116859E-5</v>
      </c>
      <c r="AJ807" s="16">
        <f t="shared" ca="1" si="508"/>
        <v>-2.9268341258328114E-4</v>
      </c>
      <c r="AK807" s="16">
        <f t="shared" ca="1" si="509"/>
        <v>5.1751993120417893E-5</v>
      </c>
      <c r="AM807" s="16">
        <f t="shared" ca="1" si="510"/>
        <v>-9.588824951369155E-4</v>
      </c>
      <c r="AO807" s="16">
        <f t="shared" ca="1" si="511"/>
        <v>-2.6195471067109672E-5</v>
      </c>
      <c r="AP807" s="16">
        <f t="shared" ca="1" si="512"/>
        <v>-6.2196996931340785E-4</v>
      </c>
      <c r="AQ807" s="16">
        <f t="shared" ca="1" si="513"/>
        <v>-1.8033642173116859E-5</v>
      </c>
      <c r="AR807" s="16">
        <f t="shared" ca="1" si="514"/>
        <v>-2.9268341258328114E-4</v>
      </c>
      <c r="AS807" s="16">
        <f t="shared" ca="1" si="515"/>
        <v>0</v>
      </c>
    </row>
    <row r="808" spans="1:45" x14ac:dyDescent="0.25">
      <c r="A808" s="69">
        <f t="shared" ca="1" si="516"/>
        <v>2448.3379958922674</v>
      </c>
      <c r="B808" s="69">
        <f t="shared" ca="1" si="517"/>
        <v>2140.1736463443817</v>
      </c>
      <c r="C808" s="69">
        <f t="shared" ca="1" si="518"/>
        <v>2232.9839350574362</v>
      </c>
      <c r="D808" s="69">
        <f t="shared" ca="1" si="519"/>
        <v>2903.4730621008471</v>
      </c>
      <c r="E808" s="69">
        <f t="shared" ca="1" si="520"/>
        <v>1929.7447474028802</v>
      </c>
      <c r="F808" s="69">
        <f t="shared" ca="1" si="521"/>
        <v>1218.597492660633</v>
      </c>
      <c r="G808" s="69">
        <f t="shared" ca="1" si="522"/>
        <v>968.50301923929612</v>
      </c>
      <c r="H808" s="69">
        <f t="shared" ca="1" si="523"/>
        <v>1185.5708162834901</v>
      </c>
      <c r="I808" s="69">
        <f t="shared" ca="1" si="524"/>
        <v>1049.6886417303344</v>
      </c>
      <c r="J808" s="69">
        <f t="shared" ca="1" si="525"/>
        <v>1139.2404163997983</v>
      </c>
      <c r="K808" s="69">
        <f t="shared" ca="1" si="526"/>
        <v>1173.1270721683711</v>
      </c>
      <c r="L808" s="69">
        <f t="shared" ca="1" si="527"/>
        <v>962.35829147767447</v>
      </c>
      <c r="M808" s="69">
        <f t="shared" ca="1" si="528"/>
        <v>995.33622216554829</v>
      </c>
      <c r="N808" s="69">
        <f t="shared" ca="1" si="529"/>
        <v>570.20949692827014</v>
      </c>
      <c r="O808" s="69">
        <f t="shared" ca="1" si="530"/>
        <v>629.2716641406048</v>
      </c>
      <c r="P808" s="69">
        <f t="shared" ca="1" si="531"/>
        <v>724.15312238837623</v>
      </c>
      <c r="Q808" s="69">
        <f t="shared" ca="1" si="532"/>
        <v>960.42104729838104</v>
      </c>
      <c r="R808" s="69">
        <f t="shared" ca="1" si="533"/>
        <v>780.45282142061876</v>
      </c>
      <c r="S808" s="69">
        <f t="shared" ca="1" si="534"/>
        <v>705.27540137680398</v>
      </c>
      <c r="T808" s="69">
        <f t="shared" ca="1" si="535"/>
        <v>795.62218004344845</v>
      </c>
      <c r="U808" s="69">
        <f t="shared" ca="1" si="536"/>
        <v>1693.9267836818638</v>
      </c>
      <c r="V808" s="69">
        <f t="shared" ca="1" si="537"/>
        <v>1911.7020757964385</v>
      </c>
      <c r="W808" s="69">
        <f t="shared" ca="1" si="538"/>
        <v>1183.9363010947859</v>
      </c>
      <c r="X808" s="69">
        <f t="shared" ca="1" si="539"/>
        <v>1487.5094937169517</v>
      </c>
      <c r="Y808" s="69">
        <f t="shared" ca="1" si="540"/>
        <v>1200.8813221252522</v>
      </c>
      <c r="AA808" s="20">
        <f t="shared" ca="1" si="500"/>
        <v>6.5557691400780976E+16</v>
      </c>
      <c r="AB808" s="20">
        <f t="shared" ca="1" si="501"/>
        <v>1673264669646490.3</v>
      </c>
      <c r="AC808" s="20">
        <f t="shared" ca="1" si="502"/>
        <v>403203488590028</v>
      </c>
      <c r="AD808" s="20">
        <f t="shared" ca="1" si="503"/>
        <v>304582081264967.56</v>
      </c>
      <c r="AE808" s="20">
        <f t="shared" ca="1" si="504"/>
        <v>6848619211991144</v>
      </c>
      <c r="AG808" s="16">
        <f t="shared" ca="1" si="505"/>
        <v>2.4688890933566781E-4</v>
      </c>
      <c r="AH808" s="16">
        <f t="shared" ca="1" si="506"/>
        <v>-1.9286207934863351E-4</v>
      </c>
      <c r="AI808" s="16">
        <f t="shared" ca="1" si="507"/>
        <v>4.305808745802921E-4</v>
      </c>
      <c r="AJ808" s="16">
        <f t="shared" ca="1" si="508"/>
        <v>3.3961098946379341E-4</v>
      </c>
      <c r="AK808" s="16">
        <f t="shared" ca="1" si="509"/>
        <v>2.8852763040923031E-4</v>
      </c>
      <c r="AM808" s="16">
        <f t="shared" ca="1" si="510"/>
        <v>8.2421869403111983E-4</v>
      </c>
      <c r="AO808" s="16">
        <f t="shared" ca="1" si="511"/>
        <v>0</v>
      </c>
      <c r="AP808" s="16">
        <f t="shared" ca="1" si="512"/>
        <v>-1.9286207934863351E-4</v>
      </c>
      <c r="AQ808" s="16">
        <f t="shared" ca="1" si="513"/>
        <v>0</v>
      </c>
      <c r="AR808" s="16">
        <f t="shared" ca="1" si="514"/>
        <v>0</v>
      </c>
      <c r="AS808" s="16">
        <f t="shared" ca="1" si="515"/>
        <v>0</v>
      </c>
    </row>
    <row r="809" spans="1:45" x14ac:dyDescent="0.25">
      <c r="A809" s="69">
        <f t="shared" ca="1" si="516"/>
        <v>2448.3223287920832</v>
      </c>
      <c r="B809" s="69">
        <f t="shared" ca="1" si="517"/>
        <v>2140.4445949079354</v>
      </c>
      <c r="C809" s="69">
        <f t="shared" ca="1" si="518"/>
        <v>2233.2668604623905</v>
      </c>
      <c r="D809" s="69">
        <f t="shared" ca="1" si="519"/>
        <v>2903.4730621008471</v>
      </c>
      <c r="E809" s="69">
        <f t="shared" ca="1" si="520"/>
        <v>1929.7447474028802</v>
      </c>
      <c r="F809" s="69">
        <f t="shared" ca="1" si="521"/>
        <v>1218.2061051011317</v>
      </c>
      <c r="G809" s="69">
        <f t="shared" ca="1" si="522"/>
        <v>968.50301923929612</v>
      </c>
      <c r="H809" s="69">
        <f t="shared" ca="1" si="523"/>
        <v>1185.7944486750464</v>
      </c>
      <c r="I809" s="69">
        <f t="shared" ca="1" si="524"/>
        <v>1049.9850682630304</v>
      </c>
      <c r="J809" s="69">
        <f t="shared" ca="1" si="525"/>
        <v>1138.8501825443107</v>
      </c>
      <c r="K809" s="69">
        <f t="shared" ca="1" si="526"/>
        <v>1173.4114004911646</v>
      </c>
      <c r="L809" s="69">
        <f t="shared" ca="1" si="527"/>
        <v>962.45592016527019</v>
      </c>
      <c r="M809" s="69">
        <f t="shared" ca="1" si="528"/>
        <v>995.33622216554829</v>
      </c>
      <c r="N809" s="69">
        <f t="shared" ca="1" si="529"/>
        <v>570.25899335564361</v>
      </c>
      <c r="O809" s="69">
        <f t="shared" ca="1" si="530"/>
        <v>629.2716641406048</v>
      </c>
      <c r="P809" s="69">
        <f t="shared" ca="1" si="531"/>
        <v>724.46240455109785</v>
      </c>
      <c r="Q809" s="69">
        <f t="shared" ca="1" si="532"/>
        <v>960.05688148052627</v>
      </c>
      <c r="R809" s="69">
        <f t="shared" ca="1" si="533"/>
        <v>780.21494398099969</v>
      </c>
      <c r="S809" s="69">
        <f t="shared" ca="1" si="534"/>
        <v>705.69635969261662</v>
      </c>
      <c r="T809" s="69">
        <f t="shared" ca="1" si="535"/>
        <v>795.62218004344845</v>
      </c>
      <c r="U809" s="69">
        <f t="shared" ca="1" si="536"/>
        <v>1694.3456549830919</v>
      </c>
      <c r="V809" s="69">
        <f t="shared" ca="1" si="537"/>
        <v>1912.1307423056271</v>
      </c>
      <c r="W809" s="69">
        <f t="shared" ca="1" si="538"/>
        <v>1183.7197459810461</v>
      </c>
      <c r="X809" s="69">
        <f t="shared" ca="1" si="539"/>
        <v>1487.5094937169517</v>
      </c>
      <c r="Y809" s="69">
        <f t="shared" ca="1" si="540"/>
        <v>1200.8813221252522</v>
      </c>
      <c r="AA809" s="20">
        <f t="shared" ca="1" si="500"/>
        <v>6.5573878865880056E+16</v>
      </c>
      <c r="AB809" s="20">
        <f t="shared" ca="1" si="501"/>
        <v>1672941991460194.8</v>
      </c>
      <c r="AC809" s="20">
        <f t="shared" ca="1" si="502"/>
        <v>403377137683085.25</v>
      </c>
      <c r="AD809" s="20">
        <f t="shared" ca="1" si="503"/>
        <v>304685538253529.69</v>
      </c>
      <c r="AE809" s="20">
        <f t="shared" ca="1" si="504"/>
        <v>6850595512958962</v>
      </c>
      <c r="AG809" s="16">
        <f t="shared" ca="1" si="505"/>
        <v>-2.4928064354540264E-5</v>
      </c>
      <c r="AH809" s="16">
        <f t="shared" ca="1" si="506"/>
        <v>6.105439931749473E-4</v>
      </c>
      <c r="AI809" s="16">
        <f t="shared" ca="1" si="507"/>
        <v>1.411306336132336E-4</v>
      </c>
      <c r="AJ809" s="16">
        <f t="shared" ca="1" si="508"/>
        <v>-5.5380569851156119E-4</v>
      </c>
      <c r="AK809" s="16">
        <f t="shared" ca="1" si="509"/>
        <v>5.292501444922311E-4</v>
      </c>
      <c r="AM809" s="16">
        <f t="shared" ca="1" si="510"/>
        <v>1.7294086392207939E-4</v>
      </c>
      <c r="AO809" s="16">
        <f t="shared" ca="1" si="511"/>
        <v>-2.4928064354540264E-5</v>
      </c>
      <c r="AP809" s="16">
        <f t="shared" ca="1" si="512"/>
        <v>0</v>
      </c>
      <c r="AQ809" s="16">
        <f t="shared" ca="1" si="513"/>
        <v>0</v>
      </c>
      <c r="AR809" s="16">
        <f t="shared" ca="1" si="514"/>
        <v>-5.5380569851156119E-4</v>
      </c>
      <c r="AS809" s="16">
        <f t="shared" ca="1" si="515"/>
        <v>0</v>
      </c>
    </row>
    <row r="810" spans="1:45" x14ac:dyDescent="0.25">
      <c r="A810" s="69">
        <f t="shared" ca="1" si="516"/>
        <v>2447.9596043282204</v>
      </c>
      <c r="B810" s="69">
        <f t="shared" ca="1" si="517"/>
        <v>2140.4445949079354</v>
      </c>
      <c r="C810" s="69">
        <f t="shared" ca="1" si="518"/>
        <v>2232.9466197612073</v>
      </c>
      <c r="D810" s="69">
        <f t="shared" ca="1" si="519"/>
        <v>2903.9396014199142</v>
      </c>
      <c r="E810" s="69">
        <f t="shared" ca="1" si="520"/>
        <v>1929.9492548088665</v>
      </c>
      <c r="F810" s="69">
        <f t="shared" ca="1" si="521"/>
        <v>1218.3553683557316</v>
      </c>
      <c r="G810" s="69">
        <f t="shared" ca="1" si="522"/>
        <v>968.61097526551998</v>
      </c>
      <c r="H810" s="69">
        <f t="shared" ca="1" si="523"/>
        <v>1185.9153598023333</v>
      </c>
      <c r="I810" s="69">
        <f t="shared" ca="1" si="524"/>
        <v>1049.9850682630304</v>
      </c>
      <c r="J810" s="69">
        <f t="shared" ca="1" si="525"/>
        <v>1139.1629566753379</v>
      </c>
      <c r="K810" s="69">
        <f t="shared" ca="1" si="526"/>
        <v>1172.9853564419011</v>
      </c>
      <c r="L810" s="69">
        <f t="shared" ca="1" si="527"/>
        <v>962.45592016527019</v>
      </c>
      <c r="M810" s="69">
        <f t="shared" ca="1" si="528"/>
        <v>995.33622216554829</v>
      </c>
      <c r="N810" s="69">
        <f t="shared" ca="1" si="529"/>
        <v>570.25899335564361</v>
      </c>
      <c r="O810" s="69">
        <f t="shared" ca="1" si="530"/>
        <v>629.58907210290181</v>
      </c>
      <c r="P810" s="69">
        <f t="shared" ca="1" si="531"/>
        <v>724.01856194792902</v>
      </c>
      <c r="Q810" s="69">
        <f t="shared" ca="1" si="532"/>
        <v>959.56235018316295</v>
      </c>
      <c r="R810" s="69">
        <f t="shared" ca="1" si="533"/>
        <v>779.91791879925347</v>
      </c>
      <c r="S810" s="69">
        <f t="shared" ca="1" si="534"/>
        <v>706.18476280067841</v>
      </c>
      <c r="T810" s="69">
        <f t="shared" ca="1" si="535"/>
        <v>795.83161034853083</v>
      </c>
      <c r="U810" s="69">
        <f t="shared" ca="1" si="536"/>
        <v>1694.3456549830919</v>
      </c>
      <c r="V810" s="69">
        <f t="shared" ca="1" si="537"/>
        <v>1912.6207362332816</v>
      </c>
      <c r="W810" s="69">
        <f t="shared" ca="1" si="538"/>
        <v>1183.991605743802</v>
      </c>
      <c r="X810" s="69">
        <f t="shared" ca="1" si="539"/>
        <v>1487.4088865785927</v>
      </c>
      <c r="Y810" s="69">
        <f t="shared" ca="1" si="540"/>
        <v>1201.0146575532801</v>
      </c>
      <c r="AA810" s="20">
        <f t="shared" ca="1" si="500"/>
        <v>6.5572244256381624E+16</v>
      </c>
      <c r="AB810" s="20">
        <f t="shared" ca="1" si="501"/>
        <v>1673963708013725</v>
      </c>
      <c r="AC810" s="20">
        <f t="shared" ca="1" si="502"/>
        <v>403434070571504.38</v>
      </c>
      <c r="AD810" s="20">
        <f t="shared" ca="1" si="503"/>
        <v>304516848381208.56</v>
      </c>
      <c r="AE810" s="20">
        <f t="shared" ca="1" si="504"/>
        <v>6854222151238816</v>
      </c>
      <c r="AG810" s="16">
        <f t="shared" ca="1" si="505"/>
        <v>-1.0797415545220573E-4</v>
      </c>
      <c r="AH810" s="16">
        <f t="shared" ca="1" si="506"/>
        <v>-2.2255648221013643E-4</v>
      </c>
      <c r="AI810" s="16">
        <f t="shared" ca="1" si="507"/>
        <v>-7.4530659953190724E-4</v>
      </c>
      <c r="AJ810" s="16">
        <f t="shared" ca="1" si="508"/>
        <v>1.0105061737061291E-3</v>
      </c>
      <c r="AK810" s="16">
        <f t="shared" ca="1" si="509"/>
        <v>9.3835270260629602E-5</v>
      </c>
      <c r="AM810" s="16">
        <f t="shared" ca="1" si="510"/>
        <v>-6.5331063488120429E-5</v>
      </c>
      <c r="AO810" s="16">
        <f t="shared" ca="1" si="511"/>
        <v>-1.0797415545220573E-4</v>
      </c>
      <c r="AP810" s="16">
        <f t="shared" ca="1" si="512"/>
        <v>-2.2255648221013643E-4</v>
      </c>
      <c r="AQ810" s="16">
        <f t="shared" ca="1" si="513"/>
        <v>-7.4530659953190724E-4</v>
      </c>
      <c r="AR810" s="16">
        <f t="shared" ca="1" si="514"/>
        <v>0</v>
      </c>
      <c r="AS810" s="16">
        <f t="shared" ca="1" si="515"/>
        <v>0</v>
      </c>
    </row>
    <row r="811" spans="1:45" x14ac:dyDescent="0.25">
      <c r="A811" s="69">
        <f t="shared" ca="1" si="516"/>
        <v>2447.5710872806003</v>
      </c>
      <c r="B811" s="69">
        <f t="shared" ca="1" si="517"/>
        <v>2140.4445949079354</v>
      </c>
      <c r="C811" s="69">
        <f t="shared" ca="1" si="518"/>
        <v>2232.8192668663723</v>
      </c>
      <c r="D811" s="69">
        <f t="shared" ca="1" si="519"/>
        <v>2904.2526170665683</v>
      </c>
      <c r="E811" s="69">
        <f t="shared" ca="1" si="520"/>
        <v>1929.9492548088665</v>
      </c>
      <c r="F811" s="69">
        <f t="shared" ca="1" si="521"/>
        <v>1218.3495677579101</v>
      </c>
      <c r="G811" s="69">
        <f t="shared" ca="1" si="522"/>
        <v>968.61097526551998</v>
      </c>
      <c r="H811" s="69">
        <f t="shared" ca="1" si="523"/>
        <v>1185.9153598023333</v>
      </c>
      <c r="I811" s="69">
        <f t="shared" ca="1" si="524"/>
        <v>1050.0768599747919</v>
      </c>
      <c r="J811" s="69">
        <f t="shared" ca="1" si="525"/>
        <v>1138.8153217430711</v>
      </c>
      <c r="K811" s="69">
        <f t="shared" ca="1" si="526"/>
        <v>1172.7635684494003</v>
      </c>
      <c r="L811" s="69">
        <f t="shared" ca="1" si="527"/>
        <v>962.07236717460682</v>
      </c>
      <c r="M811" s="69">
        <f t="shared" ca="1" si="528"/>
        <v>994.98075382457409</v>
      </c>
      <c r="N811" s="69">
        <f t="shared" ca="1" si="529"/>
        <v>570.37281884350705</v>
      </c>
      <c r="O811" s="69">
        <f t="shared" ca="1" si="530"/>
        <v>629.58907210290181</v>
      </c>
      <c r="P811" s="69">
        <f t="shared" ca="1" si="531"/>
        <v>724.08394689512193</v>
      </c>
      <c r="Q811" s="69">
        <f t="shared" ca="1" si="532"/>
        <v>959.40603295401172</v>
      </c>
      <c r="R811" s="69">
        <f t="shared" ca="1" si="533"/>
        <v>780.34290524343999</v>
      </c>
      <c r="S811" s="69">
        <f t="shared" ca="1" si="534"/>
        <v>706.56504431360543</v>
      </c>
      <c r="T811" s="69">
        <f t="shared" ca="1" si="535"/>
        <v>795.83161034853083</v>
      </c>
      <c r="U811" s="69">
        <f t="shared" ca="1" si="536"/>
        <v>1694.8381439313102</v>
      </c>
      <c r="V811" s="69">
        <f t="shared" ca="1" si="537"/>
        <v>1912.8298259580054</v>
      </c>
      <c r="W811" s="69">
        <f t="shared" ca="1" si="538"/>
        <v>1183.6848660390249</v>
      </c>
      <c r="X811" s="69">
        <f t="shared" ca="1" si="539"/>
        <v>1487.883300348502</v>
      </c>
      <c r="Y811" s="69">
        <f t="shared" ca="1" si="540"/>
        <v>1200.5752867370284</v>
      </c>
      <c r="AA811" s="20">
        <f t="shared" ca="1" si="500"/>
        <v>6.5565164530907504E+16</v>
      </c>
      <c r="AB811" s="20">
        <f t="shared" ca="1" si="501"/>
        <v>1673591197993319.5</v>
      </c>
      <c r="AC811" s="20">
        <f t="shared" ca="1" si="502"/>
        <v>403133500518566.88</v>
      </c>
      <c r="AD811" s="20">
        <f t="shared" ca="1" si="503"/>
        <v>304824720063415.19</v>
      </c>
      <c r="AE811" s="20">
        <f t="shared" ca="1" si="504"/>
        <v>6854865349203660</v>
      </c>
      <c r="AG811" s="16">
        <f t="shared" ca="1" si="505"/>
        <v>6.4619133736810525E-5</v>
      </c>
      <c r="AH811" s="16">
        <f t="shared" ca="1" si="506"/>
        <v>-1.9695318688886865E-4</v>
      </c>
      <c r="AI811" s="16">
        <f t="shared" ca="1" si="507"/>
        <v>5.0631715230570282E-4</v>
      </c>
      <c r="AJ811" s="16">
        <f t="shared" ca="1" si="508"/>
        <v>3.4572392919451808E-4</v>
      </c>
      <c r="AK811" s="16">
        <f t="shared" ca="1" si="509"/>
        <v>-3.1478277286693635E-4</v>
      </c>
      <c r="AM811" s="16">
        <f t="shared" ca="1" si="510"/>
        <v>7.1970702834816278E-4</v>
      </c>
      <c r="AO811" s="16">
        <f t="shared" ca="1" si="511"/>
        <v>0</v>
      </c>
      <c r="AP811" s="16">
        <f t="shared" ca="1" si="512"/>
        <v>-1.9695318688886865E-4</v>
      </c>
      <c r="AQ811" s="16">
        <f t="shared" ca="1" si="513"/>
        <v>0</v>
      </c>
      <c r="AR811" s="16">
        <f t="shared" ca="1" si="514"/>
        <v>0</v>
      </c>
      <c r="AS811" s="16">
        <f t="shared" ca="1" si="515"/>
        <v>-3.1478277286693635E-4</v>
      </c>
    </row>
    <row r="812" spans="1:45" x14ac:dyDescent="0.25">
      <c r="A812" s="69">
        <f t="shared" ca="1" si="516"/>
        <v>2447.4645116230981</v>
      </c>
      <c r="B812" s="69">
        <f t="shared" ca="1" si="517"/>
        <v>2140.7732707555128</v>
      </c>
      <c r="C812" s="69">
        <f t="shared" ca="1" si="518"/>
        <v>2232.7754890720962</v>
      </c>
      <c r="D812" s="69">
        <f t="shared" ca="1" si="519"/>
        <v>2903.975620153401</v>
      </c>
      <c r="E812" s="69">
        <f t="shared" ca="1" si="520"/>
        <v>1930.0835992586292</v>
      </c>
      <c r="F812" s="69">
        <f t="shared" ca="1" si="521"/>
        <v>1218.3495677579101</v>
      </c>
      <c r="G812" s="69">
        <f t="shared" ca="1" si="522"/>
        <v>968.77005705933641</v>
      </c>
      <c r="H812" s="69">
        <f t="shared" ca="1" si="523"/>
        <v>1185.5224425482538</v>
      </c>
      <c r="I812" s="69">
        <f t="shared" ca="1" si="524"/>
        <v>1050.0455660242167</v>
      </c>
      <c r="J812" s="69">
        <f t="shared" ca="1" si="525"/>
        <v>1138.8153217430711</v>
      </c>
      <c r="K812" s="69">
        <f t="shared" ca="1" si="526"/>
        <v>1172.6555462749027</v>
      </c>
      <c r="L812" s="69">
        <f t="shared" ca="1" si="527"/>
        <v>962.20203611363195</v>
      </c>
      <c r="M812" s="69">
        <f t="shared" ca="1" si="528"/>
        <v>995.44219227392387</v>
      </c>
      <c r="N812" s="69">
        <f t="shared" ca="1" si="529"/>
        <v>570.37281884350705</v>
      </c>
      <c r="O812" s="69">
        <f t="shared" ca="1" si="530"/>
        <v>629.58907210290181</v>
      </c>
      <c r="P812" s="69">
        <f t="shared" ca="1" si="531"/>
        <v>724.09539597207709</v>
      </c>
      <c r="Q812" s="69">
        <f t="shared" ca="1" si="532"/>
        <v>959.32404441210201</v>
      </c>
      <c r="R812" s="69">
        <f t="shared" ca="1" si="533"/>
        <v>779.9860434608612</v>
      </c>
      <c r="S812" s="69">
        <f t="shared" ca="1" si="534"/>
        <v>706.89418433373135</v>
      </c>
      <c r="T812" s="69">
        <f t="shared" ca="1" si="535"/>
        <v>796.15563503815122</v>
      </c>
      <c r="U812" s="69">
        <f t="shared" ca="1" si="536"/>
        <v>1695.1148277082218</v>
      </c>
      <c r="V812" s="69">
        <f t="shared" ca="1" si="537"/>
        <v>1912.5820824736122</v>
      </c>
      <c r="W812" s="69">
        <f t="shared" ca="1" si="538"/>
        <v>1183.6848660390249</v>
      </c>
      <c r="X812" s="69">
        <f t="shared" ca="1" si="539"/>
        <v>1487.883300348502</v>
      </c>
      <c r="Y812" s="69">
        <f t="shared" ca="1" si="540"/>
        <v>1200.1569649372611</v>
      </c>
      <c r="AA812" s="20">
        <f t="shared" ca="1" si="500"/>
        <v>6.556940143193376E+16</v>
      </c>
      <c r="AB812" s="20">
        <f t="shared" ca="1" si="501"/>
        <v>1673261611330962.8</v>
      </c>
      <c r="AC812" s="20">
        <f t="shared" ca="1" si="502"/>
        <v>403337665606329.81</v>
      </c>
      <c r="AD812" s="20">
        <f t="shared" ca="1" si="503"/>
        <v>304930123482543.38</v>
      </c>
      <c r="AE812" s="20">
        <f t="shared" ca="1" si="504"/>
        <v>6852707895263890</v>
      </c>
      <c r="AG812" s="16">
        <f t="shared" ca="1" si="505"/>
        <v>3.5639388091576225E-4</v>
      </c>
      <c r="AH812" s="16">
        <f t="shared" ca="1" si="506"/>
        <v>1.1611555644674169E-3</v>
      </c>
      <c r="AI812" s="16">
        <f t="shared" ca="1" si="507"/>
        <v>5.1088418355532E-4</v>
      </c>
      <c r="AJ812" s="16">
        <f t="shared" ca="1" si="508"/>
        <v>-4.7173050242339359E-4</v>
      </c>
      <c r="AK812" s="16">
        <f t="shared" ca="1" si="509"/>
        <v>4.3345134010701997E-4</v>
      </c>
      <c r="AM812" s="16">
        <f t="shared" ca="1" si="510"/>
        <v>1.5567031265151055E-3</v>
      </c>
      <c r="AO812" s="16">
        <f t="shared" ca="1" si="511"/>
        <v>0</v>
      </c>
      <c r="AP812" s="16">
        <f t="shared" ca="1" si="512"/>
        <v>0</v>
      </c>
      <c r="AQ812" s="16">
        <f t="shared" ca="1" si="513"/>
        <v>0</v>
      </c>
      <c r="AR812" s="16">
        <f t="shared" ca="1" si="514"/>
        <v>-4.7173050242339359E-4</v>
      </c>
      <c r="AS812" s="16">
        <f t="shared" ca="1" si="515"/>
        <v>0</v>
      </c>
    </row>
    <row r="813" spans="1:45" x14ac:dyDescent="0.25">
      <c r="A813" s="69">
        <f t="shared" ca="1" si="516"/>
        <v>2447.747126511787</v>
      </c>
      <c r="B813" s="69">
        <f t="shared" ca="1" si="517"/>
        <v>2140.7732707555128</v>
      </c>
      <c r="C813" s="69">
        <f t="shared" ca="1" si="518"/>
        <v>2232.3824004452563</v>
      </c>
      <c r="D813" s="69">
        <f t="shared" ca="1" si="519"/>
        <v>2904.473220148554</v>
      </c>
      <c r="E813" s="69">
        <f t="shared" ca="1" si="520"/>
        <v>1930.5578032233029</v>
      </c>
      <c r="F813" s="69">
        <f t="shared" ca="1" si="521"/>
        <v>1218.0686469869042</v>
      </c>
      <c r="G813" s="69">
        <f t="shared" ca="1" si="522"/>
        <v>969.12229700407681</v>
      </c>
      <c r="H813" s="69">
        <f t="shared" ca="1" si="523"/>
        <v>1185.8578738210219</v>
      </c>
      <c r="I813" s="69">
        <f t="shared" ca="1" si="524"/>
        <v>1050.3984729102569</v>
      </c>
      <c r="J813" s="69">
        <f t="shared" ca="1" si="525"/>
        <v>1139.2815316856595</v>
      </c>
      <c r="K813" s="69">
        <f t="shared" ca="1" si="526"/>
        <v>1173.0541941419488</v>
      </c>
      <c r="L813" s="69">
        <f t="shared" ca="1" si="527"/>
        <v>962.47045332920209</v>
      </c>
      <c r="M813" s="69">
        <f t="shared" ca="1" si="528"/>
        <v>995.24944976984432</v>
      </c>
      <c r="N813" s="69">
        <f t="shared" ca="1" si="529"/>
        <v>570.37281884350705</v>
      </c>
      <c r="O813" s="69">
        <f t="shared" ca="1" si="530"/>
        <v>629.6430365857907</v>
      </c>
      <c r="P813" s="69">
        <f t="shared" ca="1" si="531"/>
        <v>724.09539597207709</v>
      </c>
      <c r="Q813" s="69">
        <f t="shared" ca="1" si="532"/>
        <v>958.87160872089271</v>
      </c>
      <c r="R813" s="69">
        <f t="shared" ca="1" si="533"/>
        <v>779.9860434608612</v>
      </c>
      <c r="S813" s="69">
        <f t="shared" ca="1" si="534"/>
        <v>706.89418433373135</v>
      </c>
      <c r="T813" s="69">
        <f t="shared" ca="1" si="535"/>
        <v>796.15563503815122</v>
      </c>
      <c r="U813" s="69">
        <f t="shared" ca="1" si="536"/>
        <v>1695.1148277082218</v>
      </c>
      <c r="V813" s="69">
        <f t="shared" ca="1" si="537"/>
        <v>1913.0626010195867</v>
      </c>
      <c r="W813" s="69">
        <f t="shared" ca="1" si="538"/>
        <v>1183.6848660390249</v>
      </c>
      <c r="X813" s="69">
        <f t="shared" ca="1" si="539"/>
        <v>1488.1544801117157</v>
      </c>
      <c r="Y813" s="69">
        <f t="shared" ca="1" si="540"/>
        <v>1200.1569649372611</v>
      </c>
      <c r="AA813" s="20">
        <f t="shared" ca="1" si="500"/>
        <v>6.559277413007532E+16</v>
      </c>
      <c r="AB813" s="20">
        <f t="shared" ca="1" si="501"/>
        <v>1675205656812957.3</v>
      </c>
      <c r="AC813" s="20">
        <f t="shared" ca="1" si="502"/>
        <v>403543777085384.56</v>
      </c>
      <c r="AD813" s="20">
        <f t="shared" ca="1" si="503"/>
        <v>304786312564854</v>
      </c>
      <c r="AE813" s="20">
        <f t="shared" ca="1" si="504"/>
        <v>6855678854521074</v>
      </c>
      <c r="AG813" s="16">
        <f t="shared" ca="1" si="505"/>
        <v>1.9870016206469457E-4</v>
      </c>
      <c r="AH813" s="16">
        <f t="shared" ca="1" si="506"/>
        <v>1.0334964908117739E-3</v>
      </c>
      <c r="AI813" s="16">
        <f t="shared" ca="1" si="507"/>
        <v>-1.3968104907060672E-5</v>
      </c>
      <c r="AJ813" s="16">
        <f t="shared" ca="1" si="508"/>
        <v>-6.2327485837454229E-4</v>
      </c>
      <c r="AK813" s="16">
        <f t="shared" ca="1" si="509"/>
        <v>1.9909934487716678E-4</v>
      </c>
      <c r="AM813" s="16">
        <f t="shared" ca="1" si="510"/>
        <v>5.9495368959486543E-4</v>
      </c>
      <c r="AO813" s="16">
        <f t="shared" ca="1" si="511"/>
        <v>0</v>
      </c>
      <c r="AP813" s="16">
        <f t="shared" ca="1" si="512"/>
        <v>0</v>
      </c>
      <c r="AQ813" s="16">
        <f t="shared" ca="1" si="513"/>
        <v>-1.3968104907060672E-5</v>
      </c>
      <c r="AR813" s="16">
        <f t="shared" ca="1" si="514"/>
        <v>-6.2327485837454229E-4</v>
      </c>
      <c r="AS813" s="16">
        <f t="shared" ca="1" si="515"/>
        <v>0</v>
      </c>
    </row>
    <row r="814" spans="1:45" x14ac:dyDescent="0.25">
      <c r="A814" s="69">
        <f t="shared" ca="1" si="516"/>
        <v>2448.065130486169</v>
      </c>
      <c r="B814" s="69">
        <f t="shared" ca="1" si="517"/>
        <v>2141.214387788601</v>
      </c>
      <c r="C814" s="69">
        <f t="shared" ca="1" si="518"/>
        <v>2232.0274201781276</v>
      </c>
      <c r="D814" s="69">
        <f t="shared" ca="1" si="519"/>
        <v>2904.536493517845</v>
      </c>
      <c r="E814" s="69">
        <f t="shared" ca="1" si="520"/>
        <v>1930.5578032233029</v>
      </c>
      <c r="F814" s="69">
        <f t="shared" ca="1" si="521"/>
        <v>1218.5121840633633</v>
      </c>
      <c r="G814" s="69">
        <f t="shared" ca="1" si="522"/>
        <v>969.41464880570425</v>
      </c>
      <c r="H814" s="69">
        <f t="shared" ca="1" si="523"/>
        <v>1186.0252112287199</v>
      </c>
      <c r="I814" s="69">
        <f t="shared" ca="1" si="524"/>
        <v>1050.8334905877612</v>
      </c>
      <c r="J814" s="69">
        <f t="shared" ca="1" si="525"/>
        <v>1139.0681069683062</v>
      </c>
      <c r="K814" s="69">
        <f t="shared" ca="1" si="526"/>
        <v>1173.0541941419488</v>
      </c>
      <c r="L814" s="69">
        <f t="shared" ca="1" si="527"/>
        <v>962.50374805708645</v>
      </c>
      <c r="M814" s="69">
        <f t="shared" ca="1" si="528"/>
        <v>995.44105964703442</v>
      </c>
      <c r="N814" s="69">
        <f t="shared" ca="1" si="529"/>
        <v>570.37281884350705</v>
      </c>
      <c r="O814" s="69">
        <f t="shared" ca="1" si="530"/>
        <v>629.49126907582183</v>
      </c>
      <c r="P814" s="69">
        <f t="shared" ca="1" si="531"/>
        <v>724.09539597207709</v>
      </c>
      <c r="Q814" s="69">
        <f t="shared" ca="1" si="532"/>
        <v>958.55947926821079</v>
      </c>
      <c r="R814" s="69">
        <f t="shared" ca="1" si="533"/>
        <v>779.91243845145198</v>
      </c>
      <c r="S814" s="69">
        <f t="shared" ca="1" si="534"/>
        <v>706.94975587781983</v>
      </c>
      <c r="T814" s="69">
        <f t="shared" ca="1" si="535"/>
        <v>795.93119581831263</v>
      </c>
      <c r="U814" s="69">
        <f t="shared" ca="1" si="536"/>
        <v>1695.1148277082218</v>
      </c>
      <c r="V814" s="69">
        <f t="shared" ca="1" si="537"/>
        <v>1913.5076112601614</v>
      </c>
      <c r="W814" s="69">
        <f t="shared" ca="1" si="538"/>
        <v>1183.7648230224918</v>
      </c>
      <c r="X814" s="69">
        <f t="shared" ca="1" si="539"/>
        <v>1488.0041287428094</v>
      </c>
      <c r="Y814" s="69">
        <f t="shared" ca="1" si="540"/>
        <v>1200.1569649372611</v>
      </c>
      <c r="AA814" s="20">
        <f t="shared" ca="1" si="500"/>
        <v>6.5605808719869912E+16</v>
      </c>
      <c r="AB814" s="20">
        <f t="shared" ca="1" si="501"/>
        <v>1676937870945091.3</v>
      </c>
      <c r="AC814" s="20">
        <f t="shared" ca="1" si="502"/>
        <v>403538140382938.75</v>
      </c>
      <c r="AD814" s="20">
        <f t="shared" ca="1" si="503"/>
        <v>304596406107163.69</v>
      </c>
      <c r="AE814" s="20">
        <f t="shared" ca="1" si="504"/>
        <v>6857043951580153</v>
      </c>
      <c r="AG814" s="16">
        <f t="shared" ca="1" si="505"/>
        <v>-1.8122376830264713E-5</v>
      </c>
      <c r="AH814" s="16">
        <f t="shared" ca="1" si="506"/>
        <v>-5.2432090831569045E-4</v>
      </c>
      <c r="AI814" s="16">
        <f t="shared" ca="1" si="507"/>
        <v>-6.8877686596132597E-4</v>
      </c>
      <c r="AJ814" s="16">
        <f t="shared" ca="1" si="508"/>
        <v>-1.0990227687638114E-3</v>
      </c>
      <c r="AK814" s="16">
        <f t="shared" ca="1" si="509"/>
        <v>3.7465158208693745E-4</v>
      </c>
      <c r="AM814" s="16">
        <f t="shared" ca="1" si="510"/>
        <v>-2.3302429198710922E-3</v>
      </c>
      <c r="AO814" s="16">
        <f t="shared" ca="1" si="511"/>
        <v>-1.8122376830264713E-5</v>
      </c>
      <c r="AP814" s="16">
        <f t="shared" ca="1" si="512"/>
        <v>-5.2432090831569045E-4</v>
      </c>
      <c r="AQ814" s="16">
        <f t="shared" ca="1" si="513"/>
        <v>-6.8877686596132597E-4</v>
      </c>
      <c r="AR814" s="16">
        <f t="shared" ca="1" si="514"/>
        <v>-1.0990227687638114E-3</v>
      </c>
      <c r="AS814" s="16">
        <f t="shared" ca="1" si="515"/>
        <v>0</v>
      </c>
    </row>
    <row r="815" spans="1:45" x14ac:dyDescent="0.25">
      <c r="A815" s="69">
        <f t="shared" ca="1" si="516"/>
        <v>2448.065130486169</v>
      </c>
      <c r="B815" s="69">
        <f t="shared" ca="1" si="517"/>
        <v>2141.3609085284425</v>
      </c>
      <c r="C815" s="69">
        <f t="shared" ca="1" si="518"/>
        <v>2231.6936489128307</v>
      </c>
      <c r="D815" s="69">
        <f t="shared" ca="1" si="519"/>
        <v>2904.7194839259832</v>
      </c>
      <c r="E815" s="69">
        <f t="shared" ca="1" si="520"/>
        <v>1930.5578032233029</v>
      </c>
      <c r="F815" s="69">
        <f t="shared" ca="1" si="521"/>
        <v>1218.5121840633633</v>
      </c>
      <c r="G815" s="69">
        <f t="shared" ca="1" si="522"/>
        <v>969.61293151777716</v>
      </c>
      <c r="H815" s="69">
        <f t="shared" ca="1" si="523"/>
        <v>1185.6153481258004</v>
      </c>
      <c r="I815" s="69">
        <f t="shared" ca="1" si="524"/>
        <v>1050.4308864397944</v>
      </c>
      <c r="J815" s="69">
        <f t="shared" ca="1" si="525"/>
        <v>1139.0681069683062</v>
      </c>
      <c r="K815" s="69">
        <f t="shared" ca="1" si="526"/>
        <v>1173.0743761443509</v>
      </c>
      <c r="L815" s="69">
        <f t="shared" ca="1" si="527"/>
        <v>962.50374805708645</v>
      </c>
      <c r="M815" s="69">
        <f t="shared" ca="1" si="528"/>
        <v>995.27831978523693</v>
      </c>
      <c r="N815" s="69">
        <f t="shared" ca="1" si="529"/>
        <v>570.37281884350705</v>
      </c>
      <c r="O815" s="69">
        <f t="shared" ca="1" si="530"/>
        <v>629.14987347651231</v>
      </c>
      <c r="P815" s="69">
        <f t="shared" ca="1" si="531"/>
        <v>723.62067589828621</v>
      </c>
      <c r="Q815" s="69">
        <f t="shared" ca="1" si="532"/>
        <v>958.13473653964172</v>
      </c>
      <c r="R815" s="69">
        <f t="shared" ca="1" si="533"/>
        <v>779.91243845145198</v>
      </c>
      <c r="S815" s="69">
        <f t="shared" ca="1" si="534"/>
        <v>706.94975587781983</v>
      </c>
      <c r="T815" s="69">
        <f t="shared" ca="1" si="535"/>
        <v>795.93119581831263</v>
      </c>
      <c r="U815" s="69">
        <f t="shared" ca="1" si="536"/>
        <v>1695.0461697084822</v>
      </c>
      <c r="V815" s="69">
        <f t="shared" ca="1" si="537"/>
        <v>1913.5997413786815</v>
      </c>
      <c r="W815" s="69">
        <f t="shared" ca="1" si="538"/>
        <v>1184.0386374419256</v>
      </c>
      <c r="X815" s="69">
        <f t="shared" ca="1" si="539"/>
        <v>1487.7377757340564</v>
      </c>
      <c r="Y815" s="69">
        <f t="shared" ca="1" si="540"/>
        <v>1200.5347673086844</v>
      </c>
      <c r="AA815" s="20">
        <f t="shared" ca="1" si="500"/>
        <v>6.560461979745512E+16</v>
      </c>
      <c r="AB815" s="20">
        <f t="shared" ca="1" si="501"/>
        <v>1676058847822647.3</v>
      </c>
      <c r="AC815" s="20">
        <f t="shared" ca="1" si="502"/>
        <v>403260288347321.81</v>
      </c>
      <c r="AD815" s="20">
        <f t="shared" ca="1" si="503"/>
        <v>304261831607741</v>
      </c>
      <c r="AE815" s="20">
        <f t="shared" ca="1" si="504"/>
        <v>6859613435245557</v>
      </c>
      <c r="AG815" s="16">
        <f t="shared" ca="1" si="505"/>
        <v>-1.2165307919136932E-4</v>
      </c>
      <c r="AH815" s="16">
        <f t="shared" ca="1" si="506"/>
        <v>-7.5250887889210117E-4</v>
      </c>
      <c r="AI815" s="16">
        <f t="shared" ca="1" si="507"/>
        <v>-3.1592042893221209E-4</v>
      </c>
      <c r="AJ815" s="16">
        <f t="shared" ca="1" si="508"/>
        <v>2.0361131964340284E-4</v>
      </c>
      <c r="AK815" s="16">
        <f t="shared" ca="1" si="509"/>
        <v>4.3231334465694879E-4</v>
      </c>
      <c r="AM815" s="16">
        <f t="shared" ca="1" si="510"/>
        <v>-9.8647106737227968E-4</v>
      </c>
      <c r="AO815" s="16">
        <f t="shared" ca="1" si="511"/>
        <v>-1.2165307919136932E-4</v>
      </c>
      <c r="AP815" s="16">
        <f t="shared" ca="1" si="512"/>
        <v>-7.5250887889210117E-4</v>
      </c>
      <c r="AQ815" s="16">
        <f t="shared" ca="1" si="513"/>
        <v>-3.1592042893221209E-4</v>
      </c>
      <c r="AR815" s="16">
        <f t="shared" ca="1" si="514"/>
        <v>0</v>
      </c>
      <c r="AS815" s="16">
        <f t="shared" ca="1" si="515"/>
        <v>0</v>
      </c>
    </row>
    <row r="816" spans="1:45" x14ac:dyDescent="0.25">
      <c r="A816" s="69">
        <f t="shared" ca="1" si="516"/>
        <v>2447.8217907818075</v>
      </c>
      <c r="B816" s="69">
        <f t="shared" ca="1" si="517"/>
        <v>2141.5681064969949</v>
      </c>
      <c r="C816" s="69">
        <f t="shared" ca="1" si="518"/>
        <v>2231.7934285525694</v>
      </c>
      <c r="D816" s="69">
        <f t="shared" ca="1" si="519"/>
        <v>2904.2439858420116</v>
      </c>
      <c r="E816" s="69">
        <f t="shared" ca="1" si="520"/>
        <v>1930.5578032233029</v>
      </c>
      <c r="F816" s="69">
        <f t="shared" ca="1" si="521"/>
        <v>1218.8222274398347</v>
      </c>
      <c r="G816" s="69">
        <f t="shared" ca="1" si="522"/>
        <v>969.49236278087199</v>
      </c>
      <c r="H816" s="69">
        <f t="shared" ca="1" si="523"/>
        <v>1185.1753605335844</v>
      </c>
      <c r="I816" s="69">
        <f t="shared" ca="1" si="524"/>
        <v>1050.1004830045006</v>
      </c>
      <c r="J816" s="69">
        <f t="shared" ca="1" si="525"/>
        <v>1138.843958535155</v>
      </c>
      <c r="K816" s="69">
        <f t="shared" ca="1" si="526"/>
        <v>1172.7601767327762</v>
      </c>
      <c r="L816" s="69">
        <f t="shared" ca="1" si="527"/>
        <v>962.04124500883574</v>
      </c>
      <c r="M816" s="69">
        <f t="shared" ca="1" si="528"/>
        <v>995.70896476699522</v>
      </c>
      <c r="N816" s="69">
        <f t="shared" ca="1" si="529"/>
        <v>570.37281884350705</v>
      </c>
      <c r="O816" s="69">
        <f t="shared" ca="1" si="530"/>
        <v>629.14987347651231</v>
      </c>
      <c r="P816" s="69">
        <f t="shared" ca="1" si="531"/>
        <v>723.62067589828621</v>
      </c>
      <c r="Q816" s="69">
        <f t="shared" ca="1" si="532"/>
        <v>958.3298434800613</v>
      </c>
      <c r="R816" s="69">
        <f t="shared" ca="1" si="533"/>
        <v>779.91243845145198</v>
      </c>
      <c r="S816" s="69">
        <f t="shared" ca="1" si="534"/>
        <v>706.94975587781983</v>
      </c>
      <c r="T816" s="69">
        <f t="shared" ca="1" si="535"/>
        <v>795.93119581831263</v>
      </c>
      <c r="U816" s="69">
        <f t="shared" ca="1" si="536"/>
        <v>1695.0461697084822</v>
      </c>
      <c r="V816" s="69">
        <f t="shared" ca="1" si="537"/>
        <v>1913.3562007897558</v>
      </c>
      <c r="W816" s="69">
        <f t="shared" ca="1" si="538"/>
        <v>1184.3722041742669</v>
      </c>
      <c r="X816" s="69">
        <f t="shared" ca="1" si="539"/>
        <v>1487.7377757340564</v>
      </c>
      <c r="Y816" s="69">
        <f t="shared" ca="1" si="540"/>
        <v>1200.8684542374563</v>
      </c>
      <c r="AA816" s="20">
        <f t="shared" ca="1" si="500"/>
        <v>6.5596639278884752E+16</v>
      </c>
      <c r="AB816" s="20">
        <f t="shared" ca="1" si="501"/>
        <v>1674798073089700.3</v>
      </c>
      <c r="AC816" s="20">
        <f t="shared" ca="1" si="502"/>
        <v>403132910305778</v>
      </c>
      <c r="AD816" s="20">
        <f t="shared" ca="1" si="503"/>
        <v>304323789068197.88</v>
      </c>
      <c r="AE816" s="20">
        <f t="shared" ca="1" si="504"/>
        <v>6862579578778321</v>
      </c>
      <c r="AG816" s="16">
        <f t="shared" ca="1" si="505"/>
        <v>-2.3638104481034226E-4</v>
      </c>
      <c r="AH816" s="16">
        <f t="shared" ca="1" si="506"/>
        <v>5.6503785797827871E-4</v>
      </c>
      <c r="AI816" s="16">
        <f t="shared" ca="1" si="507"/>
        <v>1.4279628180059723E-4</v>
      </c>
      <c r="AJ816" s="16">
        <f t="shared" ca="1" si="508"/>
        <v>-7.4291957606156518E-4</v>
      </c>
      <c r="AK816" s="16">
        <f t="shared" ca="1" si="509"/>
        <v>-1.2472199860003762E-4</v>
      </c>
      <c r="AM816" s="16">
        <f t="shared" ca="1" si="510"/>
        <v>-2.7146648109303151E-4</v>
      </c>
      <c r="AO816" s="16">
        <f t="shared" ca="1" si="511"/>
        <v>-2.3638104481034226E-4</v>
      </c>
      <c r="AP816" s="16">
        <f t="shared" ca="1" si="512"/>
        <v>0</v>
      </c>
      <c r="AQ816" s="16">
        <f t="shared" ca="1" si="513"/>
        <v>0</v>
      </c>
      <c r="AR816" s="16">
        <f t="shared" ca="1" si="514"/>
        <v>-7.4291957606156518E-4</v>
      </c>
      <c r="AS816" s="16">
        <f t="shared" ca="1" si="515"/>
        <v>-1.2472199860003762E-4</v>
      </c>
    </row>
    <row r="817" spans="1:45" x14ac:dyDescent="0.25">
      <c r="A817" s="69">
        <f t="shared" ca="1" si="516"/>
        <v>2447.5148428144953</v>
      </c>
      <c r="B817" s="69">
        <f t="shared" ca="1" si="517"/>
        <v>2141.1439231541895</v>
      </c>
      <c r="C817" s="69">
        <f t="shared" ca="1" si="518"/>
        <v>2231.7934285525694</v>
      </c>
      <c r="D817" s="69">
        <f t="shared" ca="1" si="519"/>
        <v>2904.4294586467058</v>
      </c>
      <c r="E817" s="69">
        <f t="shared" ca="1" si="520"/>
        <v>1930.6026960529487</v>
      </c>
      <c r="F817" s="69">
        <f t="shared" ca="1" si="521"/>
        <v>1218.7698785693806</v>
      </c>
      <c r="G817" s="69">
        <f t="shared" ca="1" si="522"/>
        <v>969.64263100547646</v>
      </c>
      <c r="H817" s="69">
        <f t="shared" ca="1" si="523"/>
        <v>1185.1753605335844</v>
      </c>
      <c r="I817" s="69">
        <f t="shared" ca="1" si="524"/>
        <v>1050.5762908588226</v>
      </c>
      <c r="J817" s="69">
        <f t="shared" ca="1" si="525"/>
        <v>1138.843958535155</v>
      </c>
      <c r="K817" s="69">
        <f t="shared" ca="1" si="526"/>
        <v>1172.2605653580622</v>
      </c>
      <c r="L817" s="69">
        <f t="shared" ca="1" si="527"/>
        <v>962.04124500883574</v>
      </c>
      <c r="M817" s="69">
        <f t="shared" ca="1" si="528"/>
        <v>995.74342007276789</v>
      </c>
      <c r="N817" s="69">
        <f t="shared" ca="1" si="529"/>
        <v>570.67764881893868</v>
      </c>
      <c r="O817" s="69">
        <f t="shared" ca="1" si="530"/>
        <v>629.14987347651231</v>
      </c>
      <c r="P817" s="69">
        <f t="shared" ca="1" si="531"/>
        <v>723.18692044742352</v>
      </c>
      <c r="Q817" s="69">
        <f t="shared" ca="1" si="532"/>
        <v>958.29209881611314</v>
      </c>
      <c r="R817" s="69">
        <f t="shared" ca="1" si="533"/>
        <v>779.8313868311235</v>
      </c>
      <c r="S817" s="69">
        <f t="shared" ca="1" si="534"/>
        <v>706.94975587781983</v>
      </c>
      <c r="T817" s="69">
        <f t="shared" ca="1" si="535"/>
        <v>795.93119581831263</v>
      </c>
      <c r="U817" s="69">
        <f t="shared" ca="1" si="536"/>
        <v>1695.1676263465029</v>
      </c>
      <c r="V817" s="69">
        <f t="shared" ca="1" si="537"/>
        <v>1913.3562007897558</v>
      </c>
      <c r="W817" s="69">
        <f t="shared" ca="1" si="538"/>
        <v>1184.1396479148316</v>
      </c>
      <c r="X817" s="69">
        <f t="shared" ca="1" si="539"/>
        <v>1487.7377757340564</v>
      </c>
      <c r="Y817" s="69">
        <f t="shared" ca="1" si="540"/>
        <v>1200.8684542374563</v>
      </c>
      <c r="AA817" s="20">
        <f t="shared" ca="1" si="500"/>
        <v>6.5581135309250424E+16</v>
      </c>
      <c r="AB817" s="20">
        <f t="shared" ca="1" si="501"/>
        <v>1675744664810359.5</v>
      </c>
      <c r="AC817" s="20">
        <f t="shared" ca="1" si="502"/>
        <v>403190480296733.63</v>
      </c>
      <c r="AD817" s="20">
        <f t="shared" ca="1" si="503"/>
        <v>304097784929682.13</v>
      </c>
      <c r="AE817" s="20">
        <f t="shared" ca="1" si="504"/>
        <v>6861723717511177</v>
      </c>
      <c r="AG817" s="16">
        <f t="shared" ca="1" si="505"/>
        <v>2.1603264511502784E-4</v>
      </c>
      <c r="AH817" s="16">
        <f t="shared" ca="1" si="506"/>
        <v>-2.3065669403693993E-4</v>
      </c>
      <c r="AI817" s="16">
        <f t="shared" ca="1" si="507"/>
        <v>1.6271891183418151E-3</v>
      </c>
      <c r="AJ817" s="16">
        <f t="shared" ca="1" si="508"/>
        <v>1.1880122467038306E-3</v>
      </c>
      <c r="AK817" s="16">
        <f t="shared" ca="1" si="509"/>
        <v>-1.8891919996537148E-4</v>
      </c>
      <c r="AM817" s="16">
        <f t="shared" ca="1" si="510"/>
        <v>2.8005773161237334E-3</v>
      </c>
      <c r="AO817" s="16">
        <f t="shared" ca="1" si="511"/>
        <v>0</v>
      </c>
      <c r="AP817" s="16">
        <f t="shared" ca="1" si="512"/>
        <v>-2.3065669403693993E-4</v>
      </c>
      <c r="AQ817" s="16">
        <f t="shared" ca="1" si="513"/>
        <v>0</v>
      </c>
      <c r="AR817" s="16">
        <f t="shared" ca="1" si="514"/>
        <v>0</v>
      </c>
      <c r="AS817" s="16">
        <f t="shared" ca="1" si="515"/>
        <v>-1.8891919996537148E-4</v>
      </c>
    </row>
    <row r="818" spans="1:45" x14ac:dyDescent="0.25">
      <c r="A818" s="69">
        <f t="shared" ca="1" si="516"/>
        <v>2447.8853014323108</v>
      </c>
      <c r="B818" s="69">
        <f t="shared" ca="1" si="517"/>
        <v>2141.4022393435475</v>
      </c>
      <c r="C818" s="69">
        <f t="shared" ca="1" si="518"/>
        <v>2231.6502037337164</v>
      </c>
      <c r="D818" s="69">
        <f t="shared" ca="1" si="519"/>
        <v>2904.4533420361886</v>
      </c>
      <c r="E818" s="69">
        <f t="shared" ca="1" si="520"/>
        <v>1930.6026960529487</v>
      </c>
      <c r="F818" s="69">
        <f t="shared" ca="1" si="521"/>
        <v>1218.8921385136796</v>
      </c>
      <c r="G818" s="69">
        <f t="shared" ca="1" si="522"/>
        <v>969.43357793236714</v>
      </c>
      <c r="H818" s="69">
        <f t="shared" ca="1" si="523"/>
        <v>1185.1948990012218</v>
      </c>
      <c r="I818" s="69">
        <f t="shared" ca="1" si="524"/>
        <v>1050.1629773704192</v>
      </c>
      <c r="J818" s="69">
        <f t="shared" ca="1" si="525"/>
        <v>1139.1419911059052</v>
      </c>
      <c r="K818" s="69">
        <f t="shared" ca="1" si="526"/>
        <v>1172.6977578264273</v>
      </c>
      <c r="L818" s="69">
        <f t="shared" ca="1" si="527"/>
        <v>962.4863805079724</v>
      </c>
      <c r="M818" s="69">
        <f t="shared" ca="1" si="528"/>
        <v>995.99091398922883</v>
      </c>
      <c r="N818" s="69">
        <f t="shared" ca="1" si="529"/>
        <v>570.63970896696253</v>
      </c>
      <c r="O818" s="69">
        <f t="shared" ca="1" si="530"/>
        <v>629.53357164891895</v>
      </c>
      <c r="P818" s="69">
        <f t="shared" ca="1" si="531"/>
        <v>723.68491433024769</v>
      </c>
      <c r="Q818" s="69">
        <f t="shared" ca="1" si="532"/>
        <v>958.67458360648084</v>
      </c>
      <c r="R818" s="69">
        <f t="shared" ca="1" si="533"/>
        <v>780.21658491459254</v>
      </c>
      <c r="S818" s="69">
        <f t="shared" ca="1" si="534"/>
        <v>706.67180848783164</v>
      </c>
      <c r="T818" s="69">
        <f t="shared" ca="1" si="535"/>
        <v>795.93119581831263</v>
      </c>
      <c r="U818" s="69">
        <f t="shared" ca="1" si="536"/>
        <v>1695.1676263465029</v>
      </c>
      <c r="V818" s="69">
        <f t="shared" ca="1" si="537"/>
        <v>1913.1504341948637</v>
      </c>
      <c r="W818" s="69">
        <f t="shared" ca="1" si="538"/>
        <v>1184.0432969877988</v>
      </c>
      <c r="X818" s="69">
        <f t="shared" ca="1" si="539"/>
        <v>1487.7377757340564</v>
      </c>
      <c r="Y818" s="69">
        <f t="shared" ca="1" si="540"/>
        <v>1200.8684542374563</v>
      </c>
      <c r="AA818" s="20">
        <f t="shared" ca="1" si="500"/>
        <v>6.5595304505830336E+16</v>
      </c>
      <c r="AB818" s="20">
        <f t="shared" ca="1" si="501"/>
        <v>1675358187659408.8</v>
      </c>
      <c r="AC818" s="20">
        <f t="shared" ca="1" si="502"/>
        <v>403847081521199.25</v>
      </c>
      <c r="AD818" s="20">
        <f t="shared" ca="1" si="503"/>
        <v>304459271505097.38</v>
      </c>
      <c r="AE818" s="20">
        <f t="shared" ca="1" si="504"/>
        <v>6860427528597423</v>
      </c>
      <c r="AG818" s="16">
        <f t="shared" ca="1" si="505"/>
        <v>-2.4572265813393941E-4</v>
      </c>
      <c r="AH818" s="16">
        <f t="shared" ca="1" si="506"/>
        <v>-1.7660988915215828E-4</v>
      </c>
      <c r="AI818" s="16">
        <f t="shared" ca="1" si="507"/>
        <v>1.0452550954042142E-4</v>
      </c>
      <c r="AJ818" s="16">
        <f t="shared" ca="1" si="508"/>
        <v>-1.6130764020724843E-4</v>
      </c>
      <c r="AK818" s="16">
        <f t="shared" ca="1" si="509"/>
        <v>-8.2471314274726587E-6</v>
      </c>
      <c r="AM818" s="16">
        <f t="shared" ca="1" si="510"/>
        <v>-4.791146779529247E-4</v>
      </c>
      <c r="AO818" s="16">
        <f t="shared" ca="1" si="511"/>
        <v>-2.4572265813393941E-4</v>
      </c>
      <c r="AP818" s="16">
        <f t="shared" ca="1" si="512"/>
        <v>-1.7660988915215828E-4</v>
      </c>
      <c r="AQ818" s="16">
        <f t="shared" ca="1" si="513"/>
        <v>0</v>
      </c>
      <c r="AR818" s="16">
        <f t="shared" ca="1" si="514"/>
        <v>-1.6130764020724843E-4</v>
      </c>
      <c r="AS818" s="16">
        <f t="shared" ca="1" si="515"/>
        <v>-8.2471314274726587E-6</v>
      </c>
    </row>
    <row r="819" spans="1:45" x14ac:dyDescent="0.25">
      <c r="A819" s="69">
        <f t="shared" ca="1" si="516"/>
        <v>2447.4994835129628</v>
      </c>
      <c r="B819" s="69">
        <f t="shared" ca="1" si="517"/>
        <v>2141.1283159719665</v>
      </c>
      <c r="C819" s="69">
        <f t="shared" ca="1" si="518"/>
        <v>2231.6824311789787</v>
      </c>
      <c r="D819" s="69">
        <f t="shared" ca="1" si="519"/>
        <v>2904.583024674027</v>
      </c>
      <c r="E819" s="69">
        <f t="shared" ca="1" si="520"/>
        <v>1930.565510841144</v>
      </c>
      <c r="F819" s="69">
        <f t="shared" ca="1" si="521"/>
        <v>1219.2527252194845</v>
      </c>
      <c r="G819" s="69">
        <f t="shared" ca="1" si="522"/>
        <v>969.43357793236714</v>
      </c>
      <c r="H819" s="69">
        <f t="shared" ca="1" si="523"/>
        <v>1184.8538881531376</v>
      </c>
      <c r="I819" s="69">
        <f t="shared" ca="1" si="524"/>
        <v>1050.1629773704192</v>
      </c>
      <c r="J819" s="69">
        <f t="shared" ca="1" si="525"/>
        <v>1138.9316899292564</v>
      </c>
      <c r="K819" s="69">
        <f t="shared" ca="1" si="526"/>
        <v>1172.6977578264273</v>
      </c>
      <c r="L819" s="69">
        <f t="shared" ca="1" si="527"/>
        <v>962.7556361087826</v>
      </c>
      <c r="M819" s="69">
        <f t="shared" ca="1" si="528"/>
        <v>995.4998540786886</v>
      </c>
      <c r="N819" s="69">
        <f t="shared" ca="1" si="529"/>
        <v>570.53352307160856</v>
      </c>
      <c r="O819" s="69">
        <f t="shared" ca="1" si="530"/>
        <v>629.85098203520261</v>
      </c>
      <c r="P819" s="69">
        <f t="shared" ca="1" si="531"/>
        <v>723.68491433024769</v>
      </c>
      <c r="Q819" s="69">
        <f t="shared" ca="1" si="532"/>
        <v>958.28693842977736</v>
      </c>
      <c r="R819" s="69">
        <f t="shared" ca="1" si="533"/>
        <v>780.60192104853411</v>
      </c>
      <c r="S819" s="69">
        <f t="shared" ca="1" si="534"/>
        <v>706.4947159969845</v>
      </c>
      <c r="T819" s="69">
        <f t="shared" ca="1" si="535"/>
        <v>795.93119581831263</v>
      </c>
      <c r="U819" s="69">
        <f t="shared" ca="1" si="536"/>
        <v>1695.1676263465029</v>
      </c>
      <c r="V819" s="69">
        <f t="shared" ca="1" si="537"/>
        <v>1913.5251894490377</v>
      </c>
      <c r="W819" s="69">
        <f t="shared" ca="1" si="538"/>
        <v>1184.0701046714264</v>
      </c>
      <c r="X819" s="69">
        <f t="shared" ca="1" si="539"/>
        <v>1487.7377757340564</v>
      </c>
      <c r="Y819" s="69">
        <f t="shared" ca="1" si="540"/>
        <v>1200.5961853880367</v>
      </c>
      <c r="AA819" s="20">
        <f t="shared" ca="1" si="500"/>
        <v>6.55791882333938E+16</v>
      </c>
      <c r="AB819" s="20">
        <f t="shared" ca="1" si="501"/>
        <v>1675062328962151</v>
      </c>
      <c r="AC819" s="20">
        <f t="shared" ca="1" si="502"/>
        <v>403889296049380.75</v>
      </c>
      <c r="AD819" s="20">
        <f t="shared" ca="1" si="503"/>
        <v>304410163859297.38</v>
      </c>
      <c r="AE819" s="20">
        <f t="shared" ca="1" si="504"/>
        <v>6860370949983252</v>
      </c>
      <c r="AG819" s="16">
        <f t="shared" ca="1" si="505"/>
        <v>-1.2858776055470948E-4</v>
      </c>
      <c r="AH819" s="16">
        <f t="shared" ca="1" si="506"/>
        <v>3.2369057041821338E-4</v>
      </c>
      <c r="AI819" s="16">
        <f t="shared" ca="1" si="507"/>
        <v>7.9616682823653595E-5</v>
      </c>
      <c r="AJ819" s="16">
        <f t="shared" ca="1" si="508"/>
        <v>-3.0018846575976941E-4</v>
      </c>
      <c r="AK819" s="16">
        <f t="shared" ca="1" si="509"/>
        <v>3.5385245967665876E-4</v>
      </c>
      <c r="AM819" s="16">
        <f t="shared" ca="1" si="510"/>
        <v>-2.5468973072611915E-5</v>
      </c>
      <c r="AO819" s="16">
        <f t="shared" ca="1" si="511"/>
        <v>-1.2858776055470948E-4</v>
      </c>
      <c r="AP819" s="16">
        <f t="shared" ca="1" si="512"/>
        <v>0</v>
      </c>
      <c r="AQ819" s="16">
        <f t="shared" ca="1" si="513"/>
        <v>0</v>
      </c>
      <c r="AR819" s="16">
        <f t="shared" ca="1" si="514"/>
        <v>-3.0018846575976941E-4</v>
      </c>
      <c r="AS819" s="16">
        <f t="shared" ca="1" si="515"/>
        <v>0</v>
      </c>
    </row>
    <row r="820" spans="1:45" x14ac:dyDescent="0.25">
      <c r="A820" s="69">
        <f t="shared" ca="1" si="516"/>
        <v>2447.0307985251293</v>
      </c>
      <c r="B820" s="69">
        <f t="shared" ca="1" si="517"/>
        <v>2141.2630528857135</v>
      </c>
      <c r="C820" s="69">
        <f t="shared" ca="1" si="518"/>
        <v>2231.6824311789787</v>
      </c>
      <c r="D820" s="69">
        <f t="shared" ca="1" si="519"/>
        <v>2904.583024674027</v>
      </c>
      <c r="E820" s="69">
        <f t="shared" ca="1" si="520"/>
        <v>1930.565510841144</v>
      </c>
      <c r="F820" s="69">
        <f t="shared" ca="1" si="521"/>
        <v>1219.4685543051924</v>
      </c>
      <c r="G820" s="69">
        <f t="shared" ca="1" si="522"/>
        <v>969.75996047892056</v>
      </c>
      <c r="H820" s="69">
        <f t="shared" ca="1" si="523"/>
        <v>1184.5022582783911</v>
      </c>
      <c r="I820" s="69">
        <f t="shared" ca="1" si="524"/>
        <v>1050.6607433395359</v>
      </c>
      <c r="J820" s="69">
        <f t="shared" ca="1" si="525"/>
        <v>1138.5137897165714</v>
      </c>
      <c r="K820" s="69">
        <f t="shared" ca="1" si="526"/>
        <v>1172.6977578264273</v>
      </c>
      <c r="L820" s="69">
        <f t="shared" ca="1" si="527"/>
        <v>962.7556361087826</v>
      </c>
      <c r="M820" s="69">
        <f t="shared" ca="1" si="528"/>
        <v>995.35002368196422</v>
      </c>
      <c r="N820" s="69">
        <f t="shared" ca="1" si="529"/>
        <v>570.53352307160856</v>
      </c>
      <c r="O820" s="69">
        <f t="shared" ca="1" si="530"/>
        <v>629.99594992091681</v>
      </c>
      <c r="P820" s="69">
        <f t="shared" ca="1" si="531"/>
        <v>723.60067157002049</v>
      </c>
      <c r="Q820" s="69">
        <f t="shared" ca="1" si="532"/>
        <v>958.28693842977736</v>
      </c>
      <c r="R820" s="69">
        <f t="shared" ca="1" si="533"/>
        <v>780.60192104853411</v>
      </c>
      <c r="S820" s="69">
        <f t="shared" ca="1" si="534"/>
        <v>706.09795274708188</v>
      </c>
      <c r="T820" s="69">
        <f t="shared" ca="1" si="535"/>
        <v>796.23209732856344</v>
      </c>
      <c r="U820" s="69">
        <f t="shared" ca="1" si="536"/>
        <v>1695.6506555936162</v>
      </c>
      <c r="V820" s="69">
        <f t="shared" ca="1" si="537"/>
        <v>1913.4814737745412</v>
      </c>
      <c r="W820" s="69">
        <f t="shared" ca="1" si="538"/>
        <v>1184.0701046714264</v>
      </c>
      <c r="X820" s="69">
        <f t="shared" ca="1" si="539"/>
        <v>1487.8027823555556</v>
      </c>
      <c r="Y820" s="69">
        <f t="shared" ca="1" si="540"/>
        <v>1200.6539355897576</v>
      </c>
      <c r="AA820" s="20">
        <f t="shared" ca="1" si="500"/>
        <v>6.5570756094586416E+16</v>
      </c>
      <c r="AB820" s="20">
        <f t="shared" ca="1" si="501"/>
        <v>1675604618605185.8</v>
      </c>
      <c r="AC820" s="20">
        <f t="shared" ca="1" si="502"/>
        <v>403921453655484.19</v>
      </c>
      <c r="AD820" s="20">
        <f t="shared" ca="1" si="503"/>
        <v>304318797153548.5</v>
      </c>
      <c r="AE820" s="20">
        <f t="shared" ca="1" si="504"/>
        <v>6862798938667748</v>
      </c>
      <c r="AG820" s="16">
        <f t="shared" ca="1" si="505"/>
        <v>-1.8627726915330609E-5</v>
      </c>
      <c r="AH820" s="16">
        <f t="shared" ca="1" si="506"/>
        <v>-4.5030002510864048E-4</v>
      </c>
      <c r="AI820" s="16">
        <f t="shared" ca="1" si="507"/>
        <v>1.0684981636666878E-3</v>
      </c>
      <c r="AJ820" s="16">
        <f t="shared" ca="1" si="508"/>
        <v>-1.62558162411301E-4</v>
      </c>
      <c r="AK820" s="16">
        <f t="shared" ca="1" si="509"/>
        <v>1.4254960227694829E-4</v>
      </c>
      <c r="AM820" s="16">
        <f t="shared" ca="1" si="510"/>
        <v>4.3701224923141564E-4</v>
      </c>
      <c r="AO820" s="16">
        <f t="shared" ca="1" si="511"/>
        <v>-1.8627726915330609E-5</v>
      </c>
      <c r="AP820" s="16">
        <f t="shared" ca="1" si="512"/>
        <v>-4.5030002510864048E-4</v>
      </c>
      <c r="AQ820" s="16">
        <f t="shared" ca="1" si="513"/>
        <v>0</v>
      </c>
      <c r="AR820" s="16">
        <f t="shared" ca="1" si="514"/>
        <v>-1.62558162411301E-4</v>
      </c>
      <c r="AS820" s="16">
        <f t="shared" ca="1" si="515"/>
        <v>0</v>
      </c>
    </row>
    <row r="821" spans="1:45" x14ac:dyDescent="0.25">
      <c r="A821" s="69">
        <f t="shared" ca="1" si="516"/>
        <v>2446.8043529341189</v>
      </c>
      <c r="B821" s="69">
        <f t="shared" ca="1" si="517"/>
        <v>2141.2520415014351</v>
      </c>
      <c r="C821" s="69">
        <f t="shared" ca="1" si="518"/>
        <v>2232.1521483302172</v>
      </c>
      <c r="D821" s="69">
        <f t="shared" ca="1" si="519"/>
        <v>2904.583024674027</v>
      </c>
      <c r="E821" s="69">
        <f t="shared" ca="1" si="520"/>
        <v>1930.3118577802072</v>
      </c>
      <c r="F821" s="69">
        <f t="shared" ca="1" si="521"/>
        <v>1219.1177730322574</v>
      </c>
      <c r="G821" s="69">
        <f t="shared" ca="1" si="522"/>
        <v>969.60228285447477</v>
      </c>
      <c r="H821" s="69">
        <f t="shared" ca="1" si="523"/>
        <v>1184.5022582783911</v>
      </c>
      <c r="I821" s="69">
        <f t="shared" ca="1" si="524"/>
        <v>1050.6607433395359</v>
      </c>
      <c r="J821" s="69">
        <f t="shared" ca="1" si="525"/>
        <v>1138.5137897165714</v>
      </c>
      <c r="K821" s="69">
        <f t="shared" ca="1" si="526"/>
        <v>1173.1782096779284</v>
      </c>
      <c r="L821" s="69">
        <f t="shared" ca="1" si="527"/>
        <v>962.74932845276192</v>
      </c>
      <c r="M821" s="69">
        <f t="shared" ca="1" si="528"/>
        <v>995.2766233414909</v>
      </c>
      <c r="N821" s="69">
        <f t="shared" ca="1" si="529"/>
        <v>570.6842189425879</v>
      </c>
      <c r="O821" s="69">
        <f t="shared" ca="1" si="530"/>
        <v>630.29532276125269</v>
      </c>
      <c r="P821" s="69">
        <f t="shared" ca="1" si="531"/>
        <v>723.23016042506526</v>
      </c>
      <c r="Q821" s="69">
        <f t="shared" ca="1" si="532"/>
        <v>958.47352449836058</v>
      </c>
      <c r="R821" s="69">
        <f t="shared" ca="1" si="533"/>
        <v>780.40851894514049</v>
      </c>
      <c r="S821" s="69">
        <f t="shared" ca="1" si="534"/>
        <v>706.38236487573965</v>
      </c>
      <c r="T821" s="69">
        <f t="shared" ca="1" si="535"/>
        <v>796.23209732856344</v>
      </c>
      <c r="U821" s="69">
        <f t="shared" ca="1" si="536"/>
        <v>1695.901489498734</v>
      </c>
      <c r="V821" s="69">
        <f t="shared" ca="1" si="537"/>
        <v>1913.4814737745412</v>
      </c>
      <c r="W821" s="69">
        <f t="shared" ca="1" si="538"/>
        <v>1183.9253577496384</v>
      </c>
      <c r="X821" s="69">
        <f t="shared" ca="1" si="539"/>
        <v>1487.7479149070261</v>
      </c>
      <c r="Y821" s="69">
        <f t="shared" ca="1" si="540"/>
        <v>1200.838567469428</v>
      </c>
      <c r="AA821" s="20">
        <f t="shared" ca="1" si="500"/>
        <v>6.5569534671824456E+16</v>
      </c>
      <c r="AB821" s="20">
        <f t="shared" ca="1" si="501"/>
        <v>1674850263659128</v>
      </c>
      <c r="AC821" s="20">
        <f t="shared" ca="1" si="502"/>
        <v>404353273645330.06</v>
      </c>
      <c r="AD821" s="20">
        <f t="shared" ca="1" si="503"/>
        <v>304269331669714</v>
      </c>
      <c r="AE821" s="20">
        <f t="shared" ca="1" si="504"/>
        <v>6863777297657647</v>
      </c>
      <c r="AG821" s="16">
        <f t="shared" ca="1" si="505"/>
        <v>4.4759841609212626E-4</v>
      </c>
      <c r="AH821" s="16">
        <f t="shared" ca="1" si="506"/>
        <v>7.730190913314821E-4</v>
      </c>
      <c r="AI821" s="16">
        <f t="shared" ca="1" si="507"/>
        <v>-7.6936657008453931E-5</v>
      </c>
      <c r="AJ821" s="16">
        <f t="shared" ca="1" si="508"/>
        <v>5.2893743385848174E-4</v>
      </c>
      <c r="AK821" s="16">
        <f t="shared" ca="1" si="509"/>
        <v>-1.6082378825850105E-4</v>
      </c>
      <c r="AM821" s="16">
        <f t="shared" ca="1" si="510"/>
        <v>1.6726182842736362E-3</v>
      </c>
      <c r="AO821" s="16">
        <f t="shared" ca="1" si="511"/>
        <v>0</v>
      </c>
      <c r="AP821" s="16">
        <f t="shared" ca="1" si="512"/>
        <v>0</v>
      </c>
      <c r="AQ821" s="16">
        <f t="shared" ca="1" si="513"/>
        <v>-7.6936657008453931E-5</v>
      </c>
      <c r="AR821" s="16">
        <f t="shared" ca="1" si="514"/>
        <v>0</v>
      </c>
      <c r="AS821" s="16">
        <f t="shared" ca="1" si="515"/>
        <v>-1.6082378825850105E-4</v>
      </c>
    </row>
    <row r="822" spans="1:45" x14ac:dyDescent="0.25">
      <c r="A822" s="69">
        <f t="shared" ca="1" si="516"/>
        <v>2447.1728182683109</v>
      </c>
      <c r="B822" s="69">
        <f t="shared" ca="1" si="517"/>
        <v>2141.2520415014351</v>
      </c>
      <c r="C822" s="69">
        <f t="shared" ca="1" si="518"/>
        <v>2232.1521483302172</v>
      </c>
      <c r="D822" s="69">
        <f t="shared" ca="1" si="519"/>
        <v>2904.8600816787971</v>
      </c>
      <c r="E822" s="69">
        <f t="shared" ca="1" si="520"/>
        <v>1930.7011206910438</v>
      </c>
      <c r="F822" s="69">
        <f t="shared" ca="1" si="521"/>
        <v>1219.4667919116084</v>
      </c>
      <c r="G822" s="69">
        <f t="shared" ca="1" si="522"/>
        <v>969.60228285447477</v>
      </c>
      <c r="H822" s="69">
        <f t="shared" ca="1" si="523"/>
        <v>1184.5022582783911</v>
      </c>
      <c r="I822" s="69">
        <f t="shared" ca="1" si="524"/>
        <v>1051.0581353364548</v>
      </c>
      <c r="J822" s="69">
        <f t="shared" ca="1" si="525"/>
        <v>1138.6374537680292</v>
      </c>
      <c r="K822" s="69">
        <f t="shared" ca="1" si="526"/>
        <v>1173.1782096779284</v>
      </c>
      <c r="L822" s="69">
        <f t="shared" ca="1" si="527"/>
        <v>962.74932845276192</v>
      </c>
      <c r="M822" s="69">
        <f t="shared" ca="1" si="528"/>
        <v>995.2766233414909</v>
      </c>
      <c r="N822" s="69">
        <f t="shared" ca="1" si="529"/>
        <v>570.64031409554264</v>
      </c>
      <c r="O822" s="69">
        <f t="shared" ca="1" si="530"/>
        <v>630.29532276125269</v>
      </c>
      <c r="P822" s="69">
        <f t="shared" ca="1" si="531"/>
        <v>723.58937483188197</v>
      </c>
      <c r="Q822" s="69">
        <f t="shared" ca="1" si="532"/>
        <v>958.47352449836058</v>
      </c>
      <c r="R822" s="69">
        <f t="shared" ca="1" si="533"/>
        <v>780.75365181107861</v>
      </c>
      <c r="S822" s="69">
        <f t="shared" ca="1" si="534"/>
        <v>706.15208355593609</v>
      </c>
      <c r="T822" s="69">
        <f t="shared" ca="1" si="535"/>
        <v>796.1654439978505</v>
      </c>
      <c r="U822" s="69">
        <f t="shared" ca="1" si="536"/>
        <v>1695.757341594634</v>
      </c>
      <c r="V822" s="69">
        <f t="shared" ca="1" si="537"/>
        <v>1913.4170886536288</v>
      </c>
      <c r="W822" s="69">
        <f t="shared" ca="1" si="538"/>
        <v>1183.9253577496384</v>
      </c>
      <c r="X822" s="69">
        <f t="shared" ca="1" si="539"/>
        <v>1487.6851724705336</v>
      </c>
      <c r="Y822" s="69">
        <f t="shared" ca="1" si="540"/>
        <v>1200.838567469428</v>
      </c>
      <c r="AA822" s="20">
        <f t="shared" ca="1" si="500"/>
        <v>6.5598890060910192E+16</v>
      </c>
      <c r="AB822" s="20">
        <f t="shared" ca="1" si="501"/>
        <v>1676145455427544</v>
      </c>
      <c r="AC822" s="20">
        <f t="shared" ca="1" si="502"/>
        <v>404322165252908.56</v>
      </c>
      <c r="AD822" s="20">
        <f t="shared" ca="1" si="503"/>
        <v>304430313680161.75</v>
      </c>
      <c r="AE822" s="20">
        <f t="shared" ca="1" si="504"/>
        <v>6862673527749483</v>
      </c>
      <c r="AG822" s="16">
        <f t="shared" ca="1" si="505"/>
        <v>1.0471572068961849E-4</v>
      </c>
      <c r="AH822" s="16">
        <f t="shared" ca="1" si="506"/>
        <v>4.2144183085489779E-4</v>
      </c>
      <c r="AI822" s="16">
        <f t="shared" ca="1" si="507"/>
        <v>4.2534279067186256E-4</v>
      </c>
      <c r="AJ822" s="16">
        <f t="shared" ca="1" si="508"/>
        <v>1.4910393938576602E-5</v>
      </c>
      <c r="AK822" s="16">
        <f t="shared" ca="1" si="509"/>
        <v>-1.9863541991519854E-4</v>
      </c>
      <c r="AM822" s="16">
        <f t="shared" ca="1" si="510"/>
        <v>9.6641073615495537E-4</v>
      </c>
      <c r="AO822" s="16">
        <f t="shared" ca="1" si="511"/>
        <v>0</v>
      </c>
      <c r="AP822" s="16">
        <f t="shared" ca="1" si="512"/>
        <v>0</v>
      </c>
      <c r="AQ822" s="16">
        <f t="shared" ca="1" si="513"/>
        <v>0</v>
      </c>
      <c r="AR822" s="16">
        <f t="shared" ca="1" si="514"/>
        <v>0</v>
      </c>
      <c r="AS822" s="16">
        <f t="shared" ca="1" si="515"/>
        <v>-1.9863541991519854E-4</v>
      </c>
    </row>
    <row r="823" spans="1:45" x14ac:dyDescent="0.25">
      <c r="A823" s="69">
        <f t="shared" ca="1" si="516"/>
        <v>2447.1728182683109</v>
      </c>
      <c r="B823" s="69">
        <f t="shared" ca="1" si="517"/>
        <v>2141.4762759923724</v>
      </c>
      <c r="C823" s="69">
        <f t="shared" ca="1" si="518"/>
        <v>2232.1521483302172</v>
      </c>
      <c r="D823" s="69">
        <f t="shared" ca="1" si="519"/>
        <v>2904.8600816787971</v>
      </c>
      <c r="E823" s="69">
        <f t="shared" ca="1" si="520"/>
        <v>1930.7011206910438</v>
      </c>
      <c r="F823" s="69">
        <f t="shared" ca="1" si="521"/>
        <v>1219.4298680015386</v>
      </c>
      <c r="G823" s="69">
        <f t="shared" ca="1" si="522"/>
        <v>969.5178469242237</v>
      </c>
      <c r="H823" s="69">
        <f t="shared" ca="1" si="523"/>
        <v>1184.5776533142555</v>
      </c>
      <c r="I823" s="69">
        <f t="shared" ca="1" si="524"/>
        <v>1051.5576733802341</v>
      </c>
      <c r="J823" s="69">
        <f t="shared" ca="1" si="525"/>
        <v>1138.6374537680292</v>
      </c>
      <c r="K823" s="69">
        <f t="shared" ca="1" si="526"/>
        <v>1173.374230739347</v>
      </c>
      <c r="L823" s="69">
        <f t="shared" ca="1" si="527"/>
        <v>962.57977908551504</v>
      </c>
      <c r="M823" s="69">
        <f t="shared" ca="1" si="528"/>
        <v>995.43818454651125</v>
      </c>
      <c r="N823" s="69">
        <f t="shared" ca="1" si="529"/>
        <v>570.45568749780034</v>
      </c>
      <c r="O823" s="69">
        <f t="shared" ca="1" si="530"/>
        <v>630.67088688997808</v>
      </c>
      <c r="P823" s="69">
        <f t="shared" ca="1" si="531"/>
        <v>723.36971487934886</v>
      </c>
      <c r="Q823" s="69">
        <f t="shared" ca="1" si="532"/>
        <v>958.89159384011907</v>
      </c>
      <c r="R823" s="69">
        <f t="shared" ca="1" si="533"/>
        <v>781.15102594287714</v>
      </c>
      <c r="S823" s="69">
        <f t="shared" ca="1" si="534"/>
        <v>706.15208355593609</v>
      </c>
      <c r="T823" s="69">
        <f t="shared" ca="1" si="535"/>
        <v>795.66688710098254</v>
      </c>
      <c r="U823" s="69">
        <f t="shared" ca="1" si="536"/>
        <v>1695.757341594634</v>
      </c>
      <c r="V823" s="69">
        <f t="shared" ca="1" si="537"/>
        <v>1913.4170886536288</v>
      </c>
      <c r="W823" s="69">
        <f t="shared" ca="1" si="538"/>
        <v>1184.2086858283151</v>
      </c>
      <c r="X823" s="69">
        <f t="shared" ca="1" si="539"/>
        <v>1487.4334877296862</v>
      </c>
      <c r="Y823" s="69">
        <f t="shared" ca="1" si="540"/>
        <v>1200.5159140845813</v>
      </c>
      <c r="AA823" s="20">
        <f t="shared" ca="1" si="500"/>
        <v>6.560575965563036E+16</v>
      </c>
      <c r="AB823" s="20">
        <f t="shared" ca="1" si="501"/>
        <v>1676852002110764.8</v>
      </c>
      <c r="AC823" s="20">
        <f t="shared" ca="1" si="502"/>
        <v>404494177350467.19</v>
      </c>
      <c r="AD823" s="20">
        <f t="shared" ca="1" si="503"/>
        <v>304434852889906.19</v>
      </c>
      <c r="AE823" s="20">
        <f t="shared" ca="1" si="504"/>
        <v>6861310493089520</v>
      </c>
      <c r="AG823" s="16">
        <f t="shared" ca="1" si="505"/>
        <v>9.6603765997472168E-5</v>
      </c>
      <c r="AH823" s="16">
        <f t="shared" ca="1" si="506"/>
        <v>4.1382471760095514E-4</v>
      </c>
      <c r="AI823" s="16">
        <f t="shared" ca="1" si="507"/>
        <v>1.0190875473473817E-3</v>
      </c>
      <c r="AJ823" s="16">
        <f t="shared" ca="1" si="508"/>
        <v>-2.0010751336440227E-3</v>
      </c>
      <c r="AK823" s="16">
        <f t="shared" ca="1" si="509"/>
        <v>-2.7875592593306009E-4</v>
      </c>
      <c r="AM823" s="16">
        <f t="shared" ca="1" si="510"/>
        <v>-4.7155910269821352E-4</v>
      </c>
      <c r="AO823" s="16">
        <f t="shared" ca="1" si="511"/>
        <v>0</v>
      </c>
      <c r="AP823" s="16">
        <f t="shared" ca="1" si="512"/>
        <v>0</v>
      </c>
      <c r="AQ823" s="16">
        <f t="shared" ca="1" si="513"/>
        <v>0</v>
      </c>
      <c r="AR823" s="16">
        <f t="shared" ca="1" si="514"/>
        <v>-2.0010751336440227E-3</v>
      </c>
      <c r="AS823" s="16">
        <f t="shared" ca="1" si="515"/>
        <v>-2.7875592593306009E-4</v>
      </c>
    </row>
    <row r="824" spans="1:45" x14ac:dyDescent="0.25">
      <c r="A824" s="69">
        <f t="shared" ca="1" si="516"/>
        <v>2446.8881654210581</v>
      </c>
      <c r="B824" s="69">
        <f t="shared" ca="1" si="517"/>
        <v>2141.4762759923724</v>
      </c>
      <c r="C824" s="69">
        <f t="shared" ca="1" si="518"/>
        <v>2232.1521483302172</v>
      </c>
      <c r="D824" s="69">
        <f t="shared" ca="1" si="519"/>
        <v>2904.8376140009168</v>
      </c>
      <c r="E824" s="69">
        <f t="shared" ca="1" si="520"/>
        <v>1931.1272041958737</v>
      </c>
      <c r="F824" s="69">
        <f t="shared" ca="1" si="521"/>
        <v>1219.4298680015386</v>
      </c>
      <c r="G824" s="69">
        <f t="shared" ca="1" si="522"/>
        <v>969.52826026673199</v>
      </c>
      <c r="H824" s="69">
        <f t="shared" ca="1" si="523"/>
        <v>1184.7808655223357</v>
      </c>
      <c r="I824" s="69">
        <f t="shared" ca="1" si="524"/>
        <v>1051.8847655323627</v>
      </c>
      <c r="J824" s="69">
        <f t="shared" ca="1" si="525"/>
        <v>1138.5469857722208</v>
      </c>
      <c r="K824" s="69">
        <f t="shared" ca="1" si="526"/>
        <v>1173.4198530011774</v>
      </c>
      <c r="L824" s="69">
        <f t="shared" ca="1" si="527"/>
        <v>962.57977908551504</v>
      </c>
      <c r="M824" s="69">
        <f t="shared" ca="1" si="528"/>
        <v>995.83010429643173</v>
      </c>
      <c r="N824" s="69">
        <f t="shared" ca="1" si="529"/>
        <v>570.79039711908501</v>
      </c>
      <c r="O824" s="69">
        <f t="shared" ca="1" si="530"/>
        <v>630.67088688997808</v>
      </c>
      <c r="P824" s="69">
        <f t="shared" ca="1" si="531"/>
        <v>722.90460092613125</v>
      </c>
      <c r="Q824" s="69">
        <f t="shared" ca="1" si="532"/>
        <v>959.28204715568484</v>
      </c>
      <c r="R824" s="69">
        <f t="shared" ca="1" si="533"/>
        <v>780.7452156055017</v>
      </c>
      <c r="S824" s="69">
        <f t="shared" ca="1" si="534"/>
        <v>705.69698576983717</v>
      </c>
      <c r="T824" s="69">
        <f t="shared" ca="1" si="535"/>
        <v>795.18909415652763</v>
      </c>
      <c r="U824" s="69">
        <f t="shared" ca="1" si="536"/>
        <v>1695.4293933718197</v>
      </c>
      <c r="V824" s="69">
        <f t="shared" ca="1" si="537"/>
        <v>1913.5959884663278</v>
      </c>
      <c r="W824" s="69">
        <f t="shared" ca="1" si="538"/>
        <v>1184.1879744063847</v>
      </c>
      <c r="X824" s="69">
        <f t="shared" ca="1" si="539"/>
        <v>1487.1935138449646</v>
      </c>
      <c r="Y824" s="69">
        <f t="shared" ca="1" si="540"/>
        <v>1200.5159140845813</v>
      </c>
      <c r="AA824" s="20">
        <f t="shared" ca="1" si="500"/>
        <v>6.5612097725219984E+16</v>
      </c>
      <c r="AB824" s="20">
        <f t="shared" ca="1" si="501"/>
        <v>1677546068518009.3</v>
      </c>
      <c r="AC824" s="20">
        <f t="shared" ca="1" si="502"/>
        <v>404906602442524</v>
      </c>
      <c r="AD824" s="20">
        <f t="shared" ca="1" si="503"/>
        <v>303826264994106.88</v>
      </c>
      <c r="AE824" s="20">
        <f t="shared" ca="1" si="504"/>
        <v>6859398128683743</v>
      </c>
      <c r="AG824" s="16">
        <f t="shared" ca="1" si="505"/>
        <v>1.4067951257816624E-4</v>
      </c>
      <c r="AH824" s="16">
        <f t="shared" ca="1" si="506"/>
        <v>5.4054987245436589E-4</v>
      </c>
      <c r="AI824" s="16">
        <f t="shared" ca="1" si="507"/>
        <v>2.2234726345245656E-4</v>
      </c>
      <c r="AJ824" s="16">
        <f t="shared" ca="1" si="508"/>
        <v>-6.6999160342244742E-4</v>
      </c>
      <c r="AK824" s="16">
        <f t="shared" ca="1" si="509"/>
        <v>5.0865548058357706E-4</v>
      </c>
      <c r="AM824" s="16">
        <f t="shared" ca="1" si="510"/>
        <v>2.3358504506254128E-4</v>
      </c>
      <c r="AO824" s="16">
        <f t="shared" ca="1" si="511"/>
        <v>0</v>
      </c>
      <c r="AP824" s="16">
        <f t="shared" ca="1" si="512"/>
        <v>0</v>
      </c>
      <c r="AQ824" s="16">
        <f t="shared" ca="1" si="513"/>
        <v>0</v>
      </c>
      <c r="AR824" s="16">
        <f t="shared" ca="1" si="514"/>
        <v>-6.6999160342244742E-4</v>
      </c>
      <c r="AS824" s="16">
        <f t="shared" ca="1" si="515"/>
        <v>0</v>
      </c>
    </row>
    <row r="825" spans="1:45" x14ac:dyDescent="0.25">
      <c r="A825" s="69">
        <f t="shared" ca="1" si="516"/>
        <v>2447.3871759198437</v>
      </c>
      <c r="B825" s="69">
        <f t="shared" ca="1" si="517"/>
        <v>2141.5078943362741</v>
      </c>
      <c r="C825" s="69">
        <f t="shared" ca="1" si="518"/>
        <v>2231.9780447753255</v>
      </c>
      <c r="D825" s="69">
        <f t="shared" ca="1" si="519"/>
        <v>2904.8376140009168</v>
      </c>
      <c r="E825" s="69">
        <f t="shared" ca="1" si="520"/>
        <v>1931.1272041958737</v>
      </c>
      <c r="F825" s="69">
        <f t="shared" ca="1" si="521"/>
        <v>1219.4298680015386</v>
      </c>
      <c r="G825" s="69">
        <f t="shared" ca="1" si="522"/>
        <v>969.79664730622289</v>
      </c>
      <c r="H825" s="69">
        <f t="shared" ca="1" si="523"/>
        <v>1185.0934115126047</v>
      </c>
      <c r="I825" s="69">
        <f t="shared" ca="1" si="524"/>
        <v>1051.8847655323627</v>
      </c>
      <c r="J825" s="69">
        <f t="shared" ca="1" si="525"/>
        <v>1138.5469857722208</v>
      </c>
      <c r="K825" s="69">
        <f t="shared" ca="1" si="526"/>
        <v>1173.54673945952</v>
      </c>
      <c r="L825" s="69">
        <f t="shared" ca="1" si="527"/>
        <v>963.00706544176398</v>
      </c>
      <c r="M825" s="69">
        <f t="shared" ca="1" si="528"/>
        <v>996.07870609487463</v>
      </c>
      <c r="N825" s="69">
        <f t="shared" ca="1" si="529"/>
        <v>570.45989617785574</v>
      </c>
      <c r="O825" s="69">
        <f t="shared" ca="1" si="530"/>
        <v>630.67088688997808</v>
      </c>
      <c r="P825" s="69">
        <f t="shared" ca="1" si="531"/>
        <v>722.94368994321917</v>
      </c>
      <c r="Q825" s="69">
        <f t="shared" ca="1" si="532"/>
        <v>959.28204715568484</v>
      </c>
      <c r="R825" s="69">
        <f t="shared" ca="1" si="533"/>
        <v>780.53936377129185</v>
      </c>
      <c r="S825" s="69">
        <f t="shared" ca="1" si="534"/>
        <v>705.69698576983717</v>
      </c>
      <c r="T825" s="69">
        <f t="shared" ca="1" si="535"/>
        <v>794.82309972075575</v>
      </c>
      <c r="U825" s="69">
        <f t="shared" ca="1" si="536"/>
        <v>1695.2271357112859</v>
      </c>
      <c r="V825" s="69">
        <f t="shared" ca="1" si="537"/>
        <v>1913.5959884663278</v>
      </c>
      <c r="W825" s="69">
        <f t="shared" ca="1" si="538"/>
        <v>1184.1568214241393</v>
      </c>
      <c r="X825" s="69">
        <f t="shared" ca="1" si="539"/>
        <v>1487.6244118357981</v>
      </c>
      <c r="Y825" s="69">
        <f t="shared" ca="1" si="540"/>
        <v>1200.9536649839761</v>
      </c>
      <c r="AA825" s="20">
        <f t="shared" ca="1" si="500"/>
        <v>6.5621328652433152E+16</v>
      </c>
      <c r="AB825" s="20">
        <f t="shared" ca="1" si="501"/>
        <v>1678453110960135</v>
      </c>
      <c r="AC825" s="20">
        <f t="shared" ca="1" si="502"/>
        <v>404996642327220.94</v>
      </c>
      <c r="AD825" s="20">
        <f t="shared" ca="1" si="503"/>
        <v>303622772124530.75</v>
      </c>
      <c r="AE825" s="20">
        <f t="shared" ca="1" si="504"/>
        <v>6862888086653280</v>
      </c>
      <c r="AG825" s="16">
        <f t="shared" ca="1" si="505"/>
        <v>5.8739586658485585E-4</v>
      </c>
      <c r="AH825" s="16">
        <f t="shared" ca="1" si="506"/>
        <v>1.8146952405225644E-4</v>
      </c>
      <c r="AI825" s="16">
        <f t="shared" ca="1" si="507"/>
        <v>-2.1291531338660469E-4</v>
      </c>
      <c r="AJ825" s="16">
        <f t="shared" ca="1" si="508"/>
        <v>-1.3744860586308212E-5</v>
      </c>
      <c r="AK825" s="16">
        <f t="shared" ca="1" si="509"/>
        <v>-1.0832130639814959E-5</v>
      </c>
      <c r="AM825" s="16">
        <f t="shared" ca="1" si="510"/>
        <v>5.4220521666419942E-4</v>
      </c>
      <c r="AO825" s="16">
        <f t="shared" ca="1" si="511"/>
        <v>0</v>
      </c>
      <c r="AP825" s="16">
        <f t="shared" ca="1" si="512"/>
        <v>0</v>
      </c>
      <c r="AQ825" s="16">
        <f t="shared" ca="1" si="513"/>
        <v>-2.1291531338660469E-4</v>
      </c>
      <c r="AR825" s="16">
        <f t="shared" ca="1" si="514"/>
        <v>-1.3744860586308212E-5</v>
      </c>
      <c r="AS825" s="16">
        <f t="shared" ca="1" si="515"/>
        <v>-1.0832130639814959E-5</v>
      </c>
    </row>
    <row r="826" spans="1:45" x14ac:dyDescent="0.25">
      <c r="A826" s="69">
        <f t="shared" ca="1" si="516"/>
        <v>2447.7853504108298</v>
      </c>
      <c r="B826" s="69">
        <f t="shared" ca="1" si="517"/>
        <v>2141.9656868113389</v>
      </c>
      <c r="C826" s="69">
        <f t="shared" ca="1" si="518"/>
        <v>2232.0851975733203</v>
      </c>
      <c r="D826" s="69">
        <f t="shared" ca="1" si="519"/>
        <v>2905.2637496163179</v>
      </c>
      <c r="E826" s="69">
        <f t="shared" ca="1" si="520"/>
        <v>1931.1586286450263</v>
      </c>
      <c r="F826" s="69">
        <f t="shared" ca="1" si="521"/>
        <v>1219.7617478050026</v>
      </c>
      <c r="G826" s="69">
        <f t="shared" ca="1" si="522"/>
        <v>970.06775561552524</v>
      </c>
      <c r="H826" s="69">
        <f t="shared" ca="1" si="523"/>
        <v>1185.3186433426956</v>
      </c>
      <c r="I826" s="69">
        <f t="shared" ca="1" si="524"/>
        <v>1051.4985034760446</v>
      </c>
      <c r="J826" s="69">
        <f t="shared" ca="1" si="525"/>
        <v>1138.3273527835299</v>
      </c>
      <c r="K826" s="69">
        <f t="shared" ca="1" si="526"/>
        <v>1173.54673945952</v>
      </c>
      <c r="L826" s="69">
        <f t="shared" ca="1" si="527"/>
        <v>962.74700582458058</v>
      </c>
      <c r="M826" s="69">
        <f t="shared" ca="1" si="528"/>
        <v>996.00028672214432</v>
      </c>
      <c r="N826" s="69">
        <f t="shared" ca="1" si="529"/>
        <v>570.15178237268128</v>
      </c>
      <c r="O826" s="69">
        <f t="shared" ca="1" si="530"/>
        <v>631.0974671294457</v>
      </c>
      <c r="P826" s="69">
        <f t="shared" ca="1" si="531"/>
        <v>722.82978441889975</v>
      </c>
      <c r="Q826" s="69">
        <f t="shared" ca="1" si="532"/>
        <v>959.24240829504515</v>
      </c>
      <c r="R826" s="69">
        <f t="shared" ca="1" si="533"/>
        <v>780.53936377129185</v>
      </c>
      <c r="S826" s="69">
        <f t="shared" ca="1" si="534"/>
        <v>705.82765606639043</v>
      </c>
      <c r="T826" s="69">
        <f t="shared" ca="1" si="535"/>
        <v>794.82309972075575</v>
      </c>
      <c r="U826" s="69">
        <f t="shared" ca="1" si="536"/>
        <v>1695.0278854346263</v>
      </c>
      <c r="V826" s="69">
        <f t="shared" ca="1" si="537"/>
        <v>1913.4190169092883</v>
      </c>
      <c r="W826" s="69">
        <f t="shared" ca="1" si="538"/>
        <v>1183.9460309089652</v>
      </c>
      <c r="X826" s="69">
        <f t="shared" ca="1" si="539"/>
        <v>1487.5911139492769</v>
      </c>
      <c r="Y826" s="69">
        <f t="shared" ca="1" si="540"/>
        <v>1201.433667430852</v>
      </c>
      <c r="AA826" s="20">
        <f t="shared" ca="1" si="500"/>
        <v>6.5659885672651928E+16</v>
      </c>
      <c r="AB826" s="20">
        <f t="shared" ca="1" si="501"/>
        <v>1678757726685724.3</v>
      </c>
      <c r="AC826" s="20">
        <f t="shared" ca="1" si="502"/>
        <v>404910421519390.19</v>
      </c>
      <c r="AD826" s="20">
        <f t="shared" ca="1" si="503"/>
        <v>303618598900537.31</v>
      </c>
      <c r="AE826" s="20">
        <f t="shared" ca="1" si="504"/>
        <v>6862813747355586</v>
      </c>
      <c r="AG826" s="16">
        <f t="shared" ca="1" si="505"/>
        <v>-1.4929682205615984E-4</v>
      </c>
      <c r="AH826" s="16">
        <f t="shared" ca="1" si="506"/>
        <v>1.1289988709366823E-3</v>
      </c>
      <c r="AI826" s="16">
        <f t="shared" ca="1" si="507"/>
        <v>-1.2325872979588397E-3</v>
      </c>
      <c r="AJ826" s="16">
        <f t="shared" ca="1" si="508"/>
        <v>2.5001581433473427E-4</v>
      </c>
      <c r="AK826" s="16">
        <f t="shared" ca="1" si="509"/>
        <v>5.5696362203507595E-4</v>
      </c>
      <c r="AM826" s="16">
        <f t="shared" ca="1" si="510"/>
        <v>-2.8694347435829462E-6</v>
      </c>
      <c r="AO826" s="16">
        <f t="shared" ca="1" si="511"/>
        <v>-1.4929682205615984E-4</v>
      </c>
      <c r="AP826" s="16">
        <f t="shared" ca="1" si="512"/>
        <v>0</v>
      </c>
      <c r="AQ826" s="16">
        <f t="shared" ca="1" si="513"/>
        <v>-1.2325872979588397E-3</v>
      </c>
      <c r="AR826" s="16">
        <f t="shared" ca="1" si="514"/>
        <v>0</v>
      </c>
      <c r="AS826" s="16">
        <f t="shared" ca="1" si="515"/>
        <v>0</v>
      </c>
    </row>
    <row r="827" spans="1:45" x14ac:dyDescent="0.25">
      <c r="A827" s="69">
        <f t="shared" ca="1" si="516"/>
        <v>2448.2728907789451</v>
      </c>
      <c r="B827" s="69">
        <f t="shared" ca="1" si="517"/>
        <v>2141.4771252061882</v>
      </c>
      <c r="C827" s="69">
        <f t="shared" ca="1" si="518"/>
        <v>2232.1434923690545</v>
      </c>
      <c r="D827" s="69">
        <f t="shared" ca="1" si="519"/>
        <v>2905.5143321658056</v>
      </c>
      <c r="E827" s="69">
        <f t="shared" ca="1" si="520"/>
        <v>1930.709298991171</v>
      </c>
      <c r="F827" s="69">
        <f t="shared" ca="1" si="521"/>
        <v>1220.1612649766275</v>
      </c>
      <c r="G827" s="69">
        <f t="shared" ca="1" si="522"/>
        <v>970.06775561552524</v>
      </c>
      <c r="H827" s="69">
        <f t="shared" ca="1" si="523"/>
        <v>1185.6305903961793</v>
      </c>
      <c r="I827" s="69">
        <f t="shared" ca="1" si="524"/>
        <v>1051.6849706138823</v>
      </c>
      <c r="J827" s="69">
        <f t="shared" ca="1" si="525"/>
        <v>1138.738426262277</v>
      </c>
      <c r="K827" s="69">
        <f t="shared" ca="1" si="526"/>
        <v>1173.2777153206534</v>
      </c>
      <c r="L827" s="69">
        <f t="shared" ca="1" si="527"/>
        <v>962.91863142674833</v>
      </c>
      <c r="M827" s="69">
        <f t="shared" ca="1" si="528"/>
        <v>995.51758308354579</v>
      </c>
      <c r="N827" s="69">
        <f t="shared" ca="1" si="529"/>
        <v>569.75463220623021</v>
      </c>
      <c r="O827" s="69">
        <f t="shared" ca="1" si="530"/>
        <v>631.0974671294457</v>
      </c>
      <c r="P827" s="69">
        <f t="shared" ca="1" si="531"/>
        <v>722.82978441889975</v>
      </c>
      <c r="Q827" s="69">
        <f t="shared" ca="1" si="532"/>
        <v>959.24240829504515</v>
      </c>
      <c r="R827" s="69">
        <f t="shared" ca="1" si="533"/>
        <v>780.9607191113987</v>
      </c>
      <c r="S827" s="69">
        <f t="shared" ca="1" si="534"/>
        <v>705.82765606639043</v>
      </c>
      <c r="T827" s="69">
        <f t="shared" ca="1" si="535"/>
        <v>794.59290110561255</v>
      </c>
      <c r="U827" s="69">
        <f t="shared" ca="1" si="536"/>
        <v>1694.8489376560115</v>
      </c>
      <c r="V827" s="69">
        <f t="shared" ca="1" si="537"/>
        <v>1913.4190169092883</v>
      </c>
      <c r="W827" s="69">
        <f t="shared" ca="1" si="538"/>
        <v>1184.4179189210956</v>
      </c>
      <c r="X827" s="69">
        <f t="shared" ca="1" si="539"/>
        <v>1487.9839620828968</v>
      </c>
      <c r="Y827" s="69">
        <f t="shared" ca="1" si="540"/>
        <v>1201.433667430852</v>
      </c>
      <c r="AA827" s="20">
        <f t="shared" ca="1" si="500"/>
        <v>6.5650083592112376E+16</v>
      </c>
      <c r="AB827" s="20">
        <f t="shared" ca="1" si="501"/>
        <v>1680654112571056.5</v>
      </c>
      <c r="AC827" s="20">
        <f t="shared" ca="1" si="502"/>
        <v>404411641535099.31</v>
      </c>
      <c r="AD827" s="20">
        <f t="shared" ca="1" si="503"/>
        <v>303694517841861.13</v>
      </c>
      <c r="AE827" s="20">
        <f t="shared" ca="1" si="504"/>
        <v>6866637149606811</v>
      </c>
      <c r="AG827" s="16">
        <f t="shared" ca="1" si="505"/>
        <v>-3.6272091453103214E-4</v>
      </c>
      <c r="AH827" s="16">
        <f t="shared" ca="1" si="506"/>
        <v>6.322810937768352E-4</v>
      </c>
      <c r="AI827" s="16">
        <f t="shared" ca="1" si="507"/>
        <v>5.341635840610976E-4</v>
      </c>
      <c r="AJ827" s="16">
        <f t="shared" ca="1" si="508"/>
        <v>-4.269279202466149E-5</v>
      </c>
      <c r="AK827" s="16">
        <f t="shared" ca="1" si="509"/>
        <v>-2.2074713604084816E-4</v>
      </c>
      <c r="AM827" s="16">
        <f t="shared" ca="1" si="510"/>
        <v>7.610309712822392E-4</v>
      </c>
      <c r="AO827" s="16">
        <f t="shared" ca="1" si="511"/>
        <v>-3.6272091453103214E-4</v>
      </c>
      <c r="AP827" s="16">
        <f t="shared" ca="1" si="512"/>
        <v>0</v>
      </c>
      <c r="AQ827" s="16">
        <f t="shared" ca="1" si="513"/>
        <v>0</v>
      </c>
      <c r="AR827" s="16">
        <f t="shared" ca="1" si="514"/>
        <v>-4.269279202466149E-5</v>
      </c>
      <c r="AS827" s="16">
        <f t="shared" ca="1" si="515"/>
        <v>-2.2074713604084816E-4</v>
      </c>
    </row>
    <row r="828" spans="1:45" x14ac:dyDescent="0.25">
      <c r="A828" s="69">
        <f t="shared" ca="1" si="516"/>
        <v>2447.8929539335682</v>
      </c>
      <c r="B828" s="69">
        <f t="shared" ca="1" si="517"/>
        <v>2141.9483531993151</v>
      </c>
      <c r="C828" s="69">
        <f t="shared" ca="1" si="518"/>
        <v>2231.9132497833511</v>
      </c>
      <c r="D828" s="69">
        <f t="shared" ca="1" si="519"/>
        <v>2905.224020635977</v>
      </c>
      <c r="E828" s="69">
        <f t="shared" ca="1" si="520"/>
        <v>1930.2759599202882</v>
      </c>
      <c r="F828" s="69">
        <f t="shared" ca="1" si="521"/>
        <v>1220.1612649766275</v>
      </c>
      <c r="G828" s="69">
        <f t="shared" ca="1" si="522"/>
        <v>970.32087868478345</v>
      </c>
      <c r="H828" s="69">
        <f t="shared" ca="1" si="523"/>
        <v>1186.0709937212716</v>
      </c>
      <c r="I828" s="69">
        <f t="shared" ca="1" si="524"/>
        <v>1051.6849706138823</v>
      </c>
      <c r="J828" s="69">
        <f t="shared" ca="1" si="525"/>
        <v>1138.738426262277</v>
      </c>
      <c r="K828" s="69">
        <f t="shared" ca="1" si="526"/>
        <v>1172.9712705833304</v>
      </c>
      <c r="L828" s="69">
        <f t="shared" ca="1" si="527"/>
        <v>963.0634270664101</v>
      </c>
      <c r="M828" s="69">
        <f t="shared" ca="1" si="528"/>
        <v>995.51758308354579</v>
      </c>
      <c r="N828" s="69">
        <f t="shared" ca="1" si="529"/>
        <v>569.75286532456232</v>
      </c>
      <c r="O828" s="69">
        <f t="shared" ca="1" si="530"/>
        <v>631.5066299974784</v>
      </c>
      <c r="P828" s="69">
        <f t="shared" ca="1" si="531"/>
        <v>722.8718525541052</v>
      </c>
      <c r="Q828" s="69">
        <f t="shared" ca="1" si="532"/>
        <v>959.24240829504515</v>
      </c>
      <c r="R828" s="69">
        <f t="shared" ca="1" si="533"/>
        <v>780.64306176459991</v>
      </c>
      <c r="S828" s="69">
        <f t="shared" ca="1" si="534"/>
        <v>706.1387902404399</v>
      </c>
      <c r="T828" s="69">
        <f t="shared" ca="1" si="535"/>
        <v>794.48582420814785</v>
      </c>
      <c r="U828" s="69">
        <f t="shared" ca="1" si="536"/>
        <v>1694.4180988590442</v>
      </c>
      <c r="V828" s="69">
        <f t="shared" ca="1" si="537"/>
        <v>1913.3512279861438</v>
      </c>
      <c r="W828" s="69">
        <f t="shared" ca="1" si="538"/>
        <v>1184.4179189210956</v>
      </c>
      <c r="X828" s="69">
        <f t="shared" ca="1" si="539"/>
        <v>1488.0865156973678</v>
      </c>
      <c r="Y828" s="69">
        <f t="shared" ca="1" si="540"/>
        <v>1201.433667430852</v>
      </c>
      <c r="AA828" s="20">
        <f t="shared" ca="1" si="500"/>
        <v>6.5626275251905304E+16</v>
      </c>
      <c r="AB828" s="20">
        <f t="shared" ca="1" si="501"/>
        <v>1681717094407859.5</v>
      </c>
      <c r="AC828" s="20">
        <f t="shared" ca="1" si="502"/>
        <v>404627721212787.44</v>
      </c>
      <c r="AD828" s="20">
        <f t="shared" ca="1" si="503"/>
        <v>303681552551736.06</v>
      </c>
      <c r="AE828" s="20">
        <f t="shared" ca="1" si="504"/>
        <v>6865121526412698</v>
      </c>
      <c r="AG828" s="16">
        <f t="shared" ca="1" si="505"/>
        <v>3.9523590523391205E-4</v>
      </c>
      <c r="AH828" s="16">
        <f t="shared" ca="1" si="506"/>
        <v>-8.365053216558251E-4</v>
      </c>
      <c r="AI828" s="16">
        <f t="shared" ca="1" si="507"/>
        <v>3.5923573804509928E-4</v>
      </c>
      <c r="AJ828" s="16">
        <f t="shared" ca="1" si="508"/>
        <v>-2.0908288877532789E-4</v>
      </c>
      <c r="AK828" s="16">
        <f t="shared" ca="1" si="509"/>
        <v>1.0802676776869176E-5</v>
      </c>
      <c r="AM828" s="16">
        <f t="shared" ca="1" si="510"/>
        <v>-2.9111656715214167E-4</v>
      </c>
      <c r="AO828" s="16">
        <f t="shared" ca="1" si="511"/>
        <v>0</v>
      </c>
      <c r="AP828" s="16">
        <f t="shared" ca="1" si="512"/>
        <v>-8.365053216558251E-4</v>
      </c>
      <c r="AQ828" s="16">
        <f t="shared" ca="1" si="513"/>
        <v>0</v>
      </c>
      <c r="AR828" s="16">
        <f t="shared" ca="1" si="514"/>
        <v>-2.0908288877532789E-4</v>
      </c>
      <c r="AS828" s="16">
        <f t="shared" ca="1" si="515"/>
        <v>0</v>
      </c>
    </row>
    <row r="829" spans="1:45" x14ac:dyDescent="0.25">
      <c r="A829" s="69">
        <f t="shared" ca="1" si="516"/>
        <v>2448.3687279550941</v>
      </c>
      <c r="B829" s="69">
        <f t="shared" ca="1" si="517"/>
        <v>2141.9073025932548</v>
      </c>
      <c r="C829" s="69">
        <f t="shared" ca="1" si="518"/>
        <v>2231.9132497833511</v>
      </c>
      <c r="D829" s="69">
        <f t="shared" ca="1" si="519"/>
        <v>2905.6983208755591</v>
      </c>
      <c r="E829" s="69">
        <f t="shared" ca="1" si="520"/>
        <v>1930.385631719452</v>
      </c>
      <c r="F829" s="69">
        <f t="shared" ca="1" si="521"/>
        <v>1219.7250418855065</v>
      </c>
      <c r="G829" s="69">
        <f t="shared" ca="1" si="522"/>
        <v>970.08940608856267</v>
      </c>
      <c r="H829" s="69">
        <f t="shared" ca="1" si="523"/>
        <v>1185.5808696424137</v>
      </c>
      <c r="I829" s="69">
        <f t="shared" ca="1" si="524"/>
        <v>1051.866897439161</v>
      </c>
      <c r="J829" s="69">
        <f t="shared" ca="1" si="525"/>
        <v>1138.738426262277</v>
      </c>
      <c r="K829" s="69">
        <f t="shared" ca="1" si="526"/>
        <v>1173.4005351040446</v>
      </c>
      <c r="L829" s="69">
        <f t="shared" ca="1" si="527"/>
        <v>962.64124180683825</v>
      </c>
      <c r="M829" s="69">
        <f t="shared" ca="1" si="528"/>
        <v>995.51758308354579</v>
      </c>
      <c r="N829" s="69">
        <f t="shared" ca="1" si="529"/>
        <v>569.75286532456232</v>
      </c>
      <c r="O829" s="69">
        <f t="shared" ca="1" si="530"/>
        <v>631.77938155942138</v>
      </c>
      <c r="P829" s="69">
        <f t="shared" ca="1" si="531"/>
        <v>722.44981040111702</v>
      </c>
      <c r="Q829" s="69">
        <f t="shared" ca="1" si="532"/>
        <v>959.60212305395351</v>
      </c>
      <c r="R829" s="69">
        <f t="shared" ca="1" si="533"/>
        <v>780.64306176459991</v>
      </c>
      <c r="S829" s="69">
        <f t="shared" ca="1" si="534"/>
        <v>706.1387902404399</v>
      </c>
      <c r="T829" s="69">
        <f t="shared" ca="1" si="535"/>
        <v>794.48582420814785</v>
      </c>
      <c r="U829" s="69">
        <f t="shared" ca="1" si="536"/>
        <v>1694.7947297177086</v>
      </c>
      <c r="V829" s="69">
        <f t="shared" ca="1" si="537"/>
        <v>1912.9466925851805</v>
      </c>
      <c r="W829" s="69">
        <f t="shared" ca="1" si="538"/>
        <v>1184.4179189210956</v>
      </c>
      <c r="X829" s="69">
        <f t="shared" ca="1" si="539"/>
        <v>1488.0865156973678</v>
      </c>
      <c r="Y829" s="69">
        <f t="shared" ca="1" si="540"/>
        <v>1201.433667430852</v>
      </c>
      <c r="AA829" s="20">
        <f t="shared" ca="1" si="500"/>
        <v>6.5652218238673832E+16</v>
      </c>
      <c r="AB829" s="20">
        <f t="shared" ca="1" si="501"/>
        <v>1680310917328169.5</v>
      </c>
      <c r="AC829" s="20">
        <f t="shared" ca="1" si="502"/>
        <v>404773104062645.06</v>
      </c>
      <c r="AD829" s="20">
        <f t="shared" ca="1" si="503"/>
        <v>303618064572817.06</v>
      </c>
      <c r="AE829" s="20">
        <f t="shared" ca="1" si="504"/>
        <v>6865195688502155</v>
      </c>
      <c r="AG829" s="16">
        <f t="shared" ca="1" si="505"/>
        <v>-3.3863115372588401E-4</v>
      </c>
      <c r="AH829" s="16">
        <f t="shared" ca="1" si="506"/>
        <v>3.5528707642050857E-4</v>
      </c>
      <c r="AI829" s="16">
        <f t="shared" ca="1" si="507"/>
        <v>4.6720955448084487E-4</v>
      </c>
      <c r="AJ829" s="16">
        <f t="shared" ca="1" si="508"/>
        <v>4.7689118719831746E-5</v>
      </c>
      <c r="AK829" s="16">
        <f t="shared" ca="1" si="509"/>
        <v>5.4501409382303107E-4</v>
      </c>
      <c r="AM829" s="16">
        <f t="shared" ca="1" si="510"/>
        <v>5.3155459589530115E-4</v>
      </c>
      <c r="AO829" s="16">
        <f t="shared" ca="1" si="511"/>
        <v>-3.3863115372588401E-4</v>
      </c>
      <c r="AP829" s="16">
        <f t="shared" ca="1" si="512"/>
        <v>0</v>
      </c>
      <c r="AQ829" s="16">
        <f t="shared" ca="1" si="513"/>
        <v>0</v>
      </c>
      <c r="AR829" s="16">
        <f t="shared" ca="1" si="514"/>
        <v>0</v>
      </c>
      <c r="AS829" s="16">
        <f t="shared" ca="1" si="515"/>
        <v>0</v>
      </c>
    </row>
    <row r="830" spans="1:45" x14ac:dyDescent="0.25">
      <c r="A830" s="69">
        <f t="shared" ca="1" si="516"/>
        <v>2448.3687279550941</v>
      </c>
      <c r="B830" s="69">
        <f t="shared" ca="1" si="517"/>
        <v>2141.5273461392144</v>
      </c>
      <c r="C830" s="69">
        <f t="shared" ca="1" si="518"/>
        <v>2231.7097153782393</v>
      </c>
      <c r="D830" s="69">
        <f t="shared" ca="1" si="519"/>
        <v>2905.905497517846</v>
      </c>
      <c r="E830" s="69">
        <f t="shared" ca="1" si="520"/>
        <v>1930.1128403993289</v>
      </c>
      <c r="F830" s="69">
        <f t="shared" ca="1" si="521"/>
        <v>1219.847221192118</v>
      </c>
      <c r="G830" s="69">
        <f t="shared" ca="1" si="522"/>
        <v>970.08940608856267</v>
      </c>
      <c r="H830" s="69">
        <f t="shared" ca="1" si="523"/>
        <v>1185.8833766373134</v>
      </c>
      <c r="I830" s="69">
        <f t="shared" ca="1" si="524"/>
        <v>1051.866897439161</v>
      </c>
      <c r="J830" s="69">
        <f t="shared" ca="1" si="525"/>
        <v>1138.738426262277</v>
      </c>
      <c r="K830" s="69">
        <f t="shared" ca="1" si="526"/>
        <v>1173.8596952410821</v>
      </c>
      <c r="L830" s="69">
        <f t="shared" ca="1" si="527"/>
        <v>962.64124180683825</v>
      </c>
      <c r="M830" s="69">
        <f t="shared" ca="1" si="528"/>
        <v>995.51758308354579</v>
      </c>
      <c r="N830" s="69">
        <f t="shared" ca="1" si="529"/>
        <v>569.75286532456232</v>
      </c>
      <c r="O830" s="69">
        <f t="shared" ca="1" si="530"/>
        <v>631.82738525059278</v>
      </c>
      <c r="P830" s="69">
        <f t="shared" ca="1" si="531"/>
        <v>722.78826634451764</v>
      </c>
      <c r="Q830" s="69">
        <f t="shared" ca="1" si="532"/>
        <v>959.60212305395351</v>
      </c>
      <c r="R830" s="69">
        <f t="shared" ca="1" si="533"/>
        <v>780.4912003433559</v>
      </c>
      <c r="S830" s="69">
        <f t="shared" ca="1" si="534"/>
        <v>706.12865304502225</v>
      </c>
      <c r="T830" s="69">
        <f t="shared" ca="1" si="535"/>
        <v>794.3175887814831</v>
      </c>
      <c r="U830" s="69">
        <f t="shared" ca="1" si="536"/>
        <v>1695.2338003016744</v>
      </c>
      <c r="V830" s="69">
        <f t="shared" ca="1" si="537"/>
        <v>1913.320889889419</v>
      </c>
      <c r="W830" s="69">
        <f t="shared" ca="1" si="538"/>
        <v>1184.0076849469185</v>
      </c>
      <c r="X830" s="69">
        <f t="shared" ca="1" si="539"/>
        <v>1488.1342147000421</v>
      </c>
      <c r="Y830" s="69">
        <f t="shared" ca="1" si="540"/>
        <v>1201.9200454239474</v>
      </c>
      <c r="AA830" s="20">
        <f t="shared" ca="1" si="500"/>
        <v>6.5629990116046824E+16</v>
      </c>
      <c r="AB830" s="20">
        <f t="shared" ca="1" si="501"/>
        <v>1680908016145930.3</v>
      </c>
      <c r="AC830" s="20">
        <f t="shared" ca="1" si="502"/>
        <v>404962262109042.44</v>
      </c>
      <c r="AD830" s="20">
        <f t="shared" ca="1" si="503"/>
        <v>303632544196001.44</v>
      </c>
      <c r="AE830" s="20">
        <f t="shared" ca="1" si="504"/>
        <v>6868938336714610</v>
      </c>
      <c r="AG830" s="16">
        <f t="shared" ca="1" si="505"/>
        <v>9.9405977426403217E-5</v>
      </c>
      <c r="AH830" s="16">
        <f t="shared" ca="1" si="506"/>
        <v>-5.4738663629400771E-5</v>
      </c>
      <c r="AI830" s="16">
        <f t="shared" ca="1" si="507"/>
        <v>5.1111731248666085E-4</v>
      </c>
      <c r="AJ830" s="16">
        <f t="shared" ca="1" si="508"/>
        <v>-2.1670346915340284E-5</v>
      </c>
      <c r="AK830" s="16">
        <f t="shared" ca="1" si="509"/>
        <v>3.2080884113286943E-6</v>
      </c>
      <c r="AM830" s="16">
        <f t="shared" ca="1" si="510"/>
        <v>5.3411427936832299E-4</v>
      </c>
      <c r="AO830" s="16">
        <f t="shared" ca="1" si="511"/>
        <v>0</v>
      </c>
      <c r="AP830" s="16">
        <f t="shared" ca="1" si="512"/>
        <v>-5.4738663629400771E-5</v>
      </c>
      <c r="AQ830" s="16">
        <f t="shared" ca="1" si="513"/>
        <v>0</v>
      </c>
      <c r="AR830" s="16">
        <f t="shared" ca="1" si="514"/>
        <v>-2.1670346915340284E-5</v>
      </c>
      <c r="AS830" s="16">
        <f t="shared" ca="1" si="515"/>
        <v>0</v>
      </c>
    </row>
    <row r="831" spans="1:45" x14ac:dyDescent="0.25">
      <c r="A831" s="69">
        <f t="shared" ca="1" si="516"/>
        <v>2448.3687279550941</v>
      </c>
      <c r="B831" s="69">
        <f t="shared" ca="1" si="517"/>
        <v>2141.7402373393961</v>
      </c>
      <c r="C831" s="69">
        <f t="shared" ca="1" si="518"/>
        <v>2231.7097153782393</v>
      </c>
      <c r="D831" s="69">
        <f t="shared" ca="1" si="519"/>
        <v>2905.905497517846</v>
      </c>
      <c r="E831" s="69">
        <f t="shared" ca="1" si="520"/>
        <v>1930.1128403993289</v>
      </c>
      <c r="F831" s="69">
        <f t="shared" ca="1" si="521"/>
        <v>1219.5159948593589</v>
      </c>
      <c r="G831" s="69">
        <f t="shared" ca="1" si="522"/>
        <v>970.51636663109366</v>
      </c>
      <c r="H831" s="69">
        <f t="shared" ca="1" si="523"/>
        <v>1185.8833766373134</v>
      </c>
      <c r="I831" s="69">
        <f t="shared" ca="1" si="524"/>
        <v>1051.5347424638092</v>
      </c>
      <c r="J831" s="69">
        <f t="shared" ca="1" si="525"/>
        <v>1138.84390973265</v>
      </c>
      <c r="K831" s="69">
        <f t="shared" ca="1" si="526"/>
        <v>1173.6796832767254</v>
      </c>
      <c r="L831" s="69">
        <f t="shared" ca="1" si="527"/>
        <v>962.56455522039971</v>
      </c>
      <c r="M831" s="69">
        <f t="shared" ca="1" si="528"/>
        <v>995.51758308354579</v>
      </c>
      <c r="N831" s="69">
        <f t="shared" ca="1" si="529"/>
        <v>569.90612853529228</v>
      </c>
      <c r="O831" s="69">
        <f t="shared" ca="1" si="530"/>
        <v>632.12768968537728</v>
      </c>
      <c r="P831" s="69">
        <f t="shared" ca="1" si="531"/>
        <v>722.47191326136476</v>
      </c>
      <c r="Q831" s="69">
        <f t="shared" ca="1" si="532"/>
        <v>959.97044229039307</v>
      </c>
      <c r="R831" s="69">
        <f t="shared" ca="1" si="533"/>
        <v>780.4912003433559</v>
      </c>
      <c r="S831" s="69">
        <f t="shared" ca="1" si="534"/>
        <v>705.77561352026896</v>
      </c>
      <c r="T831" s="69">
        <f t="shared" ca="1" si="535"/>
        <v>794.74063449961091</v>
      </c>
      <c r="U831" s="69">
        <f t="shared" ca="1" si="536"/>
        <v>1695.5565132297463</v>
      </c>
      <c r="V831" s="69">
        <f t="shared" ca="1" si="537"/>
        <v>1913.6678526568971</v>
      </c>
      <c r="W831" s="69">
        <f t="shared" ca="1" si="538"/>
        <v>1183.6422001456942</v>
      </c>
      <c r="X831" s="69">
        <f t="shared" ca="1" si="539"/>
        <v>1488.3094241842591</v>
      </c>
      <c r="Y831" s="69">
        <f t="shared" ca="1" si="540"/>
        <v>1201.7067698969706</v>
      </c>
      <c r="AA831" s="20">
        <f t="shared" ca="1" si="500"/>
        <v>6.5636514453636496E+16</v>
      </c>
      <c r="AB831" s="20">
        <f t="shared" ca="1" si="501"/>
        <v>1680816008005666.8</v>
      </c>
      <c r="AC831" s="20">
        <f t="shared" ca="1" si="502"/>
        <v>405169298237477.69</v>
      </c>
      <c r="AD831" s="20">
        <f t="shared" ca="1" si="503"/>
        <v>303625964444726.94</v>
      </c>
      <c r="AE831" s="20">
        <f t="shared" ca="1" si="504"/>
        <v>6868960372911433</v>
      </c>
      <c r="AG831" s="16">
        <f t="shared" ca="1" si="505"/>
        <v>-2.4276137086749438E-4</v>
      </c>
      <c r="AH831" s="16">
        <f t="shared" ca="1" si="506"/>
        <v>-1.2508567584065095E-4</v>
      </c>
      <c r="AI831" s="16">
        <f t="shared" ca="1" si="507"/>
        <v>-2.5878509663566977E-4</v>
      </c>
      <c r="AJ831" s="16">
        <f t="shared" ca="1" si="508"/>
        <v>6.2978508943101132E-4</v>
      </c>
      <c r="AK831" s="16">
        <f t="shared" ca="1" si="509"/>
        <v>3.253505098399692E-4</v>
      </c>
      <c r="AM831" s="16">
        <f t="shared" ca="1" si="510"/>
        <v>3.152946087196188E-6</v>
      </c>
      <c r="AO831" s="16">
        <f t="shared" ca="1" si="511"/>
        <v>-2.4276137086749438E-4</v>
      </c>
      <c r="AP831" s="16">
        <f t="shared" ca="1" si="512"/>
        <v>-1.2508567584065095E-4</v>
      </c>
      <c r="AQ831" s="16">
        <f t="shared" ca="1" si="513"/>
        <v>-2.5878509663566977E-4</v>
      </c>
      <c r="AR831" s="16">
        <f t="shared" ca="1" si="514"/>
        <v>0</v>
      </c>
      <c r="AS831" s="16">
        <f t="shared" ca="1" si="515"/>
        <v>0</v>
      </c>
    </row>
    <row r="832" spans="1:45" x14ac:dyDescent="0.25">
      <c r="A832" s="69">
        <f t="shared" ca="1" si="516"/>
        <v>2448.0264559419593</v>
      </c>
      <c r="B832" s="69">
        <f t="shared" ca="1" si="517"/>
        <v>2141.7402373393961</v>
      </c>
      <c r="C832" s="69">
        <f t="shared" ca="1" si="518"/>
        <v>2231.5540630932333</v>
      </c>
      <c r="D832" s="69">
        <f t="shared" ca="1" si="519"/>
        <v>2905.8090013611727</v>
      </c>
      <c r="E832" s="69">
        <f t="shared" ca="1" si="520"/>
        <v>1930.1128403993289</v>
      </c>
      <c r="F832" s="69">
        <f t="shared" ca="1" si="521"/>
        <v>1219.5159948593589</v>
      </c>
      <c r="G832" s="69">
        <f t="shared" ca="1" si="522"/>
        <v>970.51636663109366</v>
      </c>
      <c r="H832" s="69">
        <f t="shared" ca="1" si="523"/>
        <v>1186.0661219426436</v>
      </c>
      <c r="I832" s="69">
        <f t="shared" ca="1" si="524"/>
        <v>1051.0928397013192</v>
      </c>
      <c r="J832" s="69">
        <f t="shared" ca="1" si="525"/>
        <v>1139.004679683793</v>
      </c>
      <c r="K832" s="69">
        <f t="shared" ca="1" si="526"/>
        <v>1173.6796832767254</v>
      </c>
      <c r="L832" s="69">
        <f t="shared" ca="1" si="527"/>
        <v>962.79429063806538</v>
      </c>
      <c r="M832" s="69">
        <f t="shared" ca="1" si="528"/>
        <v>995.16720012193741</v>
      </c>
      <c r="N832" s="69">
        <f t="shared" ca="1" si="529"/>
        <v>569.82326780829521</v>
      </c>
      <c r="O832" s="69">
        <f t="shared" ca="1" si="530"/>
        <v>632.12768968537728</v>
      </c>
      <c r="P832" s="69">
        <f t="shared" ca="1" si="531"/>
        <v>722.52611139598594</v>
      </c>
      <c r="Q832" s="69">
        <f t="shared" ca="1" si="532"/>
        <v>959.90043661885261</v>
      </c>
      <c r="R832" s="69">
        <f t="shared" ca="1" si="533"/>
        <v>780.59121382518742</v>
      </c>
      <c r="S832" s="69">
        <f t="shared" ca="1" si="534"/>
        <v>705.77561352026896</v>
      </c>
      <c r="T832" s="69">
        <f t="shared" ca="1" si="535"/>
        <v>795.13775768664914</v>
      </c>
      <c r="U832" s="69">
        <f t="shared" ca="1" si="536"/>
        <v>1695.5565132297463</v>
      </c>
      <c r="V832" s="69">
        <f t="shared" ca="1" si="537"/>
        <v>1913.6678526568971</v>
      </c>
      <c r="W832" s="69">
        <f t="shared" ca="1" si="538"/>
        <v>1183.9875263019244</v>
      </c>
      <c r="X832" s="69">
        <f t="shared" ca="1" si="539"/>
        <v>1487.8927949649903</v>
      </c>
      <c r="Y832" s="69">
        <f t="shared" ca="1" si="540"/>
        <v>1202.083705901711</v>
      </c>
      <c r="AA832" s="20">
        <f t="shared" ca="1" si="500"/>
        <v>6.5620582377333352E+16</v>
      </c>
      <c r="AB832" s="20">
        <f t="shared" ca="1" si="501"/>
        <v>1680605775148175.3</v>
      </c>
      <c r="AC832" s="20">
        <f t="shared" ca="1" si="502"/>
        <v>405064460027347.75</v>
      </c>
      <c r="AD832" s="20">
        <f t="shared" ca="1" si="503"/>
        <v>303817243776011.44</v>
      </c>
      <c r="AE832" s="20">
        <f t="shared" ca="1" si="504"/>
        <v>6871195556260134</v>
      </c>
      <c r="AG832" s="16">
        <f t="shared" ca="1" si="505"/>
        <v>-5.7534910480783327E-4</v>
      </c>
      <c r="AH832" s="16">
        <f t="shared" ca="1" si="506"/>
        <v>2.27285865037868E-4</v>
      </c>
      <c r="AI832" s="16">
        <f t="shared" ca="1" si="507"/>
        <v>5.9853482968830847E-4</v>
      </c>
      <c r="AJ832" s="16">
        <f t="shared" ca="1" si="508"/>
        <v>1.0296998530405441E-6</v>
      </c>
      <c r="AK832" s="16">
        <f t="shared" ca="1" si="509"/>
        <v>4.0037239534789257E-4</v>
      </c>
      <c r="AM832" s="16">
        <f t="shared" ca="1" si="510"/>
        <v>2.515012897713837E-4</v>
      </c>
      <c r="AO832" s="16">
        <f t="shared" ca="1" si="511"/>
        <v>-5.7534910480783327E-4</v>
      </c>
      <c r="AP832" s="16">
        <f t="shared" ca="1" si="512"/>
        <v>0</v>
      </c>
      <c r="AQ832" s="16">
        <f t="shared" ca="1" si="513"/>
        <v>0</v>
      </c>
      <c r="AR832" s="16">
        <f t="shared" ca="1" si="514"/>
        <v>0</v>
      </c>
      <c r="AS832" s="16">
        <f t="shared" ca="1" si="515"/>
        <v>0</v>
      </c>
    </row>
    <row r="833" spans="1:45" x14ac:dyDescent="0.25">
      <c r="A833" s="69">
        <f t="shared" ca="1" si="516"/>
        <v>2448.0264559419593</v>
      </c>
      <c r="B833" s="69">
        <f t="shared" ca="1" si="517"/>
        <v>2141.3813267943538</v>
      </c>
      <c r="C833" s="69">
        <f t="shared" ca="1" si="518"/>
        <v>2231.3432365426247</v>
      </c>
      <c r="D833" s="69">
        <f t="shared" ca="1" si="519"/>
        <v>2905.6288360427161</v>
      </c>
      <c r="E833" s="69">
        <f t="shared" ca="1" si="520"/>
        <v>1929.6279165612143</v>
      </c>
      <c r="F833" s="69">
        <f t="shared" ca="1" si="521"/>
        <v>1219.7932051089704</v>
      </c>
      <c r="G833" s="69">
        <f t="shared" ca="1" si="522"/>
        <v>970.51636663109366</v>
      </c>
      <c r="H833" s="69">
        <f t="shared" ca="1" si="523"/>
        <v>1186.0661219426436</v>
      </c>
      <c r="I833" s="69">
        <f t="shared" ca="1" si="524"/>
        <v>1051.0928397013192</v>
      </c>
      <c r="J833" s="69">
        <f t="shared" ca="1" si="525"/>
        <v>1139.004679683793</v>
      </c>
      <c r="K833" s="69">
        <f t="shared" ca="1" si="526"/>
        <v>1173.9250973240894</v>
      </c>
      <c r="L833" s="69">
        <f t="shared" ca="1" si="527"/>
        <v>962.79429063806538</v>
      </c>
      <c r="M833" s="69">
        <f t="shared" ca="1" si="528"/>
        <v>994.80277790565196</v>
      </c>
      <c r="N833" s="69">
        <f t="shared" ca="1" si="529"/>
        <v>570.25405610800306</v>
      </c>
      <c r="O833" s="69">
        <f t="shared" ca="1" si="530"/>
        <v>632.12768968537728</v>
      </c>
      <c r="P833" s="69">
        <f t="shared" ca="1" si="531"/>
        <v>722.52611139598594</v>
      </c>
      <c r="Q833" s="69">
        <f t="shared" ca="1" si="532"/>
        <v>960.03551767822285</v>
      </c>
      <c r="R833" s="69">
        <f t="shared" ca="1" si="533"/>
        <v>780.32766184460525</v>
      </c>
      <c r="S833" s="69">
        <f t="shared" ca="1" si="534"/>
        <v>706.24025957487322</v>
      </c>
      <c r="T833" s="69">
        <f t="shared" ca="1" si="535"/>
        <v>794.77197694459517</v>
      </c>
      <c r="U833" s="69">
        <f t="shared" ca="1" si="536"/>
        <v>1695.5565132297463</v>
      </c>
      <c r="V833" s="69">
        <f t="shared" ca="1" si="537"/>
        <v>1913.918595616675</v>
      </c>
      <c r="W833" s="69">
        <f t="shared" ca="1" si="538"/>
        <v>1183.9875263019244</v>
      </c>
      <c r="X833" s="69">
        <f t="shared" ca="1" si="539"/>
        <v>1487.8927949649903</v>
      </c>
      <c r="Y833" s="69">
        <f t="shared" ca="1" si="540"/>
        <v>1202.4075350371097</v>
      </c>
      <c r="AA833" s="20">
        <f t="shared" ca="1" si="500"/>
        <v>6.55828384930018E+16</v>
      </c>
      <c r="AB833" s="20">
        <f t="shared" ca="1" si="501"/>
        <v>1680987796497949.3</v>
      </c>
      <c r="AC833" s="20">
        <f t="shared" ca="1" si="502"/>
        <v>405306977785365.44</v>
      </c>
      <c r="AD833" s="20">
        <f t="shared" ca="1" si="503"/>
        <v>303817556616743.75</v>
      </c>
      <c r="AE833" s="20">
        <f t="shared" ca="1" si="504"/>
        <v>6873947144077044</v>
      </c>
      <c r="AG833" s="16">
        <f t="shared" ca="1" si="505"/>
        <v>3.5827273130476959E-4</v>
      </c>
      <c r="AH833" s="16">
        <f t="shared" ca="1" si="506"/>
        <v>-1.1779242431064546E-3</v>
      </c>
      <c r="AI833" s="16">
        <f t="shared" ca="1" si="507"/>
        <v>4.9890712940396225E-5</v>
      </c>
      <c r="AJ833" s="16">
        <f t="shared" ca="1" si="508"/>
        <v>-4.5388624572590124E-4</v>
      </c>
      <c r="AK833" s="16">
        <f t="shared" ca="1" si="509"/>
        <v>2.2922287586091541E-4</v>
      </c>
      <c r="AM833" s="16">
        <f t="shared" ca="1" si="510"/>
        <v>-1.2236470445871901E-3</v>
      </c>
      <c r="AO833" s="16">
        <f t="shared" ca="1" si="511"/>
        <v>0</v>
      </c>
      <c r="AP833" s="16">
        <f t="shared" ca="1" si="512"/>
        <v>-1.1779242431064546E-3</v>
      </c>
      <c r="AQ833" s="16">
        <f t="shared" ca="1" si="513"/>
        <v>0</v>
      </c>
      <c r="AR833" s="16">
        <f t="shared" ca="1" si="514"/>
        <v>-4.5388624572590124E-4</v>
      </c>
      <c r="AS833" s="16">
        <f t="shared" ca="1" si="515"/>
        <v>0</v>
      </c>
    </row>
    <row r="834" spans="1:45" x14ac:dyDescent="0.25">
      <c r="A834" s="69">
        <f t="shared" ca="1" si="516"/>
        <v>2448.1481313037352</v>
      </c>
      <c r="B834" s="69">
        <f t="shared" ca="1" si="517"/>
        <v>2141.3332405023725</v>
      </c>
      <c r="C834" s="69">
        <f t="shared" ca="1" si="518"/>
        <v>2231.3432365426247</v>
      </c>
      <c r="D834" s="69">
        <f t="shared" ca="1" si="519"/>
        <v>2906.0392178763473</v>
      </c>
      <c r="E834" s="69">
        <f t="shared" ca="1" si="520"/>
        <v>1929.994193997399</v>
      </c>
      <c r="F834" s="69">
        <f t="shared" ca="1" si="521"/>
        <v>1219.6009427669255</v>
      </c>
      <c r="G834" s="69">
        <f t="shared" ca="1" si="522"/>
        <v>970.26904247226696</v>
      </c>
      <c r="H834" s="69">
        <f t="shared" ca="1" si="523"/>
        <v>1185.5757711607819</v>
      </c>
      <c r="I834" s="69">
        <f t="shared" ca="1" si="524"/>
        <v>1050.7391905408924</v>
      </c>
      <c r="J834" s="69">
        <f t="shared" ca="1" si="525"/>
        <v>1138.9871436700357</v>
      </c>
      <c r="K834" s="69">
        <f t="shared" ca="1" si="526"/>
        <v>1174.1008721189012</v>
      </c>
      <c r="L834" s="69">
        <f t="shared" ca="1" si="527"/>
        <v>962.79429063806538</v>
      </c>
      <c r="M834" s="69">
        <f t="shared" ca="1" si="528"/>
        <v>994.66677852984105</v>
      </c>
      <c r="N834" s="69">
        <f t="shared" ca="1" si="529"/>
        <v>570.49185870862675</v>
      </c>
      <c r="O834" s="69">
        <f t="shared" ca="1" si="530"/>
        <v>631.88750395781415</v>
      </c>
      <c r="P834" s="69">
        <f t="shared" ca="1" si="531"/>
        <v>722.18051874835442</v>
      </c>
      <c r="Q834" s="69">
        <f t="shared" ca="1" si="532"/>
        <v>959.88073078285368</v>
      </c>
      <c r="R834" s="69">
        <f t="shared" ca="1" si="533"/>
        <v>780.13361622454397</v>
      </c>
      <c r="S834" s="69">
        <f t="shared" ca="1" si="534"/>
        <v>706.54717782247189</v>
      </c>
      <c r="T834" s="69">
        <f t="shared" ca="1" si="535"/>
        <v>794.77197694459517</v>
      </c>
      <c r="U834" s="69">
        <f t="shared" ca="1" si="536"/>
        <v>1695.5565132297463</v>
      </c>
      <c r="V834" s="69">
        <f t="shared" ca="1" si="537"/>
        <v>1913.6569419073676</v>
      </c>
      <c r="W834" s="69">
        <f t="shared" ca="1" si="538"/>
        <v>1183.9875263019244</v>
      </c>
      <c r="X834" s="69">
        <f t="shared" ca="1" si="539"/>
        <v>1487.9716738758088</v>
      </c>
      <c r="Y834" s="69">
        <f t="shared" ca="1" si="540"/>
        <v>1202.7838642424422</v>
      </c>
      <c r="AA834" s="20">
        <f t="shared" ca="1" si="500"/>
        <v>6.5606339245263376E+16</v>
      </c>
      <c r="AB834" s="20">
        <f t="shared" ca="1" si="501"/>
        <v>1679008885952254</v>
      </c>
      <c r="AC834" s="20">
        <f t="shared" ca="1" si="502"/>
        <v>405327199343876.69</v>
      </c>
      <c r="AD834" s="20">
        <f t="shared" ca="1" si="503"/>
        <v>303679689296992.31</v>
      </c>
      <c r="AE834" s="20">
        <f t="shared" ca="1" si="504"/>
        <v>6875522990613063</v>
      </c>
      <c r="AG834" s="16">
        <f t="shared" ca="1" si="505"/>
        <v>7.0722769639599168E-5</v>
      </c>
      <c r="AH834" s="16">
        <f t="shared" ca="1" si="506"/>
        <v>4.9835875275683361E-4</v>
      </c>
      <c r="AI834" s="16">
        <f t="shared" ca="1" si="507"/>
        <v>-6.8482980907269369E-4</v>
      </c>
      <c r="AJ834" s="16">
        <f t="shared" ca="1" si="508"/>
        <v>-2.8838139995770236E-5</v>
      </c>
      <c r="AK834" s="16">
        <f t="shared" ca="1" si="509"/>
        <v>-3.7457372929719018E-5</v>
      </c>
      <c r="AM834" s="16">
        <f t="shared" ca="1" si="510"/>
        <v>-1.4458642667203114E-4</v>
      </c>
      <c r="AO834" s="16">
        <f t="shared" ca="1" si="511"/>
        <v>0</v>
      </c>
      <c r="AP834" s="16">
        <f t="shared" ca="1" si="512"/>
        <v>0</v>
      </c>
      <c r="AQ834" s="16">
        <f t="shared" ca="1" si="513"/>
        <v>-6.8482980907269369E-4</v>
      </c>
      <c r="AR834" s="16">
        <f t="shared" ca="1" si="514"/>
        <v>-2.8838139995770236E-5</v>
      </c>
      <c r="AS834" s="16">
        <f t="shared" ca="1" si="515"/>
        <v>-3.7457372929719018E-5</v>
      </c>
    </row>
    <row r="835" spans="1:45" x14ac:dyDescent="0.25">
      <c r="A835" s="69">
        <f t="shared" ca="1" si="516"/>
        <v>2448.1481313037352</v>
      </c>
      <c r="B835" s="69">
        <f t="shared" ca="1" si="517"/>
        <v>2141.6347917895796</v>
      </c>
      <c r="C835" s="69">
        <f t="shared" ca="1" si="518"/>
        <v>2231.636664366491</v>
      </c>
      <c r="D835" s="69">
        <f t="shared" ca="1" si="519"/>
        <v>2906.0392178763473</v>
      </c>
      <c r="E835" s="69">
        <f t="shared" ca="1" si="520"/>
        <v>1929.6051743164671</v>
      </c>
      <c r="F835" s="69">
        <f t="shared" ca="1" si="521"/>
        <v>1219.6009427669255</v>
      </c>
      <c r="G835" s="69">
        <f t="shared" ca="1" si="522"/>
        <v>970.26904247226696</v>
      </c>
      <c r="H835" s="69">
        <f t="shared" ca="1" si="523"/>
        <v>1185.4530604496579</v>
      </c>
      <c r="I835" s="69">
        <f t="shared" ca="1" si="524"/>
        <v>1051.2229121309085</v>
      </c>
      <c r="J835" s="69">
        <f t="shared" ca="1" si="525"/>
        <v>1139.1484470140683</v>
      </c>
      <c r="K835" s="69">
        <f t="shared" ca="1" si="526"/>
        <v>1174.1008721189012</v>
      </c>
      <c r="L835" s="69">
        <f t="shared" ca="1" si="527"/>
        <v>962.79429063806538</v>
      </c>
      <c r="M835" s="69">
        <f t="shared" ca="1" si="528"/>
        <v>994.62502630658514</v>
      </c>
      <c r="N835" s="69">
        <f t="shared" ca="1" si="529"/>
        <v>570.12523425417828</v>
      </c>
      <c r="O835" s="69">
        <f t="shared" ca="1" si="530"/>
        <v>631.88750395781415</v>
      </c>
      <c r="P835" s="69">
        <f t="shared" ca="1" si="531"/>
        <v>722.18051874835442</v>
      </c>
      <c r="Q835" s="69">
        <f t="shared" ca="1" si="532"/>
        <v>959.51307969515585</v>
      </c>
      <c r="R835" s="69">
        <f t="shared" ca="1" si="533"/>
        <v>780.13361622454397</v>
      </c>
      <c r="S835" s="69">
        <f t="shared" ca="1" si="534"/>
        <v>706.54717782247189</v>
      </c>
      <c r="T835" s="69">
        <f t="shared" ca="1" si="535"/>
        <v>795.05357693800727</v>
      </c>
      <c r="U835" s="69">
        <f t="shared" ca="1" si="536"/>
        <v>1695.5565132297463</v>
      </c>
      <c r="V835" s="69">
        <f t="shared" ca="1" si="537"/>
        <v>1913.465231676344</v>
      </c>
      <c r="W835" s="69">
        <f t="shared" ca="1" si="538"/>
        <v>1183.9262723754352</v>
      </c>
      <c r="X835" s="69">
        <f t="shared" ca="1" si="539"/>
        <v>1488.399411353035</v>
      </c>
      <c r="Y835" s="69">
        <f t="shared" ca="1" si="540"/>
        <v>1202.5758513331386</v>
      </c>
      <c r="AA835" s="20">
        <f t="shared" ref="AA835:AA898" ca="1" si="541">A835*B835*C835*D835*E835</f>
        <v>6.5610979271356536E+16</v>
      </c>
      <c r="AB835" s="20">
        <f t="shared" ref="AB835:AB898" ca="1" si="542">F835*G835*H835*I835*J835</f>
        <v>1679845843261703</v>
      </c>
      <c r="AC835" s="20">
        <f t="shared" ref="AC835:AC898" ca="1" si="543">K835*L835*M835*N835*O835</f>
        <v>405049714221224.69</v>
      </c>
      <c r="AD835" s="20">
        <f t="shared" ref="AD835:AD898" ca="1" si="544">P835*Q835*R835*S835*T835</f>
        <v>303670931865873.13</v>
      </c>
      <c r="AE835" s="20">
        <f t="shared" ref="AE835:AE898" ca="1" si="545">U835*V835*W835*X835*Y835</f>
        <v>6875265456407624</v>
      </c>
      <c r="AG835" s="16">
        <f t="shared" ca="1" si="505"/>
        <v>1.186315685130725E-4</v>
      </c>
      <c r="AH835" s="16">
        <f t="shared" ca="1" si="506"/>
        <v>-5.6335395013276343E-4</v>
      </c>
      <c r="AI835" s="16">
        <f t="shared" ca="1" si="507"/>
        <v>-2.4080484273969198E-4</v>
      </c>
      <c r="AJ835" s="16">
        <f t="shared" ca="1" si="508"/>
        <v>7.5414861703159471E-4</v>
      </c>
      <c r="AK835" s="16">
        <f t="shared" ca="1" si="509"/>
        <v>6.9849038605651278E-4</v>
      </c>
      <c r="AM835" s="16">
        <f t="shared" ca="1" si="510"/>
        <v>6.862139267221185E-5</v>
      </c>
      <c r="AO835" s="16">
        <f t="shared" ca="1" si="511"/>
        <v>0</v>
      </c>
      <c r="AP835" s="16">
        <f t="shared" ca="1" si="512"/>
        <v>-5.6335395013276343E-4</v>
      </c>
      <c r="AQ835" s="16">
        <f t="shared" ca="1" si="513"/>
        <v>-2.4080484273969198E-4</v>
      </c>
      <c r="AR835" s="16">
        <f t="shared" ca="1" si="514"/>
        <v>0</v>
      </c>
      <c r="AS835" s="16">
        <f t="shared" ca="1" si="515"/>
        <v>0</v>
      </c>
    </row>
    <row r="836" spans="1:45" x14ac:dyDescent="0.25">
      <c r="A836" s="69">
        <f t="shared" ca="1" si="516"/>
        <v>2448.1481313037352</v>
      </c>
      <c r="B836" s="69">
        <f t="shared" ca="1" si="517"/>
        <v>2141.6347917895796</v>
      </c>
      <c r="C836" s="69">
        <f t="shared" ca="1" si="518"/>
        <v>2231.9302551710184</v>
      </c>
      <c r="D836" s="69">
        <f t="shared" ca="1" si="519"/>
        <v>2906.001677052885</v>
      </c>
      <c r="E836" s="69">
        <f t="shared" ca="1" si="520"/>
        <v>1929.6051743164671</v>
      </c>
      <c r="F836" s="69">
        <f t="shared" ca="1" si="521"/>
        <v>1219.5348015802444</v>
      </c>
      <c r="G836" s="69">
        <f t="shared" ca="1" si="522"/>
        <v>970.07341597173263</v>
      </c>
      <c r="H836" s="69">
        <f t="shared" ca="1" si="523"/>
        <v>1185.4221397188726</v>
      </c>
      <c r="I836" s="69">
        <f t="shared" ca="1" si="524"/>
        <v>1050.9621981165667</v>
      </c>
      <c r="J836" s="69">
        <f t="shared" ca="1" si="525"/>
        <v>1139.1104517360675</v>
      </c>
      <c r="K836" s="69">
        <f t="shared" ca="1" si="526"/>
        <v>1174.1008721189012</v>
      </c>
      <c r="L836" s="69">
        <f t="shared" ca="1" si="527"/>
        <v>962.79429063806538</v>
      </c>
      <c r="M836" s="69">
        <f t="shared" ca="1" si="528"/>
        <v>994.36183016419614</v>
      </c>
      <c r="N836" s="69">
        <f t="shared" ca="1" si="529"/>
        <v>570.43563464328099</v>
      </c>
      <c r="O836" s="69">
        <f t="shared" ca="1" si="530"/>
        <v>631.55872640053963</v>
      </c>
      <c r="P836" s="69">
        <f t="shared" ca="1" si="531"/>
        <v>721.96330479186724</v>
      </c>
      <c r="Q836" s="69">
        <f t="shared" ca="1" si="532"/>
        <v>959.98980228200014</v>
      </c>
      <c r="R836" s="69">
        <f t="shared" ca="1" si="533"/>
        <v>780.61451667783604</v>
      </c>
      <c r="S836" s="69">
        <f t="shared" ca="1" si="534"/>
        <v>706.50125201040657</v>
      </c>
      <c r="T836" s="69">
        <f t="shared" ca="1" si="535"/>
        <v>795.05915290561995</v>
      </c>
      <c r="U836" s="69">
        <f t="shared" ca="1" si="536"/>
        <v>1695.6029643778152</v>
      </c>
      <c r="V836" s="69">
        <f t="shared" ca="1" si="537"/>
        <v>1912.9735640409513</v>
      </c>
      <c r="W836" s="69">
        <f t="shared" ca="1" si="538"/>
        <v>1184.3467228978459</v>
      </c>
      <c r="X836" s="69">
        <f t="shared" ca="1" si="539"/>
        <v>1488.8591299135528</v>
      </c>
      <c r="Y836" s="69">
        <f t="shared" ca="1" si="540"/>
        <v>1202.8936018713944</v>
      </c>
      <c r="AA836" s="20">
        <f t="shared" ca="1" si="541"/>
        <v>6.5618763266443816E+16</v>
      </c>
      <c r="AB836" s="20">
        <f t="shared" ca="1" si="542"/>
        <v>1678899761984621</v>
      </c>
      <c r="AC836" s="20">
        <f t="shared" ca="1" si="543"/>
        <v>404952188031350.56</v>
      </c>
      <c r="AD836" s="20">
        <f t="shared" ca="1" si="544"/>
        <v>303900031255808.31</v>
      </c>
      <c r="AE836" s="20">
        <f t="shared" ca="1" si="545"/>
        <v>6880069440803652</v>
      </c>
      <c r="AG836" s="16">
        <f t="shared" ref="AG836:AG899" ca="1" si="546">LN(AA837/AA836)</f>
        <v>-1.9657723349368088E-4</v>
      </c>
      <c r="AH836" s="16">
        <f t="shared" ref="AH836:AH899" ca="1" si="547">LN(AB837/AB836)</f>
        <v>6.2929794044587657E-4</v>
      </c>
      <c r="AI836" s="16">
        <f t="shared" ref="AI836:AI899" ca="1" si="548">LN(AC837/AC836)</f>
        <v>-2.0110227123611534E-4</v>
      </c>
      <c r="AJ836" s="16">
        <f t="shared" ref="AJ836:AJ899" ca="1" si="549">LN(AD837/AD836)</f>
        <v>-1.6954690492982161E-3</v>
      </c>
      <c r="AK836" s="16">
        <f t="shared" ref="AK836:AK899" ca="1" si="550">LN(AE837/AE836)</f>
        <v>-2.3804630419357062E-4</v>
      </c>
      <c r="AM836" s="16">
        <f t="shared" ref="AM836:AM899" ca="1" si="551">AG836+AH836+AI836+AJ836</f>
        <v>-1.4638506135821357E-3</v>
      </c>
      <c r="AO836" s="16">
        <f t="shared" ref="AO836:AO899" ca="1" si="552">MIN(AG836,0)</f>
        <v>-1.9657723349368088E-4</v>
      </c>
      <c r="AP836" s="16">
        <f t="shared" ref="AP836:AP899" ca="1" si="553">MIN(AH836,0)</f>
        <v>0</v>
      </c>
      <c r="AQ836" s="16">
        <f t="shared" ref="AQ836:AQ899" ca="1" si="554">MIN(AI836,0)</f>
        <v>-2.0110227123611534E-4</v>
      </c>
      <c r="AR836" s="16">
        <f t="shared" ref="AR836:AR899" ca="1" si="555">MIN(AJ836,0)</f>
        <v>-1.6954690492982161E-3</v>
      </c>
      <c r="AS836" s="16">
        <f t="shared" ref="AS836:AS899" ca="1" si="556">MIN(AK836,0)</f>
        <v>-2.3804630419357062E-4</v>
      </c>
    </row>
    <row r="837" spans="1:45" x14ac:dyDescent="0.25">
      <c r="A837" s="69">
        <f t="shared" ref="A837:A900" ca="1" si="557">A836+ $A$1 * RAND()  * RANDBETWEEN(-1,1)</f>
        <v>2447.792309408409</v>
      </c>
      <c r="B837" s="69">
        <f t="shared" ref="B837:B900" ca="1" si="558">B836+ $A$1 * RAND()  * RANDBETWEEN(-1,1)</f>
        <v>2141.7798827813972</v>
      </c>
      <c r="C837" s="69">
        <f t="shared" ref="C837:C900" ca="1" si="559">C836+ $A$1 * RAND()  * RANDBETWEEN(-1,1)</f>
        <v>2231.9302551710184</v>
      </c>
      <c r="D837" s="69">
        <f t="shared" ref="D837:D900" ca="1" si="560">D836+ $A$1 * RAND()  * RANDBETWEEN(-1,1)</f>
        <v>2906.001677052885</v>
      </c>
      <c r="E837" s="69">
        <f t="shared" ref="E837:E900" ca="1" si="561">E836+ $A$1 * RAND()  * RANDBETWEEN(-1,1)</f>
        <v>1929.3756250362999</v>
      </c>
      <c r="F837" s="69">
        <f t="shared" ref="F837:F900" ca="1" si="562">F836+ $A$1 * RAND()  * RANDBETWEEN(-1,1)</f>
        <v>1219.9574042627135</v>
      </c>
      <c r="G837" s="69">
        <f t="shared" ref="G837:G900" ca="1" si="563">G836+ $A$1 * RAND()  * RANDBETWEEN(-1,1)</f>
        <v>970.47285417780142</v>
      </c>
      <c r="H837" s="69">
        <f t="shared" ref="H837:H900" ca="1" si="564">H836+ $A$1 * RAND()  * RANDBETWEEN(-1,1)</f>
        <v>1185.4221397188726</v>
      </c>
      <c r="I837" s="69">
        <f t="shared" ref="I837:I900" ca="1" si="565">I836+ $A$1 * RAND()  * RANDBETWEEN(-1,1)</f>
        <v>1051.2147645211546</v>
      </c>
      <c r="J837" s="69">
        <f t="shared" ref="J837:J900" ca="1" si="566">J836+ $A$1 * RAND()  * RANDBETWEEN(-1,1)</f>
        <v>1138.6900424359617</v>
      </c>
      <c r="K837" s="69">
        <f t="shared" ref="K837:K900" ca="1" si="567">K836+ $A$1 * RAND()  * RANDBETWEEN(-1,1)</f>
        <v>1174.4966657639241</v>
      </c>
      <c r="L837" s="69">
        <f t="shared" ref="L837:L900" ca="1" si="568">L836+ $A$1 * RAND()  * RANDBETWEEN(-1,1)</f>
        <v>962.79429063806538</v>
      </c>
      <c r="M837" s="69">
        <f t="shared" ref="M837:M900" ca="1" si="569">M836+ $A$1 * RAND()  * RANDBETWEEN(-1,1)</f>
        <v>994.20398618523097</v>
      </c>
      <c r="N837" s="69">
        <f t="shared" ref="N837:N900" ca="1" si="570">N836+ $A$1 * RAND()  * RANDBETWEEN(-1,1)</f>
        <v>570.43563464328099</v>
      </c>
      <c r="O837" s="69">
        <f t="shared" ref="O837:O900" ca="1" si="571">O836+ $A$1 * RAND()  * RANDBETWEEN(-1,1)</f>
        <v>631.31916004689208</v>
      </c>
      <c r="P837" s="69">
        <f t="shared" ref="P837:P900" ca="1" si="572">P836+ $A$1 * RAND()  * RANDBETWEEN(-1,1)</f>
        <v>721.65039927297425</v>
      </c>
      <c r="Q837" s="69">
        <f t="shared" ref="Q837:Q900" ca="1" si="573">Q836+ $A$1 * RAND()  * RANDBETWEEN(-1,1)</f>
        <v>959.67511953810026</v>
      </c>
      <c r="R837" s="69">
        <f t="shared" ref="R837:R900" ca="1" si="574">R836+ $A$1 * RAND()  * RANDBETWEEN(-1,1)</f>
        <v>780.61451667783604</v>
      </c>
      <c r="S837" s="69">
        <f t="shared" ref="S837:S900" ca="1" si="575">S836+ $A$1 * RAND()  * RANDBETWEEN(-1,1)</f>
        <v>706.26764024160957</v>
      </c>
      <c r="T837" s="69">
        <f t="shared" ref="T837:T900" ca="1" si="576">T836+ $A$1 * RAND()  * RANDBETWEEN(-1,1)</f>
        <v>794.57955938878399</v>
      </c>
      <c r="U837" s="69">
        <f t="shared" ref="U837:U900" ca="1" si="577">U836+ $A$1 * RAND()  * RANDBETWEEN(-1,1)</f>
        <v>1695.6029643778152</v>
      </c>
      <c r="V837" s="69">
        <f t="shared" ref="V837:V900" ca="1" si="578">V836+ $A$1 * RAND()  * RANDBETWEEN(-1,1)</f>
        <v>1912.6250378614398</v>
      </c>
      <c r="W837" s="69">
        <f t="shared" ref="W837:W900" ca="1" si="579">W836+ $A$1 * RAND()  * RANDBETWEEN(-1,1)</f>
        <v>1184.3467228978459</v>
      </c>
      <c r="X837" s="69">
        <f t="shared" ref="X837:X900" ca="1" si="580">X836+ $A$1 * RAND()  * RANDBETWEEN(-1,1)</f>
        <v>1488.8591299135528</v>
      </c>
      <c r="Y837" s="69">
        <f t="shared" ref="Y837:Y900" ca="1" si="581">Y836+ $A$1 * RAND()  * RANDBETWEEN(-1,1)</f>
        <v>1202.8264354817493</v>
      </c>
      <c r="AA837" s="20">
        <f t="shared" ca="1" si="541"/>
        <v>6.5605865379252648E+16</v>
      </c>
      <c r="AB837" s="20">
        <f t="shared" ca="1" si="542"/>
        <v>1679956622652296</v>
      </c>
      <c r="AC837" s="20">
        <f t="shared" ca="1" si="543"/>
        <v>404870759414609.75</v>
      </c>
      <c r="AD837" s="20">
        <f t="shared" ca="1" si="544"/>
        <v>303385214709818.19</v>
      </c>
      <c r="AE837" s="20">
        <f t="shared" ca="1" si="545"/>
        <v>6878431860618362</v>
      </c>
      <c r="AG837" s="16">
        <f t="shared" ca="1" si="546"/>
        <v>1.7830949633071641E-4</v>
      </c>
      <c r="AH837" s="16">
        <f t="shared" ca="1" si="547"/>
        <v>2.7399380522472586E-4</v>
      </c>
      <c r="AI837" s="16">
        <f t="shared" ca="1" si="548"/>
        <v>-1.3118343233036018E-3</v>
      </c>
      <c r="AJ837" s="16">
        <f t="shared" ca="1" si="549"/>
        <v>6.8989899401940974E-4</v>
      </c>
      <c r="AK837" s="16">
        <f t="shared" ca="1" si="550"/>
        <v>1.2388466736191469E-4</v>
      </c>
      <c r="AM837" s="16">
        <f t="shared" ca="1" si="551"/>
        <v>-1.6963202772874971E-4</v>
      </c>
      <c r="AO837" s="16">
        <f t="shared" ca="1" si="552"/>
        <v>0</v>
      </c>
      <c r="AP837" s="16">
        <f t="shared" ca="1" si="553"/>
        <v>0</v>
      </c>
      <c r="AQ837" s="16">
        <f t="shared" ca="1" si="554"/>
        <v>-1.3118343233036018E-3</v>
      </c>
      <c r="AR837" s="16">
        <f t="shared" ca="1" si="555"/>
        <v>0</v>
      </c>
      <c r="AS837" s="16">
        <f t="shared" ca="1" si="556"/>
        <v>0</v>
      </c>
    </row>
    <row r="838" spans="1:45" x14ac:dyDescent="0.25">
      <c r="A838" s="69">
        <f t="shared" ca="1" si="557"/>
        <v>2447.792309408409</v>
      </c>
      <c r="B838" s="69">
        <f t="shared" ca="1" si="558"/>
        <v>2142.1618165237423</v>
      </c>
      <c r="C838" s="69">
        <f t="shared" ca="1" si="559"/>
        <v>2231.9302551710184</v>
      </c>
      <c r="D838" s="69">
        <f t="shared" ca="1" si="560"/>
        <v>2906.001677052885</v>
      </c>
      <c r="E838" s="69">
        <f t="shared" ca="1" si="561"/>
        <v>1929.3756250362999</v>
      </c>
      <c r="F838" s="69">
        <f t="shared" ca="1" si="562"/>
        <v>1220.3395960278247</v>
      </c>
      <c r="G838" s="69">
        <f t="shared" ca="1" si="563"/>
        <v>970.8290288881924</v>
      </c>
      <c r="H838" s="69">
        <f t="shared" ca="1" si="564"/>
        <v>1185.414649773767</v>
      </c>
      <c r="I838" s="69">
        <f t="shared" ca="1" si="565"/>
        <v>1050.9451094999984</v>
      </c>
      <c r="J838" s="69">
        <f t="shared" ca="1" si="566"/>
        <v>1138.5268623683205</v>
      </c>
      <c r="K838" s="69">
        <f t="shared" ca="1" si="567"/>
        <v>1174.0846931850344</v>
      </c>
      <c r="L838" s="69">
        <f t="shared" ca="1" si="568"/>
        <v>962.64491795648041</v>
      </c>
      <c r="M838" s="69">
        <f t="shared" ca="1" si="569"/>
        <v>993.8627518034499</v>
      </c>
      <c r="N838" s="69">
        <f t="shared" ca="1" si="570"/>
        <v>570.1718304190324</v>
      </c>
      <c r="O838" s="69">
        <f t="shared" ca="1" si="571"/>
        <v>631.31916004689208</v>
      </c>
      <c r="P838" s="69">
        <f t="shared" ca="1" si="572"/>
        <v>721.65039927297425</v>
      </c>
      <c r="Q838" s="69">
        <f t="shared" ca="1" si="573"/>
        <v>959.67511953810026</v>
      </c>
      <c r="R838" s="69">
        <f t="shared" ca="1" si="574"/>
        <v>780.77854660186654</v>
      </c>
      <c r="S838" s="69">
        <f t="shared" ca="1" si="575"/>
        <v>706.22697238191233</v>
      </c>
      <c r="T838" s="69">
        <f t="shared" ca="1" si="576"/>
        <v>795.0066612245148</v>
      </c>
      <c r="U838" s="69">
        <f t="shared" ca="1" si="577"/>
        <v>1695.5454694174027</v>
      </c>
      <c r="V838" s="69">
        <f t="shared" ca="1" si="578"/>
        <v>1912.3735692705181</v>
      </c>
      <c r="W838" s="69">
        <f t="shared" ca="1" si="579"/>
        <v>1184.3467228978459</v>
      </c>
      <c r="X838" s="69">
        <f t="shared" ca="1" si="580"/>
        <v>1489.3365693583819</v>
      </c>
      <c r="Y838" s="69">
        <f t="shared" ca="1" si="581"/>
        <v>1202.7887360225288</v>
      </c>
      <c r="AA838" s="20">
        <f t="shared" ca="1" si="541"/>
        <v>6.5617564571072272E+16</v>
      </c>
      <c r="AB838" s="20">
        <f t="shared" ca="1" si="542"/>
        <v>1680416983425069</v>
      </c>
      <c r="AC838" s="20">
        <f t="shared" ca="1" si="543"/>
        <v>404339984276547.69</v>
      </c>
      <c r="AD838" s="20">
        <f t="shared" ca="1" si="544"/>
        <v>303594592080560.94</v>
      </c>
      <c r="AE838" s="20">
        <f t="shared" ca="1" si="545"/>
        <v>6879284045646626</v>
      </c>
      <c r="AG838" s="16">
        <f t="shared" ca="1" si="546"/>
        <v>1.0204928353004031E-4</v>
      </c>
      <c r="AH838" s="16">
        <f t="shared" ca="1" si="547"/>
        <v>-7.4581829975267091E-4</v>
      </c>
      <c r="AI838" s="16">
        <f t="shared" ca="1" si="548"/>
        <v>1.9268156903745081E-4</v>
      </c>
      <c r="AJ838" s="16">
        <f t="shared" ca="1" si="549"/>
        <v>-3.8412211072797083E-4</v>
      </c>
      <c r="AK838" s="16">
        <f t="shared" ca="1" si="550"/>
        <v>9.4899317855018416E-6</v>
      </c>
      <c r="AM838" s="16">
        <f t="shared" ca="1" si="551"/>
        <v>-8.3520955791315063E-4</v>
      </c>
      <c r="AO838" s="16">
        <f t="shared" ca="1" si="552"/>
        <v>0</v>
      </c>
      <c r="AP838" s="16">
        <f t="shared" ca="1" si="553"/>
        <v>-7.4581829975267091E-4</v>
      </c>
      <c r="AQ838" s="16">
        <f t="shared" ca="1" si="554"/>
        <v>0</v>
      </c>
      <c r="AR838" s="16">
        <f t="shared" ca="1" si="555"/>
        <v>-3.8412211072797083E-4</v>
      </c>
      <c r="AS838" s="16">
        <f t="shared" ca="1" si="556"/>
        <v>0</v>
      </c>
    </row>
    <row r="839" spans="1:45" x14ac:dyDescent="0.25">
      <c r="A839" s="69">
        <f t="shared" ca="1" si="557"/>
        <v>2448.1475442466908</v>
      </c>
      <c r="B839" s="69">
        <f t="shared" ca="1" si="558"/>
        <v>2142.1618165237423</v>
      </c>
      <c r="C839" s="69">
        <f t="shared" ca="1" si="559"/>
        <v>2231.9302551710184</v>
      </c>
      <c r="D839" s="69">
        <f t="shared" ca="1" si="560"/>
        <v>2906.001677052885</v>
      </c>
      <c r="E839" s="69">
        <f t="shared" ca="1" si="561"/>
        <v>1929.2925387078997</v>
      </c>
      <c r="F839" s="69">
        <f t="shared" ca="1" si="562"/>
        <v>1220.6194331450481</v>
      </c>
      <c r="G839" s="69">
        <f t="shared" ca="1" si="563"/>
        <v>970.53095594628428</v>
      </c>
      <c r="H839" s="69">
        <f t="shared" ca="1" si="564"/>
        <v>1184.9955010332221</v>
      </c>
      <c r="I839" s="69">
        <f t="shared" ca="1" si="565"/>
        <v>1050.6147699055271</v>
      </c>
      <c r="J839" s="69">
        <f t="shared" ca="1" si="566"/>
        <v>1138.5268623683205</v>
      </c>
      <c r="K839" s="69">
        <f t="shared" ca="1" si="567"/>
        <v>1173.711279571919</v>
      </c>
      <c r="L839" s="69">
        <f t="shared" ca="1" si="568"/>
        <v>962.52189521716298</v>
      </c>
      <c r="M839" s="69">
        <f t="shared" ca="1" si="569"/>
        <v>993.73276139620691</v>
      </c>
      <c r="N839" s="69">
        <f t="shared" ca="1" si="570"/>
        <v>570.6106809643328</v>
      </c>
      <c r="O839" s="69">
        <f t="shared" ca="1" si="571"/>
        <v>631.31916004689208</v>
      </c>
      <c r="P839" s="69">
        <f t="shared" ca="1" si="572"/>
        <v>721.65039927297425</v>
      </c>
      <c r="Q839" s="69">
        <f t="shared" ca="1" si="573"/>
        <v>959.82211951016723</v>
      </c>
      <c r="R839" s="69">
        <f t="shared" ca="1" si="574"/>
        <v>780.35915696782126</v>
      </c>
      <c r="S839" s="69">
        <f t="shared" ca="1" si="575"/>
        <v>706.22697238191233</v>
      </c>
      <c r="T839" s="69">
        <f t="shared" ca="1" si="576"/>
        <v>795.0066612245148</v>
      </c>
      <c r="U839" s="69">
        <f t="shared" ca="1" si="577"/>
        <v>1696.0282830363665</v>
      </c>
      <c r="V839" s="69">
        <f t="shared" ca="1" si="578"/>
        <v>1912.0726355523898</v>
      </c>
      <c r="W839" s="69">
        <f t="shared" ca="1" si="579"/>
        <v>1184.2683504030797</v>
      </c>
      <c r="X839" s="69">
        <f t="shared" ca="1" si="580"/>
        <v>1489.0478965693464</v>
      </c>
      <c r="Y839" s="69">
        <f t="shared" ca="1" si="581"/>
        <v>1202.9597499432964</v>
      </c>
      <c r="AA839" s="20">
        <f t="shared" ca="1" si="541"/>
        <v>6.5624261138207864E+16</v>
      </c>
      <c r="AB839" s="20">
        <f t="shared" ca="1" si="542"/>
        <v>1679164164933167</v>
      </c>
      <c r="AC839" s="20">
        <f t="shared" ca="1" si="543"/>
        <v>404417900645425.75</v>
      </c>
      <c r="AD839" s="20">
        <f t="shared" ca="1" si="544"/>
        <v>303477997079837.88</v>
      </c>
      <c r="AE839" s="20">
        <f t="shared" ca="1" si="545"/>
        <v>6879349329892724</v>
      </c>
      <c r="AG839" s="16">
        <f t="shared" ca="1" si="546"/>
        <v>3.1096557884846771E-4</v>
      </c>
      <c r="AH839" s="16">
        <f t="shared" ca="1" si="547"/>
        <v>-9.0288297145727424E-6</v>
      </c>
      <c r="AI839" s="16">
        <f t="shared" ca="1" si="548"/>
        <v>-5.8297029334423555E-4</v>
      </c>
      <c r="AJ839" s="16">
        <f t="shared" ca="1" si="549"/>
        <v>-8.8174156411850336E-5</v>
      </c>
      <c r="AK839" s="16">
        <f t="shared" ca="1" si="550"/>
        <v>1.2079791860845829E-4</v>
      </c>
      <c r="AM839" s="16">
        <f t="shared" ca="1" si="551"/>
        <v>-3.6920770062219088E-4</v>
      </c>
      <c r="AO839" s="16">
        <f t="shared" ca="1" si="552"/>
        <v>0</v>
      </c>
      <c r="AP839" s="16">
        <f t="shared" ca="1" si="553"/>
        <v>-9.0288297145727424E-6</v>
      </c>
      <c r="AQ839" s="16">
        <f t="shared" ca="1" si="554"/>
        <v>-5.8297029334423555E-4</v>
      </c>
      <c r="AR839" s="16">
        <f t="shared" ca="1" si="555"/>
        <v>-8.8174156411850336E-5</v>
      </c>
      <c r="AS839" s="16">
        <f t="shared" ca="1" si="556"/>
        <v>0</v>
      </c>
    </row>
    <row r="840" spans="1:45" x14ac:dyDescent="0.25">
      <c r="A840" s="69">
        <f t="shared" ca="1" si="557"/>
        <v>2448.352023833867</v>
      </c>
      <c r="B840" s="69">
        <f t="shared" ca="1" si="558"/>
        <v>2142.1618165237423</v>
      </c>
      <c r="C840" s="69">
        <f t="shared" ca="1" si="559"/>
        <v>2232.2032377597116</v>
      </c>
      <c r="D840" s="69">
        <f t="shared" ca="1" si="560"/>
        <v>2906.4009397422228</v>
      </c>
      <c r="E840" s="69">
        <f t="shared" ca="1" si="561"/>
        <v>1929.2303421656927</v>
      </c>
      <c r="F840" s="69">
        <f t="shared" ca="1" si="562"/>
        <v>1220.6194331450481</v>
      </c>
      <c r="G840" s="69">
        <f t="shared" ca="1" si="563"/>
        <v>970.91964221064222</v>
      </c>
      <c r="H840" s="69">
        <f t="shared" ca="1" si="564"/>
        <v>1184.8875168745728</v>
      </c>
      <c r="I840" s="69">
        <f t="shared" ca="1" si="565"/>
        <v>1050.6147699055271</v>
      </c>
      <c r="J840" s="69">
        <f t="shared" ca="1" si="566"/>
        <v>1138.1645194749042</v>
      </c>
      <c r="K840" s="69">
        <f t="shared" ca="1" si="567"/>
        <v>1173.9309189745741</v>
      </c>
      <c r="L840" s="69">
        <f t="shared" ca="1" si="568"/>
        <v>962.52189521716298</v>
      </c>
      <c r="M840" s="69">
        <f t="shared" ca="1" si="569"/>
        <v>993.73276139620691</v>
      </c>
      <c r="N840" s="69">
        <f t="shared" ca="1" si="570"/>
        <v>570.17143128625708</v>
      </c>
      <c r="O840" s="69">
        <f t="shared" ca="1" si="571"/>
        <v>631.31916004689208</v>
      </c>
      <c r="P840" s="69">
        <f t="shared" ca="1" si="572"/>
        <v>721.96719065521893</v>
      </c>
      <c r="Q840" s="69">
        <f t="shared" ca="1" si="573"/>
        <v>959.55175684596338</v>
      </c>
      <c r="R840" s="69">
        <f t="shared" ca="1" si="574"/>
        <v>780.35915696782126</v>
      </c>
      <c r="S840" s="69">
        <f t="shared" ca="1" si="575"/>
        <v>706.05372792900005</v>
      </c>
      <c r="T840" s="69">
        <f t="shared" ca="1" si="576"/>
        <v>795.0066612245148</v>
      </c>
      <c r="U840" s="69">
        <f t="shared" ca="1" si="577"/>
        <v>1695.9449081155453</v>
      </c>
      <c r="V840" s="69">
        <f t="shared" ca="1" si="578"/>
        <v>1912.308912535588</v>
      </c>
      <c r="W840" s="69">
        <f t="shared" ca="1" si="579"/>
        <v>1183.7708839554614</v>
      </c>
      <c r="X840" s="69">
        <f t="shared" ca="1" si="580"/>
        <v>1489.4417029262599</v>
      </c>
      <c r="Y840" s="69">
        <f t="shared" ca="1" si="581"/>
        <v>1203.2029064775011</v>
      </c>
      <c r="AA840" s="20">
        <f t="shared" ca="1" si="541"/>
        <v>6.5644671197807736E+16</v>
      </c>
      <c r="AB840" s="20">
        <f t="shared" ca="1" si="542"/>
        <v>1679149004114301.3</v>
      </c>
      <c r="AC840" s="20">
        <f t="shared" ca="1" si="543"/>
        <v>404182205731494.56</v>
      </c>
      <c r="AD840" s="20">
        <f t="shared" ca="1" si="544"/>
        <v>303451239343143.56</v>
      </c>
      <c r="AE840" s="20">
        <f t="shared" ca="1" si="545"/>
        <v>6880180391167381</v>
      </c>
      <c r="AG840" s="16">
        <f t="shared" ca="1" si="546"/>
        <v>2.0818341972119608E-4</v>
      </c>
      <c r="AH840" s="16">
        <f t="shared" ca="1" si="547"/>
        <v>5.0302666162511099E-4</v>
      </c>
      <c r="AI840" s="16">
        <f t="shared" ca="1" si="548"/>
        <v>-8.914290869362786E-4</v>
      </c>
      <c r="AJ840" s="16">
        <f t="shared" ca="1" si="549"/>
        <v>-1.6660085903979578E-5</v>
      </c>
      <c r="AK840" s="16">
        <f t="shared" ca="1" si="550"/>
        <v>3.6290151330872468E-4</v>
      </c>
      <c r="AM840" s="16">
        <f t="shared" ca="1" si="551"/>
        <v>-1.9687909149395112E-4</v>
      </c>
      <c r="AO840" s="16">
        <f t="shared" ca="1" si="552"/>
        <v>0</v>
      </c>
      <c r="AP840" s="16">
        <f t="shared" ca="1" si="553"/>
        <v>0</v>
      </c>
      <c r="AQ840" s="16">
        <f t="shared" ca="1" si="554"/>
        <v>-8.914290869362786E-4</v>
      </c>
      <c r="AR840" s="16">
        <f t="shared" ca="1" si="555"/>
        <v>-1.6660085903979578E-5</v>
      </c>
      <c r="AS840" s="16">
        <f t="shared" ca="1" si="556"/>
        <v>0</v>
      </c>
    </row>
    <row r="841" spans="1:45" x14ac:dyDescent="0.25">
      <c r="A841" s="69">
        <f t="shared" ca="1" si="557"/>
        <v>2448.5809405813879</v>
      </c>
      <c r="B841" s="69">
        <f t="shared" ca="1" si="558"/>
        <v>2142.1618165237423</v>
      </c>
      <c r="C841" s="69">
        <f t="shared" ca="1" si="559"/>
        <v>2232.2032377597116</v>
      </c>
      <c r="D841" s="69">
        <f t="shared" ca="1" si="560"/>
        <v>2906.7342925059588</v>
      </c>
      <c r="E841" s="69">
        <f t="shared" ca="1" si="561"/>
        <v>1929.2303421656927</v>
      </c>
      <c r="F841" s="69">
        <f t="shared" ca="1" si="562"/>
        <v>1221.010713689458</v>
      </c>
      <c r="G841" s="69">
        <f t="shared" ca="1" si="563"/>
        <v>970.91964221064222</v>
      </c>
      <c r="H841" s="69">
        <f t="shared" ca="1" si="564"/>
        <v>1184.8875168745728</v>
      </c>
      <c r="I841" s="69">
        <f t="shared" ca="1" si="565"/>
        <v>1050.8065445950299</v>
      </c>
      <c r="J841" s="69">
        <f t="shared" ca="1" si="566"/>
        <v>1138.1645194749042</v>
      </c>
      <c r="K841" s="69">
        <f t="shared" ca="1" si="567"/>
        <v>1173.6590483523503</v>
      </c>
      <c r="L841" s="69">
        <f t="shared" ca="1" si="568"/>
        <v>962.29439766396797</v>
      </c>
      <c r="M841" s="69">
        <f t="shared" ca="1" si="569"/>
        <v>993.73276139620691</v>
      </c>
      <c r="N841" s="69">
        <f t="shared" ca="1" si="570"/>
        <v>570.08837037866647</v>
      </c>
      <c r="O841" s="69">
        <f t="shared" ca="1" si="571"/>
        <v>631.14384120741204</v>
      </c>
      <c r="P841" s="69">
        <f t="shared" ca="1" si="572"/>
        <v>721.85848328686882</v>
      </c>
      <c r="Q841" s="69">
        <f t="shared" ca="1" si="573"/>
        <v>959.33411901272461</v>
      </c>
      <c r="R841" s="69">
        <f t="shared" ca="1" si="574"/>
        <v>780.72070585235895</v>
      </c>
      <c r="S841" s="69">
        <f t="shared" ca="1" si="575"/>
        <v>706.05372792900005</v>
      </c>
      <c r="T841" s="69">
        <f t="shared" ca="1" si="576"/>
        <v>794.92522208339415</v>
      </c>
      <c r="U841" s="69">
        <f t="shared" ca="1" si="577"/>
        <v>1695.9449081155453</v>
      </c>
      <c r="V841" s="69">
        <f t="shared" ca="1" si="578"/>
        <v>1912.2540054355452</v>
      </c>
      <c r="W841" s="69">
        <f t="shared" ca="1" si="579"/>
        <v>1184.2345564515238</v>
      </c>
      <c r="X841" s="69">
        <f t="shared" ca="1" si="580"/>
        <v>1489.4417029262599</v>
      </c>
      <c r="Y841" s="69">
        <f t="shared" ca="1" si="581"/>
        <v>1203.2029064775011</v>
      </c>
      <c r="AA841" s="20">
        <f t="shared" ca="1" si="541"/>
        <v>6.5658338752573952E+16</v>
      </c>
      <c r="AB841" s="20">
        <f t="shared" ca="1" si="542"/>
        <v>1679993873310262.3</v>
      </c>
      <c r="AC841" s="20">
        <f t="shared" ca="1" si="543"/>
        <v>403822066500025.19</v>
      </c>
      <c r="AD841" s="20">
        <f t="shared" ca="1" si="544"/>
        <v>303446183861540.94</v>
      </c>
      <c r="AE841" s="20">
        <f t="shared" ca="1" si="545"/>
        <v>6882677672149290</v>
      </c>
      <c r="AG841" s="16">
        <f t="shared" ca="1" si="546"/>
        <v>-5.7852756291156411E-5</v>
      </c>
      <c r="AH841" s="16">
        <f t="shared" ca="1" si="547"/>
        <v>7.8849894638170694E-4</v>
      </c>
      <c r="AI841" s="16">
        <f t="shared" ca="1" si="548"/>
        <v>-4.1142901009463476E-4</v>
      </c>
      <c r="AJ841" s="16">
        <f t="shared" ca="1" si="549"/>
        <v>3.4811817239813341E-5</v>
      </c>
      <c r="AK841" s="16">
        <f t="shared" ca="1" si="550"/>
        <v>4.083690828870848E-5</v>
      </c>
      <c r="AM841" s="16">
        <f t="shared" ca="1" si="551"/>
        <v>3.5402899723572915E-4</v>
      </c>
      <c r="AO841" s="16">
        <f t="shared" ca="1" si="552"/>
        <v>-5.7852756291156411E-5</v>
      </c>
      <c r="AP841" s="16">
        <f t="shared" ca="1" si="553"/>
        <v>0</v>
      </c>
      <c r="AQ841" s="16">
        <f t="shared" ca="1" si="554"/>
        <v>-4.1142901009463476E-4</v>
      </c>
      <c r="AR841" s="16">
        <f t="shared" ca="1" si="555"/>
        <v>0</v>
      </c>
      <c r="AS841" s="16">
        <f t="shared" ca="1" si="556"/>
        <v>0</v>
      </c>
    </row>
    <row r="842" spans="1:45" x14ac:dyDescent="0.25">
      <c r="A842" s="69">
        <f t="shared" ca="1" si="557"/>
        <v>2448.4021316218564</v>
      </c>
      <c r="B842" s="69">
        <f t="shared" ca="1" si="558"/>
        <v>2142.1618165237423</v>
      </c>
      <c r="C842" s="69">
        <f t="shared" ca="1" si="559"/>
        <v>2232.2371127186898</v>
      </c>
      <c r="D842" s="69">
        <f t="shared" ca="1" si="560"/>
        <v>2906.7342925059588</v>
      </c>
      <c r="E842" s="69">
        <f t="shared" ca="1" si="561"/>
        <v>1929.2303421656927</v>
      </c>
      <c r="F842" s="69">
        <f t="shared" ca="1" si="562"/>
        <v>1221.2228598459076</v>
      </c>
      <c r="G842" s="69">
        <f t="shared" ca="1" si="563"/>
        <v>971.28646650462247</v>
      </c>
      <c r="H842" s="69">
        <f t="shared" ca="1" si="564"/>
        <v>1184.7732363831497</v>
      </c>
      <c r="I842" s="69">
        <f t="shared" ca="1" si="565"/>
        <v>1051.0901254159314</v>
      </c>
      <c r="J842" s="69">
        <f t="shared" ca="1" si="566"/>
        <v>1138.2369632596929</v>
      </c>
      <c r="K842" s="69">
        <f t="shared" ca="1" si="567"/>
        <v>1173.6339409103309</v>
      </c>
      <c r="L842" s="69">
        <f t="shared" ca="1" si="568"/>
        <v>961.91599942473124</v>
      </c>
      <c r="M842" s="69">
        <f t="shared" ca="1" si="569"/>
        <v>993.85125887892536</v>
      </c>
      <c r="N842" s="69">
        <f t="shared" ca="1" si="570"/>
        <v>570.11920276486865</v>
      </c>
      <c r="O842" s="69">
        <f t="shared" ca="1" si="571"/>
        <v>631.03652196176256</v>
      </c>
      <c r="P842" s="69">
        <f t="shared" ca="1" si="572"/>
        <v>721.85848328686882</v>
      </c>
      <c r="Q842" s="69">
        <f t="shared" ca="1" si="573"/>
        <v>958.85386375266739</v>
      </c>
      <c r="R842" s="69">
        <f t="shared" ca="1" si="574"/>
        <v>780.72070585235895</v>
      </c>
      <c r="S842" s="69">
        <f t="shared" ca="1" si="575"/>
        <v>706.05372792900005</v>
      </c>
      <c r="T842" s="69">
        <f t="shared" ca="1" si="576"/>
        <v>795.35105854282097</v>
      </c>
      <c r="U842" s="69">
        <f t="shared" ca="1" si="577"/>
        <v>1695.9737848681916</v>
      </c>
      <c r="V842" s="69">
        <f t="shared" ca="1" si="578"/>
        <v>1912.6822763848118</v>
      </c>
      <c r="W842" s="69">
        <f t="shared" ca="1" si="579"/>
        <v>1184.2345564515238</v>
      </c>
      <c r="X842" s="69">
        <f t="shared" ca="1" si="580"/>
        <v>1489.4417029262599</v>
      </c>
      <c r="Y842" s="69">
        <f t="shared" ca="1" si="581"/>
        <v>1202.9621382159742</v>
      </c>
      <c r="AA842" s="20">
        <f t="shared" ca="1" si="541"/>
        <v>6.5654540346578808E+16</v>
      </c>
      <c r="AB842" s="20">
        <f t="shared" ca="1" si="542"/>
        <v>1681319069098376.8</v>
      </c>
      <c r="AC842" s="20">
        <f t="shared" ca="1" si="543"/>
        <v>403655956560517.88</v>
      </c>
      <c r="AD842" s="20">
        <f t="shared" ca="1" si="544"/>
        <v>303456747558505.31</v>
      </c>
      <c r="AE842" s="20">
        <f t="shared" ca="1" si="545"/>
        <v>6882958745165206</v>
      </c>
      <c r="AG842" s="16">
        <f t="shared" ca="1" si="546"/>
        <v>-8.5504367262750403E-5</v>
      </c>
      <c r="AH842" s="16">
        <f t="shared" ca="1" si="547"/>
        <v>-2.0030691436609063E-4</v>
      </c>
      <c r="AI842" s="16">
        <f t="shared" ca="1" si="548"/>
        <v>5.0948060011904927E-4</v>
      </c>
      <c r="AJ842" s="16">
        <f t="shared" ca="1" si="549"/>
        <v>4.000370809123228E-4</v>
      </c>
      <c r="AK842" s="16">
        <f t="shared" ca="1" si="550"/>
        <v>-2.1342365218176976E-4</v>
      </c>
      <c r="AM842" s="16">
        <f t="shared" ca="1" si="551"/>
        <v>6.2370639940253104E-4</v>
      </c>
      <c r="AO842" s="16">
        <f t="shared" ca="1" si="552"/>
        <v>-8.5504367262750403E-5</v>
      </c>
      <c r="AP842" s="16">
        <f t="shared" ca="1" si="553"/>
        <v>-2.0030691436609063E-4</v>
      </c>
      <c r="AQ842" s="16">
        <f t="shared" ca="1" si="554"/>
        <v>0</v>
      </c>
      <c r="AR842" s="16">
        <f t="shared" ca="1" si="555"/>
        <v>0</v>
      </c>
      <c r="AS842" s="16">
        <f t="shared" ca="1" si="556"/>
        <v>-2.1342365218176976E-4</v>
      </c>
    </row>
    <row r="843" spans="1:45" x14ac:dyDescent="0.25">
      <c r="A843" s="69">
        <f t="shared" ca="1" si="557"/>
        <v>2448.4021316218564</v>
      </c>
      <c r="B843" s="69">
        <f t="shared" ca="1" si="558"/>
        <v>2142.2779070382385</v>
      </c>
      <c r="C843" s="69">
        <f t="shared" ca="1" si="559"/>
        <v>2232.2371127186898</v>
      </c>
      <c r="D843" s="69">
        <f t="shared" ca="1" si="560"/>
        <v>2906.3282615470935</v>
      </c>
      <c r="E843" s="69">
        <f t="shared" ca="1" si="561"/>
        <v>1929.2303421656927</v>
      </c>
      <c r="F843" s="69">
        <f t="shared" ca="1" si="562"/>
        <v>1220.7479149851883</v>
      </c>
      <c r="G843" s="69">
        <f t="shared" ca="1" si="563"/>
        <v>971.28646650462247</v>
      </c>
      <c r="H843" s="69">
        <f t="shared" ca="1" si="564"/>
        <v>1184.8650391165779</v>
      </c>
      <c r="I843" s="69">
        <f t="shared" ca="1" si="565"/>
        <v>1051.2070083943822</v>
      </c>
      <c r="J843" s="69">
        <f t="shared" ca="1" si="566"/>
        <v>1138.2369632596929</v>
      </c>
      <c r="K843" s="69">
        <f t="shared" ca="1" si="567"/>
        <v>1173.6339409103309</v>
      </c>
      <c r="L843" s="69">
        <f t="shared" ca="1" si="568"/>
        <v>961.89930127947127</v>
      </c>
      <c r="M843" s="69">
        <f t="shared" ca="1" si="569"/>
        <v>994.06878220296915</v>
      </c>
      <c r="N843" s="69">
        <f t="shared" ca="1" si="570"/>
        <v>570.11920276486865</v>
      </c>
      <c r="O843" s="69">
        <f t="shared" ca="1" si="571"/>
        <v>631.23090790092908</v>
      </c>
      <c r="P843" s="69">
        <f t="shared" ca="1" si="572"/>
        <v>721.85848328686882</v>
      </c>
      <c r="Q843" s="69">
        <f t="shared" ca="1" si="573"/>
        <v>958.85386375266739</v>
      </c>
      <c r="R843" s="69">
        <f t="shared" ca="1" si="574"/>
        <v>781.02550501112921</v>
      </c>
      <c r="S843" s="69">
        <f t="shared" ca="1" si="575"/>
        <v>706.05372792900005</v>
      </c>
      <c r="T843" s="69">
        <f t="shared" ca="1" si="576"/>
        <v>795.35877813610364</v>
      </c>
      <c r="U843" s="69">
        <f t="shared" ca="1" si="577"/>
        <v>1696.1244294373546</v>
      </c>
      <c r="V843" s="69">
        <f t="shared" ca="1" si="578"/>
        <v>1912.6822763848118</v>
      </c>
      <c r="W843" s="69">
        <f t="shared" ca="1" si="579"/>
        <v>1183.8766821209815</v>
      </c>
      <c r="X843" s="69">
        <f t="shared" ca="1" si="580"/>
        <v>1489.4417029262599</v>
      </c>
      <c r="Y843" s="69">
        <f t="shared" ca="1" si="581"/>
        <v>1202.9621382159742</v>
      </c>
      <c r="AA843" s="20">
        <f t="shared" ca="1" si="541"/>
        <v>6.5648926836641776E+16</v>
      </c>
      <c r="AB843" s="20">
        <f t="shared" ca="1" si="542"/>
        <v>1680982322990993.5</v>
      </c>
      <c r="AC843" s="20">
        <f t="shared" ca="1" si="543"/>
        <v>403861663836991.63</v>
      </c>
      <c r="AD843" s="20">
        <f t="shared" ca="1" si="544"/>
        <v>303578165794260.88</v>
      </c>
      <c r="AE843" s="20">
        <f t="shared" ca="1" si="545"/>
        <v>6881489915719044</v>
      </c>
      <c r="AG843" s="16">
        <f t="shared" ca="1" si="546"/>
        <v>-5.8280047161656305E-5</v>
      </c>
      <c r="AH843" s="16">
        <f t="shared" ca="1" si="547"/>
        <v>8.7167073055959354E-5</v>
      </c>
      <c r="AI843" s="16">
        <f t="shared" ca="1" si="548"/>
        <v>3.1119760965865438E-4</v>
      </c>
      <c r="AJ843" s="16">
        <f t="shared" ca="1" si="549"/>
        <v>-3.7637974865583441E-4</v>
      </c>
      <c r="AK843" s="16">
        <f t="shared" ca="1" si="550"/>
        <v>1.7596801521021111E-4</v>
      </c>
      <c r="AM843" s="16">
        <f t="shared" ca="1" si="551"/>
        <v>-3.6295113102876989E-5</v>
      </c>
      <c r="AO843" s="16">
        <f t="shared" ca="1" si="552"/>
        <v>-5.8280047161656305E-5</v>
      </c>
      <c r="AP843" s="16">
        <f t="shared" ca="1" si="553"/>
        <v>0</v>
      </c>
      <c r="AQ843" s="16">
        <f t="shared" ca="1" si="554"/>
        <v>0</v>
      </c>
      <c r="AR843" s="16">
        <f t="shared" ca="1" si="555"/>
        <v>-3.7637974865583441E-4</v>
      </c>
      <c r="AS843" s="16">
        <f t="shared" ca="1" si="556"/>
        <v>0</v>
      </c>
    </row>
    <row r="844" spans="1:45" x14ac:dyDescent="0.25">
      <c r="A844" s="69">
        <f t="shared" ca="1" si="557"/>
        <v>2448.3325901792327</v>
      </c>
      <c r="B844" s="69">
        <f t="shared" ca="1" si="558"/>
        <v>2141.8578369199076</v>
      </c>
      <c r="C844" s="69">
        <f t="shared" ca="1" si="559"/>
        <v>2232.5507887950939</v>
      </c>
      <c r="D844" s="69">
        <f t="shared" ca="1" si="560"/>
        <v>2906.3282615470935</v>
      </c>
      <c r="E844" s="69">
        <f t="shared" ca="1" si="561"/>
        <v>1929.2799568576402</v>
      </c>
      <c r="F844" s="69">
        <f t="shared" ca="1" si="562"/>
        <v>1220.7479149851883</v>
      </c>
      <c r="G844" s="69">
        <f t="shared" ca="1" si="563"/>
        <v>971.60699419744719</v>
      </c>
      <c r="H844" s="69">
        <f t="shared" ca="1" si="564"/>
        <v>1185.0503836983148</v>
      </c>
      <c r="I844" s="69">
        <f t="shared" ca="1" si="565"/>
        <v>1051.2070083943822</v>
      </c>
      <c r="J844" s="69">
        <f t="shared" ca="1" si="566"/>
        <v>1137.7826740113162</v>
      </c>
      <c r="K844" s="69">
        <f t="shared" ca="1" si="567"/>
        <v>1173.6358321314844</v>
      </c>
      <c r="L844" s="69">
        <f t="shared" ca="1" si="568"/>
        <v>961.89930127947127</v>
      </c>
      <c r="M844" s="69">
        <f t="shared" ca="1" si="569"/>
        <v>994.23820379414656</v>
      </c>
      <c r="N844" s="69">
        <f t="shared" ca="1" si="570"/>
        <v>570.60017685419632</v>
      </c>
      <c r="O844" s="69">
        <f t="shared" ca="1" si="571"/>
        <v>630.78660591081041</v>
      </c>
      <c r="P844" s="69">
        <f t="shared" ca="1" si="572"/>
        <v>721.76805293135635</v>
      </c>
      <c r="Q844" s="69">
        <f t="shared" ca="1" si="573"/>
        <v>958.85386375266739</v>
      </c>
      <c r="R844" s="69">
        <f t="shared" ca="1" si="574"/>
        <v>781.02550501112921</v>
      </c>
      <c r="S844" s="69">
        <f t="shared" ca="1" si="575"/>
        <v>706.05372792900005</v>
      </c>
      <c r="T844" s="69">
        <f t="shared" ca="1" si="576"/>
        <v>795.15909056974658</v>
      </c>
      <c r="U844" s="69">
        <f t="shared" ca="1" si="577"/>
        <v>1695.9694615991486</v>
      </c>
      <c r="V844" s="69">
        <f t="shared" ca="1" si="578"/>
        <v>1912.6822763848118</v>
      </c>
      <c r="W844" s="69">
        <f t="shared" ca="1" si="579"/>
        <v>1184.0890258941058</v>
      </c>
      <c r="X844" s="69">
        <f t="shared" ca="1" si="580"/>
        <v>1489.4246628851831</v>
      </c>
      <c r="Y844" s="69">
        <f t="shared" ca="1" si="581"/>
        <v>1203.0817566766445</v>
      </c>
      <c r="AA844" s="20">
        <f t="shared" ca="1" si="541"/>
        <v>6.5645100925577848E+16</v>
      </c>
      <c r="AB844" s="20">
        <f t="shared" ca="1" si="542"/>
        <v>1681128855686267.8</v>
      </c>
      <c r="AC844" s="20">
        <f t="shared" ca="1" si="543"/>
        <v>403987364179219</v>
      </c>
      <c r="AD844" s="20">
        <f t="shared" ca="1" si="544"/>
        <v>303463926620526.19</v>
      </c>
      <c r="AE844" s="20">
        <f t="shared" ca="1" si="545"/>
        <v>6882700944389233</v>
      </c>
      <c r="AG844" s="16">
        <f t="shared" ca="1" si="546"/>
        <v>1.393433774422096E-5</v>
      </c>
      <c r="AH844" s="16">
        <f t="shared" ca="1" si="547"/>
        <v>-1.0069300273708864E-3</v>
      </c>
      <c r="AI844" s="16">
        <f t="shared" ca="1" si="548"/>
        <v>3.5741902403526807E-4</v>
      </c>
      <c r="AJ844" s="16">
        <f t="shared" ca="1" si="549"/>
        <v>-2.9855071895247526E-4</v>
      </c>
      <c r="AK844" s="16">
        <f t="shared" ca="1" si="550"/>
        <v>1.7166534445976097E-4</v>
      </c>
      <c r="AM844" s="16">
        <f t="shared" ca="1" si="551"/>
        <v>-9.3412738454387275E-4</v>
      </c>
      <c r="AO844" s="16">
        <f t="shared" ca="1" si="552"/>
        <v>0</v>
      </c>
      <c r="AP844" s="16">
        <f t="shared" ca="1" si="553"/>
        <v>-1.0069300273708864E-3</v>
      </c>
      <c r="AQ844" s="16">
        <f t="shared" ca="1" si="554"/>
        <v>0</v>
      </c>
      <c r="AR844" s="16">
        <f t="shared" ca="1" si="555"/>
        <v>-2.9855071895247526E-4</v>
      </c>
      <c r="AS844" s="16">
        <f t="shared" ca="1" si="556"/>
        <v>0</v>
      </c>
    </row>
    <row r="845" spans="1:45" x14ac:dyDescent="0.25">
      <c r="A845" s="69">
        <f t="shared" ca="1" si="557"/>
        <v>2448.3325901792327</v>
      </c>
      <c r="B845" s="69">
        <f t="shared" ca="1" si="558"/>
        <v>2142.1723077875563</v>
      </c>
      <c r="C845" s="69">
        <f t="shared" ca="1" si="559"/>
        <v>2232.6370922216638</v>
      </c>
      <c r="D845" s="69">
        <f t="shared" ca="1" si="560"/>
        <v>2906.3282615470935</v>
      </c>
      <c r="E845" s="69">
        <f t="shared" ca="1" si="561"/>
        <v>1928.9490509302207</v>
      </c>
      <c r="F845" s="69">
        <f t="shared" ca="1" si="562"/>
        <v>1220.7479149851883</v>
      </c>
      <c r="G845" s="69">
        <f t="shared" ca="1" si="563"/>
        <v>971.60699419744719</v>
      </c>
      <c r="H845" s="69">
        <f t="shared" ca="1" si="564"/>
        <v>1184.5572959451888</v>
      </c>
      <c r="I845" s="69">
        <f t="shared" ca="1" si="565"/>
        <v>1050.8626769547584</v>
      </c>
      <c r="J845" s="69">
        <f t="shared" ca="1" si="566"/>
        <v>1137.4833155651036</v>
      </c>
      <c r="K845" s="69">
        <f t="shared" ca="1" si="567"/>
        <v>1173.6358321314844</v>
      </c>
      <c r="L845" s="69">
        <f t="shared" ca="1" si="568"/>
        <v>961.86217073195962</v>
      </c>
      <c r="M845" s="69">
        <f t="shared" ca="1" si="569"/>
        <v>994.63202102882394</v>
      </c>
      <c r="N845" s="69">
        <f t="shared" ca="1" si="570"/>
        <v>570.60017685419632</v>
      </c>
      <c r="O845" s="69">
        <f t="shared" ca="1" si="571"/>
        <v>630.78660591081041</v>
      </c>
      <c r="P845" s="69">
        <f t="shared" ca="1" si="572"/>
        <v>721.5440729134159</v>
      </c>
      <c r="Q845" s="69">
        <f t="shared" ca="1" si="573"/>
        <v>959.07103689960604</v>
      </c>
      <c r="R845" s="69">
        <f t="shared" ca="1" si="574"/>
        <v>781.50279915182023</v>
      </c>
      <c r="S845" s="69">
        <f t="shared" ca="1" si="575"/>
        <v>705.71069131968125</v>
      </c>
      <c r="T845" s="69">
        <f t="shared" ca="1" si="576"/>
        <v>794.88909654270662</v>
      </c>
      <c r="U845" s="69">
        <f t="shared" ca="1" si="577"/>
        <v>1695.9694615991486</v>
      </c>
      <c r="V845" s="69">
        <f t="shared" ca="1" si="578"/>
        <v>1912.6822763848118</v>
      </c>
      <c r="W845" s="69">
        <f t="shared" ca="1" si="579"/>
        <v>1184.0890258941058</v>
      </c>
      <c r="X845" s="69">
        <f t="shared" ca="1" si="580"/>
        <v>1489.6803674301605</v>
      </c>
      <c r="Y845" s="69">
        <f t="shared" ca="1" si="581"/>
        <v>1203.0817566766445</v>
      </c>
      <c r="AA845" s="20">
        <f t="shared" ca="1" si="541"/>
        <v>6.564601565295844E+16</v>
      </c>
      <c r="AB845" s="20">
        <f t="shared" ca="1" si="542"/>
        <v>1679436928530681</v>
      </c>
      <c r="AC845" s="20">
        <f t="shared" ca="1" si="543"/>
        <v>404131782756082.5</v>
      </c>
      <c r="AD845" s="20">
        <f t="shared" ca="1" si="544"/>
        <v>303373340769965.75</v>
      </c>
      <c r="AE845" s="20">
        <f t="shared" ca="1" si="545"/>
        <v>6883882567036592</v>
      </c>
      <c r="AG845" s="16">
        <f t="shared" ca="1" si="546"/>
        <v>-1.4677249295331151E-4</v>
      </c>
      <c r="AH845" s="16">
        <f t="shared" ca="1" si="547"/>
        <v>-5.798977103089539E-5</v>
      </c>
      <c r="AI845" s="16">
        <f t="shared" ca="1" si="548"/>
        <v>6.7409464743696675E-4</v>
      </c>
      <c r="AJ845" s="16">
        <f t="shared" ca="1" si="549"/>
        <v>3.3250858137680642E-4</v>
      </c>
      <c r="AK845" s="16">
        <f t="shared" ca="1" si="550"/>
        <v>5.6275420599125037E-4</v>
      </c>
      <c r="AM845" s="16">
        <f t="shared" ca="1" si="551"/>
        <v>8.0184096482956624E-4</v>
      </c>
      <c r="AO845" s="16">
        <f t="shared" ca="1" si="552"/>
        <v>-1.4677249295331151E-4</v>
      </c>
      <c r="AP845" s="16">
        <f t="shared" ca="1" si="553"/>
        <v>-5.798977103089539E-5</v>
      </c>
      <c r="AQ845" s="16">
        <f t="shared" ca="1" si="554"/>
        <v>0</v>
      </c>
      <c r="AR845" s="16">
        <f t="shared" ca="1" si="555"/>
        <v>0</v>
      </c>
      <c r="AS845" s="16">
        <f t="shared" ca="1" si="556"/>
        <v>0</v>
      </c>
    </row>
    <row r="846" spans="1:45" x14ac:dyDescent="0.25">
      <c r="A846" s="69">
        <f t="shared" ca="1" si="557"/>
        <v>2448.5870489277791</v>
      </c>
      <c r="B846" s="69">
        <f t="shared" ca="1" si="558"/>
        <v>2142.1723077875563</v>
      </c>
      <c r="C846" s="69">
        <f t="shared" ca="1" si="559"/>
        <v>2232.6370922216638</v>
      </c>
      <c r="D846" s="69">
        <f t="shared" ca="1" si="560"/>
        <v>2906.2141317327764</v>
      </c>
      <c r="E846" s="69">
        <f t="shared" ca="1" si="561"/>
        <v>1928.5412595221344</v>
      </c>
      <c r="F846" s="69">
        <f t="shared" ca="1" si="562"/>
        <v>1220.7479149851883</v>
      </c>
      <c r="G846" s="69">
        <f t="shared" ca="1" si="563"/>
        <v>971.29828572822157</v>
      </c>
      <c r="H846" s="69">
        <f t="shared" ca="1" si="564"/>
        <v>1185.027137041398</v>
      </c>
      <c r="I846" s="69">
        <f t="shared" ca="1" si="565"/>
        <v>1051.063752460331</v>
      </c>
      <c r="J846" s="69">
        <f t="shared" ca="1" si="566"/>
        <v>1137.1101748765736</v>
      </c>
      <c r="K846" s="69">
        <f t="shared" ca="1" si="567"/>
        <v>1173.6358321314844</v>
      </c>
      <c r="L846" s="69">
        <f t="shared" ca="1" si="568"/>
        <v>962.35867704677946</v>
      </c>
      <c r="M846" s="69">
        <f t="shared" ca="1" si="569"/>
        <v>994.63202102882394</v>
      </c>
      <c r="N846" s="69">
        <f t="shared" ca="1" si="570"/>
        <v>570.46325911849408</v>
      </c>
      <c r="O846" s="69">
        <f t="shared" ca="1" si="571"/>
        <v>631.03772013558864</v>
      </c>
      <c r="P846" s="69">
        <f t="shared" ca="1" si="572"/>
        <v>722.00124220386886</v>
      </c>
      <c r="Q846" s="69">
        <f t="shared" ca="1" si="573"/>
        <v>959.53818444520095</v>
      </c>
      <c r="R846" s="69">
        <f t="shared" ca="1" si="574"/>
        <v>781.297463200587</v>
      </c>
      <c r="S846" s="69">
        <f t="shared" ca="1" si="575"/>
        <v>705.27184376499611</v>
      </c>
      <c r="T846" s="69">
        <f t="shared" ca="1" si="576"/>
        <v>794.96618127821534</v>
      </c>
      <c r="U846" s="69">
        <f t="shared" ca="1" si="577"/>
        <v>1695.5779781315427</v>
      </c>
      <c r="V846" s="69">
        <f t="shared" ca="1" si="578"/>
        <v>1912.4286492005788</v>
      </c>
      <c r="W846" s="69">
        <f t="shared" ca="1" si="579"/>
        <v>1184.5879770576903</v>
      </c>
      <c r="X846" s="69">
        <f t="shared" ca="1" si="580"/>
        <v>1489.9614647487067</v>
      </c>
      <c r="Y846" s="69">
        <f t="shared" ca="1" si="581"/>
        <v>1203.4622969716399</v>
      </c>
      <c r="AA846" s="20">
        <f t="shared" ca="1" si="541"/>
        <v>6.5636381330632648E+16</v>
      </c>
      <c r="AB846" s="20">
        <f t="shared" ca="1" si="542"/>
        <v>1679339541191496.8</v>
      </c>
      <c r="AC846" s="20">
        <f t="shared" ca="1" si="543"/>
        <v>404404297667799.88</v>
      </c>
      <c r="AD846" s="20">
        <f t="shared" ca="1" si="544"/>
        <v>303474231781766.75</v>
      </c>
      <c r="AE846" s="20">
        <f t="shared" ca="1" si="545"/>
        <v>6887757591145533</v>
      </c>
      <c r="AG846" s="16">
        <f t="shared" ca="1" si="546"/>
        <v>1.1721272420612674E-4</v>
      </c>
      <c r="AH846" s="16">
        <f t="shared" ca="1" si="547"/>
        <v>5.2371534364161973E-4</v>
      </c>
      <c r="AI846" s="16">
        <f t="shared" ca="1" si="548"/>
        <v>-9.0069823833923237E-4</v>
      </c>
      <c r="AJ846" s="16">
        <f t="shared" ca="1" si="549"/>
        <v>8.5677730832251072E-4</v>
      </c>
      <c r="AK846" s="16">
        <f t="shared" ca="1" si="550"/>
        <v>-3.0787177429348006E-4</v>
      </c>
      <c r="AM846" s="16">
        <f t="shared" ca="1" si="551"/>
        <v>5.9700713783102479E-4</v>
      </c>
      <c r="AO846" s="16">
        <f t="shared" ca="1" si="552"/>
        <v>0</v>
      </c>
      <c r="AP846" s="16">
        <f t="shared" ca="1" si="553"/>
        <v>0</v>
      </c>
      <c r="AQ846" s="16">
        <f t="shared" ca="1" si="554"/>
        <v>-9.0069823833923237E-4</v>
      </c>
      <c r="AR846" s="16">
        <f t="shared" ca="1" si="555"/>
        <v>0</v>
      </c>
      <c r="AS846" s="16">
        <f t="shared" ca="1" si="556"/>
        <v>-3.0787177429348006E-4</v>
      </c>
    </row>
    <row r="847" spans="1:45" x14ac:dyDescent="0.25">
      <c r="A847" s="69">
        <f t="shared" ca="1" si="557"/>
        <v>2448.5715861082904</v>
      </c>
      <c r="B847" s="69">
        <f t="shared" ca="1" si="558"/>
        <v>2142.436941838037</v>
      </c>
      <c r="C847" s="69">
        <f t="shared" ca="1" si="559"/>
        <v>2232.6370922216638</v>
      </c>
      <c r="D847" s="69">
        <f t="shared" ca="1" si="560"/>
        <v>2906.2141317327764</v>
      </c>
      <c r="E847" s="69">
        <f t="shared" ca="1" si="561"/>
        <v>1928.5412595221344</v>
      </c>
      <c r="F847" s="69">
        <f t="shared" ca="1" si="562"/>
        <v>1220.7479149851883</v>
      </c>
      <c r="G847" s="69">
        <f t="shared" ca="1" si="563"/>
        <v>971.54049213108669</v>
      </c>
      <c r="H847" s="69">
        <f t="shared" ca="1" si="564"/>
        <v>1185.027137041398</v>
      </c>
      <c r="I847" s="69">
        <f t="shared" ca="1" si="565"/>
        <v>1051.5198157592531</v>
      </c>
      <c r="J847" s="69">
        <f t="shared" ca="1" si="566"/>
        <v>1136.9289004952127</v>
      </c>
      <c r="K847" s="69">
        <f t="shared" ca="1" si="567"/>
        <v>1173.4782316959809</v>
      </c>
      <c r="L847" s="69">
        <f t="shared" ca="1" si="568"/>
        <v>962.15609660395205</v>
      </c>
      <c r="M847" s="69">
        <f t="shared" ca="1" si="569"/>
        <v>994.63202102882394</v>
      </c>
      <c r="N847" s="69">
        <f t="shared" ca="1" si="570"/>
        <v>570.46325911849408</v>
      </c>
      <c r="O847" s="69">
        <f t="shared" ca="1" si="571"/>
        <v>630.68703697514593</v>
      </c>
      <c r="P847" s="69">
        <f t="shared" ca="1" si="572"/>
        <v>722.32100903781929</v>
      </c>
      <c r="Q847" s="69">
        <f t="shared" ca="1" si="573"/>
        <v>959.71583859153884</v>
      </c>
      <c r="R847" s="69">
        <f t="shared" ca="1" si="574"/>
        <v>781.297463200587</v>
      </c>
      <c r="S847" s="69">
        <f t="shared" ca="1" si="575"/>
        <v>705.43326894069821</v>
      </c>
      <c r="T847" s="69">
        <f t="shared" ca="1" si="576"/>
        <v>794.96618127821534</v>
      </c>
      <c r="U847" s="69">
        <f t="shared" ca="1" si="577"/>
        <v>1695.5779781315427</v>
      </c>
      <c r="V847" s="69">
        <f t="shared" ca="1" si="578"/>
        <v>1912.4286492005788</v>
      </c>
      <c r="W847" s="69">
        <f t="shared" ca="1" si="579"/>
        <v>1184.2233319902291</v>
      </c>
      <c r="X847" s="69">
        <f t="shared" ca="1" si="580"/>
        <v>1489.9614647487067</v>
      </c>
      <c r="Y847" s="69">
        <f t="shared" ca="1" si="581"/>
        <v>1203.4622969716399</v>
      </c>
      <c r="AA847" s="20">
        <f t="shared" ca="1" si="541"/>
        <v>6.5644075200596368E+16</v>
      </c>
      <c r="AB847" s="20">
        <f t="shared" ca="1" si="542"/>
        <v>1680219267419357.3</v>
      </c>
      <c r="AC847" s="20">
        <f t="shared" ca="1" si="543"/>
        <v>404040215418047.88</v>
      </c>
      <c r="AD847" s="20">
        <f t="shared" ca="1" si="544"/>
        <v>303734353034299.06</v>
      </c>
      <c r="AE847" s="20">
        <f t="shared" ca="1" si="545"/>
        <v>6885637371389700</v>
      </c>
      <c r="AG847" s="16">
        <f t="shared" ca="1" si="546"/>
        <v>1.1748333941915749E-4</v>
      </c>
      <c r="AH847" s="16">
        <f t="shared" ca="1" si="547"/>
        <v>-5.8171941918038937E-4</v>
      </c>
      <c r="AI847" s="16">
        <f t="shared" ca="1" si="548"/>
        <v>2.8163341106759012E-4</v>
      </c>
      <c r="AJ847" s="16">
        <f t="shared" ca="1" si="549"/>
        <v>3.6097818963637737E-4</v>
      </c>
      <c r="AK847" s="16">
        <f t="shared" ca="1" si="550"/>
        <v>3.3491753344833206E-4</v>
      </c>
      <c r="AM847" s="16">
        <f t="shared" ca="1" si="551"/>
        <v>1.783755209427356E-4</v>
      </c>
      <c r="AO847" s="16">
        <f t="shared" ca="1" si="552"/>
        <v>0</v>
      </c>
      <c r="AP847" s="16">
        <f t="shared" ca="1" si="553"/>
        <v>-5.8171941918038937E-4</v>
      </c>
      <c r="AQ847" s="16">
        <f t="shared" ca="1" si="554"/>
        <v>0</v>
      </c>
      <c r="AR847" s="16">
        <f t="shared" ca="1" si="555"/>
        <v>0</v>
      </c>
      <c r="AS847" s="16">
        <f t="shared" ca="1" si="556"/>
        <v>0</v>
      </c>
    </row>
    <row r="848" spans="1:45" x14ac:dyDescent="0.25">
      <c r="A848" s="69">
        <f t="shared" ca="1" si="557"/>
        <v>2448.3774352749674</v>
      </c>
      <c r="B848" s="69">
        <f t="shared" ca="1" si="558"/>
        <v>2142.436941838037</v>
      </c>
      <c r="C848" s="69">
        <f t="shared" ca="1" si="559"/>
        <v>2232.9248530382247</v>
      </c>
      <c r="D848" s="69">
        <f t="shared" ca="1" si="560"/>
        <v>2906.4114644076617</v>
      </c>
      <c r="E848" s="69">
        <f t="shared" ca="1" si="561"/>
        <v>1928.5412595221344</v>
      </c>
      <c r="F848" s="69">
        <f t="shared" ca="1" si="562"/>
        <v>1220.7479149851883</v>
      </c>
      <c r="G848" s="69">
        <f t="shared" ca="1" si="563"/>
        <v>971.54049213108669</v>
      </c>
      <c r="H848" s="69">
        <f t="shared" ca="1" si="564"/>
        <v>1184.7230294844928</v>
      </c>
      <c r="I848" s="69">
        <f t="shared" ca="1" si="565"/>
        <v>1051.178062685937</v>
      </c>
      <c r="J848" s="69">
        <f t="shared" ca="1" si="566"/>
        <v>1136.9289004952127</v>
      </c>
      <c r="K848" s="69">
        <f t="shared" ca="1" si="567"/>
        <v>1173.4259845594615</v>
      </c>
      <c r="L848" s="69">
        <f t="shared" ca="1" si="568"/>
        <v>961.93332104554281</v>
      </c>
      <c r="M848" s="69">
        <f t="shared" ca="1" si="569"/>
        <v>994.63202102882394</v>
      </c>
      <c r="N848" s="69">
        <f t="shared" ca="1" si="570"/>
        <v>570.89780784149275</v>
      </c>
      <c r="O848" s="69">
        <f t="shared" ca="1" si="571"/>
        <v>630.55855721484215</v>
      </c>
      <c r="P848" s="69">
        <f t="shared" ca="1" si="572"/>
        <v>722.32100903781929</v>
      </c>
      <c r="Q848" s="69">
        <f t="shared" ca="1" si="573"/>
        <v>959.84892210847659</v>
      </c>
      <c r="R848" s="69">
        <f t="shared" ca="1" si="574"/>
        <v>781.297463200587</v>
      </c>
      <c r="S848" s="69">
        <f t="shared" ca="1" si="575"/>
        <v>705.59011695455433</v>
      </c>
      <c r="T848" s="69">
        <f t="shared" ca="1" si="576"/>
        <v>794.96618127821534</v>
      </c>
      <c r="U848" s="69">
        <f t="shared" ca="1" si="577"/>
        <v>1695.765815325753</v>
      </c>
      <c r="V848" s="69">
        <f t="shared" ca="1" si="578"/>
        <v>1912.9013474856986</v>
      </c>
      <c r="W848" s="69">
        <f t="shared" ca="1" si="579"/>
        <v>1184.2233319902291</v>
      </c>
      <c r="X848" s="69">
        <f t="shared" ca="1" si="580"/>
        <v>1490.0602812518457</v>
      </c>
      <c r="Y848" s="69">
        <f t="shared" ca="1" si="581"/>
        <v>1203.3548115790088</v>
      </c>
      <c r="AA848" s="20">
        <f t="shared" ca="1" si="541"/>
        <v>6.5651787738802512E+16</v>
      </c>
      <c r="AB848" s="20">
        <f t="shared" ca="1" si="542"/>
        <v>1679242135478885.8</v>
      </c>
      <c r="AC848" s="20">
        <f t="shared" ca="1" si="543"/>
        <v>404154022667334.19</v>
      </c>
      <c r="AD848" s="20">
        <f t="shared" ca="1" si="544"/>
        <v>303844014302660.06</v>
      </c>
      <c r="AE848" s="20">
        <f t="shared" ca="1" si="545"/>
        <v>6887943878297587</v>
      </c>
      <c r="AG848" s="16">
        <f t="shared" ca="1" si="546"/>
        <v>2.889359036724468E-5</v>
      </c>
      <c r="AH848" s="16">
        <f t="shared" ca="1" si="547"/>
        <v>5.8055373837245631E-4</v>
      </c>
      <c r="AI848" s="16">
        <f t="shared" ca="1" si="548"/>
        <v>-5.1941937420685953E-4</v>
      </c>
      <c r="AJ848" s="16">
        <f t="shared" ca="1" si="549"/>
        <v>-9.5960926206924591E-4</v>
      </c>
      <c r="AK848" s="16">
        <f t="shared" ca="1" si="550"/>
        <v>-3.7163807135219063E-4</v>
      </c>
      <c r="AM848" s="16">
        <f t="shared" ca="1" si="551"/>
        <v>-8.6958130753640446E-4</v>
      </c>
      <c r="AO848" s="16">
        <f t="shared" ca="1" si="552"/>
        <v>0</v>
      </c>
      <c r="AP848" s="16">
        <f t="shared" ca="1" si="553"/>
        <v>0</v>
      </c>
      <c r="AQ848" s="16">
        <f t="shared" ca="1" si="554"/>
        <v>-5.1941937420685953E-4</v>
      </c>
      <c r="AR848" s="16">
        <f t="shared" ca="1" si="555"/>
        <v>-9.5960926206924591E-4</v>
      </c>
      <c r="AS848" s="16">
        <f t="shared" ca="1" si="556"/>
        <v>-3.7163807135219063E-4</v>
      </c>
    </row>
    <row r="849" spans="1:45" x14ac:dyDescent="0.25">
      <c r="A849" s="69">
        <f t="shared" ca="1" si="557"/>
        <v>2448.3919802478604</v>
      </c>
      <c r="B849" s="69">
        <f t="shared" ca="1" si="558"/>
        <v>2142.436941838037</v>
      </c>
      <c r="C849" s="69">
        <f t="shared" ca="1" si="559"/>
        <v>2232.6755173915685</v>
      </c>
      <c r="D849" s="69">
        <f t="shared" ca="1" si="560"/>
        <v>2906.802758934356</v>
      </c>
      <c r="E849" s="69">
        <f t="shared" ca="1" si="561"/>
        <v>1928.5412595221344</v>
      </c>
      <c r="F849" s="69">
        <f t="shared" ca="1" si="562"/>
        <v>1220.7479149851883</v>
      </c>
      <c r="G849" s="69">
        <f t="shared" ca="1" si="563"/>
        <v>971.95569895771177</v>
      </c>
      <c r="H849" s="69">
        <f t="shared" ca="1" si="564"/>
        <v>1185.0137696382933</v>
      </c>
      <c r="I849" s="69">
        <f t="shared" ca="1" si="565"/>
        <v>1051.498973116622</v>
      </c>
      <c r="J849" s="69">
        <f t="shared" ca="1" si="566"/>
        <v>1136.4772406499849</v>
      </c>
      <c r="K849" s="69">
        <f t="shared" ca="1" si="567"/>
        <v>1173.4259845594615</v>
      </c>
      <c r="L849" s="69">
        <f t="shared" ca="1" si="568"/>
        <v>961.57721355593856</v>
      </c>
      <c r="M849" s="69">
        <f t="shared" ca="1" si="569"/>
        <v>994.43191624265921</v>
      </c>
      <c r="N849" s="69">
        <f t="shared" ca="1" si="570"/>
        <v>570.86620008734587</v>
      </c>
      <c r="O849" s="69">
        <f t="shared" ca="1" si="571"/>
        <v>630.6262957315223</v>
      </c>
      <c r="P849" s="69">
        <f t="shared" ca="1" si="572"/>
        <v>721.88492935924558</v>
      </c>
      <c r="Q849" s="69">
        <f t="shared" ca="1" si="573"/>
        <v>959.84892210847659</v>
      </c>
      <c r="R849" s="69">
        <f t="shared" ca="1" si="574"/>
        <v>781.297463200587</v>
      </c>
      <c r="S849" s="69">
        <f t="shared" ca="1" si="575"/>
        <v>705.59832044863504</v>
      </c>
      <c r="T849" s="69">
        <f t="shared" ca="1" si="576"/>
        <v>794.67421738805069</v>
      </c>
      <c r="U849" s="69">
        <f t="shared" ca="1" si="577"/>
        <v>1696.0622957065411</v>
      </c>
      <c r="V849" s="69">
        <f t="shared" ca="1" si="578"/>
        <v>1912.9013474856986</v>
      </c>
      <c r="W849" s="69">
        <f t="shared" ca="1" si="579"/>
        <v>1183.8111016803307</v>
      </c>
      <c r="X849" s="69">
        <f t="shared" ca="1" si="580"/>
        <v>1489.7648374866901</v>
      </c>
      <c r="Y849" s="69">
        <f t="shared" ca="1" si="581"/>
        <v>1203.3548115790088</v>
      </c>
      <c r="AA849" s="20">
        <f t="shared" ca="1" si="541"/>
        <v>6.5653684682068928E+16</v>
      </c>
      <c r="AB849" s="20">
        <f t="shared" ca="1" si="542"/>
        <v>1680217308821145.8</v>
      </c>
      <c r="AC849" s="20">
        <f t="shared" ca="1" si="543"/>
        <v>403944151748026.44</v>
      </c>
      <c r="AD849" s="20">
        <f t="shared" ca="1" si="544"/>
        <v>303552582624943.25</v>
      </c>
      <c r="AE849" s="20">
        <f t="shared" ca="1" si="545"/>
        <v>6885384531723844</v>
      </c>
      <c r="AG849" s="16">
        <f t="shared" ca="1" si="546"/>
        <v>-3.5930186327096835E-4</v>
      </c>
      <c r="AH849" s="16">
        <f t="shared" ca="1" si="547"/>
        <v>1.0576094613778916E-3</v>
      </c>
      <c r="AI849" s="16">
        <f t="shared" ca="1" si="548"/>
        <v>1.9399930596023936E-3</v>
      </c>
      <c r="AJ849" s="16">
        <f t="shared" ca="1" si="549"/>
        <v>6.8621249370265185E-4</v>
      </c>
      <c r="AK849" s="16">
        <f t="shared" ca="1" si="550"/>
        <v>-8.540982502295762E-5</v>
      </c>
      <c r="AM849" s="16">
        <f t="shared" ca="1" si="551"/>
        <v>3.3245131514119688E-3</v>
      </c>
      <c r="AO849" s="16">
        <f t="shared" ca="1" si="552"/>
        <v>-3.5930186327096835E-4</v>
      </c>
      <c r="AP849" s="16">
        <f t="shared" ca="1" si="553"/>
        <v>0</v>
      </c>
      <c r="AQ849" s="16">
        <f t="shared" ca="1" si="554"/>
        <v>0</v>
      </c>
      <c r="AR849" s="16">
        <f t="shared" ca="1" si="555"/>
        <v>0</v>
      </c>
      <c r="AS849" s="16">
        <f t="shared" ca="1" si="556"/>
        <v>-8.540982502295762E-5</v>
      </c>
    </row>
    <row r="850" spans="1:45" x14ac:dyDescent="0.25">
      <c r="A850" s="69">
        <f t="shared" ca="1" si="557"/>
        <v>2448.3249832025585</v>
      </c>
      <c r="B850" s="69">
        <f t="shared" ca="1" si="558"/>
        <v>2142.1009355157398</v>
      </c>
      <c r="C850" s="69">
        <f t="shared" ca="1" si="559"/>
        <v>2232.6755173915685</v>
      </c>
      <c r="D850" s="69">
        <f t="shared" ca="1" si="560"/>
        <v>2906.802758934356</v>
      </c>
      <c r="E850" s="69">
        <f t="shared" ca="1" si="561"/>
        <v>1928.2036173368222</v>
      </c>
      <c r="F850" s="69">
        <f t="shared" ca="1" si="562"/>
        <v>1220.7479149851883</v>
      </c>
      <c r="G850" s="69">
        <f t="shared" ca="1" si="563"/>
        <v>972.3035707838859</v>
      </c>
      <c r="H850" s="69">
        <f t="shared" ca="1" si="564"/>
        <v>1185.3428934021042</v>
      </c>
      <c r="I850" s="69">
        <f t="shared" ca="1" si="565"/>
        <v>1051.5330086312292</v>
      </c>
      <c r="J850" s="69">
        <f t="shared" ca="1" si="566"/>
        <v>1136.9202081947676</v>
      </c>
      <c r="K850" s="69">
        <f t="shared" ca="1" si="567"/>
        <v>1173.8008639404131</v>
      </c>
      <c r="L850" s="69">
        <f t="shared" ca="1" si="568"/>
        <v>962.07600284750902</v>
      </c>
      <c r="M850" s="69">
        <f t="shared" ca="1" si="569"/>
        <v>994.5252220325583</v>
      </c>
      <c r="N850" s="69">
        <f t="shared" ca="1" si="570"/>
        <v>571.16613448714486</v>
      </c>
      <c r="O850" s="69">
        <f t="shared" ca="1" si="571"/>
        <v>630.93089633516024</v>
      </c>
      <c r="P850" s="69">
        <f t="shared" ca="1" si="572"/>
        <v>721.88492935924558</v>
      </c>
      <c r="Q850" s="69">
        <f t="shared" ca="1" si="573"/>
        <v>959.90962710263864</v>
      </c>
      <c r="R850" s="69">
        <f t="shared" ca="1" si="574"/>
        <v>781.297463200587</v>
      </c>
      <c r="S850" s="69">
        <f t="shared" ca="1" si="575"/>
        <v>705.59832044863504</v>
      </c>
      <c r="T850" s="69">
        <f t="shared" ca="1" si="576"/>
        <v>795.1694299570047</v>
      </c>
      <c r="U850" s="69">
        <f t="shared" ca="1" si="577"/>
        <v>1696.0622957065411</v>
      </c>
      <c r="V850" s="69">
        <f t="shared" ca="1" si="578"/>
        <v>1913.0750504501448</v>
      </c>
      <c r="W850" s="69">
        <f t="shared" ca="1" si="579"/>
        <v>1183.8111016803307</v>
      </c>
      <c r="X850" s="69">
        <f t="shared" ca="1" si="580"/>
        <v>1489.7648374866901</v>
      </c>
      <c r="Y850" s="69">
        <f t="shared" ca="1" si="581"/>
        <v>1203.1427850322821</v>
      </c>
      <c r="AA850" s="20">
        <f t="shared" ca="1" si="541"/>
        <v>6.5630099428198624E+16</v>
      </c>
      <c r="AB850" s="20">
        <f t="shared" ca="1" si="542"/>
        <v>1681995262568753</v>
      </c>
      <c r="AC850" s="20">
        <f t="shared" ca="1" si="543"/>
        <v>404728561227342.25</v>
      </c>
      <c r="AD850" s="20">
        <f t="shared" ca="1" si="544"/>
        <v>303760955685558.25</v>
      </c>
      <c r="AE850" s="20">
        <f t="shared" ca="1" si="545"/>
        <v>6884796477348942</v>
      </c>
      <c r="AG850" s="16">
        <f t="shared" ca="1" si="546"/>
        <v>-2.7698751797456398E-4</v>
      </c>
      <c r="AH850" s="16">
        <f t="shared" ca="1" si="547"/>
        <v>4.2464113300960595E-4</v>
      </c>
      <c r="AI850" s="16">
        <f t="shared" ca="1" si="548"/>
        <v>9.9653569881847173E-5</v>
      </c>
      <c r="AJ850" s="16">
        <f t="shared" ca="1" si="549"/>
        <v>-1.1384363815940518E-4</v>
      </c>
      <c r="AK850" s="16">
        <f t="shared" ca="1" si="550"/>
        <v>4.0080850637161424E-4</v>
      </c>
      <c r="AM850" s="16">
        <f t="shared" ca="1" si="551"/>
        <v>1.3346354675748397E-4</v>
      </c>
      <c r="AO850" s="16">
        <f t="shared" ca="1" si="552"/>
        <v>-2.7698751797456398E-4</v>
      </c>
      <c r="AP850" s="16">
        <f t="shared" ca="1" si="553"/>
        <v>0</v>
      </c>
      <c r="AQ850" s="16">
        <f t="shared" ca="1" si="554"/>
        <v>0</v>
      </c>
      <c r="AR850" s="16">
        <f t="shared" ca="1" si="555"/>
        <v>-1.1384363815940518E-4</v>
      </c>
      <c r="AS850" s="16">
        <f t="shared" ca="1" si="556"/>
        <v>0</v>
      </c>
    </row>
    <row r="851" spans="1:45" x14ac:dyDescent="0.25">
      <c r="A851" s="69">
        <f t="shared" ca="1" si="557"/>
        <v>2447.9995691168565</v>
      </c>
      <c r="B851" s="69">
        <f t="shared" ca="1" si="558"/>
        <v>2142.1009355157398</v>
      </c>
      <c r="C851" s="69">
        <f t="shared" ca="1" si="559"/>
        <v>2232.1771507347535</v>
      </c>
      <c r="D851" s="69">
        <f t="shared" ca="1" si="560"/>
        <v>2907.0329117519514</v>
      </c>
      <c r="E851" s="69">
        <f t="shared" ca="1" si="561"/>
        <v>1928.2036173368222</v>
      </c>
      <c r="F851" s="69">
        <f t="shared" ca="1" si="562"/>
        <v>1221.2370142912393</v>
      </c>
      <c r="G851" s="69">
        <f t="shared" ca="1" si="563"/>
        <v>972.24173718618113</v>
      </c>
      <c r="H851" s="69">
        <f t="shared" ca="1" si="564"/>
        <v>1185.1064471260383</v>
      </c>
      <c r="I851" s="69">
        <f t="shared" ca="1" si="565"/>
        <v>1051.8350078911621</v>
      </c>
      <c r="J851" s="69">
        <f t="shared" ca="1" si="566"/>
        <v>1136.9202081947676</v>
      </c>
      <c r="K851" s="69">
        <f t="shared" ca="1" si="567"/>
        <v>1173.8008639404131</v>
      </c>
      <c r="L851" s="69">
        <f t="shared" ca="1" si="568"/>
        <v>961.62346175280788</v>
      </c>
      <c r="M851" s="69">
        <f t="shared" ca="1" si="569"/>
        <v>994.5252220325583</v>
      </c>
      <c r="N851" s="69">
        <f t="shared" ca="1" si="570"/>
        <v>571.16613448714486</v>
      </c>
      <c r="O851" s="69">
        <f t="shared" ca="1" si="571"/>
        <v>631.29072037189883</v>
      </c>
      <c r="P851" s="69">
        <f t="shared" ca="1" si="572"/>
        <v>721.88492935924558</v>
      </c>
      <c r="Q851" s="69">
        <f t="shared" ca="1" si="573"/>
        <v>959.90962710263864</v>
      </c>
      <c r="R851" s="69">
        <f t="shared" ca="1" si="574"/>
        <v>780.85305538528871</v>
      </c>
      <c r="S851" s="69">
        <f t="shared" ca="1" si="575"/>
        <v>705.59832044863504</v>
      </c>
      <c r="T851" s="69">
        <f t="shared" ca="1" si="576"/>
        <v>795.5314143214905</v>
      </c>
      <c r="U851" s="69">
        <f t="shared" ca="1" si="577"/>
        <v>1695.7863875304681</v>
      </c>
      <c r="V851" s="69">
        <f t="shared" ca="1" si="578"/>
        <v>1913.038956171509</v>
      </c>
      <c r="W851" s="69">
        <f t="shared" ca="1" si="579"/>
        <v>1184.3058279678401</v>
      </c>
      <c r="X851" s="69">
        <f t="shared" ca="1" si="580"/>
        <v>1490.0099869574062</v>
      </c>
      <c r="Y851" s="69">
        <f t="shared" ca="1" si="581"/>
        <v>1203.1427850322821</v>
      </c>
      <c r="AA851" s="20">
        <f t="shared" ca="1" si="541"/>
        <v>6.5611923227260184E+16</v>
      </c>
      <c r="AB851" s="20">
        <f t="shared" ca="1" si="542"/>
        <v>1682709658613004.8</v>
      </c>
      <c r="AC851" s="20">
        <f t="shared" ca="1" si="543"/>
        <v>404768895883014.56</v>
      </c>
      <c r="AD851" s="20">
        <f t="shared" ca="1" si="544"/>
        <v>303726376401585.31</v>
      </c>
      <c r="AE851" s="20">
        <f t="shared" ca="1" si="545"/>
        <v>6887556515428121</v>
      </c>
      <c r="AG851" s="16">
        <f t="shared" ca="1" si="546"/>
        <v>2.7756226439901188E-7</v>
      </c>
      <c r="AH851" s="16">
        <f t="shared" ca="1" si="547"/>
        <v>2.4695875275611686E-4</v>
      </c>
      <c r="AI851" s="16">
        <f t="shared" ca="1" si="548"/>
        <v>-5.0663379531147763E-4</v>
      </c>
      <c r="AJ851" s="16">
        <f t="shared" ca="1" si="549"/>
        <v>-3.2901682336423239E-5</v>
      </c>
      <c r="AK851" s="16">
        <f t="shared" ca="1" si="550"/>
        <v>1.1687821555761223E-5</v>
      </c>
      <c r="AM851" s="16">
        <f t="shared" ca="1" si="551"/>
        <v>-2.9229916262738502E-4</v>
      </c>
      <c r="AO851" s="16">
        <f t="shared" ca="1" si="552"/>
        <v>0</v>
      </c>
      <c r="AP851" s="16">
        <f t="shared" ca="1" si="553"/>
        <v>0</v>
      </c>
      <c r="AQ851" s="16">
        <f t="shared" ca="1" si="554"/>
        <v>-5.0663379531147763E-4</v>
      </c>
      <c r="AR851" s="16">
        <f t="shared" ca="1" si="555"/>
        <v>-3.2901682336423239E-5</v>
      </c>
      <c r="AS851" s="16">
        <f t="shared" ca="1" si="556"/>
        <v>0</v>
      </c>
    </row>
    <row r="852" spans="1:45" x14ac:dyDescent="0.25">
      <c r="A852" s="69">
        <f t="shared" ca="1" si="557"/>
        <v>2447.927228639729</v>
      </c>
      <c r="B852" s="69">
        <f t="shared" ca="1" si="558"/>
        <v>2142.5309048314189</v>
      </c>
      <c r="C852" s="69">
        <f t="shared" ca="1" si="559"/>
        <v>2231.7243178584254</v>
      </c>
      <c r="D852" s="69">
        <f t="shared" ca="1" si="560"/>
        <v>2907.12597435608</v>
      </c>
      <c r="E852" s="69">
        <f t="shared" ca="1" si="561"/>
        <v>1928.2036173368222</v>
      </c>
      <c r="F852" s="69">
        <f t="shared" ca="1" si="562"/>
        <v>1221.2370142912393</v>
      </c>
      <c r="G852" s="69">
        <f t="shared" ca="1" si="563"/>
        <v>972.24173718618113</v>
      </c>
      <c r="H852" s="69">
        <f t="shared" ca="1" si="564"/>
        <v>1185.5516090672195</v>
      </c>
      <c r="I852" s="69">
        <f t="shared" ca="1" si="565"/>
        <v>1051.6090469693806</v>
      </c>
      <c r="J852" s="69">
        <f t="shared" ca="1" si="566"/>
        <v>1137.0182689067406</v>
      </c>
      <c r="K852" s="69">
        <f t="shared" ca="1" si="567"/>
        <v>1173.4173794708909</v>
      </c>
      <c r="L852" s="69">
        <f t="shared" ca="1" si="568"/>
        <v>961.27455968938489</v>
      </c>
      <c r="M852" s="69">
        <f t="shared" ca="1" si="569"/>
        <v>994.5252220325583</v>
      </c>
      <c r="N852" s="69">
        <f t="shared" ca="1" si="570"/>
        <v>571.16613448714486</v>
      </c>
      <c r="O852" s="69">
        <f t="shared" ca="1" si="571"/>
        <v>631.40626640682979</v>
      </c>
      <c r="P852" s="69">
        <f t="shared" ca="1" si="572"/>
        <v>722.16022306832872</v>
      </c>
      <c r="Q852" s="69">
        <f t="shared" ca="1" si="573"/>
        <v>959.62438646196631</v>
      </c>
      <c r="R852" s="69">
        <f t="shared" ca="1" si="574"/>
        <v>780.85305538528871</v>
      </c>
      <c r="S852" s="69">
        <f t="shared" ca="1" si="575"/>
        <v>705.51578072260793</v>
      </c>
      <c r="T852" s="69">
        <f t="shared" ca="1" si="576"/>
        <v>795.5314143214905</v>
      </c>
      <c r="U852" s="69">
        <f t="shared" ca="1" si="577"/>
        <v>1696.2126703244746</v>
      </c>
      <c r="V852" s="69">
        <f t="shared" ca="1" si="578"/>
        <v>1912.7439126440077</v>
      </c>
      <c r="W852" s="69">
        <f t="shared" ca="1" si="579"/>
        <v>1184.2046704485956</v>
      </c>
      <c r="X852" s="69">
        <f t="shared" ca="1" si="580"/>
        <v>1490.0099869574062</v>
      </c>
      <c r="Y852" s="69">
        <f t="shared" ca="1" si="581"/>
        <v>1203.1427850322821</v>
      </c>
      <c r="AA852" s="20">
        <f t="shared" ca="1" si="541"/>
        <v>6.5611941438656688E+16</v>
      </c>
      <c r="AB852" s="20">
        <f t="shared" ca="1" si="542"/>
        <v>1683125269808845.5</v>
      </c>
      <c r="AC852" s="20">
        <f t="shared" ca="1" si="543"/>
        <v>404563878219893</v>
      </c>
      <c r="AD852" s="20">
        <f t="shared" ca="1" si="544"/>
        <v>303716383457225</v>
      </c>
      <c r="AE852" s="20">
        <f t="shared" ca="1" si="545"/>
        <v>6887637016430069</v>
      </c>
      <c r="AG852" s="16">
        <f t="shared" ca="1" si="546"/>
        <v>-4.9447588990405211E-4</v>
      </c>
      <c r="AH852" s="16">
        <f t="shared" ca="1" si="547"/>
        <v>-4.1053260308566438E-4</v>
      </c>
      <c r="AI852" s="16">
        <f t="shared" ca="1" si="548"/>
        <v>-2.8544538182819303E-4</v>
      </c>
      <c r="AJ852" s="16">
        <f t="shared" ca="1" si="549"/>
        <v>-8.3790563022034399E-5</v>
      </c>
      <c r="AK852" s="16">
        <f t="shared" ca="1" si="550"/>
        <v>5.4043248243373779E-4</v>
      </c>
      <c r="AM852" s="16">
        <f t="shared" ca="1" si="551"/>
        <v>-1.2742444378399439E-3</v>
      </c>
      <c r="AO852" s="16">
        <f t="shared" ca="1" si="552"/>
        <v>-4.9447588990405211E-4</v>
      </c>
      <c r="AP852" s="16">
        <f t="shared" ca="1" si="553"/>
        <v>-4.1053260308566438E-4</v>
      </c>
      <c r="AQ852" s="16">
        <f t="shared" ca="1" si="554"/>
        <v>-2.8544538182819303E-4</v>
      </c>
      <c r="AR852" s="16">
        <f t="shared" ca="1" si="555"/>
        <v>-8.3790563022034399E-5</v>
      </c>
      <c r="AS852" s="16">
        <f t="shared" ca="1" si="556"/>
        <v>0</v>
      </c>
    </row>
    <row r="853" spans="1:45" x14ac:dyDescent="0.25">
      <c r="A853" s="69">
        <f t="shared" ca="1" si="557"/>
        <v>2447.6834242775594</v>
      </c>
      <c r="B853" s="69">
        <f t="shared" ca="1" si="558"/>
        <v>2142.0422038873517</v>
      </c>
      <c r="C853" s="69">
        <f t="shared" ca="1" si="559"/>
        <v>2231.7243178584254</v>
      </c>
      <c r="D853" s="69">
        <f t="shared" ca="1" si="560"/>
        <v>2906.6412413428197</v>
      </c>
      <c r="E853" s="69">
        <f t="shared" ca="1" si="561"/>
        <v>1928.2036173368222</v>
      </c>
      <c r="F853" s="69">
        <f t="shared" ca="1" si="562"/>
        <v>1221.1923172798952</v>
      </c>
      <c r="G853" s="69">
        <f t="shared" ca="1" si="563"/>
        <v>972.43516802160968</v>
      </c>
      <c r="H853" s="69">
        <f t="shared" ca="1" si="564"/>
        <v>1185.070407307129</v>
      </c>
      <c r="I853" s="69">
        <f t="shared" ca="1" si="565"/>
        <v>1051.7239609176154</v>
      </c>
      <c r="J853" s="69">
        <f t="shared" ca="1" si="566"/>
        <v>1136.7043095018244</v>
      </c>
      <c r="K853" s="69">
        <f t="shared" ca="1" si="567"/>
        <v>1173.4173794708909</v>
      </c>
      <c r="L853" s="69">
        <f t="shared" ca="1" si="568"/>
        <v>961.15940982365805</v>
      </c>
      <c r="M853" s="69">
        <f t="shared" ca="1" si="569"/>
        <v>994.5513480919675</v>
      </c>
      <c r="N853" s="69">
        <f t="shared" ca="1" si="570"/>
        <v>571.05652736888317</v>
      </c>
      <c r="O853" s="69">
        <f t="shared" ca="1" si="571"/>
        <v>631.40626640682979</v>
      </c>
      <c r="P853" s="69">
        <f t="shared" ca="1" si="572"/>
        <v>721.82960008380462</v>
      </c>
      <c r="Q853" s="69">
        <f t="shared" ca="1" si="573"/>
        <v>959.62438646196631</v>
      </c>
      <c r="R853" s="69">
        <f t="shared" ca="1" si="574"/>
        <v>780.85305538528871</v>
      </c>
      <c r="S853" s="69">
        <f t="shared" ca="1" si="575"/>
        <v>705.51578072260793</v>
      </c>
      <c r="T853" s="69">
        <f t="shared" ca="1" si="576"/>
        <v>795.82910952942996</v>
      </c>
      <c r="U853" s="69">
        <f t="shared" ca="1" si="577"/>
        <v>1696.2126703244746</v>
      </c>
      <c r="V853" s="69">
        <f t="shared" ca="1" si="578"/>
        <v>1912.7439126440077</v>
      </c>
      <c r="W853" s="69">
        <f t="shared" ca="1" si="579"/>
        <v>1184.3784375504995</v>
      </c>
      <c r="X853" s="69">
        <f t="shared" ca="1" si="580"/>
        <v>1490.1360244792741</v>
      </c>
      <c r="Y853" s="69">
        <f t="shared" ca="1" si="581"/>
        <v>1203.5147592965632</v>
      </c>
      <c r="AA853" s="20">
        <f t="shared" ca="1" si="541"/>
        <v>6.557950593547352E+16</v>
      </c>
      <c r="AB853" s="20">
        <f t="shared" ca="1" si="542"/>
        <v>1682434433825561.5</v>
      </c>
      <c r="AC853" s="20">
        <f t="shared" ca="1" si="543"/>
        <v>404448413809376</v>
      </c>
      <c r="AD853" s="20">
        <f t="shared" ca="1" si="544"/>
        <v>303690935956601.19</v>
      </c>
      <c r="AE853" s="20">
        <f t="shared" ca="1" si="545"/>
        <v>6891360325208842</v>
      </c>
      <c r="AG853" s="16">
        <f t="shared" ca="1" si="546"/>
        <v>-3.7004802977720527E-4</v>
      </c>
      <c r="AH853" s="16">
        <f t="shared" ca="1" si="547"/>
        <v>1.8552052554146999E-4</v>
      </c>
      <c r="AI853" s="16">
        <f t="shared" ca="1" si="548"/>
        <v>-4.6795875388546483E-4</v>
      </c>
      <c r="AJ853" s="16">
        <f t="shared" ca="1" si="549"/>
        <v>7.8994717199363173E-4</v>
      </c>
      <c r="AK853" s="16">
        <f t="shared" ca="1" si="550"/>
        <v>-8.741211380503592E-5</v>
      </c>
      <c r="AM853" s="16">
        <f t="shared" ca="1" si="551"/>
        <v>1.3746091387243167E-4</v>
      </c>
      <c r="AO853" s="16">
        <f t="shared" ca="1" si="552"/>
        <v>-3.7004802977720527E-4</v>
      </c>
      <c r="AP853" s="16">
        <f t="shared" ca="1" si="553"/>
        <v>0</v>
      </c>
      <c r="AQ853" s="16">
        <f t="shared" ca="1" si="554"/>
        <v>-4.6795875388546483E-4</v>
      </c>
      <c r="AR853" s="16">
        <f t="shared" ca="1" si="555"/>
        <v>0</v>
      </c>
      <c r="AS853" s="16">
        <f t="shared" ca="1" si="556"/>
        <v>-8.741211380503592E-5</v>
      </c>
    </row>
    <row r="854" spans="1:45" x14ac:dyDescent="0.25">
      <c r="A854" s="69">
        <f t="shared" ca="1" si="557"/>
        <v>2447.6834242775594</v>
      </c>
      <c r="B854" s="69">
        <f t="shared" ca="1" si="558"/>
        <v>2142.0422038873517</v>
      </c>
      <c r="C854" s="69">
        <f t="shared" ca="1" si="559"/>
        <v>2231.5077240959899</v>
      </c>
      <c r="D854" s="69">
        <f t="shared" ca="1" si="560"/>
        <v>2906.3822172997757</v>
      </c>
      <c r="E854" s="69">
        <f t="shared" ca="1" si="561"/>
        <v>1927.849106137518</v>
      </c>
      <c r="F854" s="69">
        <f t="shared" ca="1" si="562"/>
        <v>1221.1923172798952</v>
      </c>
      <c r="G854" s="69">
        <f t="shared" ca="1" si="563"/>
        <v>972.43516802160968</v>
      </c>
      <c r="H854" s="69">
        <f t="shared" ca="1" si="564"/>
        <v>1185.070407307129</v>
      </c>
      <c r="I854" s="69">
        <f t="shared" ca="1" si="565"/>
        <v>1051.9190953997356</v>
      </c>
      <c r="J854" s="69">
        <f t="shared" ca="1" si="566"/>
        <v>1136.7043095018244</v>
      </c>
      <c r="K854" s="69">
        <f t="shared" ca="1" si="567"/>
        <v>1173.1723270690582</v>
      </c>
      <c r="L854" s="69">
        <f t="shared" ca="1" si="568"/>
        <v>961.15940982365805</v>
      </c>
      <c r="M854" s="69">
        <f t="shared" ca="1" si="569"/>
        <v>994.5513480919675</v>
      </c>
      <c r="N854" s="69">
        <f t="shared" ca="1" si="570"/>
        <v>570.86608070072759</v>
      </c>
      <c r="O854" s="69">
        <f t="shared" ca="1" si="571"/>
        <v>631.45327887980989</v>
      </c>
      <c r="P854" s="69">
        <f t="shared" ca="1" si="572"/>
        <v>721.82960008380462</v>
      </c>
      <c r="Q854" s="69">
        <f t="shared" ca="1" si="573"/>
        <v>959.80638411818654</v>
      </c>
      <c r="R854" s="69">
        <f t="shared" ca="1" si="574"/>
        <v>780.85305538528871</v>
      </c>
      <c r="S854" s="69">
        <f t="shared" ca="1" si="575"/>
        <v>705.51578072260793</v>
      </c>
      <c r="T854" s="69">
        <f t="shared" ca="1" si="576"/>
        <v>796.30699717365769</v>
      </c>
      <c r="U854" s="69">
        <f t="shared" ca="1" si="577"/>
        <v>1695.9766205534897</v>
      </c>
      <c r="V854" s="69">
        <f t="shared" ca="1" si="578"/>
        <v>1912.7439126440077</v>
      </c>
      <c r="W854" s="69">
        <f t="shared" ca="1" si="579"/>
        <v>1184.7421891212155</v>
      </c>
      <c r="X854" s="69">
        <f t="shared" ca="1" si="580"/>
        <v>1490.1360244792741</v>
      </c>
      <c r="Y854" s="69">
        <f t="shared" ca="1" si="581"/>
        <v>1203.2075208829281</v>
      </c>
      <c r="AA854" s="20">
        <f t="shared" ca="1" si="541"/>
        <v>6.5555242858037208E+16</v>
      </c>
      <c r="AB854" s="20">
        <f t="shared" ca="1" si="542"/>
        <v>1682746588900605.5</v>
      </c>
      <c r="AC854" s="20">
        <f t="shared" ca="1" si="543"/>
        <v>404259192910879.81</v>
      </c>
      <c r="AD854" s="20">
        <f t="shared" ca="1" si="544"/>
        <v>303930930531658.06</v>
      </c>
      <c r="AE854" s="20">
        <f t="shared" ca="1" si="545"/>
        <v>6890757963163077</v>
      </c>
      <c r="AG854" s="16">
        <f t="shared" ca="1" si="546"/>
        <v>1.5478392963439613E-4</v>
      </c>
      <c r="AH854" s="16">
        <f t="shared" ca="1" si="547"/>
        <v>5.7481431579770818E-4</v>
      </c>
      <c r="AI854" s="16">
        <f t="shared" ca="1" si="548"/>
        <v>-1.5797774336881228E-3</v>
      </c>
      <c r="AJ854" s="16">
        <f t="shared" ca="1" si="549"/>
        <v>-4.7409039188772549E-4</v>
      </c>
      <c r="AK854" s="16">
        <f t="shared" ca="1" si="550"/>
        <v>-4.0240460102854993E-5</v>
      </c>
      <c r="AM854" s="16">
        <f t="shared" ca="1" si="551"/>
        <v>-1.3242695801437441E-3</v>
      </c>
      <c r="AO854" s="16">
        <f t="shared" ca="1" si="552"/>
        <v>0</v>
      </c>
      <c r="AP854" s="16">
        <f t="shared" ca="1" si="553"/>
        <v>0</v>
      </c>
      <c r="AQ854" s="16">
        <f t="shared" ca="1" si="554"/>
        <v>-1.5797774336881228E-3</v>
      </c>
      <c r="AR854" s="16">
        <f t="shared" ca="1" si="555"/>
        <v>-4.7409039188772549E-4</v>
      </c>
      <c r="AS854" s="16">
        <f t="shared" ca="1" si="556"/>
        <v>-4.0240460102854993E-5</v>
      </c>
    </row>
    <row r="855" spans="1:45" x14ac:dyDescent="0.25">
      <c r="A855" s="69">
        <f t="shared" ca="1" si="557"/>
        <v>2447.6934713787427</v>
      </c>
      <c r="B855" s="69">
        <f t="shared" ca="1" si="558"/>
        <v>2141.7227012594171</v>
      </c>
      <c r="C855" s="69">
        <f t="shared" ca="1" si="559"/>
        <v>2231.6878163066526</v>
      </c>
      <c r="D855" s="69">
        <f t="shared" ca="1" si="560"/>
        <v>2906.394871619068</v>
      </c>
      <c r="E855" s="69">
        <f t="shared" ca="1" si="561"/>
        <v>1928.2632396682793</v>
      </c>
      <c r="F855" s="69">
        <f t="shared" ca="1" si="562"/>
        <v>1221.4574341155931</v>
      </c>
      <c r="G855" s="69">
        <f t="shared" ca="1" si="563"/>
        <v>972.43516802160968</v>
      </c>
      <c r="H855" s="69">
        <f t="shared" ca="1" si="564"/>
        <v>1185.070407307129</v>
      </c>
      <c r="I855" s="69">
        <f t="shared" ca="1" si="565"/>
        <v>1051.9190953997356</v>
      </c>
      <c r="J855" s="69">
        <f t="shared" ca="1" si="566"/>
        <v>1137.11102817346</v>
      </c>
      <c r="K855" s="69">
        <f t="shared" ca="1" si="567"/>
        <v>1173.1723270690582</v>
      </c>
      <c r="L855" s="69">
        <f t="shared" ca="1" si="568"/>
        <v>960.9460604923413</v>
      </c>
      <c r="M855" s="69">
        <f t="shared" ca="1" si="569"/>
        <v>994.5513480919675</v>
      </c>
      <c r="N855" s="69">
        <f t="shared" ca="1" si="570"/>
        <v>570.47031686006551</v>
      </c>
      <c r="O855" s="69">
        <f t="shared" ca="1" si="571"/>
        <v>631.03396116997885</v>
      </c>
      <c r="P855" s="69">
        <f t="shared" ca="1" si="572"/>
        <v>721.38210758831542</v>
      </c>
      <c r="Q855" s="69">
        <f t="shared" ca="1" si="573"/>
        <v>960.08085044876452</v>
      </c>
      <c r="R855" s="69">
        <f t="shared" ca="1" si="574"/>
        <v>780.85305538528871</v>
      </c>
      <c r="S855" s="69">
        <f t="shared" ca="1" si="575"/>
        <v>705.75136520385843</v>
      </c>
      <c r="T855" s="69">
        <f t="shared" ca="1" si="576"/>
        <v>795.929845864296</v>
      </c>
      <c r="U855" s="69">
        <f t="shared" ca="1" si="577"/>
        <v>1695.8492098496909</v>
      </c>
      <c r="V855" s="69">
        <f t="shared" ca="1" si="578"/>
        <v>1912.7439126440077</v>
      </c>
      <c r="W855" s="69">
        <f t="shared" ca="1" si="579"/>
        <v>1184.7964369970907</v>
      </c>
      <c r="X855" s="69">
        <f t="shared" ca="1" si="580"/>
        <v>1489.7640805953517</v>
      </c>
      <c r="Y855" s="69">
        <f t="shared" ca="1" si="581"/>
        <v>1203.4948029918442</v>
      </c>
      <c r="AA855" s="20">
        <f t="shared" ca="1" si="541"/>
        <v>6.5565390541463808E+16</v>
      </c>
      <c r="AB855" s="20">
        <f t="shared" ca="1" si="542"/>
        <v>1683714133782449.3</v>
      </c>
      <c r="AC855" s="20">
        <f t="shared" ca="1" si="543"/>
        <v>403621057549196.25</v>
      </c>
      <c r="AD855" s="20">
        <f t="shared" ca="1" si="544"/>
        <v>303786873948314.75</v>
      </c>
      <c r="AE855" s="20">
        <f t="shared" ca="1" si="545"/>
        <v>6890480681471191</v>
      </c>
      <c r="AG855" s="16">
        <f t="shared" ca="1" si="546"/>
        <v>-3.6266292064541638E-4</v>
      </c>
      <c r="AH855" s="16">
        <f t="shared" ca="1" si="547"/>
        <v>-5.0158781406942922E-4</v>
      </c>
      <c r="AI855" s="16">
        <f t="shared" ca="1" si="548"/>
        <v>-3.2662506383838915E-4</v>
      </c>
      <c r="AJ855" s="16">
        <f t="shared" ca="1" si="549"/>
        <v>-1.3840822788537774E-4</v>
      </c>
      <c r="AK855" s="16">
        <f t="shared" ca="1" si="550"/>
        <v>5.6388572482160523E-5</v>
      </c>
      <c r="AM855" s="16">
        <f t="shared" ca="1" si="551"/>
        <v>-1.3292840264386124E-3</v>
      </c>
      <c r="AO855" s="16">
        <f t="shared" ca="1" si="552"/>
        <v>-3.6266292064541638E-4</v>
      </c>
      <c r="AP855" s="16">
        <f t="shared" ca="1" si="553"/>
        <v>-5.0158781406942922E-4</v>
      </c>
      <c r="AQ855" s="16">
        <f t="shared" ca="1" si="554"/>
        <v>-3.2662506383838915E-4</v>
      </c>
      <c r="AR855" s="16">
        <f t="shared" ca="1" si="555"/>
        <v>-1.3840822788537774E-4</v>
      </c>
      <c r="AS855" s="16">
        <f t="shared" ca="1" si="556"/>
        <v>0</v>
      </c>
    </row>
    <row r="856" spans="1:45" x14ac:dyDescent="0.25">
      <c r="A856" s="69">
        <f t="shared" ca="1" si="557"/>
        <v>2447.6934713787427</v>
      </c>
      <c r="B856" s="69">
        <f t="shared" ca="1" si="558"/>
        <v>2141.39045633763</v>
      </c>
      <c r="C856" s="69">
        <f t="shared" ca="1" si="559"/>
        <v>2231.3809517332197</v>
      </c>
      <c r="D856" s="69">
        <f t="shared" ca="1" si="560"/>
        <v>2906.8175660638822</v>
      </c>
      <c r="E856" s="69">
        <f t="shared" ca="1" si="561"/>
        <v>1927.8478714492246</v>
      </c>
      <c r="F856" s="69">
        <f t="shared" ca="1" si="562"/>
        <v>1221.4574341155931</v>
      </c>
      <c r="G856" s="69">
        <f t="shared" ca="1" si="563"/>
        <v>972.43516802160968</v>
      </c>
      <c r="H856" s="69">
        <f t="shared" ca="1" si="564"/>
        <v>1184.5998716593147</v>
      </c>
      <c r="I856" s="69">
        <f t="shared" ca="1" si="565"/>
        <v>1051.9190953997356</v>
      </c>
      <c r="J856" s="69">
        <f t="shared" ca="1" si="566"/>
        <v>1136.9922562359095</v>
      </c>
      <c r="K856" s="69">
        <f t="shared" ca="1" si="567"/>
        <v>1172.7115163506235</v>
      </c>
      <c r="L856" s="69">
        <f t="shared" ca="1" si="568"/>
        <v>960.48916799455981</v>
      </c>
      <c r="M856" s="69">
        <f t="shared" ca="1" si="569"/>
        <v>994.5513480919675</v>
      </c>
      <c r="N856" s="69">
        <f t="shared" ca="1" si="570"/>
        <v>570.77949089825688</v>
      </c>
      <c r="O856" s="69">
        <f t="shared" ca="1" si="571"/>
        <v>631.03396116997885</v>
      </c>
      <c r="P856" s="69">
        <f t="shared" ca="1" si="572"/>
        <v>721.38210758831542</v>
      </c>
      <c r="Q856" s="69">
        <f t="shared" ca="1" si="573"/>
        <v>959.85371557578185</v>
      </c>
      <c r="R856" s="69">
        <f t="shared" ca="1" si="574"/>
        <v>780.85305538528871</v>
      </c>
      <c r="S856" s="69">
        <f t="shared" ca="1" si="575"/>
        <v>705.8206724471105</v>
      </c>
      <c r="T856" s="69">
        <f t="shared" ca="1" si="576"/>
        <v>795.929845864296</v>
      </c>
      <c r="U856" s="69">
        <f t="shared" ca="1" si="577"/>
        <v>1695.6862316924176</v>
      </c>
      <c r="V856" s="69">
        <f t="shared" ca="1" si="578"/>
        <v>1912.7439126440077</v>
      </c>
      <c r="W856" s="69">
        <f t="shared" ca="1" si="579"/>
        <v>1184.7964369970907</v>
      </c>
      <c r="X856" s="69">
        <f t="shared" ca="1" si="580"/>
        <v>1489.6918898237354</v>
      </c>
      <c r="Y856" s="69">
        <f t="shared" ca="1" si="581"/>
        <v>1203.7366772481764</v>
      </c>
      <c r="AA856" s="20">
        <f t="shared" ca="1" si="541"/>
        <v>6.5541616716639728E+16</v>
      </c>
      <c r="AB856" s="20">
        <f t="shared" ca="1" si="542"/>
        <v>1682869815058261</v>
      </c>
      <c r="AC856" s="20">
        <f t="shared" ca="1" si="543"/>
        <v>403489246323104.63</v>
      </c>
      <c r="AD856" s="20">
        <f t="shared" ca="1" si="544"/>
        <v>303744830255100.38</v>
      </c>
      <c r="AE856" s="20">
        <f t="shared" ca="1" si="545"/>
        <v>6890869236795472</v>
      </c>
      <c r="AG856" s="16">
        <f t="shared" ca="1" si="546"/>
        <v>6.4857650838036167E-4</v>
      </c>
      <c r="AH856" s="16">
        <f t="shared" ca="1" si="547"/>
        <v>1.132471446244394E-3</v>
      </c>
      <c r="AI856" s="16">
        <f t="shared" ca="1" si="548"/>
        <v>1.4700207794874731E-4</v>
      </c>
      <c r="AJ856" s="16">
        <f t="shared" ca="1" si="549"/>
        <v>-1.6656522527771104E-4</v>
      </c>
      <c r="AK856" s="16">
        <f t="shared" ca="1" si="550"/>
        <v>-2.5324768064227714E-4</v>
      </c>
      <c r="AM856" s="16">
        <f t="shared" ca="1" si="551"/>
        <v>1.7614848072957919E-3</v>
      </c>
      <c r="AO856" s="16">
        <f t="shared" ca="1" si="552"/>
        <v>0</v>
      </c>
      <c r="AP856" s="16">
        <f t="shared" ca="1" si="553"/>
        <v>0</v>
      </c>
      <c r="AQ856" s="16">
        <f t="shared" ca="1" si="554"/>
        <v>0</v>
      </c>
      <c r="AR856" s="16">
        <f t="shared" ca="1" si="555"/>
        <v>-1.6656522527771104E-4</v>
      </c>
      <c r="AS856" s="16">
        <f t="shared" ca="1" si="556"/>
        <v>-2.5324768064227714E-4</v>
      </c>
    </row>
    <row r="857" spans="1:45" x14ac:dyDescent="0.25">
      <c r="A857" s="69">
        <f t="shared" ca="1" si="557"/>
        <v>2447.6934713787427</v>
      </c>
      <c r="B857" s="69">
        <f t="shared" ca="1" si="558"/>
        <v>2141.7123514755949</v>
      </c>
      <c r="C857" s="69">
        <f t="shared" ca="1" si="559"/>
        <v>2231.6855663437714</v>
      </c>
      <c r="D857" s="69">
        <f t="shared" ca="1" si="560"/>
        <v>2907.2720597948419</v>
      </c>
      <c r="E857" s="69">
        <f t="shared" ca="1" si="561"/>
        <v>1928.2439313671978</v>
      </c>
      <c r="F857" s="69">
        <f t="shared" ca="1" si="562"/>
        <v>1221.7128893756937</v>
      </c>
      <c r="G857" s="69">
        <f t="shared" ca="1" si="563"/>
        <v>972.90929334213615</v>
      </c>
      <c r="H857" s="69">
        <f t="shared" ca="1" si="564"/>
        <v>1184.5998716593147</v>
      </c>
      <c r="I857" s="69">
        <f t="shared" ca="1" si="565"/>
        <v>1051.9190953997356</v>
      </c>
      <c r="J857" s="69">
        <f t="shared" ca="1" si="566"/>
        <v>1137.4879876717068</v>
      </c>
      <c r="K857" s="69">
        <f t="shared" ca="1" si="567"/>
        <v>1172.8839200519021</v>
      </c>
      <c r="L857" s="69">
        <f t="shared" ca="1" si="568"/>
        <v>960.48916799455981</v>
      </c>
      <c r="M857" s="69">
        <f t="shared" ca="1" si="569"/>
        <v>994.5513480919675</v>
      </c>
      <c r="N857" s="69">
        <f t="shared" ca="1" si="570"/>
        <v>570.77949089825688</v>
      </c>
      <c r="O857" s="69">
        <f t="shared" ca="1" si="571"/>
        <v>631.03396116997885</v>
      </c>
      <c r="P857" s="69">
        <f t="shared" ca="1" si="572"/>
        <v>721.38210758831542</v>
      </c>
      <c r="Q857" s="69">
        <f t="shared" ca="1" si="573"/>
        <v>960.17007963588196</v>
      </c>
      <c r="R857" s="69">
        <f t="shared" ca="1" si="574"/>
        <v>780.85305538528871</v>
      </c>
      <c r="S857" s="69">
        <f t="shared" ca="1" si="575"/>
        <v>705.4705966871843</v>
      </c>
      <c r="T857" s="69">
        <f t="shared" ca="1" si="576"/>
        <v>795.929845864296</v>
      </c>
      <c r="U857" s="69">
        <f t="shared" ca="1" si="577"/>
        <v>1695.8112048645123</v>
      </c>
      <c r="V857" s="69">
        <f t="shared" ca="1" si="578"/>
        <v>1912.7439126440077</v>
      </c>
      <c r="W857" s="69">
        <f t="shared" ca="1" si="579"/>
        <v>1184.5866893833766</v>
      </c>
      <c r="X857" s="69">
        <f t="shared" ca="1" si="580"/>
        <v>1489.6918898237354</v>
      </c>
      <c r="Y857" s="69">
        <f t="shared" ca="1" si="581"/>
        <v>1203.5562538658421</v>
      </c>
      <c r="AA857" s="20">
        <f t="shared" ca="1" si="541"/>
        <v>6.5584139257633392E+16</v>
      </c>
      <c r="AB857" s="20">
        <f t="shared" ca="1" si="542"/>
        <v>1684776696612220</v>
      </c>
      <c r="AC857" s="20">
        <f t="shared" ca="1" si="543"/>
        <v>403548564440580.56</v>
      </c>
      <c r="AD857" s="20">
        <f t="shared" ca="1" si="544"/>
        <v>303694241142332.44</v>
      </c>
      <c r="AE857" s="20">
        <f t="shared" ca="1" si="545"/>
        <v>6889124361095832</v>
      </c>
      <c r="AG857" s="16">
        <f t="shared" ca="1" si="546"/>
        <v>-2.968926194833748E-4</v>
      </c>
      <c r="AH857" s="16">
        <f t="shared" ca="1" si="547"/>
        <v>-1.0855664472892644E-4</v>
      </c>
      <c r="AI857" s="16">
        <f t="shared" ca="1" si="548"/>
        <v>-1.0440390290266685E-3</v>
      </c>
      <c r="AJ857" s="16">
        <f t="shared" ca="1" si="549"/>
        <v>2.5471155172292925E-4</v>
      </c>
      <c r="AK857" s="16">
        <f t="shared" ca="1" si="550"/>
        <v>-1.086298772617325E-3</v>
      </c>
      <c r="AM857" s="16">
        <f t="shared" ca="1" si="551"/>
        <v>-1.1947767415160405E-3</v>
      </c>
      <c r="AO857" s="16">
        <f t="shared" ca="1" si="552"/>
        <v>-2.968926194833748E-4</v>
      </c>
      <c r="AP857" s="16">
        <f t="shared" ca="1" si="553"/>
        <v>-1.0855664472892644E-4</v>
      </c>
      <c r="AQ857" s="16">
        <f t="shared" ca="1" si="554"/>
        <v>-1.0440390290266685E-3</v>
      </c>
      <c r="AR857" s="16">
        <f t="shared" ca="1" si="555"/>
        <v>0</v>
      </c>
      <c r="AS857" s="16">
        <f t="shared" ca="1" si="556"/>
        <v>-1.086298772617325E-3</v>
      </c>
    </row>
    <row r="858" spans="1:45" x14ac:dyDescent="0.25">
      <c r="A858" s="69">
        <f t="shared" ca="1" si="557"/>
        <v>2447.2636706031303</v>
      </c>
      <c r="B858" s="69">
        <f t="shared" ca="1" si="558"/>
        <v>2142.0600416374741</v>
      </c>
      <c r="C858" s="69">
        <f t="shared" ca="1" si="559"/>
        <v>2231.552102813831</v>
      </c>
      <c r="D858" s="69">
        <f t="shared" ca="1" si="560"/>
        <v>2907.2720597948419</v>
      </c>
      <c r="E858" s="69">
        <f t="shared" ca="1" si="561"/>
        <v>1927.8124265895212</v>
      </c>
      <c r="F858" s="69">
        <f t="shared" ca="1" si="562"/>
        <v>1221.7128893756937</v>
      </c>
      <c r="G858" s="69">
        <f t="shared" ca="1" si="563"/>
        <v>972.94413785876441</v>
      </c>
      <c r="H858" s="69">
        <f t="shared" ca="1" si="564"/>
        <v>1184.5998716593147</v>
      </c>
      <c r="I858" s="69">
        <f t="shared" ca="1" si="565"/>
        <v>1051.7672399948142</v>
      </c>
      <c r="J858" s="69">
        <f t="shared" ca="1" si="566"/>
        <v>1137.4879876717068</v>
      </c>
      <c r="K858" s="69">
        <f t="shared" ca="1" si="567"/>
        <v>1172.7840154758451</v>
      </c>
      <c r="L858" s="69">
        <f t="shared" ca="1" si="568"/>
        <v>960.15488594442138</v>
      </c>
      <c r="M858" s="69">
        <f t="shared" ca="1" si="569"/>
        <v>994.5513480919675</v>
      </c>
      <c r="N858" s="69">
        <f t="shared" ca="1" si="570"/>
        <v>570.77949089825688</v>
      </c>
      <c r="O858" s="69">
        <f t="shared" ca="1" si="571"/>
        <v>630.64866657028688</v>
      </c>
      <c r="P858" s="69">
        <f t="shared" ca="1" si="572"/>
        <v>721.3974512609517</v>
      </c>
      <c r="Q858" s="69">
        <f t="shared" ca="1" si="573"/>
        <v>960.1405926201993</v>
      </c>
      <c r="R858" s="69">
        <f t="shared" ca="1" si="574"/>
        <v>780.80737766152879</v>
      </c>
      <c r="S858" s="69">
        <f t="shared" ca="1" si="575"/>
        <v>705.4705966871843</v>
      </c>
      <c r="T858" s="69">
        <f t="shared" ca="1" si="576"/>
        <v>796.18669529078261</v>
      </c>
      <c r="U858" s="69">
        <f t="shared" ca="1" si="577"/>
        <v>1695.351880195069</v>
      </c>
      <c r="V858" s="69">
        <f t="shared" ca="1" si="578"/>
        <v>1912.7439126440077</v>
      </c>
      <c r="W858" s="69">
        <f t="shared" ca="1" si="579"/>
        <v>1184.096958772586</v>
      </c>
      <c r="X858" s="69">
        <f t="shared" ca="1" si="580"/>
        <v>1489.6918898237354</v>
      </c>
      <c r="Y858" s="69">
        <f t="shared" ca="1" si="581"/>
        <v>1203.0726426922045</v>
      </c>
      <c r="AA858" s="20">
        <f t="shared" ca="1" si="541"/>
        <v>6.556467070091104E+16</v>
      </c>
      <c r="AB858" s="20">
        <f t="shared" ca="1" si="542"/>
        <v>1684593812833722.5</v>
      </c>
      <c r="AC858" s="20">
        <f t="shared" ca="1" si="543"/>
        <v>403127463850173.25</v>
      </c>
      <c r="AD858" s="20">
        <f t="shared" ca="1" si="544"/>
        <v>303771605426113.25</v>
      </c>
      <c r="AE858" s="20">
        <f t="shared" ca="1" si="545"/>
        <v>6881644777024984</v>
      </c>
      <c r="AG858" s="16">
        <f t="shared" ca="1" si="546"/>
        <v>1.9415210087375743E-4</v>
      </c>
      <c r="AH858" s="16">
        <f t="shared" ca="1" si="547"/>
        <v>-1.4750484385274589E-4</v>
      </c>
      <c r="AI858" s="16">
        <f t="shared" ca="1" si="548"/>
        <v>-9.5317962728827223E-5</v>
      </c>
      <c r="AJ858" s="16">
        <f t="shared" ca="1" si="549"/>
        <v>-9.5613858194022649E-5</v>
      </c>
      <c r="AK858" s="16">
        <f t="shared" ca="1" si="550"/>
        <v>3.4011665425679222E-5</v>
      </c>
      <c r="AM858" s="16">
        <f t="shared" ca="1" si="551"/>
        <v>-1.4428456390183831E-4</v>
      </c>
      <c r="AO858" s="16">
        <f t="shared" ca="1" si="552"/>
        <v>0</v>
      </c>
      <c r="AP858" s="16">
        <f t="shared" ca="1" si="553"/>
        <v>-1.4750484385274589E-4</v>
      </c>
      <c r="AQ858" s="16">
        <f t="shared" ca="1" si="554"/>
        <v>-9.5317962728827223E-5</v>
      </c>
      <c r="AR858" s="16">
        <f t="shared" ca="1" si="555"/>
        <v>-9.5613858194022649E-5</v>
      </c>
      <c r="AS858" s="16">
        <f t="shared" ca="1" si="556"/>
        <v>0</v>
      </c>
    </row>
    <row r="859" spans="1:45" x14ac:dyDescent="0.25">
      <c r="A859" s="69">
        <f t="shared" ca="1" si="557"/>
        <v>2447.2636706031303</v>
      </c>
      <c r="B859" s="69">
        <f t="shared" ca="1" si="558"/>
        <v>2142.0600416374741</v>
      </c>
      <c r="C859" s="69">
        <f t="shared" ca="1" si="559"/>
        <v>2231.4213260376764</v>
      </c>
      <c r="D859" s="69">
        <f t="shared" ca="1" si="560"/>
        <v>2907.673186120172</v>
      </c>
      <c r="E859" s="69">
        <f t="shared" ca="1" si="561"/>
        <v>1928.0337394383803</v>
      </c>
      <c r="F859" s="69">
        <f t="shared" ca="1" si="562"/>
        <v>1221.5554332597585</v>
      </c>
      <c r="G859" s="69">
        <f t="shared" ca="1" si="563"/>
        <v>972.54580879717412</v>
      </c>
      <c r="H859" s="69">
        <f t="shared" ca="1" si="564"/>
        <v>1184.6834797284571</v>
      </c>
      <c r="I859" s="69">
        <f t="shared" ca="1" si="565"/>
        <v>1051.7672399948142</v>
      </c>
      <c r="J859" s="69">
        <f t="shared" ca="1" si="566"/>
        <v>1137.8523810943875</v>
      </c>
      <c r="K859" s="69">
        <f t="shared" ca="1" si="567"/>
        <v>1172.2960213153435</v>
      </c>
      <c r="L859" s="69">
        <f t="shared" ca="1" si="568"/>
        <v>960.51915689032376</v>
      </c>
      <c r="M859" s="69">
        <f t="shared" ca="1" si="569"/>
        <v>994.95010948500055</v>
      </c>
      <c r="N859" s="69">
        <f t="shared" ca="1" si="570"/>
        <v>570.51738417524166</v>
      </c>
      <c r="O859" s="69">
        <f t="shared" ca="1" si="571"/>
        <v>630.64866657028688</v>
      </c>
      <c r="P859" s="69">
        <f t="shared" ca="1" si="572"/>
        <v>720.97158897174415</v>
      </c>
      <c r="Q859" s="69">
        <f t="shared" ca="1" si="573"/>
        <v>960.1405926201993</v>
      </c>
      <c r="R859" s="69">
        <f t="shared" ca="1" si="574"/>
        <v>780.80737766152879</v>
      </c>
      <c r="S859" s="69">
        <f t="shared" ca="1" si="575"/>
        <v>705.78042712815295</v>
      </c>
      <c r="T859" s="69">
        <f t="shared" ca="1" si="576"/>
        <v>796.23112681579107</v>
      </c>
      <c r="U859" s="69">
        <f t="shared" ca="1" si="577"/>
        <v>1695.351880195069</v>
      </c>
      <c r="V859" s="69">
        <f t="shared" ca="1" si="578"/>
        <v>1912.376452961518</v>
      </c>
      <c r="W859" s="69">
        <f t="shared" ca="1" si="579"/>
        <v>1184.096958772586</v>
      </c>
      <c r="X859" s="69">
        <f t="shared" ca="1" si="580"/>
        <v>1490.0288089301146</v>
      </c>
      <c r="Y859" s="69">
        <f t="shared" ca="1" si="581"/>
        <v>1203.0726426922045</v>
      </c>
      <c r="AA859" s="20">
        <f t="shared" ca="1" si="541"/>
        <v>6.5577401455282088E+16</v>
      </c>
      <c r="AB859" s="20">
        <f t="shared" ca="1" si="542"/>
        <v>1684345345411929.8</v>
      </c>
      <c r="AC859" s="20">
        <f t="shared" ca="1" si="543"/>
        <v>403089040392850.94</v>
      </c>
      <c r="AD859" s="20">
        <f t="shared" ca="1" si="544"/>
        <v>303742562039405.94</v>
      </c>
      <c r="AE859" s="20">
        <f t="shared" ca="1" si="545"/>
        <v>6881878837205084</v>
      </c>
      <c r="AG859" s="16">
        <f t="shared" ca="1" si="546"/>
        <v>-1.7821764530091386E-5</v>
      </c>
      <c r="AH859" s="16">
        <f t="shared" ca="1" si="547"/>
        <v>3.7947179710502726E-4</v>
      </c>
      <c r="AI859" s="16">
        <f t="shared" ca="1" si="548"/>
        <v>-7.6126206787814784E-4</v>
      </c>
      <c r="AJ859" s="16">
        <f t="shared" ca="1" si="549"/>
        <v>1.3290090393711993E-4</v>
      </c>
      <c r="AK859" s="16">
        <f t="shared" ca="1" si="550"/>
        <v>-2.1108533964174587E-4</v>
      </c>
      <c r="AM859" s="16">
        <f t="shared" ca="1" si="551"/>
        <v>-2.6671113136609204E-4</v>
      </c>
      <c r="AO859" s="16">
        <f t="shared" ca="1" si="552"/>
        <v>-1.7821764530091386E-5</v>
      </c>
      <c r="AP859" s="16">
        <f t="shared" ca="1" si="553"/>
        <v>0</v>
      </c>
      <c r="AQ859" s="16">
        <f t="shared" ca="1" si="554"/>
        <v>-7.6126206787814784E-4</v>
      </c>
      <c r="AR859" s="16">
        <f t="shared" ca="1" si="555"/>
        <v>0</v>
      </c>
      <c r="AS859" s="16">
        <f t="shared" ca="1" si="556"/>
        <v>-2.1108533964174587E-4</v>
      </c>
    </row>
    <row r="860" spans="1:45" x14ac:dyDescent="0.25">
      <c r="A860" s="69">
        <f t="shared" ca="1" si="557"/>
        <v>2447.1168461329985</v>
      </c>
      <c r="B860" s="69">
        <f t="shared" ca="1" si="558"/>
        <v>2142.0600416374741</v>
      </c>
      <c r="C860" s="69">
        <f t="shared" ca="1" si="559"/>
        <v>2231.6305318640048</v>
      </c>
      <c r="D860" s="69">
        <f t="shared" ca="1" si="560"/>
        <v>2907.5232275454955</v>
      </c>
      <c r="E860" s="69">
        <f t="shared" ca="1" si="561"/>
        <v>1928.0337394383803</v>
      </c>
      <c r="F860" s="69">
        <f t="shared" ca="1" si="562"/>
        <v>1221.5554332597585</v>
      </c>
      <c r="G860" s="69">
        <f t="shared" ca="1" si="563"/>
        <v>972.2430415911233</v>
      </c>
      <c r="H860" s="69">
        <f t="shared" ca="1" si="564"/>
        <v>1185.0512792963914</v>
      </c>
      <c r="I860" s="69">
        <f t="shared" ca="1" si="565"/>
        <v>1052.1536325410439</v>
      </c>
      <c r="J860" s="69">
        <f t="shared" ca="1" si="566"/>
        <v>1137.8673019756604</v>
      </c>
      <c r="K860" s="69">
        <f t="shared" ca="1" si="567"/>
        <v>1172.2960213153435</v>
      </c>
      <c r="L860" s="69">
        <f t="shared" ca="1" si="568"/>
        <v>960.82240178637358</v>
      </c>
      <c r="M860" s="69">
        <f t="shared" ca="1" si="569"/>
        <v>994.7054992733996</v>
      </c>
      <c r="N860" s="69">
        <f t="shared" ca="1" si="570"/>
        <v>570.09213797755456</v>
      </c>
      <c r="O860" s="69">
        <f t="shared" ca="1" si="571"/>
        <v>630.59481631264237</v>
      </c>
      <c r="P860" s="69">
        <f t="shared" ca="1" si="572"/>
        <v>721.09789570088867</v>
      </c>
      <c r="Q860" s="69">
        <f t="shared" ca="1" si="573"/>
        <v>960.1405926201993</v>
      </c>
      <c r="R860" s="69">
        <f t="shared" ca="1" si="574"/>
        <v>780.80737766152879</v>
      </c>
      <c r="S860" s="69">
        <f t="shared" ca="1" si="575"/>
        <v>705.78042712815295</v>
      </c>
      <c r="T860" s="69">
        <f t="shared" ca="1" si="576"/>
        <v>796.19746816303837</v>
      </c>
      <c r="U860" s="69">
        <f t="shared" ca="1" si="577"/>
        <v>1695.0431485144959</v>
      </c>
      <c r="V860" s="69">
        <f t="shared" ca="1" si="578"/>
        <v>1912.6810183125099</v>
      </c>
      <c r="W860" s="69">
        <f t="shared" ca="1" si="579"/>
        <v>1184.096958772586</v>
      </c>
      <c r="X860" s="69">
        <f t="shared" ca="1" si="580"/>
        <v>1490.1427079312059</v>
      </c>
      <c r="Y860" s="69">
        <f t="shared" ca="1" si="581"/>
        <v>1202.7542924575123</v>
      </c>
      <c r="AA860" s="20">
        <f t="shared" ca="1" si="541"/>
        <v>6.5576232760688984E+16</v>
      </c>
      <c r="AB860" s="20">
        <f t="shared" ca="1" si="542"/>
        <v>1684984628254332</v>
      </c>
      <c r="AC860" s="20">
        <f t="shared" ca="1" si="543"/>
        <v>402782300765857.31</v>
      </c>
      <c r="AD860" s="20">
        <f t="shared" ca="1" si="544"/>
        <v>303782932383033.31</v>
      </c>
      <c r="AE860" s="20">
        <f t="shared" ca="1" si="545"/>
        <v>6880426326780581</v>
      </c>
      <c r="AG860" s="16">
        <f t="shared" ca="1" si="546"/>
        <v>-1.3535489670449486E-4</v>
      </c>
      <c r="AH860" s="16">
        <f t="shared" ca="1" si="547"/>
        <v>3.113392774067244E-5</v>
      </c>
      <c r="AI860" s="16">
        <f t="shared" ca="1" si="548"/>
        <v>-8.5036191573689321E-4</v>
      </c>
      <c r="AJ860" s="16">
        <f t="shared" ca="1" si="549"/>
        <v>5.551286889443162E-4</v>
      </c>
      <c r="AK860" s="16">
        <f t="shared" ca="1" si="550"/>
        <v>7.7561475242401867E-5</v>
      </c>
      <c r="AM860" s="16">
        <f t="shared" ca="1" si="551"/>
        <v>-3.9945419575639941E-4</v>
      </c>
      <c r="AO860" s="16">
        <f t="shared" ca="1" si="552"/>
        <v>-1.3535489670449486E-4</v>
      </c>
      <c r="AP860" s="16">
        <f t="shared" ca="1" si="553"/>
        <v>0</v>
      </c>
      <c r="AQ860" s="16">
        <f t="shared" ca="1" si="554"/>
        <v>-8.5036191573689321E-4</v>
      </c>
      <c r="AR860" s="16">
        <f t="shared" ca="1" si="555"/>
        <v>0</v>
      </c>
      <c r="AS860" s="16">
        <f t="shared" ca="1" si="556"/>
        <v>0</v>
      </c>
    </row>
    <row r="861" spans="1:45" x14ac:dyDescent="0.25">
      <c r="A861" s="69">
        <f t="shared" ca="1" si="557"/>
        <v>2447.1168461329985</v>
      </c>
      <c r="B861" s="69">
        <f t="shared" ca="1" si="558"/>
        <v>2142.0600416374741</v>
      </c>
      <c r="C861" s="69">
        <f t="shared" ca="1" si="559"/>
        <v>2231.698744621508</v>
      </c>
      <c r="D861" s="69">
        <f t="shared" ca="1" si="560"/>
        <v>2907.0408490996347</v>
      </c>
      <c r="E861" s="69">
        <f t="shared" ca="1" si="561"/>
        <v>1928.0337394383803</v>
      </c>
      <c r="F861" s="69">
        <f t="shared" ca="1" si="562"/>
        <v>1221.5554332597585</v>
      </c>
      <c r="G861" s="69">
        <f t="shared" ca="1" si="563"/>
        <v>972.33295235513674</v>
      </c>
      <c r="H861" s="69">
        <f t="shared" ca="1" si="564"/>
        <v>1185.0512792963914</v>
      </c>
      <c r="I861" s="69">
        <f t="shared" ca="1" si="565"/>
        <v>1052.1536325410439</v>
      </c>
      <c r="J861" s="69">
        <f t="shared" ca="1" si="566"/>
        <v>1137.7975079514006</v>
      </c>
      <c r="K861" s="69">
        <f t="shared" ca="1" si="567"/>
        <v>1171.9677196071377</v>
      </c>
      <c r="L861" s="69">
        <f t="shared" ca="1" si="568"/>
        <v>961.28766754532273</v>
      </c>
      <c r="M861" s="69">
        <f t="shared" ca="1" si="569"/>
        <v>994.3400207976922</v>
      </c>
      <c r="N861" s="69">
        <f t="shared" ca="1" si="570"/>
        <v>569.78601883683939</v>
      </c>
      <c r="O861" s="69">
        <f t="shared" ca="1" si="571"/>
        <v>630.50036504243303</v>
      </c>
      <c r="P861" s="69">
        <f t="shared" ca="1" si="572"/>
        <v>720.82575923778847</v>
      </c>
      <c r="Q861" s="69">
        <f t="shared" ca="1" si="573"/>
        <v>960.45679991588099</v>
      </c>
      <c r="R861" s="69">
        <f t="shared" ca="1" si="574"/>
        <v>780.53967011970656</v>
      </c>
      <c r="S861" s="69">
        <f t="shared" ca="1" si="575"/>
        <v>706.04117385101415</v>
      </c>
      <c r="T861" s="69">
        <f t="shared" ca="1" si="576"/>
        <v>796.65689035080004</v>
      </c>
      <c r="U861" s="69">
        <f t="shared" ca="1" si="577"/>
        <v>1695.5325407268001</v>
      </c>
      <c r="V861" s="69">
        <f t="shared" ca="1" si="578"/>
        <v>1912.6810183125099</v>
      </c>
      <c r="W861" s="69">
        <f t="shared" ca="1" si="579"/>
        <v>1183.9173459324304</v>
      </c>
      <c r="X861" s="69">
        <f t="shared" ca="1" si="580"/>
        <v>1490.1427079312059</v>
      </c>
      <c r="Y861" s="69">
        <f t="shared" ca="1" si="581"/>
        <v>1202.6828301022747</v>
      </c>
      <c r="AA861" s="20">
        <f t="shared" ca="1" si="541"/>
        <v>6.5567357297159664E+16</v>
      </c>
      <c r="AB861" s="20">
        <f t="shared" ca="1" si="542"/>
        <v>1685037089260646.5</v>
      </c>
      <c r="AC861" s="20">
        <f t="shared" ca="1" si="543"/>
        <v>402439935624722.56</v>
      </c>
      <c r="AD861" s="20">
        <f t="shared" ca="1" si="544"/>
        <v>303951617820741.75</v>
      </c>
      <c r="AE861" s="20">
        <f t="shared" ca="1" si="545"/>
        <v>6880960003492892</v>
      </c>
      <c r="AG861" s="16">
        <f t="shared" ca="1" si="546"/>
        <v>-1.5896324350025642E-4</v>
      </c>
      <c r="AH861" s="16">
        <f t="shared" ca="1" si="547"/>
        <v>1.5064993456421658E-4</v>
      </c>
      <c r="AI861" s="16">
        <f t="shared" ca="1" si="548"/>
        <v>1.2944176284044798E-4</v>
      </c>
      <c r="AJ861" s="16">
        <f t="shared" ca="1" si="549"/>
        <v>-1.7393101265281788E-3</v>
      </c>
      <c r="AK861" s="16">
        <f t="shared" ca="1" si="550"/>
        <v>-1.9438251598940322E-4</v>
      </c>
      <c r="AM861" s="16">
        <f t="shared" ca="1" si="551"/>
        <v>-1.6181816726237707E-3</v>
      </c>
      <c r="AO861" s="16">
        <f t="shared" ca="1" si="552"/>
        <v>-1.5896324350025642E-4</v>
      </c>
      <c r="AP861" s="16">
        <f t="shared" ca="1" si="553"/>
        <v>0</v>
      </c>
      <c r="AQ861" s="16">
        <f t="shared" ca="1" si="554"/>
        <v>0</v>
      </c>
      <c r="AR861" s="16">
        <f t="shared" ca="1" si="555"/>
        <v>-1.7393101265281788E-3</v>
      </c>
      <c r="AS861" s="16">
        <f t="shared" ca="1" si="556"/>
        <v>-1.9438251598940322E-4</v>
      </c>
    </row>
    <row r="862" spans="1:45" x14ac:dyDescent="0.25">
      <c r="A862" s="69">
        <f t="shared" ca="1" si="557"/>
        <v>2447.1168461329985</v>
      </c>
      <c r="B862" s="69">
        <f t="shared" ca="1" si="558"/>
        <v>2141.7566778695523</v>
      </c>
      <c r="C862" s="69">
        <f t="shared" ca="1" si="559"/>
        <v>2231.698744621508</v>
      </c>
      <c r="D862" s="69">
        <f t="shared" ca="1" si="560"/>
        <v>2907.4496659121119</v>
      </c>
      <c r="E862" s="69">
        <f t="shared" ca="1" si="561"/>
        <v>1927.729229074509</v>
      </c>
      <c r="F862" s="69">
        <f t="shared" ca="1" si="562"/>
        <v>1221.2785375529343</v>
      </c>
      <c r="G862" s="69">
        <f t="shared" ca="1" si="563"/>
        <v>972.33295235513674</v>
      </c>
      <c r="H862" s="69">
        <f t="shared" ca="1" si="564"/>
        <v>1185.0512792963914</v>
      </c>
      <c r="I862" s="69">
        <f t="shared" ca="1" si="565"/>
        <v>1052.1536325410439</v>
      </c>
      <c r="J862" s="69">
        <f t="shared" ca="1" si="566"/>
        <v>1138.2269372288501</v>
      </c>
      <c r="K862" s="69">
        <f t="shared" ca="1" si="567"/>
        <v>1171.9677196071377</v>
      </c>
      <c r="L862" s="69">
        <f t="shared" ca="1" si="568"/>
        <v>961.50352082793381</v>
      </c>
      <c r="M862" s="69">
        <f t="shared" ca="1" si="569"/>
        <v>994.3400207976922</v>
      </c>
      <c r="N862" s="69">
        <f t="shared" ca="1" si="570"/>
        <v>569.89134504763342</v>
      </c>
      <c r="O862" s="69">
        <f t="shared" ca="1" si="571"/>
        <v>630.32390376733076</v>
      </c>
      <c r="P862" s="69">
        <f t="shared" ca="1" si="572"/>
        <v>720.82575923778847</v>
      </c>
      <c r="Q862" s="69">
        <f t="shared" ca="1" si="573"/>
        <v>960.32655150415928</v>
      </c>
      <c r="R862" s="69">
        <f t="shared" ca="1" si="574"/>
        <v>780.26296304345226</v>
      </c>
      <c r="S862" s="69">
        <f t="shared" ca="1" si="575"/>
        <v>705.55413507912863</v>
      </c>
      <c r="T862" s="69">
        <f t="shared" ca="1" si="576"/>
        <v>796.21163154486385</v>
      </c>
      <c r="U862" s="69">
        <f t="shared" ca="1" si="577"/>
        <v>1695.6724725095896</v>
      </c>
      <c r="V862" s="69">
        <f t="shared" ca="1" si="578"/>
        <v>1912.7643227406681</v>
      </c>
      <c r="W862" s="69">
        <f t="shared" ca="1" si="579"/>
        <v>1183.4634191959242</v>
      </c>
      <c r="X862" s="69">
        <f t="shared" ca="1" si="580"/>
        <v>1490.5904436239575</v>
      </c>
      <c r="Y862" s="69">
        <f t="shared" ca="1" si="581"/>
        <v>1202.3973505779684</v>
      </c>
      <c r="AA862" s="20">
        <f t="shared" ca="1" si="541"/>
        <v>6.5556935325753104E+16</v>
      </c>
      <c r="AB862" s="20">
        <f t="shared" ca="1" si="542"/>
        <v>1685290959110140</v>
      </c>
      <c r="AC862" s="20">
        <f t="shared" ca="1" si="543"/>
        <v>402492031531047.44</v>
      </c>
      <c r="AD862" s="20">
        <f t="shared" ca="1" si="544"/>
        <v>303423411184627.94</v>
      </c>
      <c r="AE862" s="20">
        <f t="shared" ca="1" si="545"/>
        <v>6879622595163600</v>
      </c>
      <c r="AG862" s="16">
        <f t="shared" ca="1" si="546"/>
        <v>-6.9200495763962368E-5</v>
      </c>
      <c r="AH862" s="16">
        <f t="shared" ca="1" si="547"/>
        <v>-5.3190371730530491E-4</v>
      </c>
      <c r="AI862" s="16">
        <f t="shared" ca="1" si="548"/>
        <v>1.8271540210050262E-4</v>
      </c>
      <c r="AJ862" s="16">
        <f t="shared" ca="1" si="549"/>
        <v>6.5460817700137243E-4</v>
      </c>
      <c r="AK862" s="16">
        <f t="shared" ca="1" si="550"/>
        <v>3.8326769357801383E-5</v>
      </c>
      <c r="AM862" s="16">
        <f t="shared" ca="1" si="551"/>
        <v>2.3621936603260773E-4</v>
      </c>
      <c r="AO862" s="16">
        <f t="shared" ca="1" si="552"/>
        <v>-6.9200495763962368E-5</v>
      </c>
      <c r="AP862" s="16">
        <f t="shared" ca="1" si="553"/>
        <v>-5.3190371730530491E-4</v>
      </c>
      <c r="AQ862" s="16">
        <f t="shared" ca="1" si="554"/>
        <v>0</v>
      </c>
      <c r="AR862" s="16">
        <f t="shared" ca="1" si="555"/>
        <v>0</v>
      </c>
      <c r="AS862" s="16">
        <f t="shared" ca="1" si="556"/>
        <v>0</v>
      </c>
    </row>
    <row r="863" spans="1:45" x14ac:dyDescent="0.25">
      <c r="A863" s="69">
        <f t="shared" ca="1" si="557"/>
        <v>2447.1168461329985</v>
      </c>
      <c r="B863" s="69">
        <f t="shared" ca="1" si="558"/>
        <v>2141.7566778695523</v>
      </c>
      <c r="C863" s="69">
        <f t="shared" ca="1" si="559"/>
        <v>2231.6956992241435</v>
      </c>
      <c r="D863" s="69">
        <f t="shared" ca="1" si="560"/>
        <v>2907.2666453114521</v>
      </c>
      <c r="E863" s="69">
        <f t="shared" ca="1" si="561"/>
        <v>1927.7198120281164</v>
      </c>
      <c r="F863" s="69">
        <f t="shared" ca="1" si="562"/>
        <v>1221.2785375529343</v>
      </c>
      <c r="G863" s="69">
        <f t="shared" ca="1" si="563"/>
        <v>972.33295235513674</v>
      </c>
      <c r="H863" s="69">
        <f t="shared" ca="1" si="564"/>
        <v>1185.0512792963914</v>
      </c>
      <c r="I863" s="69">
        <f t="shared" ca="1" si="565"/>
        <v>1052.0535996735518</v>
      </c>
      <c r="J863" s="69">
        <f t="shared" ca="1" si="566"/>
        <v>1137.7298400491682</v>
      </c>
      <c r="K863" s="69">
        <f t="shared" ca="1" si="567"/>
        <v>1172.1556164578117</v>
      </c>
      <c r="L863" s="69">
        <f t="shared" ca="1" si="568"/>
        <v>961.50352082793381</v>
      </c>
      <c r="M863" s="69">
        <f t="shared" ca="1" si="569"/>
        <v>994.58735170143518</v>
      </c>
      <c r="N863" s="69">
        <f t="shared" ca="1" si="570"/>
        <v>569.71410265468455</v>
      </c>
      <c r="O863" s="69">
        <f t="shared" ca="1" si="571"/>
        <v>630.37732830721734</v>
      </c>
      <c r="P863" s="69">
        <f t="shared" ca="1" si="572"/>
        <v>720.97810832824973</v>
      </c>
      <c r="Q863" s="69">
        <f t="shared" ca="1" si="573"/>
        <v>960.38293598481516</v>
      </c>
      <c r="R863" s="69">
        <f t="shared" ca="1" si="574"/>
        <v>780.02366984701246</v>
      </c>
      <c r="S863" s="69">
        <f t="shared" ca="1" si="575"/>
        <v>705.83631033602182</v>
      </c>
      <c r="T863" s="69">
        <f t="shared" ca="1" si="576"/>
        <v>796.44371353183601</v>
      </c>
      <c r="U863" s="69">
        <f t="shared" ca="1" si="577"/>
        <v>1695.5209465016997</v>
      </c>
      <c r="V863" s="69">
        <f t="shared" ca="1" si="578"/>
        <v>1912.7643227406681</v>
      </c>
      <c r="W863" s="69">
        <f t="shared" ca="1" si="579"/>
        <v>1183.5676135030774</v>
      </c>
      <c r="X863" s="69">
        <f t="shared" ca="1" si="580"/>
        <v>1490.9051791336769</v>
      </c>
      <c r="Y863" s="69">
        <f t="shared" ca="1" si="581"/>
        <v>1202.1911899169697</v>
      </c>
      <c r="AA863" s="20">
        <f t="shared" ca="1" si="541"/>
        <v>6.5552398910290704E+16</v>
      </c>
      <c r="AB863" s="20">
        <f t="shared" ca="1" si="542"/>
        <v>1684394784944562.3</v>
      </c>
      <c r="AC863" s="20">
        <f t="shared" ca="1" si="543"/>
        <v>402565579743421.88</v>
      </c>
      <c r="AD863" s="20">
        <f t="shared" ca="1" si="544"/>
        <v>303622099655136.75</v>
      </c>
      <c r="AE863" s="20">
        <f t="shared" ca="1" si="545"/>
        <v>6879886273925019</v>
      </c>
      <c r="AG863" s="16">
        <f t="shared" ca="1" si="546"/>
        <v>-3.428232109122605E-4</v>
      </c>
      <c r="AH863" s="16">
        <f t="shared" ca="1" si="547"/>
        <v>1.4556114393615881E-4</v>
      </c>
      <c r="AI863" s="16">
        <f t="shared" ca="1" si="548"/>
        <v>2.0569026667164556E-4</v>
      </c>
      <c r="AJ863" s="16">
        <f t="shared" ca="1" si="549"/>
        <v>-4.0755633574848088E-4</v>
      </c>
      <c r="AK863" s="16">
        <f t="shared" ca="1" si="550"/>
        <v>1.250071369064993E-4</v>
      </c>
      <c r="AM863" s="16">
        <f t="shared" ca="1" si="551"/>
        <v>-3.9912813605293704E-4</v>
      </c>
      <c r="AO863" s="16">
        <f t="shared" ca="1" si="552"/>
        <v>-3.428232109122605E-4</v>
      </c>
      <c r="AP863" s="16">
        <f t="shared" ca="1" si="553"/>
        <v>0</v>
      </c>
      <c r="AQ863" s="16">
        <f t="shared" ca="1" si="554"/>
        <v>0</v>
      </c>
      <c r="AR863" s="16">
        <f t="shared" ca="1" si="555"/>
        <v>-4.0755633574848088E-4</v>
      </c>
      <c r="AS863" s="16">
        <f t="shared" ca="1" si="556"/>
        <v>0</v>
      </c>
    </row>
    <row r="864" spans="1:45" x14ac:dyDescent="0.25">
      <c r="A864" s="69">
        <f t="shared" ca="1" si="557"/>
        <v>2446.7032708098682</v>
      </c>
      <c r="B864" s="69">
        <f t="shared" ca="1" si="558"/>
        <v>2141.7566778695523</v>
      </c>
      <c r="C864" s="69">
        <f t="shared" ca="1" si="559"/>
        <v>2231.3579746612504</v>
      </c>
      <c r="D864" s="69">
        <f t="shared" ca="1" si="560"/>
        <v>2907.3522757502265</v>
      </c>
      <c r="E864" s="69">
        <f t="shared" ca="1" si="561"/>
        <v>1927.6197372115128</v>
      </c>
      <c r="F864" s="69">
        <f t="shared" ca="1" si="562"/>
        <v>1221.7441519976128</v>
      </c>
      <c r="G864" s="69">
        <f t="shared" ca="1" si="563"/>
        <v>972.34081577454515</v>
      </c>
      <c r="H864" s="69">
        <f t="shared" ca="1" si="564"/>
        <v>1185.1965730623474</v>
      </c>
      <c r="I864" s="69">
        <f t="shared" ca="1" si="565"/>
        <v>1051.6682999360185</v>
      </c>
      <c r="J864" s="69">
        <f t="shared" ca="1" si="566"/>
        <v>1137.7298400491682</v>
      </c>
      <c r="K864" s="69">
        <f t="shared" ca="1" si="567"/>
        <v>1171.7401633688989</v>
      </c>
      <c r="L864" s="69">
        <f t="shared" ca="1" si="568"/>
        <v>961.9412866325838</v>
      </c>
      <c r="M864" s="69">
        <f t="shared" ca="1" si="569"/>
        <v>994.58735170143518</v>
      </c>
      <c r="N864" s="69">
        <f t="shared" ca="1" si="570"/>
        <v>569.71410265468455</v>
      </c>
      <c r="O864" s="69">
        <f t="shared" ca="1" si="571"/>
        <v>630.44352065973953</v>
      </c>
      <c r="P864" s="69">
        <f t="shared" ca="1" si="572"/>
        <v>720.97810832824973</v>
      </c>
      <c r="Q864" s="69">
        <f t="shared" ca="1" si="573"/>
        <v>960.38293598481516</v>
      </c>
      <c r="R864" s="69">
        <f t="shared" ca="1" si="574"/>
        <v>780.08053406385136</v>
      </c>
      <c r="S864" s="69">
        <f t="shared" ca="1" si="575"/>
        <v>705.49726969292408</v>
      </c>
      <c r="T864" s="69">
        <f t="shared" ca="1" si="576"/>
        <v>796.44371353183601</v>
      </c>
      <c r="U864" s="69">
        <f t="shared" ca="1" si="577"/>
        <v>1695.6762277895805</v>
      </c>
      <c r="V864" s="69">
        <f t="shared" ca="1" si="578"/>
        <v>1912.38713899002</v>
      </c>
      <c r="W864" s="69">
        <f t="shared" ca="1" si="579"/>
        <v>1183.9170701398161</v>
      </c>
      <c r="X864" s="69">
        <f t="shared" ca="1" si="580"/>
        <v>1491.2015138267304</v>
      </c>
      <c r="Y864" s="69">
        <f t="shared" ca="1" si="581"/>
        <v>1201.8746769465542</v>
      </c>
      <c r="AA864" s="20">
        <f t="shared" ca="1" si="541"/>
        <v>6.5529929878086224E+16</v>
      </c>
      <c r="AB864" s="20">
        <f t="shared" ca="1" si="542"/>
        <v>1684639985221682.5</v>
      </c>
      <c r="AC864" s="20">
        <f t="shared" ca="1" si="543"/>
        <v>402648392081426.13</v>
      </c>
      <c r="AD864" s="20">
        <f t="shared" ca="1" si="544"/>
        <v>303498381757468.06</v>
      </c>
      <c r="AE864" s="20">
        <f t="shared" ca="1" si="545"/>
        <v>6880746362567854</v>
      </c>
      <c r="AG864" s="16">
        <f t="shared" ca="1" si="546"/>
        <v>-8.7242187434986873E-5</v>
      </c>
      <c r="AH864" s="16">
        <f t="shared" ca="1" si="547"/>
        <v>-3.4616785652705412E-4</v>
      </c>
      <c r="AI864" s="16">
        <f t="shared" ca="1" si="548"/>
        <v>-5.5200431293922047E-4</v>
      </c>
      <c r="AJ864" s="16">
        <f t="shared" ca="1" si="549"/>
        <v>-2.9242459065440451E-4</v>
      </c>
      <c r="AK864" s="16">
        <f t="shared" ca="1" si="550"/>
        <v>-4.3242387331212187E-4</v>
      </c>
      <c r="AM864" s="16">
        <f t="shared" ca="1" si="551"/>
        <v>-1.2778389475556662E-3</v>
      </c>
      <c r="AO864" s="16">
        <f t="shared" ca="1" si="552"/>
        <v>-8.7242187434986873E-5</v>
      </c>
      <c r="AP864" s="16">
        <f t="shared" ca="1" si="553"/>
        <v>-3.4616785652705412E-4</v>
      </c>
      <c r="AQ864" s="16">
        <f t="shared" ca="1" si="554"/>
        <v>-5.5200431293922047E-4</v>
      </c>
      <c r="AR864" s="16">
        <f t="shared" ca="1" si="555"/>
        <v>-2.9242459065440451E-4</v>
      </c>
      <c r="AS864" s="16">
        <f t="shared" ca="1" si="556"/>
        <v>-4.3242387331212187E-4</v>
      </c>
    </row>
    <row r="865" spans="1:45" x14ac:dyDescent="0.25">
      <c r="A865" s="69">
        <f t="shared" ca="1" si="557"/>
        <v>2446.7032708098682</v>
      </c>
      <c r="B865" s="69">
        <f t="shared" ca="1" si="558"/>
        <v>2141.8628035265747</v>
      </c>
      <c r="C865" s="69">
        <f t="shared" ca="1" si="559"/>
        <v>2231.3579746612504</v>
      </c>
      <c r="D865" s="69">
        <f t="shared" ca="1" si="560"/>
        <v>2906.9546012513042</v>
      </c>
      <c r="E865" s="69">
        <f t="shared" ca="1" si="561"/>
        <v>1927.6197372115128</v>
      </c>
      <c r="F865" s="69">
        <f t="shared" ca="1" si="562"/>
        <v>1221.7441519976128</v>
      </c>
      <c r="G865" s="69">
        <f t="shared" ca="1" si="563"/>
        <v>971.95978077310053</v>
      </c>
      <c r="H865" s="69">
        <f t="shared" ca="1" si="564"/>
        <v>1185.250835993688</v>
      </c>
      <c r="I865" s="69">
        <f t="shared" ca="1" si="565"/>
        <v>1051.6682999360185</v>
      </c>
      <c r="J865" s="69">
        <f t="shared" ca="1" si="566"/>
        <v>1137.7298400491682</v>
      </c>
      <c r="K865" s="69">
        <f t="shared" ca="1" si="567"/>
        <v>1171.7401633688989</v>
      </c>
      <c r="L865" s="69">
        <f t="shared" ca="1" si="568"/>
        <v>961.9412866325838</v>
      </c>
      <c r="M865" s="69">
        <f t="shared" ca="1" si="569"/>
        <v>994.35171436165274</v>
      </c>
      <c r="N865" s="69">
        <f t="shared" ca="1" si="570"/>
        <v>569.71410265468455</v>
      </c>
      <c r="O865" s="69">
        <f t="shared" ca="1" si="571"/>
        <v>630.2449265911365</v>
      </c>
      <c r="P865" s="69">
        <f t="shared" ca="1" si="572"/>
        <v>720.97810832824973</v>
      </c>
      <c r="Q865" s="69">
        <f t="shared" ca="1" si="573"/>
        <v>960.33508270241259</v>
      </c>
      <c r="R865" s="69">
        <f t="shared" ca="1" si="574"/>
        <v>780.08053406385136</v>
      </c>
      <c r="S865" s="69">
        <f t="shared" ca="1" si="575"/>
        <v>705.49726969292408</v>
      </c>
      <c r="T865" s="69">
        <f t="shared" ca="1" si="576"/>
        <v>796.25052286289645</v>
      </c>
      <c r="U865" s="69">
        <f t="shared" ca="1" si="577"/>
        <v>1695.6762277895805</v>
      </c>
      <c r="V865" s="69">
        <f t="shared" ca="1" si="578"/>
        <v>1912.38713899002</v>
      </c>
      <c r="W865" s="69">
        <f t="shared" ca="1" si="579"/>
        <v>1183.9170701398161</v>
      </c>
      <c r="X865" s="69">
        <f t="shared" ca="1" si="580"/>
        <v>1490.8654661926389</v>
      </c>
      <c r="Y865" s="69">
        <f t="shared" ca="1" si="581"/>
        <v>1201.6258607141272</v>
      </c>
      <c r="AA865" s="20">
        <f t="shared" ca="1" si="541"/>
        <v>6.5524213153034624E+16</v>
      </c>
      <c r="AB865" s="20">
        <f t="shared" ca="1" si="542"/>
        <v>1684056917934377.5</v>
      </c>
      <c r="AC865" s="20">
        <f t="shared" ca="1" si="543"/>
        <v>402426189766359.5</v>
      </c>
      <c r="AD865" s="20">
        <f t="shared" ca="1" si="544"/>
        <v>303409644342551.81</v>
      </c>
      <c r="AE865" s="20">
        <f t="shared" ca="1" si="545"/>
        <v>6877771606798534</v>
      </c>
      <c r="AG865" s="16">
        <f t="shared" ca="1" si="546"/>
        <v>-3.4381750013358977E-4</v>
      </c>
      <c r="AH865" s="16">
        <f t="shared" ca="1" si="547"/>
        <v>3.7743401030214066E-4</v>
      </c>
      <c r="AI865" s="16">
        <f t="shared" ca="1" si="548"/>
        <v>1.5547276349915876E-3</v>
      </c>
      <c r="AJ865" s="16">
        <f t="shared" ca="1" si="549"/>
        <v>1.7453992751276565E-3</v>
      </c>
      <c r="AK865" s="16">
        <f t="shared" ca="1" si="550"/>
        <v>-1.8225860399435836E-4</v>
      </c>
      <c r="AM865" s="16">
        <f t="shared" ca="1" si="551"/>
        <v>3.3337434202877951E-3</v>
      </c>
      <c r="AO865" s="16">
        <f t="shared" ca="1" si="552"/>
        <v>-3.4381750013358977E-4</v>
      </c>
      <c r="AP865" s="16">
        <f t="shared" ca="1" si="553"/>
        <v>0</v>
      </c>
      <c r="AQ865" s="16">
        <f t="shared" ca="1" si="554"/>
        <v>0</v>
      </c>
      <c r="AR865" s="16">
        <f t="shared" ca="1" si="555"/>
        <v>0</v>
      </c>
      <c r="AS865" s="16">
        <f t="shared" ca="1" si="556"/>
        <v>-1.8225860399435836E-4</v>
      </c>
    </row>
    <row r="866" spans="1:45" x14ac:dyDescent="0.25">
      <c r="A866" s="69">
        <f t="shared" ca="1" si="557"/>
        <v>2446.7032708098682</v>
      </c>
      <c r="B866" s="69">
        <f t="shared" ca="1" si="558"/>
        <v>2141.443514348146</v>
      </c>
      <c r="C866" s="69">
        <f t="shared" ca="1" si="559"/>
        <v>2231.2076834196787</v>
      </c>
      <c r="D866" s="69">
        <f t="shared" ca="1" si="560"/>
        <v>2906.7200695102611</v>
      </c>
      <c r="E866" s="69">
        <f t="shared" ca="1" si="561"/>
        <v>1927.6197372115128</v>
      </c>
      <c r="F866" s="69">
        <f t="shared" ca="1" si="562"/>
        <v>1221.7282894363489</v>
      </c>
      <c r="G866" s="69">
        <f t="shared" ca="1" si="563"/>
        <v>971.82671136080489</v>
      </c>
      <c r="H866" s="69">
        <f t="shared" ca="1" si="564"/>
        <v>1185.250835993688</v>
      </c>
      <c r="I866" s="69">
        <f t="shared" ca="1" si="565"/>
        <v>1052.0737488346833</v>
      </c>
      <c r="J866" s="69">
        <f t="shared" ca="1" si="566"/>
        <v>1137.8912730630097</v>
      </c>
      <c r="K866" s="69">
        <f t="shared" ca="1" si="567"/>
        <v>1171.9806063266333</v>
      </c>
      <c r="L866" s="69">
        <f t="shared" ca="1" si="568"/>
        <v>961.80064108173485</v>
      </c>
      <c r="M866" s="69">
        <f t="shared" ca="1" si="569"/>
        <v>994.78929062612156</v>
      </c>
      <c r="N866" s="69">
        <f t="shared" ca="1" si="570"/>
        <v>570.15441769434574</v>
      </c>
      <c r="O866" s="69">
        <f t="shared" ca="1" si="571"/>
        <v>630.42345687833892</v>
      </c>
      <c r="P866" s="69">
        <f t="shared" ca="1" si="572"/>
        <v>720.97810832824973</v>
      </c>
      <c r="Q866" s="69">
        <f t="shared" ca="1" si="573"/>
        <v>960.80628190339496</v>
      </c>
      <c r="R866" s="69">
        <f t="shared" ca="1" si="574"/>
        <v>780.13530298117223</v>
      </c>
      <c r="S866" s="69">
        <f t="shared" ca="1" si="575"/>
        <v>705.9625295009447</v>
      </c>
      <c r="T866" s="69">
        <f t="shared" ca="1" si="576"/>
        <v>796.66897568128013</v>
      </c>
      <c r="U866" s="69">
        <f t="shared" ca="1" si="577"/>
        <v>1695.6762277895805</v>
      </c>
      <c r="V866" s="69">
        <f t="shared" ca="1" si="578"/>
        <v>1912.4849163376555</v>
      </c>
      <c r="W866" s="69">
        <f t="shared" ca="1" si="579"/>
        <v>1183.9170701398161</v>
      </c>
      <c r="X866" s="69">
        <f t="shared" ca="1" si="580"/>
        <v>1491.1073243090557</v>
      </c>
      <c r="Y866" s="69">
        <f t="shared" ca="1" si="581"/>
        <v>1201.1505924730734</v>
      </c>
      <c r="AA866" s="20">
        <f t="shared" ca="1" si="541"/>
        <v>6.5501688654250448E+16</v>
      </c>
      <c r="AB866" s="20">
        <f t="shared" ca="1" si="542"/>
        <v>1684692658257953.3</v>
      </c>
      <c r="AC866" s="20">
        <f t="shared" ca="1" si="543"/>
        <v>403052339504658.25</v>
      </c>
      <c r="AD866" s="20">
        <f t="shared" ca="1" si="544"/>
        <v>303939677741250.38</v>
      </c>
      <c r="AE866" s="20">
        <f t="shared" ca="1" si="545"/>
        <v>6876518187973539</v>
      </c>
      <c r="AG866" s="16">
        <f t="shared" ca="1" si="546"/>
        <v>3.2834314445808849E-4</v>
      </c>
      <c r="AH866" s="16">
        <f t="shared" ca="1" si="547"/>
        <v>5.5027184091202453E-5</v>
      </c>
      <c r="AI866" s="16">
        <f t="shared" ca="1" si="548"/>
        <v>2.0689518159269855E-4</v>
      </c>
      <c r="AJ866" s="16">
        <f t="shared" ca="1" si="549"/>
        <v>-2.1191200619232148E-5</v>
      </c>
      <c r="AK866" s="16">
        <f t="shared" ca="1" si="550"/>
        <v>-4.4210404617427954E-4</v>
      </c>
      <c r="AM866" s="16">
        <f t="shared" ca="1" si="551"/>
        <v>5.6907430952275739E-4</v>
      </c>
      <c r="AO866" s="16">
        <f t="shared" ca="1" si="552"/>
        <v>0</v>
      </c>
      <c r="AP866" s="16">
        <f t="shared" ca="1" si="553"/>
        <v>0</v>
      </c>
      <c r="AQ866" s="16">
        <f t="shared" ca="1" si="554"/>
        <v>0</v>
      </c>
      <c r="AR866" s="16">
        <f t="shared" ca="1" si="555"/>
        <v>-2.1191200619232148E-5</v>
      </c>
      <c r="AS866" s="16">
        <f t="shared" ca="1" si="556"/>
        <v>-4.4210404617427954E-4</v>
      </c>
    </row>
    <row r="867" spans="1:45" x14ac:dyDescent="0.25">
      <c r="A867" s="69">
        <f t="shared" ca="1" si="557"/>
        <v>2446.9416302350833</v>
      </c>
      <c r="B867" s="69">
        <f t="shared" ca="1" si="558"/>
        <v>2141.9271637153761</v>
      </c>
      <c r="C867" s="69">
        <f t="shared" ca="1" si="559"/>
        <v>2231.5996860176169</v>
      </c>
      <c r="D867" s="69">
        <f t="shared" ca="1" si="560"/>
        <v>2906.2242990916061</v>
      </c>
      <c r="E867" s="69">
        <f t="shared" ca="1" si="561"/>
        <v>1927.6197372115128</v>
      </c>
      <c r="F867" s="69">
        <f t="shared" ca="1" si="562"/>
        <v>1221.7282894363489</v>
      </c>
      <c r="G867" s="69">
        <f t="shared" ca="1" si="563"/>
        <v>971.9412114746317</v>
      </c>
      <c r="H867" s="69">
        <f t="shared" ca="1" si="564"/>
        <v>1185.5152038775418</v>
      </c>
      <c r="I867" s="69">
        <f t="shared" ca="1" si="565"/>
        <v>1051.7731001523828</v>
      </c>
      <c r="J867" s="69">
        <f t="shared" ca="1" si="566"/>
        <v>1137.8912730630097</v>
      </c>
      <c r="K867" s="69">
        <f t="shared" ca="1" si="567"/>
        <v>1172.0111200015256</v>
      </c>
      <c r="L867" s="69">
        <f t="shared" ca="1" si="568"/>
        <v>961.66904328253645</v>
      </c>
      <c r="M867" s="69">
        <f t="shared" ca="1" si="569"/>
        <v>994.78929062612156</v>
      </c>
      <c r="N867" s="69">
        <f t="shared" ca="1" si="570"/>
        <v>570.25705246704399</v>
      </c>
      <c r="O867" s="69">
        <f t="shared" ca="1" si="571"/>
        <v>630.51027043674515</v>
      </c>
      <c r="P867" s="69">
        <f t="shared" ca="1" si="572"/>
        <v>720.72767654958955</v>
      </c>
      <c r="Q867" s="69">
        <f t="shared" ca="1" si="573"/>
        <v>961.05203841235902</v>
      </c>
      <c r="R867" s="69">
        <f t="shared" ca="1" si="574"/>
        <v>779.83935040449171</v>
      </c>
      <c r="S867" s="69">
        <f t="shared" ca="1" si="575"/>
        <v>706.14184900848454</v>
      </c>
      <c r="T867" s="69">
        <f t="shared" ca="1" si="576"/>
        <v>796.82508076362342</v>
      </c>
      <c r="U867" s="69">
        <f t="shared" ca="1" si="577"/>
        <v>1695.6762277895805</v>
      </c>
      <c r="V867" s="69">
        <f t="shared" ca="1" si="578"/>
        <v>1912.4335314180105</v>
      </c>
      <c r="W867" s="69">
        <f t="shared" ca="1" si="579"/>
        <v>1183.424269124162</v>
      </c>
      <c r="X867" s="69">
        <f t="shared" ca="1" si="580"/>
        <v>1491.497426237366</v>
      </c>
      <c r="Y867" s="69">
        <f t="shared" ca="1" si="581"/>
        <v>1200.8377486390625</v>
      </c>
      <c r="AA867" s="20">
        <f t="shared" ca="1" si="541"/>
        <v>6.5523199215899976E+16</v>
      </c>
      <c r="AB867" s="20">
        <f t="shared" ca="1" si="542"/>
        <v>1684785364701660.3</v>
      </c>
      <c r="AC867" s="20">
        <f t="shared" ca="1" si="543"/>
        <v>403135737718678.25</v>
      </c>
      <c r="AD867" s="20">
        <f t="shared" ca="1" si="544"/>
        <v>303933236962807.38</v>
      </c>
      <c r="AE867" s="20">
        <f t="shared" ca="1" si="545"/>
        <v>6873478723388347</v>
      </c>
      <c r="AG867" s="16">
        <f t="shared" ca="1" si="546"/>
        <v>2.6398133650496814E-4</v>
      </c>
      <c r="AH867" s="16">
        <f t="shared" ca="1" si="547"/>
        <v>-4.9916001781574249E-4</v>
      </c>
      <c r="AI867" s="16">
        <f t="shared" ca="1" si="548"/>
        <v>-4.3664797268052984E-4</v>
      </c>
      <c r="AJ867" s="16">
        <f t="shared" ca="1" si="549"/>
        <v>-2.5491728642557468E-5</v>
      </c>
      <c r="AK867" s="16">
        <f t="shared" ca="1" si="550"/>
        <v>-7.6147152441233864E-4</v>
      </c>
      <c r="AM867" s="16">
        <f t="shared" ca="1" si="551"/>
        <v>-6.973183826338616E-4</v>
      </c>
      <c r="AO867" s="16">
        <f t="shared" ca="1" si="552"/>
        <v>0</v>
      </c>
      <c r="AP867" s="16">
        <f t="shared" ca="1" si="553"/>
        <v>-4.9916001781574249E-4</v>
      </c>
      <c r="AQ867" s="16">
        <f t="shared" ca="1" si="554"/>
        <v>-4.3664797268052984E-4</v>
      </c>
      <c r="AR867" s="16">
        <f t="shared" ca="1" si="555"/>
        <v>-2.5491728642557468E-5</v>
      </c>
      <c r="AS867" s="16">
        <f t="shared" ca="1" si="556"/>
        <v>-7.6147152441233864E-4</v>
      </c>
    </row>
    <row r="868" spans="1:45" x14ac:dyDescent="0.25">
      <c r="A868" s="69">
        <f t="shared" ca="1" si="557"/>
        <v>2446.9416302350833</v>
      </c>
      <c r="B868" s="69">
        <f t="shared" ca="1" si="558"/>
        <v>2141.588614810908</v>
      </c>
      <c r="C868" s="69">
        <f t="shared" ca="1" si="559"/>
        <v>2231.7750530538051</v>
      </c>
      <c r="D868" s="69">
        <f t="shared" ca="1" si="560"/>
        <v>2906.7133210412112</v>
      </c>
      <c r="E868" s="69">
        <f t="shared" ca="1" si="561"/>
        <v>1927.957521435605</v>
      </c>
      <c r="F868" s="69">
        <f t="shared" ca="1" si="562"/>
        <v>1221.3815570806828</v>
      </c>
      <c r="G868" s="69">
        <f t="shared" ca="1" si="563"/>
        <v>971.77155418649841</v>
      </c>
      <c r="H868" s="69">
        <f t="shared" ca="1" si="564"/>
        <v>1185.5152038775418</v>
      </c>
      <c r="I868" s="69">
        <f t="shared" ca="1" si="565"/>
        <v>1051.730246944607</v>
      </c>
      <c r="J868" s="69">
        <f t="shared" ca="1" si="566"/>
        <v>1137.8912730630097</v>
      </c>
      <c r="K868" s="69">
        <f t="shared" ca="1" si="567"/>
        <v>1172.0111200015256</v>
      </c>
      <c r="L868" s="69">
        <f t="shared" ca="1" si="568"/>
        <v>961.32385337412632</v>
      </c>
      <c r="M868" s="69">
        <f t="shared" ca="1" si="569"/>
        <v>994.68525260355727</v>
      </c>
      <c r="N868" s="69">
        <f t="shared" ca="1" si="570"/>
        <v>570.25705246704399</v>
      </c>
      <c r="O868" s="69">
        <f t="shared" ca="1" si="571"/>
        <v>630.52726522887951</v>
      </c>
      <c r="P868" s="69">
        <f t="shared" ca="1" si="572"/>
        <v>721.13442835322576</v>
      </c>
      <c r="Q868" s="69">
        <f t="shared" ca="1" si="573"/>
        <v>961.05203841235902</v>
      </c>
      <c r="R868" s="69">
        <f t="shared" ca="1" si="574"/>
        <v>779.83935040449171</v>
      </c>
      <c r="S868" s="69">
        <f t="shared" ca="1" si="575"/>
        <v>705.94549022513445</v>
      </c>
      <c r="T868" s="69">
        <f t="shared" ca="1" si="576"/>
        <v>796.57684162945816</v>
      </c>
      <c r="U868" s="69">
        <f t="shared" ca="1" si="577"/>
        <v>1695.6762277895805</v>
      </c>
      <c r="V868" s="69">
        <f t="shared" ca="1" si="578"/>
        <v>1912.0829640990842</v>
      </c>
      <c r="W868" s="69">
        <f t="shared" ca="1" si="579"/>
        <v>1183.424269124162</v>
      </c>
      <c r="X868" s="69">
        <f t="shared" ca="1" si="580"/>
        <v>1491.1225434974328</v>
      </c>
      <c r="Y868" s="69">
        <f t="shared" ca="1" si="581"/>
        <v>1200.4454185592633</v>
      </c>
      <c r="AA868" s="20">
        <f t="shared" ca="1" si="541"/>
        <v>6.5540498400831584E+16</v>
      </c>
      <c r="AB868" s="20">
        <f t="shared" ca="1" si="542"/>
        <v>1683944597065251.5</v>
      </c>
      <c r="AC868" s="20">
        <f t="shared" ca="1" si="543"/>
        <v>402959747741717.88</v>
      </c>
      <c r="AD868" s="20">
        <f t="shared" ca="1" si="544"/>
        <v>303925489277956.63</v>
      </c>
      <c r="AE868" s="20">
        <f t="shared" ca="1" si="545"/>
        <v>6868246757316231</v>
      </c>
      <c r="AG868" s="16">
        <f t="shared" ca="1" si="546"/>
        <v>1.1894944618906451E-4</v>
      </c>
      <c r="AH868" s="16">
        <f t="shared" ca="1" si="547"/>
        <v>5.6512700823011734E-4</v>
      </c>
      <c r="AI868" s="16">
        <f t="shared" ca="1" si="548"/>
        <v>4.0322227781072512E-4</v>
      </c>
      <c r="AJ868" s="16">
        <f t="shared" ca="1" si="549"/>
        <v>1.4579941849337535E-4</v>
      </c>
      <c r="AK868" s="16">
        <f t="shared" ca="1" si="550"/>
        <v>6.427931337023296E-4</v>
      </c>
      <c r="AM868" s="16">
        <f t="shared" ca="1" si="551"/>
        <v>1.2330981507232823E-3</v>
      </c>
      <c r="AO868" s="16">
        <f t="shared" ca="1" si="552"/>
        <v>0</v>
      </c>
      <c r="AP868" s="16">
        <f t="shared" ca="1" si="553"/>
        <v>0</v>
      </c>
      <c r="AQ868" s="16">
        <f t="shared" ca="1" si="554"/>
        <v>0</v>
      </c>
      <c r="AR868" s="16">
        <f t="shared" ca="1" si="555"/>
        <v>0</v>
      </c>
      <c r="AS868" s="16">
        <f t="shared" ca="1" si="556"/>
        <v>0</v>
      </c>
    </row>
    <row r="869" spans="1:45" x14ac:dyDescent="0.25">
      <c r="A869" s="69">
        <f t="shared" ca="1" si="557"/>
        <v>2447.03326248229</v>
      </c>
      <c r="B869" s="69">
        <f t="shared" ca="1" si="558"/>
        <v>2141.3871499109296</v>
      </c>
      <c r="C869" s="69">
        <f t="shared" ca="1" si="559"/>
        <v>2231.7750530538051</v>
      </c>
      <c r="D869" s="69">
        <f t="shared" ca="1" si="560"/>
        <v>2906.7133210412112</v>
      </c>
      <c r="E869" s="69">
        <f t="shared" ca="1" si="561"/>
        <v>1928.2960610713808</v>
      </c>
      <c r="F869" s="69">
        <f t="shared" ca="1" si="562"/>
        <v>1221.6579193017662</v>
      </c>
      <c r="G869" s="69">
        <f t="shared" ca="1" si="563"/>
        <v>972.03534545937214</v>
      </c>
      <c r="H869" s="69">
        <f t="shared" ca="1" si="564"/>
        <v>1185.5905148521881</v>
      </c>
      <c r="I869" s="69">
        <f t="shared" ca="1" si="565"/>
        <v>1051.3295610547348</v>
      </c>
      <c r="J869" s="69">
        <f t="shared" ca="1" si="566"/>
        <v>1138.3294361455446</v>
      </c>
      <c r="K869" s="69">
        <f t="shared" ca="1" si="567"/>
        <v>1172.0111200015256</v>
      </c>
      <c r="L869" s="69">
        <f t="shared" ca="1" si="568"/>
        <v>961.29219632078627</v>
      </c>
      <c r="M869" s="69">
        <f t="shared" ca="1" si="569"/>
        <v>995.10709222226069</v>
      </c>
      <c r="N869" s="69">
        <f t="shared" ca="1" si="570"/>
        <v>570.25705246704399</v>
      </c>
      <c r="O869" s="69">
        <f t="shared" ca="1" si="571"/>
        <v>630.53492608002421</v>
      </c>
      <c r="P869" s="69">
        <f t="shared" ca="1" si="572"/>
        <v>721.13442835322576</v>
      </c>
      <c r="Q869" s="69">
        <f t="shared" ca="1" si="573"/>
        <v>960.96860610752969</v>
      </c>
      <c r="R869" s="69">
        <f t="shared" ca="1" si="574"/>
        <v>780.02077516208567</v>
      </c>
      <c r="S869" s="69">
        <f t="shared" ca="1" si="575"/>
        <v>705.94549022513445</v>
      </c>
      <c r="T869" s="69">
        <f t="shared" ca="1" si="576"/>
        <v>796.57684162945816</v>
      </c>
      <c r="U869" s="69">
        <f t="shared" ca="1" si="577"/>
        <v>1695.5857946206229</v>
      </c>
      <c r="V869" s="69">
        <f t="shared" ca="1" si="578"/>
        <v>1912.4763528963308</v>
      </c>
      <c r="W869" s="69">
        <f t="shared" ca="1" si="579"/>
        <v>1183.8835421186395</v>
      </c>
      <c r="X869" s="69">
        <f t="shared" ca="1" si="580"/>
        <v>1491.2881651870648</v>
      </c>
      <c r="Y869" s="69">
        <f t="shared" ca="1" si="581"/>
        <v>1200.435011257332</v>
      </c>
      <c r="AA869" s="20">
        <f t="shared" ca="1" si="541"/>
        <v>6.5548294870503E+16</v>
      </c>
      <c r="AB869" s="20">
        <f t="shared" ca="1" si="542"/>
        <v>1684896508587537.5</v>
      </c>
      <c r="AC869" s="20">
        <f t="shared" ca="1" si="543"/>
        <v>403122262851722.81</v>
      </c>
      <c r="AD869" s="20">
        <f t="shared" ca="1" si="544"/>
        <v>303969804668059.19</v>
      </c>
      <c r="AE869" s="20">
        <f t="shared" ca="1" si="545"/>
        <v>6872663038397924</v>
      </c>
      <c r="AG869" s="16">
        <f t="shared" ca="1" si="546"/>
        <v>-2.5701125762313005E-4</v>
      </c>
      <c r="AH869" s="16">
        <f t="shared" ca="1" si="547"/>
        <v>-6.5152825850485767E-4</v>
      </c>
      <c r="AI869" s="16">
        <f t="shared" ca="1" si="548"/>
        <v>-1.3169797533446056E-4</v>
      </c>
      <c r="AJ869" s="16">
        <f t="shared" ca="1" si="549"/>
        <v>-1.6068579087650091E-4</v>
      </c>
      <c r="AK869" s="16">
        <f t="shared" ca="1" si="550"/>
        <v>-4.0581309847536831E-4</v>
      </c>
      <c r="AM869" s="16">
        <f t="shared" ca="1" si="551"/>
        <v>-1.2009232823389491E-3</v>
      </c>
      <c r="AO869" s="16">
        <f t="shared" ca="1" si="552"/>
        <v>-2.5701125762313005E-4</v>
      </c>
      <c r="AP869" s="16">
        <f t="shared" ca="1" si="553"/>
        <v>-6.5152825850485767E-4</v>
      </c>
      <c r="AQ869" s="16">
        <f t="shared" ca="1" si="554"/>
        <v>-1.3169797533446056E-4</v>
      </c>
      <c r="AR869" s="16">
        <f t="shared" ca="1" si="555"/>
        <v>-1.6068579087650091E-4</v>
      </c>
      <c r="AS869" s="16">
        <f t="shared" ca="1" si="556"/>
        <v>-4.0581309847536831E-4</v>
      </c>
    </row>
    <row r="870" spans="1:45" x14ac:dyDescent="0.25">
      <c r="A870" s="69">
        <f t="shared" ca="1" si="557"/>
        <v>2446.6642346027543</v>
      </c>
      <c r="B870" s="69">
        <f t="shared" ca="1" si="558"/>
        <v>2140.9433158216334</v>
      </c>
      <c r="C870" s="69">
        <f t="shared" ca="1" si="559"/>
        <v>2231.7750530538051</v>
      </c>
      <c r="D870" s="69">
        <f t="shared" ca="1" si="560"/>
        <v>2907.007183080199</v>
      </c>
      <c r="E870" s="69">
        <f t="shared" ca="1" si="561"/>
        <v>1928.2960610713808</v>
      </c>
      <c r="F870" s="69">
        <f t="shared" ca="1" si="562"/>
        <v>1221.6673732763252</v>
      </c>
      <c r="G870" s="69">
        <f t="shared" ca="1" si="563"/>
        <v>971.7793251058398</v>
      </c>
      <c r="H870" s="69">
        <f t="shared" ca="1" si="564"/>
        <v>1185.5905148521881</v>
      </c>
      <c r="I870" s="69">
        <f t="shared" ca="1" si="565"/>
        <v>1051.3564845962467</v>
      </c>
      <c r="J870" s="69">
        <f t="shared" ca="1" si="566"/>
        <v>1137.8497825457232</v>
      </c>
      <c r="K870" s="69">
        <f t="shared" ca="1" si="567"/>
        <v>1172.2328539147315</v>
      </c>
      <c r="L870" s="69">
        <f t="shared" ca="1" si="568"/>
        <v>961.08503817728013</v>
      </c>
      <c r="M870" s="69">
        <f t="shared" ca="1" si="569"/>
        <v>995.10709222226069</v>
      </c>
      <c r="N870" s="69">
        <f t="shared" ca="1" si="570"/>
        <v>570.59171880225074</v>
      </c>
      <c r="O870" s="69">
        <f t="shared" ca="1" si="571"/>
        <v>630.09871831564055</v>
      </c>
      <c r="P870" s="69">
        <f t="shared" ca="1" si="572"/>
        <v>721.13442835322576</v>
      </c>
      <c r="Q870" s="69">
        <f t="shared" ca="1" si="573"/>
        <v>960.96860610752969</v>
      </c>
      <c r="R870" s="69">
        <f t="shared" ca="1" si="574"/>
        <v>779.89544697642771</v>
      </c>
      <c r="S870" s="69">
        <f t="shared" ca="1" si="575"/>
        <v>705.94549022513445</v>
      </c>
      <c r="T870" s="69">
        <f t="shared" ca="1" si="576"/>
        <v>796.57684162945816</v>
      </c>
      <c r="U870" s="69">
        <f t="shared" ca="1" si="577"/>
        <v>1695.2917451492447</v>
      </c>
      <c r="V870" s="69">
        <f t="shared" ca="1" si="578"/>
        <v>1912.7830533853846</v>
      </c>
      <c r="W870" s="69">
        <f t="shared" ca="1" si="579"/>
        <v>1183.8068006432572</v>
      </c>
      <c r="X870" s="69">
        <f t="shared" ca="1" si="580"/>
        <v>1491.2881651870648</v>
      </c>
      <c r="Y870" s="69">
        <f t="shared" ca="1" si="581"/>
        <v>1200.0414423902284</v>
      </c>
      <c r="AA870" s="20">
        <f t="shared" ca="1" si="541"/>
        <v>6.5531450385507136E+16</v>
      </c>
      <c r="AB870" s="20">
        <f t="shared" ca="1" si="542"/>
        <v>1683799108431962.3</v>
      </c>
      <c r="AC870" s="20">
        <f t="shared" ca="1" si="543"/>
        <v>403069175961687.69</v>
      </c>
      <c r="AD870" s="20">
        <f t="shared" ca="1" si="544"/>
        <v>303920964963621.88</v>
      </c>
      <c r="AE870" s="20">
        <f t="shared" ca="1" si="545"/>
        <v>6869874587548742</v>
      </c>
      <c r="AG870" s="16">
        <f t="shared" ca="1" si="546"/>
        <v>2.9259292941477803E-5</v>
      </c>
      <c r="AH870" s="16">
        <f t="shared" ca="1" si="547"/>
        <v>5.8739853810978312E-4</v>
      </c>
      <c r="AI870" s="16">
        <f t="shared" ca="1" si="548"/>
        <v>-2.4774139220690584E-4</v>
      </c>
      <c r="AJ870" s="16">
        <f t="shared" ca="1" si="549"/>
        <v>-6.7756443098121216E-4</v>
      </c>
      <c r="AK870" s="16">
        <f t="shared" ca="1" si="550"/>
        <v>2.671220530030438E-4</v>
      </c>
      <c r="AM870" s="16">
        <f t="shared" ca="1" si="551"/>
        <v>-3.0864799213685705E-4</v>
      </c>
      <c r="AO870" s="16">
        <f t="shared" ca="1" si="552"/>
        <v>0</v>
      </c>
      <c r="AP870" s="16">
        <f t="shared" ca="1" si="553"/>
        <v>0</v>
      </c>
      <c r="AQ870" s="16">
        <f t="shared" ca="1" si="554"/>
        <v>-2.4774139220690584E-4</v>
      </c>
      <c r="AR870" s="16">
        <f t="shared" ca="1" si="555"/>
        <v>-6.7756443098121216E-4</v>
      </c>
      <c r="AS870" s="16">
        <f t="shared" ca="1" si="556"/>
        <v>0</v>
      </c>
    </row>
    <row r="871" spans="1:45" x14ac:dyDescent="0.25">
      <c r="A871" s="69">
        <f t="shared" ca="1" si="557"/>
        <v>2446.9373639344117</v>
      </c>
      <c r="B871" s="69">
        <f t="shared" ca="1" si="558"/>
        <v>2141.2309070495739</v>
      </c>
      <c r="C871" s="69">
        <f t="shared" ca="1" si="559"/>
        <v>2231.4162832441616</v>
      </c>
      <c r="D871" s="69">
        <f t="shared" ca="1" si="560"/>
        <v>2907.0667830454759</v>
      </c>
      <c r="E871" s="69">
        <f t="shared" ca="1" si="561"/>
        <v>1928.1487030448959</v>
      </c>
      <c r="F871" s="69">
        <f t="shared" ca="1" si="562"/>
        <v>1221.6380333644806</v>
      </c>
      <c r="G871" s="69">
        <f t="shared" ca="1" si="563"/>
        <v>972.06224462653256</v>
      </c>
      <c r="H871" s="69">
        <f t="shared" ca="1" si="564"/>
        <v>1185.8060933486863</v>
      </c>
      <c r="I871" s="69">
        <f t="shared" ca="1" si="565"/>
        <v>1051.0663939597987</v>
      </c>
      <c r="J871" s="69">
        <f t="shared" ca="1" si="566"/>
        <v>1138.3214788476353</v>
      </c>
      <c r="K871" s="69">
        <f t="shared" ca="1" si="567"/>
        <v>1172.2666180504216</v>
      </c>
      <c r="L871" s="69">
        <f t="shared" ca="1" si="568"/>
        <v>961.53438456150491</v>
      </c>
      <c r="M871" s="69">
        <f t="shared" ca="1" si="569"/>
        <v>994.76768716709978</v>
      </c>
      <c r="N871" s="69">
        <f t="shared" ca="1" si="570"/>
        <v>570.73317023037782</v>
      </c>
      <c r="O871" s="69">
        <f t="shared" ca="1" si="571"/>
        <v>629.68883640517674</v>
      </c>
      <c r="P871" s="69">
        <f t="shared" ca="1" si="572"/>
        <v>720.88440776459379</v>
      </c>
      <c r="Q871" s="69">
        <f t="shared" ca="1" si="573"/>
        <v>960.96860610752969</v>
      </c>
      <c r="R871" s="69">
        <f t="shared" ca="1" si="574"/>
        <v>779.46618309058488</v>
      </c>
      <c r="S871" s="69">
        <f t="shared" ca="1" si="575"/>
        <v>705.79609474137158</v>
      </c>
      <c r="T871" s="69">
        <f t="shared" ca="1" si="576"/>
        <v>796.92056772505794</v>
      </c>
      <c r="U871" s="69">
        <f t="shared" ca="1" si="577"/>
        <v>1695.5526078393113</v>
      </c>
      <c r="V871" s="69">
        <f t="shared" ca="1" si="578"/>
        <v>1913.2430364485085</v>
      </c>
      <c r="W871" s="69">
        <f t="shared" ca="1" si="579"/>
        <v>1183.6562413165425</v>
      </c>
      <c r="X871" s="69">
        <f t="shared" ca="1" si="580"/>
        <v>1491.2881651870648</v>
      </c>
      <c r="Y871" s="69">
        <f t="shared" ca="1" si="581"/>
        <v>1200.0414423902284</v>
      </c>
      <c r="AA871" s="20">
        <f t="shared" ca="1" si="541"/>
        <v>6.5533367817462056E+16</v>
      </c>
      <c r="AB871" s="20">
        <f t="shared" ca="1" si="542"/>
        <v>1684788460110143.5</v>
      </c>
      <c r="AC871" s="20">
        <f t="shared" ca="1" si="543"/>
        <v>402969331411203.88</v>
      </c>
      <c r="AD871" s="20">
        <f t="shared" ca="1" si="544"/>
        <v>303715108676257.75</v>
      </c>
      <c r="AE871" s="20">
        <f t="shared" ca="1" si="545"/>
        <v>6871709927671439</v>
      </c>
      <c r="AG871" s="16">
        <f t="shared" ca="1" si="546"/>
        <v>1.6665618826106724E-4</v>
      </c>
      <c r="AH871" s="16">
        <f t="shared" ca="1" si="547"/>
        <v>5.7644465908976613E-5</v>
      </c>
      <c r="AI871" s="16">
        <f t="shared" ca="1" si="548"/>
        <v>-2.6031804838950903E-4</v>
      </c>
      <c r="AJ871" s="16">
        <f t="shared" ca="1" si="549"/>
        <v>-7.2396912328447733E-4</v>
      </c>
      <c r="AK871" s="16">
        <f t="shared" ca="1" si="550"/>
        <v>3.0494830439331631E-4</v>
      </c>
      <c r="AM871" s="16">
        <f t="shared" ca="1" si="551"/>
        <v>-7.5998651750394251E-4</v>
      </c>
      <c r="AO871" s="16">
        <f t="shared" ca="1" si="552"/>
        <v>0</v>
      </c>
      <c r="AP871" s="16">
        <f t="shared" ca="1" si="553"/>
        <v>0</v>
      </c>
      <c r="AQ871" s="16">
        <f t="shared" ca="1" si="554"/>
        <v>-2.6031804838950903E-4</v>
      </c>
      <c r="AR871" s="16">
        <f t="shared" ca="1" si="555"/>
        <v>-7.2396912328447733E-4</v>
      </c>
      <c r="AS871" s="16">
        <f t="shared" ca="1" si="556"/>
        <v>0</v>
      </c>
    </row>
    <row r="872" spans="1:45" x14ac:dyDescent="0.25">
      <c r="A872" s="69">
        <f t="shared" ca="1" si="557"/>
        <v>2446.8881429577154</v>
      </c>
      <c r="B872" s="69">
        <f t="shared" ca="1" si="558"/>
        <v>2141.5456501513345</v>
      </c>
      <c r="C872" s="69">
        <f t="shared" ca="1" si="559"/>
        <v>2231.7953739131817</v>
      </c>
      <c r="D872" s="69">
        <f t="shared" ca="1" si="560"/>
        <v>2906.7257660845826</v>
      </c>
      <c r="E872" s="69">
        <f t="shared" ca="1" si="561"/>
        <v>1928.1240816249988</v>
      </c>
      <c r="F872" s="69">
        <f t="shared" ca="1" si="562"/>
        <v>1221.7084560661681</v>
      </c>
      <c r="G872" s="69">
        <f t="shared" ca="1" si="563"/>
        <v>972.06224462653256</v>
      </c>
      <c r="H872" s="69">
        <f t="shared" ca="1" si="564"/>
        <v>1185.8060933486863</v>
      </c>
      <c r="I872" s="69">
        <f t="shared" ca="1" si="565"/>
        <v>1051.0663939597987</v>
      </c>
      <c r="J872" s="69">
        <f t="shared" ca="1" si="566"/>
        <v>1138.3214788476353</v>
      </c>
      <c r="K872" s="69">
        <f t="shared" ca="1" si="567"/>
        <v>1172.2666180504216</v>
      </c>
      <c r="L872" s="69">
        <f t="shared" ca="1" si="568"/>
        <v>961.53438456150491</v>
      </c>
      <c r="M872" s="69">
        <f t="shared" ca="1" si="569"/>
        <v>994.76768716709978</v>
      </c>
      <c r="N872" s="69">
        <f t="shared" ca="1" si="570"/>
        <v>570.73317023037782</v>
      </c>
      <c r="O872" s="69">
        <f t="shared" ca="1" si="571"/>
        <v>629.52493836992494</v>
      </c>
      <c r="P872" s="69">
        <f t="shared" ca="1" si="572"/>
        <v>720.62255075908831</v>
      </c>
      <c r="Q872" s="69">
        <f t="shared" ca="1" si="573"/>
        <v>960.70628604529304</v>
      </c>
      <c r="R872" s="69">
        <f t="shared" ca="1" si="574"/>
        <v>779.46618309058488</v>
      </c>
      <c r="S872" s="69">
        <f t="shared" ca="1" si="575"/>
        <v>705.41979979336793</v>
      </c>
      <c r="T872" s="69">
        <f t="shared" ca="1" si="576"/>
        <v>797.27579030188213</v>
      </c>
      <c r="U872" s="69">
        <f t="shared" ca="1" si="577"/>
        <v>1695.3156882829223</v>
      </c>
      <c r="V872" s="69">
        <f t="shared" ca="1" si="578"/>
        <v>1913.2430364485085</v>
      </c>
      <c r="W872" s="69">
        <f t="shared" ca="1" si="579"/>
        <v>1183.8264040091942</v>
      </c>
      <c r="X872" s="69">
        <f t="shared" ca="1" si="580"/>
        <v>1491.7370182463339</v>
      </c>
      <c r="Y872" s="69">
        <f t="shared" ca="1" si="581"/>
        <v>1200.0414423902284</v>
      </c>
      <c r="AA872" s="20">
        <f t="shared" ca="1" si="541"/>
        <v>6.55442902688682E+16</v>
      </c>
      <c r="AB872" s="20">
        <f t="shared" ca="1" si="542"/>
        <v>1684885581640328.5</v>
      </c>
      <c r="AC872" s="20">
        <f t="shared" ca="1" si="543"/>
        <v>402864444873811.75</v>
      </c>
      <c r="AD872" s="20">
        <f t="shared" ca="1" si="544"/>
        <v>303495307889393</v>
      </c>
      <c r="AE872" s="20">
        <f t="shared" ca="1" si="545"/>
        <v>6873805763506716</v>
      </c>
      <c r="AG872" s="16">
        <f t="shared" ca="1" si="546"/>
        <v>-8.8838604755217955E-5</v>
      </c>
      <c r="AH872" s="16">
        <f t="shared" ca="1" si="547"/>
        <v>-7.1395604275112211E-5</v>
      </c>
      <c r="AI872" s="16">
        <f t="shared" ca="1" si="548"/>
        <v>1.123806997471295E-3</v>
      </c>
      <c r="AJ872" s="16">
        <f t="shared" ca="1" si="549"/>
        <v>-3.1463891266806515E-4</v>
      </c>
      <c r="AK872" s="16">
        <f t="shared" ca="1" si="550"/>
        <v>1.1394130420961457E-4</v>
      </c>
      <c r="AM872" s="16">
        <f t="shared" ca="1" si="551"/>
        <v>6.489338757728997E-4</v>
      </c>
      <c r="AO872" s="16">
        <f t="shared" ca="1" si="552"/>
        <v>-8.8838604755217955E-5</v>
      </c>
      <c r="AP872" s="16">
        <f t="shared" ca="1" si="553"/>
        <v>-7.1395604275112211E-5</v>
      </c>
      <c r="AQ872" s="16">
        <f t="shared" ca="1" si="554"/>
        <v>0</v>
      </c>
      <c r="AR872" s="16">
        <f t="shared" ca="1" si="555"/>
        <v>-3.1463891266806515E-4</v>
      </c>
      <c r="AS872" s="16">
        <f t="shared" ca="1" si="556"/>
        <v>0</v>
      </c>
    </row>
    <row r="873" spans="1:45" x14ac:dyDescent="0.25">
      <c r="A873" s="69">
        <f t="shared" ca="1" si="557"/>
        <v>2446.7494684925919</v>
      </c>
      <c r="B873" s="69">
        <f t="shared" ca="1" si="558"/>
        <v>2141.0535551897019</v>
      </c>
      <c r="C873" s="69">
        <f t="shared" ca="1" si="559"/>
        <v>2232.0084782361491</v>
      </c>
      <c r="D873" s="69">
        <f t="shared" ca="1" si="560"/>
        <v>2907.0227530566453</v>
      </c>
      <c r="E873" s="69">
        <f t="shared" ca="1" si="561"/>
        <v>1928.1240816249988</v>
      </c>
      <c r="F873" s="69">
        <f t="shared" ca="1" si="562"/>
        <v>1221.899859886121</v>
      </c>
      <c r="G873" s="69">
        <f t="shared" ca="1" si="563"/>
        <v>972.06224462653256</v>
      </c>
      <c r="H873" s="69">
        <f t="shared" ca="1" si="564"/>
        <v>1185.5291298720442</v>
      </c>
      <c r="I873" s="69">
        <f t="shared" ca="1" si="565"/>
        <v>1051.0722174474404</v>
      </c>
      <c r="J873" s="69">
        <f t="shared" ca="1" si="566"/>
        <v>1138.3214788476353</v>
      </c>
      <c r="K873" s="69">
        <f t="shared" ca="1" si="567"/>
        <v>1172.2666180504216</v>
      </c>
      <c r="L873" s="69">
        <f t="shared" ca="1" si="568"/>
        <v>961.53438456150491</v>
      </c>
      <c r="M873" s="69">
        <f t="shared" ca="1" si="569"/>
        <v>995.18939109061057</v>
      </c>
      <c r="N873" s="69">
        <f t="shared" ca="1" si="570"/>
        <v>570.73317023037782</v>
      </c>
      <c r="O873" s="69">
        <f t="shared" ca="1" si="571"/>
        <v>629.96574422812193</v>
      </c>
      <c r="P873" s="69">
        <f t="shared" ca="1" si="572"/>
        <v>720.62255075908831</v>
      </c>
      <c r="Q873" s="69">
        <f t="shared" ca="1" si="573"/>
        <v>960.55228424499887</v>
      </c>
      <c r="R873" s="69">
        <f t="shared" ca="1" si="574"/>
        <v>779.46618309058488</v>
      </c>
      <c r="S873" s="69">
        <f t="shared" ca="1" si="575"/>
        <v>705.43275442839956</v>
      </c>
      <c r="T873" s="69">
        <f t="shared" ca="1" si="576"/>
        <v>797.13812085500956</v>
      </c>
      <c r="U873" s="69">
        <f t="shared" ca="1" si="577"/>
        <v>1695.3156882829223</v>
      </c>
      <c r="V873" s="69">
        <f t="shared" ca="1" si="578"/>
        <v>1913.2430364485085</v>
      </c>
      <c r="W873" s="69">
        <f t="shared" ca="1" si="579"/>
        <v>1183.9612984185014</v>
      </c>
      <c r="X873" s="69">
        <f t="shared" ca="1" si="580"/>
        <v>1491.7370182463339</v>
      </c>
      <c r="Y873" s="69">
        <f t="shared" ca="1" si="581"/>
        <v>1200.0414423902284</v>
      </c>
      <c r="AA873" s="20">
        <f t="shared" ca="1" si="541"/>
        <v>6.5538467664210912E+16</v>
      </c>
      <c r="AB873" s="20">
        <f t="shared" ca="1" si="542"/>
        <v>1684765292510201.5</v>
      </c>
      <c r="AC873" s="20">
        <f t="shared" ca="1" si="543"/>
        <v>403317441248565.5</v>
      </c>
      <c r="AD873" s="20">
        <f t="shared" ca="1" si="544"/>
        <v>303399831476803.81</v>
      </c>
      <c r="AE873" s="20">
        <f t="shared" ca="1" si="545"/>
        <v>6874589018521995</v>
      </c>
      <c r="AG873" s="16">
        <f t="shared" ca="1" si="546"/>
        <v>2.085887754357612E-4</v>
      </c>
      <c r="AH873" s="16">
        <f t="shared" ca="1" si="547"/>
        <v>-8.4161845767043132E-4</v>
      </c>
      <c r="AI873" s="16">
        <f t="shared" ca="1" si="548"/>
        <v>-5.0076646357299318E-4</v>
      </c>
      <c r="AJ873" s="16">
        <f t="shared" ca="1" si="549"/>
        <v>-1.1352555067767991E-3</v>
      </c>
      <c r="AK873" s="16">
        <f t="shared" ca="1" si="550"/>
        <v>-1.8975767614991073E-4</v>
      </c>
      <c r="AM873" s="16">
        <f t="shared" ca="1" si="551"/>
        <v>-2.2690516525844624E-3</v>
      </c>
      <c r="AO873" s="16">
        <f t="shared" ca="1" si="552"/>
        <v>0</v>
      </c>
      <c r="AP873" s="16">
        <f t="shared" ca="1" si="553"/>
        <v>-8.4161845767043132E-4</v>
      </c>
      <c r="AQ873" s="16">
        <f t="shared" ca="1" si="554"/>
        <v>-5.0076646357299318E-4</v>
      </c>
      <c r="AR873" s="16">
        <f t="shared" ca="1" si="555"/>
        <v>-1.1352555067767991E-3</v>
      </c>
      <c r="AS873" s="16">
        <f t="shared" ca="1" si="556"/>
        <v>-1.8975767614991073E-4</v>
      </c>
    </row>
    <row r="874" spans="1:45" x14ac:dyDescent="0.25">
      <c r="A874" s="69">
        <f t="shared" ca="1" si="557"/>
        <v>2446.8610274643765</v>
      </c>
      <c r="B874" s="69">
        <f t="shared" ca="1" si="558"/>
        <v>2141.1935324769488</v>
      </c>
      <c r="C874" s="69">
        <f t="shared" ca="1" si="559"/>
        <v>2232.0084782361491</v>
      </c>
      <c r="D874" s="69">
        <f t="shared" ca="1" si="560"/>
        <v>2906.7502041304506</v>
      </c>
      <c r="E874" s="69">
        <f t="shared" ca="1" si="561"/>
        <v>1928.493119715961</v>
      </c>
      <c r="F874" s="69">
        <f t="shared" ca="1" si="562"/>
        <v>1221.6162181054315</v>
      </c>
      <c r="G874" s="69">
        <f t="shared" ca="1" si="563"/>
        <v>971.65469642052892</v>
      </c>
      <c r="H874" s="69">
        <f t="shared" ca="1" si="564"/>
        <v>1185.5291298720442</v>
      </c>
      <c r="I874" s="69">
        <f t="shared" ca="1" si="565"/>
        <v>1051.0722174474404</v>
      </c>
      <c r="J874" s="69">
        <f t="shared" ca="1" si="566"/>
        <v>1138.1050926718506</v>
      </c>
      <c r="K874" s="69">
        <f t="shared" ca="1" si="567"/>
        <v>1172.02258061305</v>
      </c>
      <c r="L874" s="69">
        <f t="shared" ca="1" si="568"/>
        <v>961.87871359731514</v>
      </c>
      <c r="M874" s="69">
        <f t="shared" ca="1" si="569"/>
        <v>995.18615761999479</v>
      </c>
      <c r="N874" s="69">
        <f t="shared" ca="1" si="570"/>
        <v>570.58920973127658</v>
      </c>
      <c r="O874" s="69">
        <f t="shared" ca="1" si="571"/>
        <v>629.71690026488125</v>
      </c>
      <c r="P874" s="69">
        <f t="shared" ca="1" si="572"/>
        <v>720.1599542813384</v>
      </c>
      <c r="Q874" s="69">
        <f t="shared" ca="1" si="573"/>
        <v>960.55228424499887</v>
      </c>
      <c r="R874" s="69">
        <f t="shared" ca="1" si="574"/>
        <v>779.08191579943309</v>
      </c>
      <c r="S874" s="69">
        <f t="shared" ca="1" si="575"/>
        <v>705.43275442839956</v>
      </c>
      <c r="T874" s="69">
        <f t="shared" ca="1" si="576"/>
        <v>797.13812085500956</v>
      </c>
      <c r="U874" s="69">
        <f t="shared" ca="1" si="577"/>
        <v>1695.2337792518538</v>
      </c>
      <c r="V874" s="69">
        <f t="shared" ca="1" si="578"/>
        <v>1913.6094911790224</v>
      </c>
      <c r="W874" s="69">
        <f t="shared" ca="1" si="579"/>
        <v>1183.9215792298853</v>
      </c>
      <c r="X874" s="69">
        <f t="shared" ca="1" si="580"/>
        <v>1491.2609565602052</v>
      </c>
      <c r="Y874" s="69">
        <f t="shared" ca="1" si="581"/>
        <v>1200.0651704396655</v>
      </c>
      <c r="AA874" s="20">
        <f t="shared" ca="1" si="541"/>
        <v>6.5552139678789744E+16</v>
      </c>
      <c r="AB874" s="20">
        <f t="shared" ca="1" si="542"/>
        <v>1683347959453673.5</v>
      </c>
      <c r="AC874" s="20">
        <f t="shared" ca="1" si="543"/>
        <v>403115523960736.75</v>
      </c>
      <c r="AD874" s="20">
        <f t="shared" ca="1" si="544"/>
        <v>303055590585020.25</v>
      </c>
      <c r="AE874" s="20">
        <f t="shared" ca="1" si="545"/>
        <v>6873284636247543</v>
      </c>
      <c r="AG874" s="16">
        <f t="shared" ca="1" si="546"/>
        <v>1.9059312520239099E-4</v>
      </c>
      <c r="AH874" s="16">
        <f t="shared" ca="1" si="547"/>
        <v>-3.8166733086854483E-4</v>
      </c>
      <c r="AI874" s="16">
        <f t="shared" ca="1" si="548"/>
        <v>-3.8788210881777586E-6</v>
      </c>
      <c r="AJ874" s="16">
        <f t="shared" ca="1" si="549"/>
        <v>-2.2628807677651594E-4</v>
      </c>
      <c r="AK874" s="16">
        <f t="shared" ca="1" si="550"/>
        <v>4.2803789795460589E-4</v>
      </c>
      <c r="AM874" s="16">
        <f t="shared" ca="1" si="551"/>
        <v>-4.2124110353084757E-4</v>
      </c>
      <c r="AO874" s="16">
        <f t="shared" ca="1" si="552"/>
        <v>0</v>
      </c>
      <c r="AP874" s="16">
        <f t="shared" ca="1" si="553"/>
        <v>-3.8166733086854483E-4</v>
      </c>
      <c r="AQ874" s="16">
        <f t="shared" ca="1" si="554"/>
        <v>-3.8788210881777586E-6</v>
      </c>
      <c r="AR874" s="16">
        <f t="shared" ca="1" si="555"/>
        <v>-2.2628807677651594E-4</v>
      </c>
      <c r="AS874" s="16">
        <f t="shared" ca="1" si="556"/>
        <v>0</v>
      </c>
    </row>
    <row r="875" spans="1:45" x14ac:dyDescent="0.25">
      <c r="A875" s="69">
        <f t="shared" ca="1" si="557"/>
        <v>2447.0647794580409</v>
      </c>
      <c r="B875" s="69">
        <f t="shared" ca="1" si="558"/>
        <v>2141.6336138890147</v>
      </c>
      <c r="C875" s="69">
        <f t="shared" ca="1" si="559"/>
        <v>2231.5679012748133</v>
      </c>
      <c r="D875" s="69">
        <f t="shared" ca="1" si="560"/>
        <v>2907.0386433457852</v>
      </c>
      <c r="E875" s="69">
        <f t="shared" ca="1" si="561"/>
        <v>1928.493119715961</v>
      </c>
      <c r="F875" s="69">
        <f t="shared" ca="1" si="562"/>
        <v>1221.6162181054315</v>
      </c>
      <c r="G875" s="69">
        <f t="shared" ca="1" si="563"/>
        <v>971.25020892172029</v>
      </c>
      <c r="H875" s="69">
        <f t="shared" ca="1" si="564"/>
        <v>1185.5291298720442</v>
      </c>
      <c r="I875" s="69">
        <f t="shared" ca="1" si="565"/>
        <v>1051.0880725029695</v>
      </c>
      <c r="J875" s="69">
        <f t="shared" ca="1" si="566"/>
        <v>1138.1274248958721</v>
      </c>
      <c r="K875" s="69">
        <f t="shared" ca="1" si="567"/>
        <v>1172.125131560696</v>
      </c>
      <c r="L875" s="69">
        <f t="shared" ca="1" si="568"/>
        <v>961.87871359731514</v>
      </c>
      <c r="M875" s="69">
        <f t="shared" ca="1" si="569"/>
        <v>995.17277455511555</v>
      </c>
      <c r="N875" s="69">
        <f t="shared" ca="1" si="570"/>
        <v>570.54474760047401</v>
      </c>
      <c r="O875" s="69">
        <f t="shared" ca="1" si="571"/>
        <v>629.71690026488125</v>
      </c>
      <c r="P875" s="69">
        <f t="shared" ca="1" si="572"/>
        <v>719.75186686367181</v>
      </c>
      <c r="Q875" s="69">
        <f t="shared" ca="1" si="573"/>
        <v>960.55228424499887</v>
      </c>
      <c r="R875" s="69">
        <f t="shared" ca="1" si="574"/>
        <v>779.08191579943309</v>
      </c>
      <c r="S875" s="69">
        <f t="shared" ca="1" si="575"/>
        <v>705.27804360098958</v>
      </c>
      <c r="T875" s="69">
        <f t="shared" ca="1" si="576"/>
        <v>797.58454123847162</v>
      </c>
      <c r="U875" s="69">
        <f t="shared" ca="1" si="577"/>
        <v>1695.3195775084348</v>
      </c>
      <c r="V875" s="69">
        <f t="shared" ca="1" si="578"/>
        <v>1913.6094911790224</v>
      </c>
      <c r="W875" s="69">
        <f t="shared" ca="1" si="579"/>
        <v>1183.9215792298853</v>
      </c>
      <c r="X875" s="69">
        <f t="shared" ca="1" si="580"/>
        <v>1491.2609565602052</v>
      </c>
      <c r="Y875" s="69">
        <f t="shared" ca="1" si="581"/>
        <v>1200.5181937856275</v>
      </c>
      <c r="AA875" s="20">
        <f t="shared" ca="1" si="541"/>
        <v>6.556463465664544E+16</v>
      </c>
      <c r="AB875" s="20">
        <f t="shared" ca="1" si="542"/>
        <v>1682705603122076.8</v>
      </c>
      <c r="AC875" s="20">
        <f t="shared" ca="1" si="543"/>
        <v>403113960350773.94</v>
      </c>
      <c r="AD875" s="20">
        <f t="shared" ca="1" si="544"/>
        <v>302987020476861.94</v>
      </c>
      <c r="AE875" s="20">
        <f t="shared" ca="1" si="545"/>
        <v>6876227292294512</v>
      </c>
      <c r="AG875" s="16">
        <f t="shared" ca="1" si="546"/>
        <v>7.0851895952210009E-5</v>
      </c>
      <c r="AH875" s="16">
        <f t="shared" ca="1" si="547"/>
        <v>-7.0065488529123582E-4</v>
      </c>
      <c r="AI875" s="16">
        <f t="shared" ca="1" si="548"/>
        <v>4.2672900027092319E-4</v>
      </c>
      <c r="AJ875" s="16">
        <f t="shared" ca="1" si="549"/>
        <v>8.84550771909078E-4</v>
      </c>
      <c r="AK875" s="16">
        <f t="shared" ca="1" si="550"/>
        <v>9.1595393924855198E-5</v>
      </c>
      <c r="AM875" s="16">
        <f t="shared" ca="1" si="551"/>
        <v>6.814767828409754E-4</v>
      </c>
      <c r="AO875" s="16">
        <f t="shared" ca="1" si="552"/>
        <v>0</v>
      </c>
      <c r="AP875" s="16">
        <f t="shared" ca="1" si="553"/>
        <v>-7.0065488529123582E-4</v>
      </c>
      <c r="AQ875" s="16">
        <f t="shared" ca="1" si="554"/>
        <v>0</v>
      </c>
      <c r="AR875" s="16">
        <f t="shared" ca="1" si="555"/>
        <v>0</v>
      </c>
      <c r="AS875" s="16">
        <f t="shared" ca="1" si="556"/>
        <v>0</v>
      </c>
    </row>
    <row r="876" spans="1:45" x14ac:dyDescent="0.25">
      <c r="A876" s="69">
        <f t="shared" ca="1" si="557"/>
        <v>2447.5509195074392</v>
      </c>
      <c r="B876" s="69">
        <f t="shared" ca="1" si="558"/>
        <v>2141.1874626057474</v>
      </c>
      <c r="C876" s="69">
        <f t="shared" ca="1" si="559"/>
        <v>2231.8102279570039</v>
      </c>
      <c r="D876" s="69">
        <f t="shared" ca="1" si="560"/>
        <v>2907.0386433457852</v>
      </c>
      <c r="E876" s="69">
        <f t="shared" ca="1" si="561"/>
        <v>1928.4390633903743</v>
      </c>
      <c r="F876" s="69">
        <f t="shared" ca="1" si="562"/>
        <v>1221.4659566451307</v>
      </c>
      <c r="G876" s="69">
        <f t="shared" ca="1" si="563"/>
        <v>971.25020892172029</v>
      </c>
      <c r="H876" s="69">
        <f t="shared" ca="1" si="564"/>
        <v>1185.0695425683589</v>
      </c>
      <c r="I876" s="69">
        <f t="shared" ca="1" si="565"/>
        <v>1050.8884838486472</v>
      </c>
      <c r="J876" s="69">
        <f t="shared" ca="1" si="566"/>
        <v>1138.1274248958721</v>
      </c>
      <c r="K876" s="69">
        <f t="shared" ca="1" si="567"/>
        <v>1171.8335004123637</v>
      </c>
      <c r="L876" s="69">
        <f t="shared" ca="1" si="568"/>
        <v>961.87871359731514</v>
      </c>
      <c r="M876" s="69">
        <f t="shared" ca="1" si="569"/>
        <v>995.17277455511555</v>
      </c>
      <c r="N876" s="69">
        <f t="shared" ca="1" si="570"/>
        <v>570.93031813316884</v>
      </c>
      <c r="O876" s="69">
        <f t="shared" ca="1" si="571"/>
        <v>629.71690026488125</v>
      </c>
      <c r="P876" s="69">
        <f t="shared" ca="1" si="572"/>
        <v>720.17130231159672</v>
      </c>
      <c r="Q876" s="69">
        <f t="shared" ca="1" si="573"/>
        <v>960.55228424499887</v>
      </c>
      <c r="R876" s="69">
        <f t="shared" ca="1" si="574"/>
        <v>779.08191579943309</v>
      </c>
      <c r="S876" s="69">
        <f t="shared" ca="1" si="575"/>
        <v>705.27804360098958</v>
      </c>
      <c r="T876" s="69">
        <f t="shared" ca="1" si="576"/>
        <v>797.82542456034594</v>
      </c>
      <c r="U876" s="69">
        <f t="shared" ca="1" si="577"/>
        <v>1695.3195775084348</v>
      </c>
      <c r="V876" s="69">
        <f t="shared" ca="1" si="578"/>
        <v>1913.6094911790224</v>
      </c>
      <c r="W876" s="69">
        <f t="shared" ca="1" si="579"/>
        <v>1184.3403392746668</v>
      </c>
      <c r="X876" s="69">
        <f t="shared" ca="1" si="580"/>
        <v>1491.2609565602052</v>
      </c>
      <c r="Y876" s="69">
        <f t="shared" ca="1" si="581"/>
        <v>1200.2036416523742</v>
      </c>
      <c r="AA876" s="20">
        <f t="shared" ca="1" si="541"/>
        <v>6.5569280199889104E+16</v>
      </c>
      <c r="AB876" s="20">
        <f t="shared" ca="1" si="542"/>
        <v>1681527020158913.3</v>
      </c>
      <c r="AC876" s="20">
        <f t="shared" ca="1" si="543"/>
        <v>403286017476341.31</v>
      </c>
      <c r="AD876" s="20">
        <f t="shared" ca="1" si="544"/>
        <v>303255146447737.94</v>
      </c>
      <c r="AE876" s="20">
        <f t="shared" ca="1" si="545"/>
        <v>6876857151887745</v>
      </c>
      <c r="AG876" s="16">
        <f t="shared" ca="1" si="546"/>
        <v>-4.8025069919850524E-5</v>
      </c>
      <c r="AH876" s="16">
        <f t="shared" ca="1" si="547"/>
        <v>2.6798437941944099E-4</v>
      </c>
      <c r="AI876" s="16">
        <f t="shared" ca="1" si="548"/>
        <v>-1.0853209368319545E-3</v>
      </c>
      <c r="AJ876" s="16">
        <f t="shared" ca="1" si="549"/>
        <v>-5.8836807227576255E-4</v>
      </c>
      <c r="AK876" s="16">
        <f t="shared" ca="1" si="550"/>
        <v>-8.4057773946317622E-5</v>
      </c>
      <c r="AM876" s="16">
        <f t="shared" ca="1" si="551"/>
        <v>-1.4537296996081266E-3</v>
      </c>
      <c r="AO876" s="16">
        <f t="shared" ca="1" si="552"/>
        <v>-4.8025069919850524E-5</v>
      </c>
      <c r="AP876" s="16">
        <f t="shared" ca="1" si="553"/>
        <v>0</v>
      </c>
      <c r="AQ876" s="16">
        <f t="shared" ca="1" si="554"/>
        <v>-1.0853209368319545E-3</v>
      </c>
      <c r="AR876" s="16">
        <f t="shared" ca="1" si="555"/>
        <v>-5.8836807227576255E-4</v>
      </c>
      <c r="AS876" s="16">
        <f t="shared" ca="1" si="556"/>
        <v>-8.4057773946317622E-5</v>
      </c>
    </row>
    <row r="877" spans="1:45" x14ac:dyDescent="0.25">
      <c r="A877" s="69">
        <f t="shared" ca="1" si="557"/>
        <v>2447.426374630511</v>
      </c>
      <c r="B877" s="69">
        <f t="shared" ca="1" si="558"/>
        <v>2141.1874626057474</v>
      </c>
      <c r="C877" s="69">
        <f t="shared" ca="1" si="559"/>
        <v>2231.8102279570039</v>
      </c>
      <c r="D877" s="69">
        <f t="shared" ca="1" si="560"/>
        <v>2907.3169753485786</v>
      </c>
      <c r="E877" s="69">
        <f t="shared" ca="1" si="561"/>
        <v>1928.2599624294107</v>
      </c>
      <c r="F877" s="69">
        <f t="shared" ca="1" si="562"/>
        <v>1221.3950174586992</v>
      </c>
      <c r="G877" s="69">
        <f t="shared" ca="1" si="563"/>
        <v>971.59312120828554</v>
      </c>
      <c r="H877" s="69">
        <f t="shared" ca="1" si="564"/>
        <v>1185.4846308169876</v>
      </c>
      <c r="I877" s="69">
        <f t="shared" ca="1" si="565"/>
        <v>1050.9031969941316</v>
      </c>
      <c r="J877" s="69">
        <f t="shared" ca="1" si="566"/>
        <v>1137.6823431542143</v>
      </c>
      <c r="K877" s="69">
        <f t="shared" ca="1" si="567"/>
        <v>1172.1451078702721</v>
      </c>
      <c r="L877" s="69">
        <f t="shared" ca="1" si="568"/>
        <v>961.37996548715307</v>
      </c>
      <c r="M877" s="69">
        <f t="shared" ca="1" si="569"/>
        <v>995.39072128634746</v>
      </c>
      <c r="N877" s="69">
        <f t="shared" ca="1" si="570"/>
        <v>570.50446304838886</v>
      </c>
      <c r="O877" s="69">
        <f t="shared" ca="1" si="571"/>
        <v>629.5246418834447</v>
      </c>
      <c r="P877" s="69">
        <f t="shared" ca="1" si="572"/>
        <v>719.67629252073857</v>
      </c>
      <c r="Q877" s="69">
        <f t="shared" ca="1" si="573"/>
        <v>960.32503299510574</v>
      </c>
      <c r="R877" s="69">
        <f t="shared" ca="1" si="574"/>
        <v>779.52255157873424</v>
      </c>
      <c r="S877" s="69">
        <f t="shared" ca="1" si="575"/>
        <v>705.11613512335452</v>
      </c>
      <c r="T877" s="69">
        <f t="shared" ca="1" si="576"/>
        <v>797.82542456034594</v>
      </c>
      <c r="U877" s="69">
        <f t="shared" ca="1" si="577"/>
        <v>1695.0573060907434</v>
      </c>
      <c r="V877" s="69">
        <f t="shared" ca="1" si="578"/>
        <v>1913.7447066764014</v>
      </c>
      <c r="W877" s="69">
        <f t="shared" ca="1" si="579"/>
        <v>1184.3403392746668</v>
      </c>
      <c r="X877" s="69">
        <f t="shared" ca="1" si="580"/>
        <v>1491.2609565602052</v>
      </c>
      <c r="Y877" s="69">
        <f t="shared" ca="1" si="581"/>
        <v>1200.2036416523742</v>
      </c>
      <c r="AA877" s="20">
        <f t="shared" ca="1" si="541"/>
        <v>6.5566131306236432E+16</v>
      </c>
      <c r="AB877" s="20">
        <f t="shared" ca="1" si="542"/>
        <v>1681977703519240.8</v>
      </c>
      <c r="AC877" s="20">
        <f t="shared" ca="1" si="543"/>
        <v>402848560151780.19</v>
      </c>
      <c r="AD877" s="20">
        <f t="shared" ca="1" si="544"/>
        <v>303076773281498.5</v>
      </c>
      <c r="AE877" s="20">
        <f t="shared" ca="1" si="545"/>
        <v>6876279122878067</v>
      </c>
      <c r="AG877" s="16">
        <f t="shared" ca="1" si="546"/>
        <v>-2.7785523802207916E-5</v>
      </c>
      <c r="AH877" s="16">
        <f t="shared" ca="1" si="547"/>
        <v>-5.8567017228829588E-4</v>
      </c>
      <c r="AI877" s="16">
        <f t="shared" ca="1" si="548"/>
        <v>-3.6591568623244285E-4</v>
      </c>
      <c r="AJ877" s="16">
        <f t="shared" ca="1" si="549"/>
        <v>-3.1748391674293843E-5</v>
      </c>
      <c r="AK877" s="16">
        <f t="shared" ca="1" si="550"/>
        <v>-1.2643307351829729E-4</v>
      </c>
      <c r="AM877" s="16">
        <f t="shared" ca="1" si="551"/>
        <v>-1.0111197739972404E-3</v>
      </c>
      <c r="AO877" s="16">
        <f t="shared" ca="1" si="552"/>
        <v>-2.7785523802207916E-5</v>
      </c>
      <c r="AP877" s="16">
        <f t="shared" ca="1" si="553"/>
        <v>-5.8567017228829588E-4</v>
      </c>
      <c r="AQ877" s="16">
        <f t="shared" ca="1" si="554"/>
        <v>-3.6591568623244285E-4</v>
      </c>
      <c r="AR877" s="16">
        <f t="shared" ca="1" si="555"/>
        <v>-3.1748391674293843E-5</v>
      </c>
      <c r="AS877" s="16">
        <f t="shared" ca="1" si="556"/>
        <v>-1.2643307351829729E-4</v>
      </c>
    </row>
    <row r="878" spans="1:45" x14ac:dyDescent="0.25">
      <c r="A878" s="69">
        <f t="shared" ca="1" si="557"/>
        <v>2447.1836640230918</v>
      </c>
      <c r="B878" s="69">
        <f t="shared" ca="1" si="558"/>
        <v>2141.5764498712006</v>
      </c>
      <c r="C878" s="69">
        <f t="shared" ca="1" si="559"/>
        <v>2231.8102279570039</v>
      </c>
      <c r="D878" s="69">
        <f t="shared" ca="1" si="560"/>
        <v>2907.3169753485786</v>
      </c>
      <c r="E878" s="69">
        <f t="shared" ca="1" si="561"/>
        <v>1928.0473578004994</v>
      </c>
      <c r="F878" s="69">
        <f t="shared" ca="1" si="562"/>
        <v>1220.9933976454649</v>
      </c>
      <c r="G878" s="69">
        <f t="shared" ca="1" si="563"/>
        <v>971.585740805515</v>
      </c>
      <c r="H878" s="69">
        <f t="shared" ca="1" si="564"/>
        <v>1185.1892456745716</v>
      </c>
      <c r="I878" s="69">
        <f t="shared" ca="1" si="565"/>
        <v>1050.9031969941316</v>
      </c>
      <c r="J878" s="69">
        <f t="shared" ca="1" si="566"/>
        <v>1137.6823431542143</v>
      </c>
      <c r="K878" s="69">
        <f t="shared" ca="1" si="567"/>
        <v>1172.0552341032942</v>
      </c>
      <c r="L878" s="69">
        <f t="shared" ca="1" si="568"/>
        <v>961.67248530278289</v>
      </c>
      <c r="M878" s="69">
        <f t="shared" ca="1" si="569"/>
        <v>995.39072128634746</v>
      </c>
      <c r="N878" s="69">
        <f t="shared" ca="1" si="570"/>
        <v>570.50446304838886</v>
      </c>
      <c r="O878" s="69">
        <f t="shared" ca="1" si="571"/>
        <v>629.15115337659063</v>
      </c>
      <c r="P878" s="69">
        <f t="shared" ca="1" si="572"/>
        <v>720.06081356311699</v>
      </c>
      <c r="Q878" s="69">
        <f t="shared" ca="1" si="573"/>
        <v>959.89576241149621</v>
      </c>
      <c r="R878" s="69">
        <f t="shared" ca="1" si="574"/>
        <v>779.52255157873424</v>
      </c>
      <c r="S878" s="69">
        <f t="shared" ca="1" si="575"/>
        <v>704.71361307160089</v>
      </c>
      <c r="T878" s="69">
        <f t="shared" ca="1" si="576"/>
        <v>798.1863025584521</v>
      </c>
      <c r="U878" s="69">
        <f t="shared" ca="1" si="577"/>
        <v>1695.2713488182915</v>
      </c>
      <c r="V878" s="69">
        <f t="shared" ca="1" si="578"/>
        <v>1913.4869631926633</v>
      </c>
      <c r="W878" s="69">
        <f t="shared" ca="1" si="579"/>
        <v>1184.3403392746668</v>
      </c>
      <c r="X878" s="69">
        <f t="shared" ca="1" si="580"/>
        <v>1491.0849825279868</v>
      </c>
      <c r="Y878" s="69">
        <f t="shared" ca="1" si="581"/>
        <v>1200.2036416523742</v>
      </c>
      <c r="AA878" s="20">
        <f t="shared" ca="1" si="541"/>
        <v>6.5564309542243856E+16</v>
      </c>
      <c r="AB878" s="20">
        <f t="shared" ca="1" si="542"/>
        <v>1680992907758736.5</v>
      </c>
      <c r="AC878" s="20">
        <f t="shared" ca="1" si="543"/>
        <v>402701178510716.13</v>
      </c>
      <c r="AD878" s="20">
        <f t="shared" ca="1" si="544"/>
        <v>303067151234136.06</v>
      </c>
      <c r="AE878" s="20">
        <f t="shared" ca="1" si="545"/>
        <v>6875409788731644</v>
      </c>
      <c r="AG878" s="16">
        <f t="shared" ca="1" si="546"/>
        <v>1.4484759554476054E-4</v>
      </c>
      <c r="AH878" s="16">
        <f t="shared" ca="1" si="547"/>
        <v>-4.7867968496836716E-4</v>
      </c>
      <c r="AI878" s="16">
        <f t="shared" ca="1" si="548"/>
        <v>-7.8152644160983165E-4</v>
      </c>
      <c r="AJ878" s="16">
        <f t="shared" ca="1" si="549"/>
        <v>6.5490758123133393E-4</v>
      </c>
      <c r="AK878" s="16">
        <f t="shared" ca="1" si="550"/>
        <v>-1.8990959958402995E-4</v>
      </c>
      <c r="AM878" s="16">
        <f t="shared" ca="1" si="551"/>
        <v>-4.6045094980210431E-4</v>
      </c>
      <c r="AO878" s="16">
        <f t="shared" ca="1" si="552"/>
        <v>0</v>
      </c>
      <c r="AP878" s="16">
        <f t="shared" ca="1" si="553"/>
        <v>-4.7867968496836716E-4</v>
      </c>
      <c r="AQ878" s="16">
        <f t="shared" ca="1" si="554"/>
        <v>-7.8152644160983165E-4</v>
      </c>
      <c r="AR878" s="16">
        <f t="shared" ca="1" si="555"/>
        <v>0</v>
      </c>
      <c r="AS878" s="16">
        <f t="shared" ca="1" si="556"/>
        <v>-1.8990959958402995E-4</v>
      </c>
    </row>
    <row r="879" spans="1:45" x14ac:dyDescent="0.25">
      <c r="A879" s="69">
        <f t="shared" ca="1" si="557"/>
        <v>2447.1836640230918</v>
      </c>
      <c r="B879" s="69">
        <f t="shared" ca="1" si="558"/>
        <v>2141.9990597112019</v>
      </c>
      <c r="C879" s="69">
        <f t="shared" ca="1" si="559"/>
        <v>2231.8102279570039</v>
      </c>
      <c r="D879" s="69">
        <f t="shared" ca="1" si="560"/>
        <v>2907.1644359153397</v>
      </c>
      <c r="E879" s="69">
        <f t="shared" ca="1" si="561"/>
        <v>1928.0473578004994</v>
      </c>
      <c r="F879" s="69">
        <f t="shared" ca="1" si="562"/>
        <v>1220.529813855238</v>
      </c>
      <c r="G879" s="69">
        <f t="shared" ca="1" si="563"/>
        <v>971.585740805515</v>
      </c>
      <c r="H879" s="69">
        <f t="shared" ca="1" si="564"/>
        <v>1184.7665505430241</v>
      </c>
      <c r="I879" s="69">
        <f t="shared" ca="1" si="565"/>
        <v>1051.262889860003</v>
      </c>
      <c r="J879" s="69">
        <f t="shared" ca="1" si="566"/>
        <v>1137.5862923709124</v>
      </c>
      <c r="K879" s="69">
        <f t="shared" ca="1" si="567"/>
        <v>1172.2460304571491</v>
      </c>
      <c r="L879" s="69">
        <f t="shared" ca="1" si="568"/>
        <v>961.67248530278289</v>
      </c>
      <c r="M879" s="69">
        <f t="shared" ca="1" si="569"/>
        <v>995.39072128634746</v>
      </c>
      <c r="N879" s="69">
        <f t="shared" ca="1" si="570"/>
        <v>570.22984633861722</v>
      </c>
      <c r="O879" s="69">
        <f t="shared" ca="1" si="571"/>
        <v>628.86003231689187</v>
      </c>
      <c r="P879" s="69">
        <f t="shared" ca="1" si="572"/>
        <v>719.77134200986109</v>
      </c>
      <c r="Q879" s="69">
        <f t="shared" ca="1" si="573"/>
        <v>960.39146350838064</v>
      </c>
      <c r="R879" s="69">
        <f t="shared" ca="1" si="574"/>
        <v>779.59985263120859</v>
      </c>
      <c r="S879" s="69">
        <f t="shared" ca="1" si="575"/>
        <v>705.02485547360209</v>
      </c>
      <c r="T879" s="69">
        <f t="shared" ca="1" si="576"/>
        <v>798.1863025584521</v>
      </c>
      <c r="U879" s="69">
        <f t="shared" ca="1" si="577"/>
        <v>1695.2713488182915</v>
      </c>
      <c r="V879" s="69">
        <f t="shared" ca="1" si="578"/>
        <v>1913.3811143806099</v>
      </c>
      <c r="W879" s="69">
        <f t="shared" ca="1" si="579"/>
        <v>1184.3403392746668</v>
      </c>
      <c r="X879" s="69">
        <f t="shared" ca="1" si="580"/>
        <v>1490.8562525817401</v>
      </c>
      <c r="Y879" s="69">
        <f t="shared" ca="1" si="581"/>
        <v>1200.2262288144996</v>
      </c>
      <c r="AA879" s="20">
        <f t="shared" ca="1" si="541"/>
        <v>6.5573807062664488E+16</v>
      </c>
      <c r="AB879" s="20">
        <f t="shared" ca="1" si="542"/>
        <v>1680188443159008</v>
      </c>
      <c r="AC879" s="20">
        <f t="shared" ca="1" si="543"/>
        <v>402386579841244.56</v>
      </c>
      <c r="AD879" s="20">
        <f t="shared" ca="1" si="544"/>
        <v>303265697216639.63</v>
      </c>
      <c r="AE879" s="20">
        <f t="shared" ca="1" si="545"/>
        <v>6874104206386924</v>
      </c>
      <c r="AG879" s="16">
        <f t="shared" ca="1" si="546"/>
        <v>5.2424523746389714E-5</v>
      </c>
      <c r="AH879" s="16">
        <f t="shared" ca="1" si="547"/>
        <v>9.0321226331526708E-4</v>
      </c>
      <c r="AI879" s="16">
        <f t="shared" ca="1" si="548"/>
        <v>-5.9688471608982795E-4</v>
      </c>
      <c r="AJ879" s="16">
        <f t="shared" ca="1" si="549"/>
        <v>2.1664373664279763E-4</v>
      </c>
      <c r="AK879" s="16">
        <f t="shared" ca="1" si="550"/>
        <v>1.031648993420109E-4</v>
      </c>
      <c r="AM879" s="16">
        <f t="shared" ca="1" si="551"/>
        <v>5.7539580761462646E-4</v>
      </c>
      <c r="AO879" s="16">
        <f t="shared" ca="1" si="552"/>
        <v>0</v>
      </c>
      <c r="AP879" s="16">
        <f t="shared" ca="1" si="553"/>
        <v>0</v>
      </c>
      <c r="AQ879" s="16">
        <f t="shared" ca="1" si="554"/>
        <v>-5.9688471608982795E-4</v>
      </c>
      <c r="AR879" s="16">
        <f t="shared" ca="1" si="555"/>
        <v>0</v>
      </c>
      <c r="AS879" s="16">
        <f t="shared" ca="1" si="556"/>
        <v>0</v>
      </c>
    </row>
    <row r="880" spans="1:45" x14ac:dyDescent="0.25">
      <c r="A880" s="69">
        <f t="shared" ca="1" si="557"/>
        <v>2447.3327071099857</v>
      </c>
      <c r="B880" s="69">
        <f t="shared" ca="1" si="558"/>
        <v>2141.6341399493926</v>
      </c>
      <c r="C880" s="69">
        <f t="shared" ca="1" si="559"/>
        <v>2231.9454612786453</v>
      </c>
      <c r="D880" s="69">
        <f t="shared" ca="1" si="560"/>
        <v>2907.1685223620143</v>
      </c>
      <c r="E880" s="69">
        <f t="shared" ca="1" si="561"/>
        <v>1928.2399865061457</v>
      </c>
      <c r="F880" s="69">
        <f t="shared" ca="1" si="562"/>
        <v>1220.529813855238</v>
      </c>
      <c r="G880" s="69">
        <f t="shared" ca="1" si="563"/>
        <v>972.08397425806504</v>
      </c>
      <c r="H880" s="69">
        <f t="shared" ca="1" si="564"/>
        <v>1184.7828264546313</v>
      </c>
      <c r="I880" s="69">
        <f t="shared" ca="1" si="565"/>
        <v>1051.2335272678081</v>
      </c>
      <c r="J880" s="69">
        <f t="shared" ca="1" si="566"/>
        <v>1138.046804160268</v>
      </c>
      <c r="K880" s="69">
        <f t="shared" ca="1" si="567"/>
        <v>1172.2460304571491</v>
      </c>
      <c r="L880" s="69">
        <f t="shared" ca="1" si="568"/>
        <v>961.68814770205336</v>
      </c>
      <c r="M880" s="69">
        <f t="shared" ca="1" si="569"/>
        <v>995.03445886434247</v>
      </c>
      <c r="N880" s="69">
        <f t="shared" ca="1" si="570"/>
        <v>570.34046668648955</v>
      </c>
      <c r="O880" s="69">
        <f t="shared" ca="1" si="571"/>
        <v>628.57763146971081</v>
      </c>
      <c r="P880" s="69">
        <f t="shared" ca="1" si="572"/>
        <v>719.29398210488773</v>
      </c>
      <c r="Q880" s="69">
        <f t="shared" ca="1" si="573"/>
        <v>960.50620848374876</v>
      </c>
      <c r="R880" s="69">
        <f t="shared" ca="1" si="574"/>
        <v>780.02658071983149</v>
      </c>
      <c r="S880" s="69">
        <f t="shared" ca="1" si="575"/>
        <v>705.02485547360209</v>
      </c>
      <c r="T880" s="69">
        <f t="shared" ca="1" si="576"/>
        <v>798.35664230871737</v>
      </c>
      <c r="U880" s="69">
        <f t="shared" ca="1" si="577"/>
        <v>1695.2713488182915</v>
      </c>
      <c r="V880" s="69">
        <f t="shared" ca="1" si="578"/>
        <v>1913.3876656964371</v>
      </c>
      <c r="W880" s="69">
        <f t="shared" ca="1" si="579"/>
        <v>1184.0830191845669</v>
      </c>
      <c r="X880" s="69">
        <f t="shared" ca="1" si="580"/>
        <v>1491.2816202428376</v>
      </c>
      <c r="Y880" s="69">
        <f t="shared" ca="1" si="581"/>
        <v>1200.2643441325731</v>
      </c>
      <c r="AA880" s="20">
        <f t="shared" ca="1" si="541"/>
        <v>6.5577244828380816E+16</v>
      </c>
      <c r="AB880" s="20">
        <f t="shared" ca="1" si="542"/>
        <v>1681706695514408</v>
      </c>
      <c r="AC880" s="20">
        <f t="shared" ca="1" si="543"/>
        <v>402146473106926.25</v>
      </c>
      <c r="AD880" s="20">
        <f t="shared" ca="1" si="544"/>
        <v>303331404947807.44</v>
      </c>
      <c r="AE880" s="20">
        <f t="shared" ca="1" si="545"/>
        <v>6874813409237233</v>
      </c>
      <c r="AG880" s="16">
        <f t="shared" ca="1" si="546"/>
        <v>-7.0856584351398487E-5</v>
      </c>
      <c r="AH880" s="16">
        <f t="shared" ca="1" si="547"/>
        <v>-2.6464312447940628E-4</v>
      </c>
      <c r="AI880" s="16">
        <f t="shared" ca="1" si="548"/>
        <v>1.6652357736461688E-4</v>
      </c>
      <c r="AJ880" s="16">
        <f t="shared" ca="1" si="549"/>
        <v>-2.5418849819076959E-4</v>
      </c>
      <c r="AK880" s="16">
        <f t="shared" ca="1" si="550"/>
        <v>-4.9871183027640925E-4</v>
      </c>
      <c r="AM880" s="16">
        <f t="shared" ca="1" si="551"/>
        <v>-4.231646296569575E-4</v>
      </c>
      <c r="AO880" s="16">
        <f t="shared" ca="1" si="552"/>
        <v>-7.0856584351398487E-5</v>
      </c>
      <c r="AP880" s="16">
        <f t="shared" ca="1" si="553"/>
        <v>-2.6464312447940628E-4</v>
      </c>
      <c r="AQ880" s="16">
        <f t="shared" ca="1" si="554"/>
        <v>0</v>
      </c>
      <c r="AR880" s="16">
        <f t="shared" ca="1" si="555"/>
        <v>-2.5418849819076959E-4</v>
      </c>
      <c r="AS880" s="16">
        <f t="shared" ca="1" si="556"/>
        <v>-4.9871183027640925E-4</v>
      </c>
    </row>
    <row r="881" spans="1:45" x14ac:dyDescent="0.25">
      <c r="A881" s="69">
        <f t="shared" ca="1" si="557"/>
        <v>2447.3637146643746</v>
      </c>
      <c r="B881" s="69">
        <f t="shared" ca="1" si="558"/>
        <v>2141.6005332400264</v>
      </c>
      <c r="C881" s="69">
        <f t="shared" ca="1" si="559"/>
        <v>2232.0628104897205</v>
      </c>
      <c r="D881" s="69">
        <f t="shared" ca="1" si="560"/>
        <v>2907.1685223620143</v>
      </c>
      <c r="E881" s="69">
        <f t="shared" ca="1" si="561"/>
        <v>1928.007821210877</v>
      </c>
      <c r="F881" s="69">
        <f t="shared" ca="1" si="562"/>
        <v>1220.4851948277251</v>
      </c>
      <c r="G881" s="69">
        <f t="shared" ca="1" si="563"/>
        <v>972.08397425806504</v>
      </c>
      <c r="H881" s="69">
        <f t="shared" ca="1" si="564"/>
        <v>1185.0112206272386</v>
      </c>
      <c r="I881" s="69">
        <f t="shared" ca="1" si="565"/>
        <v>1051.2304331211799</v>
      </c>
      <c r="J881" s="69">
        <f t="shared" ca="1" si="566"/>
        <v>1137.5713177939272</v>
      </c>
      <c r="K881" s="69">
        <f t="shared" ca="1" si="567"/>
        <v>1172.2460304571491</v>
      </c>
      <c r="L881" s="69">
        <f t="shared" ca="1" si="568"/>
        <v>961.68814770205336</v>
      </c>
      <c r="M881" s="69">
        <f t="shared" ca="1" si="569"/>
        <v>995.48866796634252</v>
      </c>
      <c r="N881" s="69">
        <f t="shared" ca="1" si="570"/>
        <v>570.26793077194463</v>
      </c>
      <c r="O881" s="69">
        <f t="shared" ca="1" si="571"/>
        <v>628.47539540521268</v>
      </c>
      <c r="P881" s="69">
        <f t="shared" ca="1" si="572"/>
        <v>719.29398210488773</v>
      </c>
      <c r="Q881" s="69">
        <f t="shared" ca="1" si="573"/>
        <v>960.50620848374876</v>
      </c>
      <c r="R881" s="69">
        <f t="shared" ca="1" si="574"/>
        <v>780.02658071983149</v>
      </c>
      <c r="S881" s="69">
        <f t="shared" ca="1" si="575"/>
        <v>704.8456690389321</v>
      </c>
      <c r="T881" s="69">
        <f t="shared" ca="1" si="576"/>
        <v>798.35664230871737</v>
      </c>
      <c r="U881" s="69">
        <f t="shared" ca="1" si="577"/>
        <v>1695.188449169176</v>
      </c>
      <c r="V881" s="69">
        <f t="shared" ca="1" si="578"/>
        <v>1913.0887120715329</v>
      </c>
      <c r="W881" s="69">
        <f t="shared" ca="1" si="579"/>
        <v>1184.2021434873193</v>
      </c>
      <c r="X881" s="69">
        <f t="shared" ca="1" si="580"/>
        <v>1491.0560050802787</v>
      </c>
      <c r="Y881" s="69">
        <f t="shared" ca="1" si="581"/>
        <v>1199.9728910705953</v>
      </c>
      <c r="AA881" s="20">
        <f t="shared" ca="1" si="541"/>
        <v>6.5572598413417592E+16</v>
      </c>
      <c r="AB881" s="20">
        <f t="shared" ca="1" si="542"/>
        <v>1681261702284845.5</v>
      </c>
      <c r="AC881" s="20">
        <f t="shared" ca="1" si="543"/>
        <v>402213445552343.38</v>
      </c>
      <c r="AD881" s="20">
        <f t="shared" ca="1" si="544"/>
        <v>303254311392092.31</v>
      </c>
      <c r="AE881" s="20">
        <f t="shared" ca="1" si="545"/>
        <v>6871385713246417</v>
      </c>
      <c r="AG881" s="16">
        <f t="shared" ca="1" si="546"/>
        <v>4.0119519282284714E-5</v>
      </c>
      <c r="AH881" s="16">
        <f t="shared" ca="1" si="547"/>
        <v>-5.3927535743574135E-4</v>
      </c>
      <c r="AI881" s="16">
        <f t="shared" ca="1" si="548"/>
        <v>-4.6274612524702357E-4</v>
      </c>
      <c r="AJ881" s="16">
        <f t="shared" ca="1" si="549"/>
        <v>-1.0179078863733712E-4</v>
      </c>
      <c r="AK881" s="16">
        <f t="shared" ca="1" si="550"/>
        <v>4.7187251710711545E-4</v>
      </c>
      <c r="AM881" s="16">
        <f t="shared" ca="1" si="551"/>
        <v>-1.0636927520378172E-3</v>
      </c>
      <c r="AO881" s="16">
        <f t="shared" ca="1" si="552"/>
        <v>0</v>
      </c>
      <c r="AP881" s="16">
        <f t="shared" ca="1" si="553"/>
        <v>-5.3927535743574135E-4</v>
      </c>
      <c r="AQ881" s="16">
        <f t="shared" ca="1" si="554"/>
        <v>-4.6274612524702357E-4</v>
      </c>
      <c r="AR881" s="16">
        <f t="shared" ca="1" si="555"/>
        <v>-1.0179078863733712E-4</v>
      </c>
      <c r="AS881" s="16">
        <f t="shared" ca="1" si="556"/>
        <v>0</v>
      </c>
    </row>
    <row r="882" spans="1:45" x14ac:dyDescent="0.25">
      <c r="A882" s="69">
        <f t="shared" ca="1" si="557"/>
        <v>2446.9902214659446</v>
      </c>
      <c r="B882" s="69">
        <f t="shared" ca="1" si="558"/>
        <v>2142.0316805295597</v>
      </c>
      <c r="C882" s="69">
        <f t="shared" ca="1" si="559"/>
        <v>2232.0628104897205</v>
      </c>
      <c r="D882" s="69">
        <f t="shared" ca="1" si="560"/>
        <v>2907.1685223620143</v>
      </c>
      <c r="E882" s="69">
        <f t="shared" ca="1" si="561"/>
        <v>1927.9913208488219</v>
      </c>
      <c r="F882" s="69">
        <f t="shared" ca="1" si="562"/>
        <v>1220.5780775266335</v>
      </c>
      <c r="G882" s="69">
        <f t="shared" ca="1" si="563"/>
        <v>972.08397425806504</v>
      </c>
      <c r="H882" s="69">
        <f t="shared" ca="1" si="564"/>
        <v>1185.0112206272386</v>
      </c>
      <c r="I882" s="69">
        <f t="shared" ca="1" si="565"/>
        <v>1050.9292169756259</v>
      </c>
      <c r="J882" s="69">
        <f t="shared" ca="1" si="566"/>
        <v>1137.1973483857532</v>
      </c>
      <c r="K882" s="69">
        <f t="shared" ca="1" si="567"/>
        <v>1171.9199547475969</v>
      </c>
      <c r="L882" s="69">
        <f t="shared" ca="1" si="568"/>
        <v>961.78937837762328</v>
      </c>
      <c r="M882" s="69">
        <f t="shared" ca="1" si="569"/>
        <v>995.38941813996962</v>
      </c>
      <c r="N882" s="69">
        <f t="shared" ca="1" si="570"/>
        <v>570.39141256426365</v>
      </c>
      <c r="O882" s="69">
        <f t="shared" ca="1" si="571"/>
        <v>628.21990477336749</v>
      </c>
      <c r="P882" s="69">
        <f t="shared" ca="1" si="572"/>
        <v>719.39272671066055</v>
      </c>
      <c r="Q882" s="69">
        <f t="shared" ca="1" si="573"/>
        <v>960.36903430892778</v>
      </c>
      <c r="R882" s="69">
        <f t="shared" ca="1" si="574"/>
        <v>779.81485500747738</v>
      </c>
      <c r="S882" s="69">
        <f t="shared" ca="1" si="575"/>
        <v>705.27055097786115</v>
      </c>
      <c r="T882" s="69">
        <f t="shared" ca="1" si="576"/>
        <v>798.01550911408708</v>
      </c>
      <c r="U882" s="69">
        <f t="shared" ca="1" si="577"/>
        <v>1695.188449169176</v>
      </c>
      <c r="V882" s="69">
        <f t="shared" ca="1" si="578"/>
        <v>1913.0887120715329</v>
      </c>
      <c r="W882" s="69">
        <f t="shared" ca="1" si="579"/>
        <v>1184.2021434873193</v>
      </c>
      <c r="X882" s="69">
        <f t="shared" ca="1" si="580"/>
        <v>1491.1901192005159</v>
      </c>
      <c r="Y882" s="69">
        <f t="shared" ca="1" si="581"/>
        <v>1200.4312852475916</v>
      </c>
      <c r="AA882" s="20">
        <f t="shared" ca="1" si="541"/>
        <v>6.5575229207316776E+16</v>
      </c>
      <c r="AB882" s="20">
        <f t="shared" ca="1" si="542"/>
        <v>1680355283705971.3</v>
      </c>
      <c r="AC882" s="20">
        <f t="shared" ca="1" si="543"/>
        <v>402027365896032.25</v>
      </c>
      <c r="AD882" s="20">
        <f t="shared" ca="1" si="544"/>
        <v>303223444467589</v>
      </c>
      <c r="AE882" s="20">
        <f t="shared" ca="1" si="545"/>
        <v>6874628896443272</v>
      </c>
      <c r="AG882" s="16">
        <f t="shared" ca="1" si="546"/>
        <v>2.0911922779827559E-4</v>
      </c>
      <c r="AH882" s="16">
        <f t="shared" ca="1" si="547"/>
        <v>-2.9625973153254927E-4</v>
      </c>
      <c r="AI882" s="16">
        <f t="shared" ca="1" si="548"/>
        <v>-2.4214691331633458E-4</v>
      </c>
      <c r="AJ882" s="16">
        <f t="shared" ca="1" si="549"/>
        <v>-9.3853157655753906E-4</v>
      </c>
      <c r="AK882" s="16">
        <f t="shared" ca="1" si="550"/>
        <v>5.0253439164080443E-4</v>
      </c>
      <c r="AM882" s="16">
        <f t="shared" ca="1" si="551"/>
        <v>-1.2678189936081473E-3</v>
      </c>
      <c r="AO882" s="16">
        <f t="shared" ca="1" si="552"/>
        <v>0</v>
      </c>
      <c r="AP882" s="16">
        <f t="shared" ca="1" si="553"/>
        <v>-2.9625973153254927E-4</v>
      </c>
      <c r="AQ882" s="16">
        <f t="shared" ca="1" si="554"/>
        <v>-2.4214691331633458E-4</v>
      </c>
      <c r="AR882" s="16">
        <f t="shared" ca="1" si="555"/>
        <v>-9.3853157655753906E-4</v>
      </c>
      <c r="AS882" s="16">
        <f t="shared" ca="1" si="556"/>
        <v>0</v>
      </c>
    </row>
    <row r="883" spans="1:45" x14ac:dyDescent="0.25">
      <c r="A883" s="69">
        <f t="shared" ca="1" si="557"/>
        <v>2446.9902214659446</v>
      </c>
      <c r="B883" s="69">
        <f t="shared" ca="1" si="558"/>
        <v>2142.3363673901385</v>
      </c>
      <c r="C883" s="69">
        <f t="shared" ca="1" si="559"/>
        <v>2232.2121122443154</v>
      </c>
      <c r="D883" s="69">
        <f t="shared" ca="1" si="560"/>
        <v>2907.1685223620143</v>
      </c>
      <c r="E883" s="69">
        <f t="shared" ca="1" si="561"/>
        <v>1927.9913208488219</v>
      </c>
      <c r="F883" s="69">
        <f t="shared" ca="1" si="562"/>
        <v>1220.1038645021733</v>
      </c>
      <c r="G883" s="69">
        <f t="shared" ca="1" si="563"/>
        <v>972.44050117124641</v>
      </c>
      <c r="H883" s="69">
        <f t="shared" ca="1" si="564"/>
        <v>1185.0112206272386</v>
      </c>
      <c r="I883" s="69">
        <f t="shared" ca="1" si="565"/>
        <v>1050.640915769882</v>
      </c>
      <c r="J883" s="69">
        <f t="shared" ca="1" si="566"/>
        <v>1137.1973483857532</v>
      </c>
      <c r="K883" s="69">
        <f t="shared" ca="1" si="567"/>
        <v>1171.9199547475969</v>
      </c>
      <c r="L883" s="69">
        <f t="shared" ca="1" si="568"/>
        <v>961.49321788968405</v>
      </c>
      <c r="M883" s="69">
        <f t="shared" ca="1" si="569"/>
        <v>995.04704426746696</v>
      </c>
      <c r="N883" s="69">
        <f t="shared" ca="1" si="570"/>
        <v>570.45816653666679</v>
      </c>
      <c r="O883" s="69">
        <f t="shared" ca="1" si="571"/>
        <v>628.40388764790896</v>
      </c>
      <c r="P883" s="69">
        <f t="shared" ca="1" si="572"/>
        <v>719.12729957974773</v>
      </c>
      <c r="Q883" s="69">
        <f t="shared" ca="1" si="573"/>
        <v>960.36903430892778</v>
      </c>
      <c r="R883" s="69">
        <f t="shared" ca="1" si="574"/>
        <v>779.55328004815658</v>
      </c>
      <c r="S883" s="69">
        <f t="shared" ca="1" si="575"/>
        <v>705.27055097786115</v>
      </c>
      <c r="T883" s="69">
        <f t="shared" ca="1" si="576"/>
        <v>797.82878327974538</v>
      </c>
      <c r="U883" s="69">
        <f t="shared" ca="1" si="577"/>
        <v>1695.6089679225145</v>
      </c>
      <c r="V883" s="69">
        <f t="shared" ca="1" si="578"/>
        <v>1913.3858591802909</v>
      </c>
      <c r="W883" s="69">
        <f t="shared" ca="1" si="579"/>
        <v>1184.4544466788159</v>
      </c>
      <c r="X883" s="69">
        <f t="shared" ca="1" si="580"/>
        <v>1490.7314510771625</v>
      </c>
      <c r="Y883" s="69">
        <f t="shared" ca="1" si="581"/>
        <v>1200.6639341548689</v>
      </c>
      <c r="AA883" s="20">
        <f t="shared" ca="1" si="541"/>
        <v>6.558894368254156E+16</v>
      </c>
      <c r="AB883" s="20">
        <f t="shared" ca="1" si="542"/>
        <v>1679857535835707</v>
      </c>
      <c r="AC883" s="20">
        <f t="shared" ca="1" si="543"/>
        <v>401930027995823.5</v>
      </c>
      <c r="AD883" s="20">
        <f t="shared" ca="1" si="544"/>
        <v>302938993194334.31</v>
      </c>
      <c r="AE883" s="20">
        <f t="shared" ca="1" si="545"/>
        <v>6878084502101122</v>
      </c>
      <c r="AG883" s="16">
        <f t="shared" ca="1" si="546"/>
        <v>-6.6504226360506862E-5</v>
      </c>
      <c r="AH883" s="16">
        <f t="shared" ca="1" si="547"/>
        <v>1.0111081659338728E-4</v>
      </c>
      <c r="AI883" s="16">
        <f t="shared" ca="1" si="548"/>
        <v>-2.5963009287377996E-4</v>
      </c>
      <c r="AJ883" s="16">
        <f t="shared" ca="1" si="549"/>
        <v>7.3427076761258263E-4</v>
      </c>
      <c r="AK883" s="16">
        <f t="shared" ca="1" si="550"/>
        <v>5.7775107332307942E-4</v>
      </c>
      <c r="AM883" s="16">
        <f t="shared" ca="1" si="551"/>
        <v>5.0924726497168305E-4</v>
      </c>
      <c r="AO883" s="16">
        <f t="shared" ca="1" si="552"/>
        <v>-6.6504226360506862E-5</v>
      </c>
      <c r="AP883" s="16">
        <f t="shared" ca="1" si="553"/>
        <v>0</v>
      </c>
      <c r="AQ883" s="16">
        <f t="shared" ca="1" si="554"/>
        <v>-2.5963009287377996E-4</v>
      </c>
      <c r="AR883" s="16">
        <f t="shared" ca="1" si="555"/>
        <v>0</v>
      </c>
      <c r="AS883" s="16">
        <f t="shared" ca="1" si="556"/>
        <v>0</v>
      </c>
    </row>
    <row r="884" spans="1:45" x14ac:dyDescent="0.25">
      <c r="A884" s="69">
        <f t="shared" ca="1" si="557"/>
        <v>2446.8486677918631</v>
      </c>
      <c r="B884" s="69">
        <f t="shared" ca="1" si="558"/>
        <v>2142.1242905308827</v>
      </c>
      <c r="C884" s="69">
        <f t="shared" ca="1" si="559"/>
        <v>2232.2121122443154</v>
      </c>
      <c r="D884" s="69">
        <f t="shared" ca="1" si="560"/>
        <v>2907.659365036443</v>
      </c>
      <c r="E884" s="69">
        <f t="shared" ca="1" si="561"/>
        <v>1927.8400164686132</v>
      </c>
      <c r="F884" s="69">
        <f t="shared" ca="1" si="562"/>
        <v>1219.7823359861923</v>
      </c>
      <c r="G884" s="69">
        <f t="shared" ca="1" si="563"/>
        <v>972.44050117124641</v>
      </c>
      <c r="H884" s="69">
        <f t="shared" ca="1" si="564"/>
        <v>1185.0112206272386</v>
      </c>
      <c r="I884" s="69">
        <f t="shared" ca="1" si="565"/>
        <v>1050.640915769882</v>
      </c>
      <c r="J884" s="69">
        <f t="shared" ca="1" si="566"/>
        <v>1137.6121269887205</v>
      </c>
      <c r="K884" s="69">
        <f t="shared" ca="1" si="567"/>
        <v>1171.938049129292</v>
      </c>
      <c r="L884" s="69">
        <f t="shared" ca="1" si="568"/>
        <v>961.93047443197963</v>
      </c>
      <c r="M884" s="69">
        <f t="shared" ca="1" si="569"/>
        <v>994.54897321838905</v>
      </c>
      <c r="N884" s="69">
        <f t="shared" ca="1" si="570"/>
        <v>570.11608279404027</v>
      </c>
      <c r="O884" s="69">
        <f t="shared" ca="1" si="571"/>
        <v>628.63693396219105</v>
      </c>
      <c r="P884" s="69">
        <f t="shared" ca="1" si="572"/>
        <v>719.12729957974773</v>
      </c>
      <c r="Q884" s="69">
        <f t="shared" ca="1" si="573"/>
        <v>960.61214261656301</v>
      </c>
      <c r="R884" s="69">
        <f t="shared" ca="1" si="574"/>
        <v>779.55328004815658</v>
      </c>
      <c r="S884" s="69">
        <f t="shared" ca="1" si="575"/>
        <v>705.24833647995797</v>
      </c>
      <c r="T884" s="69">
        <f t="shared" ca="1" si="576"/>
        <v>798.23790354442326</v>
      </c>
      <c r="U884" s="69">
        <f t="shared" ca="1" si="577"/>
        <v>1695.6089679225145</v>
      </c>
      <c r="V884" s="69">
        <f t="shared" ca="1" si="578"/>
        <v>1913.6739887238919</v>
      </c>
      <c r="W884" s="69">
        <f t="shared" ca="1" si="579"/>
        <v>1184.6822369233803</v>
      </c>
      <c r="X884" s="69">
        <f t="shared" ca="1" si="580"/>
        <v>1490.7314510771625</v>
      </c>
      <c r="Y884" s="69">
        <f t="shared" ca="1" si="581"/>
        <v>1200.9459769246794</v>
      </c>
      <c r="AA884" s="20">
        <f t="shared" ca="1" si="541"/>
        <v>6.558458188562472E+16</v>
      </c>
      <c r="AB884" s="20">
        <f t="shared" ca="1" si="542"/>
        <v>1680027396190130.8</v>
      </c>
      <c r="AC884" s="20">
        <f t="shared" ca="1" si="543"/>
        <v>401825688410760.38</v>
      </c>
      <c r="AD884" s="20">
        <f t="shared" ca="1" si="544"/>
        <v>303161514126717.06</v>
      </c>
      <c r="AE884" s="20">
        <f t="shared" ca="1" si="545"/>
        <v>6882059470965312</v>
      </c>
      <c r="AG884" s="16">
        <f t="shared" ca="1" si="546"/>
        <v>-2.0901660799418274E-4</v>
      </c>
      <c r="AH884" s="16">
        <f t="shared" ca="1" si="547"/>
        <v>-2.708863352896421E-4</v>
      </c>
      <c r="AI884" s="16">
        <f t="shared" ca="1" si="548"/>
        <v>-1.1477546844149756E-3</v>
      </c>
      <c r="AJ884" s="16">
        <f t="shared" ca="1" si="549"/>
        <v>4.5626921675973801E-4</v>
      </c>
      <c r="AK884" s="16">
        <f t="shared" ca="1" si="550"/>
        <v>8.2223554089518773E-6</v>
      </c>
      <c r="AM884" s="16">
        <f t="shared" ca="1" si="551"/>
        <v>-1.1713884109390625E-3</v>
      </c>
      <c r="AO884" s="16">
        <f t="shared" ca="1" si="552"/>
        <v>-2.0901660799418274E-4</v>
      </c>
      <c r="AP884" s="16">
        <f t="shared" ca="1" si="553"/>
        <v>-2.708863352896421E-4</v>
      </c>
      <c r="AQ884" s="16">
        <f t="shared" ca="1" si="554"/>
        <v>-1.1477546844149756E-3</v>
      </c>
      <c r="AR884" s="16">
        <f t="shared" ca="1" si="555"/>
        <v>0</v>
      </c>
      <c r="AS884" s="16">
        <f t="shared" ca="1" si="556"/>
        <v>0</v>
      </c>
    </row>
    <row r="885" spans="1:45" x14ac:dyDescent="0.25">
      <c r="A885" s="69">
        <f t="shared" ca="1" si="557"/>
        <v>2446.7173503833383</v>
      </c>
      <c r="B885" s="69">
        <f t="shared" ca="1" si="558"/>
        <v>2142.1242905308827</v>
      </c>
      <c r="C885" s="69">
        <f t="shared" ca="1" si="559"/>
        <v>2231.7901531754878</v>
      </c>
      <c r="D885" s="69">
        <f t="shared" ca="1" si="560"/>
        <v>2907.4407483036548</v>
      </c>
      <c r="E885" s="69">
        <f t="shared" ca="1" si="561"/>
        <v>1928.049953866707</v>
      </c>
      <c r="F885" s="69">
        <f t="shared" ca="1" si="562"/>
        <v>1219.7823359861923</v>
      </c>
      <c r="G885" s="69">
        <f t="shared" ca="1" si="563"/>
        <v>972.44050117124641</v>
      </c>
      <c r="H885" s="69">
        <f t="shared" ca="1" si="564"/>
        <v>1185.0112206272386</v>
      </c>
      <c r="I885" s="69">
        <f t="shared" ca="1" si="565"/>
        <v>1050.640915769882</v>
      </c>
      <c r="J885" s="69">
        <f t="shared" ca="1" si="566"/>
        <v>1137.3040051435426</v>
      </c>
      <c r="K885" s="69">
        <f t="shared" ca="1" si="567"/>
        <v>1172.1381562348561</v>
      </c>
      <c r="L885" s="69">
        <f t="shared" ca="1" si="568"/>
        <v>961.82244121542919</v>
      </c>
      <c r="M885" s="69">
        <f t="shared" ca="1" si="569"/>
        <v>994.3489063279369</v>
      </c>
      <c r="N885" s="69">
        <f t="shared" ca="1" si="570"/>
        <v>569.85439855134155</v>
      </c>
      <c r="O885" s="69">
        <f t="shared" ca="1" si="571"/>
        <v>628.2938652747664</v>
      </c>
      <c r="P885" s="69">
        <f t="shared" ca="1" si="572"/>
        <v>719.12729957974773</v>
      </c>
      <c r="Q885" s="69">
        <f t="shared" ca="1" si="573"/>
        <v>960.61214261656301</v>
      </c>
      <c r="R885" s="69">
        <f t="shared" ca="1" si="574"/>
        <v>779.84566250251692</v>
      </c>
      <c r="S885" s="69">
        <f t="shared" ca="1" si="575"/>
        <v>704.98507984325261</v>
      </c>
      <c r="T885" s="69">
        <f t="shared" ca="1" si="576"/>
        <v>798.60088678949796</v>
      </c>
      <c r="U885" s="69">
        <f t="shared" ca="1" si="577"/>
        <v>1695.9508771928729</v>
      </c>
      <c r="V885" s="69">
        <f t="shared" ca="1" si="578"/>
        <v>1913.7789176357046</v>
      </c>
      <c r="W885" s="69">
        <f t="shared" ca="1" si="579"/>
        <v>1184.6822369233803</v>
      </c>
      <c r="X885" s="69">
        <f t="shared" ca="1" si="580"/>
        <v>1490.7314510771625</v>
      </c>
      <c r="Y885" s="69">
        <f t="shared" ca="1" si="581"/>
        <v>1200.6479020394058</v>
      </c>
      <c r="AA885" s="20">
        <f t="shared" ca="1" si="541"/>
        <v>6.5570875051310176E+16</v>
      </c>
      <c r="AB885" s="20">
        <f t="shared" ca="1" si="542"/>
        <v>1679572361359732</v>
      </c>
      <c r="AC885" s="20">
        <f t="shared" ca="1" si="543"/>
        <v>401364755664028.75</v>
      </c>
      <c r="AD885" s="20">
        <f t="shared" ca="1" si="544"/>
        <v>303299868954443.56</v>
      </c>
      <c r="AE885" s="20">
        <f t="shared" ca="1" si="545"/>
        <v>6882116057936867</v>
      </c>
      <c r="AG885" s="16">
        <f t="shared" ca="1" si="546"/>
        <v>2.1505736486541894E-4</v>
      </c>
      <c r="AH885" s="16">
        <f t="shared" ca="1" si="547"/>
        <v>-8.992386622317629E-5</v>
      </c>
      <c r="AI885" s="16">
        <f t="shared" ca="1" si="548"/>
        <v>8.6002240310405979E-4</v>
      </c>
      <c r="AJ885" s="16">
        <f t="shared" ca="1" si="549"/>
        <v>1.1429354883582597E-4</v>
      </c>
      <c r="AK885" s="16">
        <f t="shared" ca="1" si="550"/>
        <v>1.8971824475781031E-4</v>
      </c>
      <c r="AM885" s="16">
        <f t="shared" ca="1" si="551"/>
        <v>1.0994494505821282E-3</v>
      </c>
      <c r="AO885" s="16">
        <f t="shared" ca="1" si="552"/>
        <v>0</v>
      </c>
      <c r="AP885" s="16">
        <f t="shared" ca="1" si="553"/>
        <v>-8.992386622317629E-5</v>
      </c>
      <c r="AQ885" s="16">
        <f t="shared" ca="1" si="554"/>
        <v>0</v>
      </c>
      <c r="AR885" s="16">
        <f t="shared" ca="1" si="555"/>
        <v>0</v>
      </c>
      <c r="AS885" s="16">
        <f t="shared" ca="1" si="556"/>
        <v>0</v>
      </c>
    </row>
    <row r="886" spans="1:45" x14ac:dyDescent="0.25">
      <c r="A886" s="69">
        <f t="shared" ca="1" si="557"/>
        <v>2446.7173503833383</v>
      </c>
      <c r="B886" s="69">
        <f t="shared" ca="1" si="558"/>
        <v>2142.5923275096179</v>
      </c>
      <c r="C886" s="69">
        <f t="shared" ca="1" si="559"/>
        <v>2231.7901531754878</v>
      </c>
      <c r="D886" s="69">
        <f t="shared" ca="1" si="560"/>
        <v>2907.4532219035809</v>
      </c>
      <c r="E886" s="69">
        <f t="shared" ca="1" si="561"/>
        <v>1928.0351060610758</v>
      </c>
      <c r="F886" s="69">
        <f t="shared" ca="1" si="562"/>
        <v>1219.7823359861923</v>
      </c>
      <c r="G886" s="69">
        <f t="shared" ca="1" si="563"/>
        <v>972.1497255979391</v>
      </c>
      <c r="H886" s="69">
        <f t="shared" ca="1" si="564"/>
        <v>1185.0112206272386</v>
      </c>
      <c r="I886" s="69">
        <f t="shared" ca="1" si="565"/>
        <v>1050.640915769882</v>
      </c>
      <c r="J886" s="69">
        <f t="shared" ca="1" si="566"/>
        <v>1137.5418825481265</v>
      </c>
      <c r="K886" s="69">
        <f t="shared" ca="1" si="567"/>
        <v>1172.5668049956917</v>
      </c>
      <c r="L886" s="69">
        <f t="shared" ca="1" si="568"/>
        <v>961.84523450262509</v>
      </c>
      <c r="M886" s="69">
        <f t="shared" ca="1" si="569"/>
        <v>994.74108083875547</v>
      </c>
      <c r="N886" s="69">
        <f t="shared" ca="1" si="570"/>
        <v>569.89791873772458</v>
      </c>
      <c r="O886" s="69">
        <f t="shared" ca="1" si="571"/>
        <v>628.2938652747664</v>
      </c>
      <c r="P886" s="69">
        <f t="shared" ca="1" si="572"/>
        <v>719.22859561407881</v>
      </c>
      <c r="Q886" s="69">
        <f t="shared" ca="1" si="573"/>
        <v>960.98538971724577</v>
      </c>
      <c r="R886" s="69">
        <f t="shared" ca="1" si="574"/>
        <v>779.67720784838093</v>
      </c>
      <c r="S886" s="69">
        <f t="shared" ca="1" si="575"/>
        <v>704.84480285688085</v>
      </c>
      <c r="T886" s="69">
        <f t="shared" ca="1" si="576"/>
        <v>798.60088678949796</v>
      </c>
      <c r="U886" s="69">
        <f t="shared" ca="1" si="577"/>
        <v>1696.3532111892812</v>
      </c>
      <c r="V886" s="69">
        <f t="shared" ca="1" si="578"/>
        <v>1913.7842052172398</v>
      </c>
      <c r="W886" s="69">
        <f t="shared" ca="1" si="579"/>
        <v>1184.6227097688648</v>
      </c>
      <c r="X886" s="69">
        <f t="shared" ca="1" si="580"/>
        <v>1490.7314510771625</v>
      </c>
      <c r="Y886" s="69">
        <f t="shared" ca="1" si="581"/>
        <v>1200.6479020394058</v>
      </c>
      <c r="AA886" s="20">
        <f t="shared" ca="1" si="541"/>
        <v>6.5584978067335008E+16</v>
      </c>
      <c r="AB886" s="20">
        <f t="shared" ca="1" si="542"/>
        <v>1679421334509957.8</v>
      </c>
      <c r="AC886" s="20">
        <f t="shared" ca="1" si="543"/>
        <v>401710086820696.81</v>
      </c>
      <c r="AD886" s="20">
        <f t="shared" ca="1" si="544"/>
        <v>303334536153908.69</v>
      </c>
      <c r="AE886" s="20">
        <f t="shared" ca="1" si="545"/>
        <v>6883421844777476</v>
      </c>
      <c r="AG886" s="16">
        <f t="shared" ca="1" si="546"/>
        <v>-2.4725000079552848E-4</v>
      </c>
      <c r="AH886" s="16">
        <f t="shared" ca="1" si="547"/>
        <v>-4.6457374439744448E-5</v>
      </c>
      <c r="AI886" s="16">
        <f t="shared" ca="1" si="548"/>
        <v>-3.1148123023933677E-4</v>
      </c>
      <c r="AJ886" s="16">
        <f t="shared" ca="1" si="549"/>
        <v>-2.8282208749619731E-4</v>
      </c>
      <c r="AK886" s="16">
        <f t="shared" ca="1" si="550"/>
        <v>2.0950181540381555E-4</v>
      </c>
      <c r="AM886" s="16">
        <f t="shared" ca="1" si="551"/>
        <v>-8.8801069297080699E-4</v>
      </c>
      <c r="AO886" s="16">
        <f t="shared" ca="1" si="552"/>
        <v>-2.4725000079552848E-4</v>
      </c>
      <c r="AP886" s="16">
        <f t="shared" ca="1" si="553"/>
        <v>-4.6457374439744448E-5</v>
      </c>
      <c r="AQ886" s="16">
        <f t="shared" ca="1" si="554"/>
        <v>-3.1148123023933677E-4</v>
      </c>
      <c r="AR886" s="16">
        <f t="shared" ca="1" si="555"/>
        <v>-2.8282208749619731E-4</v>
      </c>
      <c r="AS886" s="16">
        <f t="shared" ca="1" si="556"/>
        <v>0</v>
      </c>
    </row>
    <row r="887" spans="1:45" x14ac:dyDescent="0.25">
      <c r="A887" s="69">
        <f t="shared" ca="1" si="557"/>
        <v>2446.654351888069</v>
      </c>
      <c r="B887" s="69">
        <f t="shared" ca="1" si="558"/>
        <v>2142.1177926545715</v>
      </c>
      <c r="C887" s="69">
        <f t="shared" ca="1" si="559"/>
        <v>2231.7901531754878</v>
      </c>
      <c r="D887" s="69">
        <f t="shared" ca="1" si="560"/>
        <v>2907.4532219035809</v>
      </c>
      <c r="E887" s="69">
        <f t="shared" ca="1" si="561"/>
        <v>1928.0351060610758</v>
      </c>
      <c r="F887" s="69">
        <f t="shared" ca="1" si="562"/>
        <v>1219.457386593034</v>
      </c>
      <c r="G887" s="69">
        <f t="shared" ca="1" si="563"/>
        <v>972.53806858946712</v>
      </c>
      <c r="H887" s="69">
        <f t="shared" ca="1" si="564"/>
        <v>1185.0112206272386</v>
      </c>
      <c r="I887" s="69">
        <f t="shared" ca="1" si="565"/>
        <v>1050.452436224838</v>
      </c>
      <c r="J887" s="69">
        <f t="shared" ca="1" si="566"/>
        <v>1137.5418825481265</v>
      </c>
      <c r="K887" s="69">
        <f t="shared" ca="1" si="567"/>
        <v>1172.2016293203708</v>
      </c>
      <c r="L887" s="69">
        <f t="shared" ca="1" si="568"/>
        <v>961.84523450262509</v>
      </c>
      <c r="M887" s="69">
        <f t="shared" ca="1" si="569"/>
        <v>994.74108083875547</v>
      </c>
      <c r="N887" s="69">
        <f t="shared" ca="1" si="570"/>
        <v>569.89791873772458</v>
      </c>
      <c r="O887" s="69">
        <f t="shared" ca="1" si="571"/>
        <v>628.2938652747664</v>
      </c>
      <c r="P887" s="69">
        <f t="shared" ca="1" si="572"/>
        <v>718.93368397452934</v>
      </c>
      <c r="Q887" s="69">
        <f t="shared" ca="1" si="573"/>
        <v>960.98538971724577</v>
      </c>
      <c r="R887" s="69">
        <f t="shared" ca="1" si="574"/>
        <v>779.23709418634235</v>
      </c>
      <c r="S887" s="69">
        <f t="shared" ca="1" si="575"/>
        <v>705.33268341021369</v>
      </c>
      <c r="T887" s="69">
        <f t="shared" ca="1" si="576"/>
        <v>798.60088678949796</v>
      </c>
      <c r="U887" s="69">
        <f t="shared" ca="1" si="577"/>
        <v>1696.7844605470489</v>
      </c>
      <c r="V887" s="69">
        <f t="shared" ca="1" si="578"/>
        <v>1913.7842052172398</v>
      </c>
      <c r="W887" s="69">
        <f t="shared" ca="1" si="579"/>
        <v>1184.6227097688648</v>
      </c>
      <c r="X887" s="69">
        <f t="shared" ca="1" si="580"/>
        <v>1490.6648357770061</v>
      </c>
      <c r="Y887" s="69">
        <f t="shared" ca="1" si="581"/>
        <v>1200.6479020394058</v>
      </c>
      <c r="AA887" s="20">
        <f t="shared" ca="1" si="541"/>
        <v>6.5568764185979376E+16</v>
      </c>
      <c r="AB887" s="20">
        <f t="shared" ca="1" si="542"/>
        <v>1679343314816487.5</v>
      </c>
      <c r="AC887" s="20">
        <f t="shared" ca="1" si="543"/>
        <v>401584981153699.38</v>
      </c>
      <c r="AD887" s="20">
        <f t="shared" ca="1" si="544"/>
        <v>303248758577652.31</v>
      </c>
      <c r="AE887" s="20">
        <f t="shared" ca="1" si="545"/>
        <v>6884864085220868</v>
      </c>
      <c r="AG887" s="16">
        <f t="shared" ca="1" si="546"/>
        <v>-6.1888679765925665E-5</v>
      </c>
      <c r="AH887" s="16">
        <f t="shared" ca="1" si="547"/>
        <v>-6.8336731423128188E-4</v>
      </c>
      <c r="AI887" s="16">
        <f t="shared" ca="1" si="548"/>
        <v>7.3308078492087851E-4</v>
      </c>
      <c r="AJ887" s="16">
        <f t="shared" ca="1" si="549"/>
        <v>-1.1703357420455604E-4</v>
      </c>
      <c r="AK887" s="16">
        <f t="shared" ca="1" si="550"/>
        <v>-8.7612508795704218E-5</v>
      </c>
      <c r="AM887" s="16">
        <f t="shared" ca="1" si="551"/>
        <v>-1.292087832808851E-4</v>
      </c>
      <c r="AO887" s="16">
        <f t="shared" ca="1" si="552"/>
        <v>-6.1888679765925665E-5</v>
      </c>
      <c r="AP887" s="16">
        <f t="shared" ca="1" si="553"/>
        <v>-6.8336731423128188E-4</v>
      </c>
      <c r="AQ887" s="16">
        <f t="shared" ca="1" si="554"/>
        <v>0</v>
      </c>
      <c r="AR887" s="16">
        <f t="shared" ca="1" si="555"/>
        <v>-1.1703357420455604E-4</v>
      </c>
      <c r="AS887" s="16">
        <f t="shared" ca="1" si="556"/>
        <v>-8.7612508795704218E-5</v>
      </c>
    </row>
    <row r="888" spans="1:45" x14ac:dyDescent="0.25">
      <c r="A888" s="69">
        <f t="shared" ca="1" si="557"/>
        <v>2446.654351888069</v>
      </c>
      <c r="B888" s="69">
        <f t="shared" ca="1" si="558"/>
        <v>2142.2124204366419</v>
      </c>
      <c r="C888" s="69">
        <f t="shared" ca="1" si="559"/>
        <v>2231.4215452445696</v>
      </c>
      <c r="D888" s="69">
        <f t="shared" ca="1" si="560"/>
        <v>2907.4532219035809</v>
      </c>
      <c r="E888" s="69">
        <f t="shared" ca="1" si="561"/>
        <v>1928.1490823601214</v>
      </c>
      <c r="F888" s="69">
        <f t="shared" ca="1" si="562"/>
        <v>1219.5370200369225</v>
      </c>
      <c r="G888" s="69">
        <f t="shared" ca="1" si="563"/>
        <v>972.2307695917242</v>
      </c>
      <c r="H888" s="69">
        <f t="shared" ca="1" si="564"/>
        <v>1185.0112206272386</v>
      </c>
      <c r="I888" s="69">
        <f t="shared" ca="1" si="565"/>
        <v>1049.99806542225</v>
      </c>
      <c r="J888" s="69">
        <f t="shared" ca="1" si="566"/>
        <v>1137.5418825481265</v>
      </c>
      <c r="K888" s="69">
        <f t="shared" ca="1" si="567"/>
        <v>1172.5492599786107</v>
      </c>
      <c r="L888" s="69">
        <f t="shared" ca="1" si="568"/>
        <v>961.84523450262509</v>
      </c>
      <c r="M888" s="69">
        <f t="shared" ca="1" si="569"/>
        <v>995.11191645820588</v>
      </c>
      <c r="N888" s="69">
        <f t="shared" ca="1" si="570"/>
        <v>569.49775534755486</v>
      </c>
      <c r="O888" s="69">
        <f t="shared" ca="1" si="571"/>
        <v>628.77547953497606</v>
      </c>
      <c r="P888" s="69">
        <f t="shared" ca="1" si="572"/>
        <v>719.12142427331878</v>
      </c>
      <c r="Q888" s="69">
        <f t="shared" ca="1" si="573"/>
        <v>960.6220746251455</v>
      </c>
      <c r="R888" s="69">
        <f t="shared" ca="1" si="574"/>
        <v>779.23709418634235</v>
      </c>
      <c r="S888" s="69">
        <f t="shared" ca="1" si="575"/>
        <v>705.33268341021369</v>
      </c>
      <c r="T888" s="69">
        <f t="shared" ca="1" si="576"/>
        <v>798.60088678949796</v>
      </c>
      <c r="U888" s="69">
        <f t="shared" ca="1" si="577"/>
        <v>1696.7844605470489</v>
      </c>
      <c r="V888" s="69">
        <f t="shared" ca="1" si="578"/>
        <v>1913.9338436910175</v>
      </c>
      <c r="W888" s="69">
        <f t="shared" ca="1" si="579"/>
        <v>1184.2640840782331</v>
      </c>
      <c r="X888" s="69">
        <f t="shared" ca="1" si="580"/>
        <v>1490.6648357770061</v>
      </c>
      <c r="Y888" s="69">
        <f t="shared" ca="1" si="581"/>
        <v>1200.8123788287262</v>
      </c>
      <c r="AA888" s="20">
        <f t="shared" ca="1" si="541"/>
        <v>6.5564706347298456E+16</v>
      </c>
      <c r="AB888" s="20">
        <f t="shared" ca="1" si="542"/>
        <v>1678196098515475.3</v>
      </c>
      <c r="AC888" s="20">
        <f t="shared" ca="1" si="543"/>
        <v>401879483320646.81</v>
      </c>
      <c r="AD888" s="20">
        <f t="shared" ca="1" si="544"/>
        <v>303213270368259.38</v>
      </c>
      <c r="AE888" s="20">
        <f t="shared" ca="1" si="545"/>
        <v>6884260911428815</v>
      </c>
      <c r="AG888" s="16">
        <f t="shared" ca="1" si="546"/>
        <v>2.5831117252448482E-4</v>
      </c>
      <c r="AH888" s="16">
        <f t="shared" ca="1" si="547"/>
        <v>-8.4085128305868705E-4</v>
      </c>
      <c r="AI888" s="16">
        <f t="shared" ca="1" si="548"/>
        <v>-5.3451554564353453E-4</v>
      </c>
      <c r="AJ888" s="16">
        <f t="shared" ca="1" si="549"/>
        <v>3.2089619781771087E-4</v>
      </c>
      <c r="AK888" s="16">
        <f t="shared" ca="1" si="550"/>
        <v>7.4801833953638049E-4</v>
      </c>
      <c r="AM888" s="16">
        <f t="shared" ca="1" si="551"/>
        <v>-7.9615945836002588E-4</v>
      </c>
      <c r="AO888" s="16">
        <f t="shared" ca="1" si="552"/>
        <v>0</v>
      </c>
      <c r="AP888" s="16">
        <f t="shared" ca="1" si="553"/>
        <v>-8.4085128305868705E-4</v>
      </c>
      <c r="AQ888" s="16">
        <f t="shared" ca="1" si="554"/>
        <v>-5.3451554564353453E-4</v>
      </c>
      <c r="AR888" s="16">
        <f t="shared" ca="1" si="555"/>
        <v>0</v>
      </c>
      <c r="AS888" s="16">
        <f t="shared" ca="1" si="556"/>
        <v>0</v>
      </c>
    </row>
    <row r="889" spans="1:45" x14ac:dyDescent="0.25">
      <c r="A889" s="69">
        <f t="shared" ca="1" si="557"/>
        <v>2447.0156903120951</v>
      </c>
      <c r="B889" s="69">
        <f t="shared" ca="1" si="558"/>
        <v>2142.4494379244734</v>
      </c>
      <c r="C889" s="69">
        <f t="shared" ca="1" si="559"/>
        <v>2231.4215452445696</v>
      </c>
      <c r="D889" s="69">
        <f t="shared" ca="1" si="560"/>
        <v>2907.4532219035809</v>
      </c>
      <c r="E889" s="69">
        <f t="shared" ca="1" si="561"/>
        <v>1928.1490823601214</v>
      </c>
      <c r="F889" s="69">
        <f t="shared" ca="1" si="562"/>
        <v>1219.22359983245</v>
      </c>
      <c r="G889" s="69">
        <f t="shared" ca="1" si="563"/>
        <v>972.2307695917242</v>
      </c>
      <c r="H889" s="69">
        <f t="shared" ca="1" si="564"/>
        <v>1184.6371977425131</v>
      </c>
      <c r="I889" s="69">
        <f t="shared" ca="1" si="565"/>
        <v>1049.5208346478664</v>
      </c>
      <c r="J889" s="69">
        <f t="shared" ca="1" si="566"/>
        <v>1137.7540182794828</v>
      </c>
      <c r="K889" s="69">
        <f t="shared" ca="1" si="567"/>
        <v>1172.303957789062</v>
      </c>
      <c r="L889" s="69">
        <f t="shared" ca="1" si="568"/>
        <v>961.34926885830498</v>
      </c>
      <c r="M889" s="69">
        <f t="shared" ca="1" si="569"/>
        <v>994.62001376032583</v>
      </c>
      <c r="N889" s="69">
        <f t="shared" ca="1" si="570"/>
        <v>569.94304443071508</v>
      </c>
      <c r="O889" s="69">
        <f t="shared" ca="1" si="571"/>
        <v>628.71470006083814</v>
      </c>
      <c r="P889" s="69">
        <f t="shared" ca="1" si="572"/>
        <v>719.02919860305917</v>
      </c>
      <c r="Q889" s="69">
        <f t="shared" ca="1" si="573"/>
        <v>960.56937313455296</v>
      </c>
      <c r="R889" s="69">
        <f t="shared" ca="1" si="574"/>
        <v>779.62994072498566</v>
      </c>
      <c r="S889" s="69">
        <f t="shared" ca="1" si="575"/>
        <v>705.33268341021369</v>
      </c>
      <c r="T889" s="69">
        <f t="shared" ca="1" si="576"/>
        <v>798.60088678949796</v>
      </c>
      <c r="U889" s="69">
        <f t="shared" ca="1" si="577"/>
        <v>1697.0520067890029</v>
      </c>
      <c r="V889" s="69">
        <f t="shared" ca="1" si="578"/>
        <v>1914.1399595643734</v>
      </c>
      <c r="W889" s="69">
        <f t="shared" ca="1" si="579"/>
        <v>1184.2640840782331</v>
      </c>
      <c r="X889" s="69">
        <f t="shared" ca="1" si="580"/>
        <v>1491.1293828956439</v>
      </c>
      <c r="Y889" s="69">
        <f t="shared" ca="1" si="581"/>
        <v>1201.0178276886968</v>
      </c>
      <c r="AA889" s="20">
        <f t="shared" ca="1" si="541"/>
        <v>6.5581644631051032E+16</v>
      </c>
      <c r="AB889" s="20">
        <f t="shared" ca="1" si="542"/>
        <v>1676785578274798.3</v>
      </c>
      <c r="AC889" s="20">
        <f t="shared" ca="1" si="543"/>
        <v>401664729888973.63</v>
      </c>
      <c r="AD889" s="20">
        <f t="shared" ca="1" si="544"/>
        <v>303310585967116.19</v>
      </c>
      <c r="AE889" s="20">
        <f t="shared" ca="1" si="545"/>
        <v>6889412391305227</v>
      </c>
      <c r="AG889" s="16">
        <f t="shared" ca="1" si="546"/>
        <v>1.7305142853080234E-4</v>
      </c>
      <c r="AH889" s="16">
        <f t="shared" ca="1" si="547"/>
        <v>7.6810238886690601E-4</v>
      </c>
      <c r="AI889" s="16">
        <f t="shared" ca="1" si="548"/>
        <v>-2.2468750419904382E-4</v>
      </c>
      <c r="AJ889" s="16">
        <f t="shared" ca="1" si="549"/>
        <v>6.8332299947743732E-4</v>
      </c>
      <c r="AK889" s="16">
        <f t="shared" ca="1" si="550"/>
        <v>6.6547958242395679E-4</v>
      </c>
      <c r="AM889" s="16">
        <f t="shared" ca="1" si="551"/>
        <v>1.3997893126761018E-3</v>
      </c>
      <c r="AO889" s="16">
        <f t="shared" ca="1" si="552"/>
        <v>0</v>
      </c>
      <c r="AP889" s="16">
        <f t="shared" ca="1" si="553"/>
        <v>0</v>
      </c>
      <c r="AQ889" s="16">
        <f t="shared" ca="1" si="554"/>
        <v>-2.2468750419904382E-4</v>
      </c>
      <c r="AR889" s="16">
        <f t="shared" ca="1" si="555"/>
        <v>0</v>
      </c>
      <c r="AS889" s="16">
        <f t="shared" ca="1" si="556"/>
        <v>0</v>
      </c>
    </row>
    <row r="890" spans="1:45" x14ac:dyDescent="0.25">
      <c r="A890" s="69">
        <f t="shared" ca="1" si="557"/>
        <v>2447.0557444833453</v>
      </c>
      <c r="B890" s="69">
        <f t="shared" ca="1" si="558"/>
        <v>2142.4494379244734</v>
      </c>
      <c r="C890" s="69">
        <f t="shared" ca="1" si="559"/>
        <v>2231.7711984198813</v>
      </c>
      <c r="D890" s="69">
        <f t="shared" ca="1" si="560"/>
        <v>2907.4532219035809</v>
      </c>
      <c r="E890" s="69">
        <f t="shared" ca="1" si="561"/>
        <v>1928.1490823601214</v>
      </c>
      <c r="F890" s="69">
        <f t="shared" ca="1" si="562"/>
        <v>1218.996621563032</v>
      </c>
      <c r="G890" s="69">
        <f t="shared" ca="1" si="563"/>
        <v>972.49369583586315</v>
      </c>
      <c r="H890" s="69">
        <f t="shared" ca="1" si="564"/>
        <v>1185.0755051536828</v>
      </c>
      <c r="I890" s="69">
        <f t="shared" ca="1" si="565"/>
        <v>1049.5208346478664</v>
      </c>
      <c r="J890" s="69">
        <f t="shared" ca="1" si="566"/>
        <v>1138.1112858352683</v>
      </c>
      <c r="K890" s="69">
        <f t="shared" ca="1" si="567"/>
        <v>1171.8949972438224</v>
      </c>
      <c r="L890" s="69">
        <f t="shared" ca="1" si="568"/>
        <v>961.34926885830498</v>
      </c>
      <c r="M890" s="69">
        <f t="shared" ca="1" si="569"/>
        <v>994.72916165039567</v>
      </c>
      <c r="N890" s="69">
        <f t="shared" ca="1" si="570"/>
        <v>569.94304443071508</v>
      </c>
      <c r="O890" s="69">
        <f t="shared" ca="1" si="571"/>
        <v>628.72381213252891</v>
      </c>
      <c r="P890" s="69">
        <f t="shared" ca="1" si="572"/>
        <v>719.02919860305917</v>
      </c>
      <c r="Q890" s="69">
        <f t="shared" ca="1" si="573"/>
        <v>960.56937313455296</v>
      </c>
      <c r="R890" s="69">
        <f t="shared" ca="1" si="574"/>
        <v>780.11049158162825</v>
      </c>
      <c r="S890" s="69">
        <f t="shared" ca="1" si="575"/>
        <v>705.33268341021369</v>
      </c>
      <c r="T890" s="69">
        <f t="shared" ca="1" si="576"/>
        <v>798.65449835501158</v>
      </c>
      <c r="U890" s="69">
        <f t="shared" ca="1" si="577"/>
        <v>1697.0520067890029</v>
      </c>
      <c r="V890" s="69">
        <f t="shared" ca="1" si="578"/>
        <v>1913.7399501878826</v>
      </c>
      <c r="W890" s="69">
        <f t="shared" ca="1" si="579"/>
        <v>1184.6357862181624</v>
      </c>
      <c r="X890" s="69">
        <f t="shared" ca="1" si="580"/>
        <v>1491.5322928751598</v>
      </c>
      <c r="Y890" s="69">
        <f t="shared" ca="1" si="581"/>
        <v>1201.3667632536572</v>
      </c>
      <c r="AA890" s="20">
        <f t="shared" ca="1" si="541"/>
        <v>6.5592994610376584E+16</v>
      </c>
      <c r="AB890" s="20">
        <f t="shared" ca="1" si="542"/>
        <v>1678074016045807.3</v>
      </c>
      <c r="AC890" s="20">
        <f t="shared" ca="1" si="543"/>
        <v>401574490981447.19</v>
      </c>
      <c r="AD890" s="20">
        <f t="shared" ca="1" si="544"/>
        <v>303517915895079.25</v>
      </c>
      <c r="AE890" s="20">
        <f t="shared" ca="1" si="545"/>
        <v>6893998680458176</v>
      </c>
      <c r="AG890" s="16">
        <f t="shared" ca="1" si="546"/>
        <v>-3.1538807211534538E-4</v>
      </c>
      <c r="AH890" s="16">
        <f t="shared" ca="1" si="547"/>
        <v>-1.8591385022325235E-4</v>
      </c>
      <c r="AI890" s="16">
        <f t="shared" ca="1" si="548"/>
        <v>1.9196561439468917E-4</v>
      </c>
      <c r="AJ890" s="16">
        <f t="shared" ca="1" si="549"/>
        <v>-5.2369266900797952E-4</v>
      </c>
      <c r="AK890" s="16">
        <f t="shared" ca="1" si="550"/>
        <v>2.9914379934089169E-4</v>
      </c>
      <c r="AM890" s="16">
        <f t="shared" ca="1" si="551"/>
        <v>-8.3302897695188807E-4</v>
      </c>
      <c r="AO890" s="16">
        <f t="shared" ca="1" si="552"/>
        <v>-3.1538807211534538E-4</v>
      </c>
      <c r="AP890" s="16">
        <f t="shared" ca="1" si="553"/>
        <v>-1.8591385022325235E-4</v>
      </c>
      <c r="AQ890" s="16">
        <f t="shared" ca="1" si="554"/>
        <v>0</v>
      </c>
      <c r="AR890" s="16">
        <f t="shared" ca="1" si="555"/>
        <v>-5.2369266900797952E-4</v>
      </c>
      <c r="AS890" s="16">
        <f t="shared" ca="1" si="556"/>
        <v>0</v>
      </c>
    </row>
    <row r="891" spans="1:45" x14ac:dyDescent="0.25">
      <c r="A891" s="69">
        <f t="shared" ca="1" si="557"/>
        <v>2446.6551706426117</v>
      </c>
      <c r="B891" s="69">
        <f t="shared" ca="1" si="558"/>
        <v>2142.4494379244734</v>
      </c>
      <c r="C891" s="69">
        <f t="shared" ca="1" si="559"/>
        <v>2232.1827251349687</v>
      </c>
      <c r="D891" s="69">
        <f t="shared" ca="1" si="560"/>
        <v>2907.0814906116007</v>
      </c>
      <c r="E891" s="69">
        <f t="shared" ca="1" si="561"/>
        <v>1927.7476963938889</v>
      </c>
      <c r="F891" s="69">
        <f t="shared" ca="1" si="562"/>
        <v>1218.5708979686162</v>
      </c>
      <c r="G891" s="69">
        <f t="shared" ca="1" si="563"/>
        <v>972.49369583586315</v>
      </c>
      <c r="H891" s="69">
        <f t="shared" ca="1" si="564"/>
        <v>1185.0755051536828</v>
      </c>
      <c r="I891" s="69">
        <f t="shared" ca="1" si="565"/>
        <v>1049.6923279195328</v>
      </c>
      <c r="J891" s="69">
        <f t="shared" ca="1" si="566"/>
        <v>1138.1112858352683</v>
      </c>
      <c r="K891" s="69">
        <f t="shared" ca="1" si="567"/>
        <v>1171.5580437619903</v>
      </c>
      <c r="L891" s="69">
        <f t="shared" ca="1" si="568"/>
        <v>961.34926885830498</v>
      </c>
      <c r="M891" s="69">
        <f t="shared" ca="1" si="569"/>
        <v>994.72916165039567</v>
      </c>
      <c r="N891" s="69">
        <f t="shared" ca="1" si="570"/>
        <v>569.90569497143031</v>
      </c>
      <c r="O891" s="69">
        <f t="shared" ca="1" si="571"/>
        <v>629.06660387949012</v>
      </c>
      <c r="P891" s="69">
        <f t="shared" ca="1" si="572"/>
        <v>719.02919860305917</v>
      </c>
      <c r="Q891" s="69">
        <f t="shared" ca="1" si="573"/>
        <v>960.30031810247567</v>
      </c>
      <c r="R891" s="69">
        <f t="shared" ca="1" si="574"/>
        <v>779.92051576334734</v>
      </c>
      <c r="S891" s="69">
        <f t="shared" ca="1" si="575"/>
        <v>705.33268341021369</v>
      </c>
      <c r="T891" s="69">
        <f t="shared" ca="1" si="576"/>
        <v>798.65449835501158</v>
      </c>
      <c r="U891" s="69">
        <f t="shared" ca="1" si="577"/>
        <v>1697.0520067890029</v>
      </c>
      <c r="V891" s="69">
        <f t="shared" ca="1" si="578"/>
        <v>1913.8256700347774</v>
      </c>
      <c r="W891" s="69">
        <f t="shared" ca="1" si="579"/>
        <v>1184.9371402170536</v>
      </c>
      <c r="X891" s="69">
        <f t="shared" ca="1" si="580"/>
        <v>1491.5322928751598</v>
      </c>
      <c r="Y891" s="69">
        <f t="shared" ca="1" si="581"/>
        <v>1201.3667632536572</v>
      </c>
      <c r="AA891" s="20">
        <f t="shared" ca="1" si="541"/>
        <v>6.5572310624174864E+16</v>
      </c>
      <c r="AB891" s="20">
        <f t="shared" ca="1" si="542"/>
        <v>1677762067843168.8</v>
      </c>
      <c r="AC891" s="20">
        <f t="shared" ca="1" si="543"/>
        <v>401651586874977.19</v>
      </c>
      <c r="AD891" s="20">
        <f t="shared" ca="1" si="544"/>
        <v>303359007400850.94</v>
      </c>
      <c r="AE891" s="20">
        <f t="shared" ca="1" si="545"/>
        <v>6896061285908534</v>
      </c>
      <c r="AG891" s="16">
        <f t="shared" ca="1" si="546"/>
        <v>2.4689050010851758E-4</v>
      </c>
      <c r="AH891" s="16">
        <f t="shared" ca="1" si="547"/>
        <v>-1.2109380708556281E-4</v>
      </c>
      <c r="AI891" s="16">
        <f t="shared" ca="1" si="548"/>
        <v>-2.404770321054599E-4</v>
      </c>
      <c r="AJ891" s="16">
        <f t="shared" ca="1" si="549"/>
        <v>1.8556564445043689E-4</v>
      </c>
      <c r="AK891" s="16">
        <f t="shared" ca="1" si="550"/>
        <v>2.6789255510664391E-4</v>
      </c>
      <c r="AM891" s="16">
        <f t="shared" ca="1" si="551"/>
        <v>7.0885305367931757E-5</v>
      </c>
      <c r="AO891" s="16">
        <f t="shared" ca="1" si="552"/>
        <v>0</v>
      </c>
      <c r="AP891" s="16">
        <f t="shared" ca="1" si="553"/>
        <v>-1.2109380708556281E-4</v>
      </c>
      <c r="AQ891" s="16">
        <f t="shared" ca="1" si="554"/>
        <v>-2.404770321054599E-4</v>
      </c>
      <c r="AR891" s="16">
        <f t="shared" ca="1" si="555"/>
        <v>0</v>
      </c>
      <c r="AS891" s="16">
        <f t="shared" ca="1" si="556"/>
        <v>0</v>
      </c>
    </row>
    <row r="892" spans="1:45" x14ac:dyDescent="0.25">
      <c r="A892" s="69">
        <f t="shared" ca="1" si="557"/>
        <v>2446.6551706426117</v>
      </c>
      <c r="B892" s="69">
        <f t="shared" ca="1" si="558"/>
        <v>2142.7794167115735</v>
      </c>
      <c r="C892" s="69">
        <f t="shared" ca="1" si="559"/>
        <v>2232.4979404459577</v>
      </c>
      <c r="D892" s="69">
        <f t="shared" ca="1" si="560"/>
        <v>2906.9537034474238</v>
      </c>
      <c r="E892" s="69">
        <f t="shared" ca="1" si="561"/>
        <v>1927.7392859468698</v>
      </c>
      <c r="F892" s="69">
        <f t="shared" ca="1" si="562"/>
        <v>1218.5708979686162</v>
      </c>
      <c r="G892" s="69">
        <f t="shared" ca="1" si="563"/>
        <v>972.37594000176273</v>
      </c>
      <c r="H892" s="69">
        <f t="shared" ca="1" si="564"/>
        <v>1185.0755051536828</v>
      </c>
      <c r="I892" s="69">
        <f t="shared" ca="1" si="565"/>
        <v>1049.6923279195328</v>
      </c>
      <c r="J892" s="69">
        <f t="shared" ca="1" si="566"/>
        <v>1138.1112858352683</v>
      </c>
      <c r="K892" s="69">
        <f t="shared" ca="1" si="567"/>
        <v>1171.5580437619903</v>
      </c>
      <c r="L892" s="69">
        <f t="shared" ca="1" si="568"/>
        <v>961.4839889017087</v>
      </c>
      <c r="M892" s="69">
        <f t="shared" ca="1" si="569"/>
        <v>994.72916165039567</v>
      </c>
      <c r="N892" s="69">
        <f t="shared" ca="1" si="570"/>
        <v>569.68882806661077</v>
      </c>
      <c r="O892" s="69">
        <f t="shared" ca="1" si="571"/>
        <v>629.06660387949012</v>
      </c>
      <c r="P892" s="69">
        <f t="shared" ca="1" si="572"/>
        <v>719.02919860305917</v>
      </c>
      <c r="Q892" s="69">
        <f t="shared" ca="1" si="573"/>
        <v>960.28510611053173</v>
      </c>
      <c r="R892" s="69">
        <f t="shared" ca="1" si="574"/>
        <v>780.20035543208894</v>
      </c>
      <c r="S892" s="69">
        <f t="shared" ca="1" si="575"/>
        <v>705.58026880946227</v>
      </c>
      <c r="T892" s="69">
        <f t="shared" ca="1" si="576"/>
        <v>798.24865173400394</v>
      </c>
      <c r="U892" s="69">
        <f t="shared" ca="1" si="577"/>
        <v>1697.0520067890029</v>
      </c>
      <c r="V892" s="69">
        <f t="shared" ca="1" si="578"/>
        <v>1913.767314545051</v>
      </c>
      <c r="W892" s="69">
        <f t="shared" ca="1" si="579"/>
        <v>1184.9869330630277</v>
      </c>
      <c r="X892" s="69">
        <f t="shared" ca="1" si="580"/>
        <v>1491.9147169781897</v>
      </c>
      <c r="Y892" s="69">
        <f t="shared" ca="1" si="581"/>
        <v>1201.3667632536572</v>
      </c>
      <c r="AA892" s="20">
        <f t="shared" ca="1" si="541"/>
        <v>6.5588501803380064E+16</v>
      </c>
      <c r="AB892" s="20">
        <f t="shared" ca="1" si="542"/>
        <v>1677558913547601.8</v>
      </c>
      <c r="AC892" s="20">
        <f t="shared" ca="1" si="543"/>
        <v>401555010506089.75</v>
      </c>
      <c r="AD892" s="20">
        <f t="shared" ca="1" si="544"/>
        <v>303415305633906.5</v>
      </c>
      <c r="AE892" s="20">
        <f t="shared" ca="1" si="545"/>
        <v>6897908936861505</v>
      </c>
      <c r="AG892" s="16">
        <f t="shared" ca="1" si="546"/>
        <v>-2.9131785549522233E-5</v>
      </c>
      <c r="AH892" s="16">
        <f t="shared" ca="1" si="547"/>
        <v>2.2821574929158585E-4</v>
      </c>
      <c r="AI892" s="16">
        <f t="shared" ca="1" si="548"/>
        <v>8.6430666162354416E-4</v>
      </c>
      <c r="AJ892" s="16">
        <f t="shared" ca="1" si="549"/>
        <v>3.2684051743851744E-4</v>
      </c>
      <c r="AK892" s="16">
        <f t="shared" ca="1" si="550"/>
        <v>-2.0952104468852757E-4</v>
      </c>
      <c r="AM892" s="16">
        <f t="shared" ca="1" si="551"/>
        <v>1.3902311428041253E-3</v>
      </c>
      <c r="AO892" s="16">
        <f t="shared" ca="1" si="552"/>
        <v>-2.9131785549522233E-5</v>
      </c>
      <c r="AP892" s="16">
        <f t="shared" ca="1" si="553"/>
        <v>0</v>
      </c>
      <c r="AQ892" s="16">
        <f t="shared" ca="1" si="554"/>
        <v>0</v>
      </c>
      <c r="AR892" s="16">
        <f t="shared" ca="1" si="555"/>
        <v>0</v>
      </c>
      <c r="AS892" s="16">
        <f t="shared" ca="1" si="556"/>
        <v>-2.0952104468852757E-4</v>
      </c>
    </row>
    <row r="893" spans="1:45" x14ac:dyDescent="0.25">
      <c r="A893" s="69">
        <f t="shared" ca="1" si="557"/>
        <v>2447.0618297804026</v>
      </c>
      <c r="B893" s="69">
        <f t="shared" ca="1" si="558"/>
        <v>2142.7794167115735</v>
      </c>
      <c r="C893" s="69">
        <f t="shared" ca="1" si="559"/>
        <v>2232.0619132005891</v>
      </c>
      <c r="D893" s="69">
        <f t="shared" ca="1" si="560"/>
        <v>2906.9537034474238</v>
      </c>
      <c r="E893" s="69">
        <f t="shared" ca="1" si="561"/>
        <v>1927.7392859468698</v>
      </c>
      <c r="F893" s="69">
        <f t="shared" ca="1" si="562"/>
        <v>1218.2715534386957</v>
      </c>
      <c r="G893" s="69">
        <f t="shared" ca="1" si="563"/>
        <v>972.37594000176273</v>
      </c>
      <c r="H893" s="69">
        <f t="shared" ca="1" si="564"/>
        <v>1185.3857092491855</v>
      </c>
      <c r="I893" s="69">
        <f t="shared" ca="1" si="565"/>
        <v>1050.0567206524086</v>
      </c>
      <c r="J893" s="69">
        <f t="shared" ca="1" si="566"/>
        <v>1137.957754960197</v>
      </c>
      <c r="K893" s="69">
        <f t="shared" ca="1" si="567"/>
        <v>1171.4932124851387</v>
      </c>
      <c r="L893" s="69">
        <f t="shared" ca="1" si="568"/>
        <v>961.82662814352989</v>
      </c>
      <c r="M893" s="69">
        <f t="shared" ca="1" si="569"/>
        <v>994.72916165039567</v>
      </c>
      <c r="N893" s="69">
        <f t="shared" ca="1" si="570"/>
        <v>569.68882806661077</v>
      </c>
      <c r="O893" s="69">
        <f t="shared" ca="1" si="571"/>
        <v>629.42108482348476</v>
      </c>
      <c r="P893" s="69">
        <f t="shared" ca="1" si="572"/>
        <v>719.02919860305917</v>
      </c>
      <c r="Q893" s="69">
        <f t="shared" ca="1" si="573"/>
        <v>960.28510611053173</v>
      </c>
      <c r="R893" s="69">
        <f t="shared" ca="1" si="574"/>
        <v>780.20035543208894</v>
      </c>
      <c r="S893" s="69">
        <f t="shared" ca="1" si="575"/>
        <v>705.81091872042919</v>
      </c>
      <c r="T893" s="69">
        <f t="shared" ca="1" si="576"/>
        <v>798.24865173400394</v>
      </c>
      <c r="U893" s="69">
        <f t="shared" ca="1" si="577"/>
        <v>1697.3930499013807</v>
      </c>
      <c r="V893" s="69">
        <f t="shared" ca="1" si="578"/>
        <v>1913.5949216007866</v>
      </c>
      <c r="W893" s="69">
        <f t="shared" ca="1" si="579"/>
        <v>1184.8908271199027</v>
      </c>
      <c r="X893" s="69">
        <f t="shared" ca="1" si="580"/>
        <v>1491.9147169781897</v>
      </c>
      <c r="Y893" s="69">
        <f t="shared" ca="1" si="581"/>
        <v>1201.0793439379088</v>
      </c>
      <c r="AA893" s="20">
        <f t="shared" ca="1" si="541"/>
        <v>6.5586591121041944E+16</v>
      </c>
      <c r="AB893" s="20">
        <f t="shared" ca="1" si="542"/>
        <v>1677941802601032</v>
      </c>
      <c r="AC893" s="20">
        <f t="shared" ca="1" si="543"/>
        <v>401902227205916.81</v>
      </c>
      <c r="AD893" s="20">
        <f t="shared" ca="1" si="544"/>
        <v>303514490257292.5</v>
      </c>
      <c r="AE893" s="20">
        <f t="shared" ca="1" si="545"/>
        <v>6896463831170201</v>
      </c>
      <c r="AG893" s="16">
        <f t="shared" ca="1" si="546"/>
        <v>-7.1188935759401437E-6</v>
      </c>
      <c r="AH893" s="16">
        <f t="shared" ca="1" si="547"/>
        <v>-2.4083529666616248E-5</v>
      </c>
      <c r="AI893" s="16">
        <f t="shared" ca="1" si="548"/>
        <v>6.8763220431026768E-4</v>
      </c>
      <c r="AJ893" s="16">
        <f t="shared" ca="1" si="549"/>
        <v>1.4981974742802462E-4</v>
      </c>
      <c r="AK893" s="16">
        <f t="shared" ca="1" si="550"/>
        <v>2.4057751848251351E-5</v>
      </c>
      <c r="AM893" s="16">
        <f t="shared" ca="1" si="551"/>
        <v>8.0624952849573587E-4</v>
      </c>
      <c r="AO893" s="16">
        <f t="shared" ca="1" si="552"/>
        <v>-7.1188935759401437E-6</v>
      </c>
      <c r="AP893" s="16">
        <f t="shared" ca="1" si="553"/>
        <v>-2.4083529666616248E-5</v>
      </c>
      <c r="AQ893" s="16">
        <f t="shared" ca="1" si="554"/>
        <v>0</v>
      </c>
      <c r="AR893" s="16">
        <f t="shared" ca="1" si="555"/>
        <v>0</v>
      </c>
      <c r="AS893" s="16">
        <f t="shared" ca="1" si="556"/>
        <v>0</v>
      </c>
    </row>
    <row r="894" spans="1:45" x14ac:dyDescent="0.25">
      <c r="A894" s="69">
        <f t="shared" ca="1" si="557"/>
        <v>2447.1153959689532</v>
      </c>
      <c r="B894" s="69">
        <f t="shared" ca="1" si="558"/>
        <v>2142.985444357801</v>
      </c>
      <c r="C894" s="69">
        <f t="shared" ca="1" si="559"/>
        <v>2232.0619132005891</v>
      </c>
      <c r="D894" s="69">
        <f t="shared" ca="1" si="560"/>
        <v>2906.86861097881</v>
      </c>
      <c r="E894" s="69">
        <f t="shared" ca="1" si="561"/>
        <v>1927.5544606842868</v>
      </c>
      <c r="F894" s="69">
        <f t="shared" ca="1" si="562"/>
        <v>1218.1507630998969</v>
      </c>
      <c r="G894" s="69">
        <f t="shared" ca="1" si="563"/>
        <v>972.37594000176273</v>
      </c>
      <c r="H894" s="69">
        <f t="shared" ca="1" si="564"/>
        <v>1185.3857092491855</v>
      </c>
      <c r="I894" s="69">
        <f t="shared" ca="1" si="565"/>
        <v>1050.0567206524086</v>
      </c>
      <c r="J894" s="69">
        <f t="shared" ca="1" si="566"/>
        <v>1138.0431850316024</v>
      </c>
      <c r="K894" s="69">
        <f t="shared" ca="1" si="567"/>
        <v>1171.776279101862</v>
      </c>
      <c r="L894" s="69">
        <f t="shared" ca="1" si="568"/>
        <v>962.06506718197159</v>
      </c>
      <c r="M894" s="69">
        <f t="shared" ca="1" si="569"/>
        <v>994.9262976168277</v>
      </c>
      <c r="N894" s="69">
        <f t="shared" ca="1" si="570"/>
        <v>569.68882806661077</v>
      </c>
      <c r="O894" s="69">
        <f t="shared" ca="1" si="571"/>
        <v>629.42108482348476</v>
      </c>
      <c r="P894" s="69">
        <f t="shared" ca="1" si="572"/>
        <v>719.02919860305917</v>
      </c>
      <c r="Q894" s="69">
        <f t="shared" ca="1" si="573"/>
        <v>959.94065585126395</v>
      </c>
      <c r="R894" s="69">
        <f t="shared" ca="1" si="574"/>
        <v>779.9277880152531</v>
      </c>
      <c r="S894" s="69">
        <f t="shared" ca="1" si="575"/>
        <v>706.17993062781125</v>
      </c>
      <c r="T894" s="69">
        <f t="shared" ca="1" si="576"/>
        <v>798.51636014227847</v>
      </c>
      <c r="U894" s="69">
        <f t="shared" ca="1" si="577"/>
        <v>1696.9123192488287</v>
      </c>
      <c r="V894" s="69">
        <f t="shared" ca="1" si="578"/>
        <v>1913.5949216007866</v>
      </c>
      <c r="W894" s="69">
        <f t="shared" ca="1" si="579"/>
        <v>1185.3580000874806</v>
      </c>
      <c r="X894" s="69">
        <f t="shared" ca="1" si="580"/>
        <v>1492.1117854018771</v>
      </c>
      <c r="Y894" s="69">
        <f t="shared" ca="1" si="581"/>
        <v>1200.8163787329634</v>
      </c>
      <c r="AA894" s="20">
        <f t="shared" ca="1" si="541"/>
        <v>6.5586124218741664E+16</v>
      </c>
      <c r="AB894" s="20">
        <f t="shared" ca="1" si="542"/>
        <v>1677901392326463.3</v>
      </c>
      <c r="AC894" s="20">
        <f t="shared" ca="1" si="543"/>
        <v>402178683159442.75</v>
      </c>
      <c r="AD894" s="20">
        <f t="shared" ca="1" si="544"/>
        <v>303559966128070.25</v>
      </c>
      <c r="AE894" s="20">
        <f t="shared" ca="1" si="545"/>
        <v>6896629746581449</v>
      </c>
      <c r="AG894" s="16">
        <f t="shared" ca="1" si="546"/>
        <v>-6.434760970234414E-4</v>
      </c>
      <c r="AH894" s="16">
        <f t="shared" ca="1" si="547"/>
        <v>2.2058998305329083E-4</v>
      </c>
      <c r="AI894" s="16">
        <f t="shared" ca="1" si="548"/>
        <v>-8.5413864686898454E-4</v>
      </c>
      <c r="AJ894" s="16">
        <f t="shared" ca="1" si="549"/>
        <v>-2.1528749227194645E-4</v>
      </c>
      <c r="AK894" s="16">
        <f t="shared" ca="1" si="550"/>
        <v>6.0851806935485579E-4</v>
      </c>
      <c r="AM894" s="16">
        <f t="shared" ca="1" si="551"/>
        <v>-1.4923122531110816E-3</v>
      </c>
      <c r="AO894" s="16">
        <f t="shared" ca="1" si="552"/>
        <v>-6.434760970234414E-4</v>
      </c>
      <c r="AP894" s="16">
        <f t="shared" ca="1" si="553"/>
        <v>0</v>
      </c>
      <c r="AQ894" s="16">
        <f t="shared" ca="1" si="554"/>
        <v>-8.5413864686898454E-4</v>
      </c>
      <c r="AR894" s="16">
        <f t="shared" ca="1" si="555"/>
        <v>-2.1528749227194645E-4</v>
      </c>
      <c r="AS894" s="16">
        <f t="shared" ca="1" si="556"/>
        <v>0</v>
      </c>
    </row>
    <row r="895" spans="1:45" x14ac:dyDescent="0.25">
      <c r="A895" s="69">
        <f t="shared" ca="1" si="557"/>
        <v>2447.1153959689532</v>
      </c>
      <c r="B895" s="69">
        <f t="shared" ca="1" si="558"/>
        <v>2142.5168497012646</v>
      </c>
      <c r="C895" s="69">
        <f t="shared" ca="1" si="559"/>
        <v>2231.8579627408403</v>
      </c>
      <c r="D895" s="69">
        <f t="shared" ca="1" si="560"/>
        <v>2906.6533504949398</v>
      </c>
      <c r="E895" s="69">
        <f t="shared" ca="1" si="561"/>
        <v>1927.0546038970615</v>
      </c>
      <c r="F895" s="69">
        <f t="shared" ca="1" si="562"/>
        <v>1217.9886568204774</v>
      </c>
      <c r="G895" s="69">
        <f t="shared" ca="1" si="563"/>
        <v>972.41565607411223</v>
      </c>
      <c r="H895" s="69">
        <f t="shared" ca="1" si="564"/>
        <v>1185.621257378383</v>
      </c>
      <c r="I895" s="69">
        <f t="shared" ca="1" si="565"/>
        <v>1049.9823829665474</v>
      </c>
      <c r="J895" s="69">
        <f t="shared" ca="1" si="566"/>
        <v>1138.2536709334074</v>
      </c>
      <c r="K895" s="69">
        <f t="shared" ca="1" si="567"/>
        <v>1171.3658196849419</v>
      </c>
      <c r="L895" s="69">
        <f t="shared" ca="1" si="568"/>
        <v>961.81025423252959</v>
      </c>
      <c r="M895" s="69">
        <f t="shared" ca="1" si="569"/>
        <v>994.9262976168277</v>
      </c>
      <c r="N895" s="69">
        <f t="shared" ca="1" si="570"/>
        <v>569.68882806661077</v>
      </c>
      <c r="O895" s="69">
        <f t="shared" ca="1" si="571"/>
        <v>629.27073812811307</v>
      </c>
      <c r="P895" s="69">
        <f t="shared" ca="1" si="572"/>
        <v>719.02919860305917</v>
      </c>
      <c r="Q895" s="69">
        <f t="shared" ca="1" si="573"/>
        <v>959.94065585126395</v>
      </c>
      <c r="R895" s="69">
        <f t="shared" ca="1" si="574"/>
        <v>779.9277880152531</v>
      </c>
      <c r="S895" s="69">
        <f t="shared" ca="1" si="575"/>
        <v>706.17993062781125</v>
      </c>
      <c r="T895" s="69">
        <f t="shared" ca="1" si="576"/>
        <v>798.34446806133667</v>
      </c>
      <c r="U895" s="69">
        <f t="shared" ca="1" si="577"/>
        <v>1696.9123192488287</v>
      </c>
      <c r="V895" s="69">
        <f t="shared" ca="1" si="578"/>
        <v>1913.6850083282957</v>
      </c>
      <c r="W895" s="69">
        <f t="shared" ca="1" si="579"/>
        <v>1185.5845026075269</v>
      </c>
      <c r="X895" s="69">
        <f t="shared" ca="1" si="580"/>
        <v>1492.3123133638535</v>
      </c>
      <c r="Y895" s="69">
        <f t="shared" ca="1" si="581"/>
        <v>1201.0997970979988</v>
      </c>
      <c r="AA895" s="20">
        <f t="shared" ca="1" si="541"/>
        <v>6.5543934690942592E+16</v>
      </c>
      <c r="AB895" s="20">
        <f t="shared" ca="1" si="542"/>
        <v>1678271561392454.5</v>
      </c>
      <c r="AC895" s="20">
        <f t="shared" ca="1" si="543"/>
        <v>401835313466747.25</v>
      </c>
      <c r="AD895" s="20">
        <f t="shared" ca="1" si="544"/>
        <v>303494620498509.13</v>
      </c>
      <c r="AE895" s="20">
        <f t="shared" ca="1" si="545"/>
        <v>6900827747550075</v>
      </c>
      <c r="AG895" s="16">
        <f t="shared" ca="1" si="546"/>
        <v>5.0977524170307831E-4</v>
      </c>
      <c r="AH895" s="16">
        <f t="shared" ca="1" si="547"/>
        <v>-7.0483966056786253E-5</v>
      </c>
      <c r="AI895" s="16">
        <f t="shared" ca="1" si="548"/>
        <v>1.790826125829601E-3</v>
      </c>
      <c r="AJ895" s="16">
        <f t="shared" ca="1" si="549"/>
        <v>1.4874781249988342E-4</v>
      </c>
      <c r="AK895" s="16">
        <f t="shared" ca="1" si="550"/>
        <v>-1.8018201872995306E-4</v>
      </c>
      <c r="AM895" s="16">
        <f t="shared" ca="1" si="551"/>
        <v>2.3788652139757763E-3</v>
      </c>
      <c r="AO895" s="16">
        <f t="shared" ca="1" si="552"/>
        <v>0</v>
      </c>
      <c r="AP895" s="16">
        <f t="shared" ca="1" si="553"/>
        <v>-7.0483966056786253E-5</v>
      </c>
      <c r="AQ895" s="16">
        <f t="shared" ca="1" si="554"/>
        <v>0</v>
      </c>
      <c r="AR895" s="16">
        <f t="shared" ca="1" si="555"/>
        <v>0</v>
      </c>
      <c r="AS895" s="16">
        <f t="shared" ca="1" si="556"/>
        <v>-1.8018201872995306E-4</v>
      </c>
    </row>
    <row r="896" spans="1:45" x14ac:dyDescent="0.25">
      <c r="A896" s="69">
        <f t="shared" ca="1" si="557"/>
        <v>2447.507638581927</v>
      </c>
      <c r="B896" s="69">
        <f t="shared" ca="1" si="558"/>
        <v>2142.9216418188798</v>
      </c>
      <c r="C896" s="69">
        <f t="shared" ca="1" si="559"/>
        <v>2231.6156461961773</v>
      </c>
      <c r="D896" s="69">
        <f t="shared" ca="1" si="560"/>
        <v>2906.7172915586489</v>
      </c>
      <c r="E896" s="69">
        <f t="shared" ca="1" si="561"/>
        <v>1927.5309628804825</v>
      </c>
      <c r="F896" s="69">
        <f t="shared" ca="1" si="562"/>
        <v>1217.9705924586008</v>
      </c>
      <c r="G896" s="69">
        <f t="shared" ca="1" si="563"/>
        <v>972.41565607411223</v>
      </c>
      <c r="H896" s="69">
        <f t="shared" ca="1" si="564"/>
        <v>1185.621257378383</v>
      </c>
      <c r="I896" s="69">
        <f t="shared" ca="1" si="565"/>
        <v>1049.9823829665474</v>
      </c>
      <c r="J896" s="69">
        <f t="shared" ca="1" si="566"/>
        <v>1138.1903259761041</v>
      </c>
      <c r="K896" s="69">
        <f t="shared" ca="1" si="567"/>
        <v>1171.7482489432659</v>
      </c>
      <c r="L896" s="69">
        <f t="shared" ca="1" si="568"/>
        <v>962.15552990436186</v>
      </c>
      <c r="M896" s="69">
        <f t="shared" ca="1" si="569"/>
        <v>995.11023258742352</v>
      </c>
      <c r="N896" s="69">
        <f t="shared" ca="1" si="570"/>
        <v>570.05708583113915</v>
      </c>
      <c r="O896" s="69">
        <f t="shared" ca="1" si="571"/>
        <v>629.44344059340244</v>
      </c>
      <c r="P896" s="69">
        <f t="shared" ca="1" si="572"/>
        <v>718.61034168560377</v>
      </c>
      <c r="Q896" s="69">
        <f t="shared" ca="1" si="573"/>
        <v>960.23116163936959</v>
      </c>
      <c r="R896" s="69">
        <f t="shared" ca="1" si="574"/>
        <v>780.40610333365953</v>
      </c>
      <c r="S896" s="69">
        <f t="shared" ca="1" si="575"/>
        <v>706.17993062781125</v>
      </c>
      <c r="T896" s="69">
        <f t="shared" ca="1" si="576"/>
        <v>798.19740422839914</v>
      </c>
      <c r="U896" s="69">
        <f t="shared" ca="1" si="577"/>
        <v>1696.9464897352998</v>
      </c>
      <c r="V896" s="69">
        <f t="shared" ca="1" si="578"/>
        <v>1913.6399795222503</v>
      </c>
      <c r="W896" s="69">
        <f t="shared" ca="1" si="579"/>
        <v>1185.6765615848228</v>
      </c>
      <c r="X896" s="69">
        <f t="shared" ca="1" si="580"/>
        <v>1491.9326665363305</v>
      </c>
      <c r="Y896" s="69">
        <f t="shared" ca="1" si="581"/>
        <v>1201.0997970979988</v>
      </c>
      <c r="AA896" s="20">
        <f t="shared" ca="1" si="541"/>
        <v>6.5577355884016456E+16</v>
      </c>
      <c r="AB896" s="20">
        <f t="shared" ca="1" si="542"/>
        <v>1678153274325407</v>
      </c>
      <c r="AC896" s="20">
        <f t="shared" ca="1" si="543"/>
        <v>402555575383820.25</v>
      </c>
      <c r="AD896" s="20">
        <f t="shared" ca="1" si="544"/>
        <v>303539768017127.81</v>
      </c>
      <c r="AE896" s="20">
        <f t="shared" ca="1" si="545"/>
        <v>6899584454488504</v>
      </c>
      <c r="AG896" s="16">
        <f t="shared" ca="1" si="546"/>
        <v>-2.4329201276342746E-4</v>
      </c>
      <c r="AH896" s="16">
        <f t="shared" ca="1" si="547"/>
        <v>5.120247844634003E-4</v>
      </c>
      <c r="AI896" s="16">
        <f t="shared" ca="1" si="548"/>
        <v>2.9673355900733655E-4</v>
      </c>
      <c r="AJ896" s="16">
        <f t="shared" ca="1" si="549"/>
        <v>-3.9712034105344454E-4</v>
      </c>
      <c r="AK896" s="16">
        <f t="shared" ca="1" si="550"/>
        <v>-2.2365386617983126E-4</v>
      </c>
      <c r="AM896" s="16">
        <f t="shared" ca="1" si="551"/>
        <v>1.683459896538648E-4</v>
      </c>
      <c r="AO896" s="16">
        <f t="shared" ca="1" si="552"/>
        <v>-2.4329201276342746E-4</v>
      </c>
      <c r="AP896" s="16">
        <f t="shared" ca="1" si="553"/>
        <v>0</v>
      </c>
      <c r="AQ896" s="16">
        <f t="shared" ca="1" si="554"/>
        <v>0</v>
      </c>
      <c r="AR896" s="16">
        <f t="shared" ca="1" si="555"/>
        <v>-3.9712034105344454E-4</v>
      </c>
      <c r="AS896" s="16">
        <f t="shared" ca="1" si="556"/>
        <v>-2.2365386617983126E-4</v>
      </c>
    </row>
    <row r="897" spans="1:45" x14ac:dyDescent="0.25">
      <c r="A897" s="69">
        <f t="shared" ca="1" si="557"/>
        <v>2447.1863160826611</v>
      </c>
      <c r="B897" s="69">
        <f t="shared" ca="1" si="558"/>
        <v>2142.9395334967408</v>
      </c>
      <c r="C897" s="69">
        <f t="shared" ca="1" si="559"/>
        <v>2231.6156461961773</v>
      </c>
      <c r="D897" s="69">
        <f t="shared" ca="1" si="560"/>
        <v>2906.3674980134679</v>
      </c>
      <c r="E897" s="69">
        <f t="shared" ca="1" si="561"/>
        <v>1927.5309628804825</v>
      </c>
      <c r="F897" s="69">
        <f t="shared" ca="1" si="562"/>
        <v>1217.9705924586008</v>
      </c>
      <c r="G897" s="69">
        <f t="shared" ca="1" si="563"/>
        <v>972.91368448138553</v>
      </c>
      <c r="H897" s="69">
        <f t="shared" ca="1" si="564"/>
        <v>1185.621257378383</v>
      </c>
      <c r="I897" s="69">
        <f t="shared" ca="1" si="565"/>
        <v>1049.9823829665474</v>
      </c>
      <c r="J897" s="69">
        <f t="shared" ca="1" si="566"/>
        <v>1138.1903259761041</v>
      </c>
      <c r="K897" s="69">
        <f t="shared" ca="1" si="567"/>
        <v>1171.8520199351792</v>
      </c>
      <c r="L897" s="69">
        <f t="shared" ca="1" si="568"/>
        <v>961.86240932302974</v>
      </c>
      <c r="M897" s="69">
        <f t="shared" ca="1" si="569"/>
        <v>995.54442843970514</v>
      </c>
      <c r="N897" s="69">
        <f t="shared" ca="1" si="570"/>
        <v>570.05708583113915</v>
      </c>
      <c r="O897" s="69">
        <f t="shared" ca="1" si="571"/>
        <v>629.49168218650186</v>
      </c>
      <c r="P897" s="69">
        <f t="shared" ca="1" si="572"/>
        <v>718.61034168560377</v>
      </c>
      <c r="Q897" s="69">
        <f t="shared" ca="1" si="573"/>
        <v>960.32927971940012</v>
      </c>
      <c r="R897" s="69">
        <f t="shared" ca="1" si="574"/>
        <v>779.92262395615023</v>
      </c>
      <c r="S897" s="69">
        <f t="shared" ca="1" si="575"/>
        <v>706.59268358912186</v>
      </c>
      <c r="T897" s="69">
        <f t="shared" ca="1" si="576"/>
        <v>797.82720770167487</v>
      </c>
      <c r="U897" s="69">
        <f t="shared" ca="1" si="577"/>
        <v>1696.9464897352998</v>
      </c>
      <c r="V897" s="69">
        <f t="shared" ca="1" si="578"/>
        <v>1913.6399795222503</v>
      </c>
      <c r="W897" s="69">
        <f t="shared" ca="1" si="579"/>
        <v>1185.8576617800315</v>
      </c>
      <c r="X897" s="69">
        <f t="shared" ca="1" si="580"/>
        <v>1491.9326665363305</v>
      </c>
      <c r="Y897" s="69">
        <f t="shared" ca="1" si="581"/>
        <v>1200.6478096195151</v>
      </c>
      <c r="AA897" s="20">
        <f t="shared" ca="1" si="541"/>
        <v>6.5561403377749096E+16</v>
      </c>
      <c r="AB897" s="20">
        <f t="shared" ca="1" si="542"/>
        <v>1679012750411741.8</v>
      </c>
      <c r="AC897" s="20">
        <f t="shared" ca="1" si="543"/>
        <v>402675044856826.44</v>
      </c>
      <c r="AD897" s="20">
        <f t="shared" ca="1" si="544"/>
        <v>303419250132565.13</v>
      </c>
      <c r="AE897" s="20">
        <f t="shared" ca="1" si="545"/>
        <v>6898041508299595</v>
      </c>
      <c r="AG897" s="16">
        <f t="shared" ca="1" si="546"/>
        <v>1.1300889939163456E-4</v>
      </c>
      <c r="AH897" s="16">
        <f t="shared" ca="1" si="547"/>
        <v>6.2545533943622318E-4</v>
      </c>
      <c r="AI897" s="16">
        <f t="shared" ca="1" si="548"/>
        <v>1.0601101830505341E-4</v>
      </c>
      <c r="AJ897" s="16">
        <f t="shared" ca="1" si="549"/>
        <v>3.5805387407004008E-4</v>
      </c>
      <c r="AK897" s="16">
        <f t="shared" ca="1" si="550"/>
        <v>2.8196741033791474E-4</v>
      </c>
      <c r="AM897" s="16">
        <f t="shared" ca="1" si="551"/>
        <v>1.2025291312029512E-3</v>
      </c>
      <c r="AO897" s="16">
        <f t="shared" ca="1" si="552"/>
        <v>0</v>
      </c>
      <c r="AP897" s="16">
        <f t="shared" ca="1" si="553"/>
        <v>0</v>
      </c>
      <c r="AQ897" s="16">
        <f t="shared" ca="1" si="554"/>
        <v>0</v>
      </c>
      <c r="AR897" s="16">
        <f t="shared" ca="1" si="555"/>
        <v>0</v>
      </c>
      <c r="AS897" s="16">
        <f t="shared" ca="1" si="556"/>
        <v>0</v>
      </c>
    </row>
    <row r="898" spans="1:45" x14ac:dyDescent="0.25">
      <c r="A898" s="69">
        <f t="shared" ca="1" si="557"/>
        <v>2447.5953940300665</v>
      </c>
      <c r="B898" s="69">
        <f t="shared" ca="1" si="558"/>
        <v>2142.8235185383933</v>
      </c>
      <c r="C898" s="69">
        <f t="shared" ca="1" si="559"/>
        <v>2231.6156461961773</v>
      </c>
      <c r="D898" s="69">
        <f t="shared" ca="1" si="560"/>
        <v>2906.3674980134679</v>
      </c>
      <c r="E898" s="69">
        <f t="shared" ca="1" si="561"/>
        <v>1927.5309628804825</v>
      </c>
      <c r="F898" s="69">
        <f t="shared" ca="1" si="562"/>
        <v>1218.390824651035</v>
      </c>
      <c r="G898" s="69">
        <f t="shared" ca="1" si="563"/>
        <v>973.18978180197155</v>
      </c>
      <c r="H898" s="69">
        <f t="shared" ca="1" si="564"/>
        <v>1185.2479597333397</v>
      </c>
      <c r="I898" s="69">
        <f t="shared" ca="1" si="565"/>
        <v>1049.9908272786683</v>
      </c>
      <c r="J898" s="69">
        <f t="shared" ca="1" si="566"/>
        <v>1138.5359397219484</v>
      </c>
      <c r="K898" s="69">
        <f t="shared" ca="1" si="567"/>
        <v>1171.9584157656545</v>
      </c>
      <c r="L898" s="69">
        <f t="shared" ca="1" si="568"/>
        <v>961.86240932302974</v>
      </c>
      <c r="M898" s="69">
        <f t="shared" ca="1" si="569"/>
        <v>995.54442843970514</v>
      </c>
      <c r="N898" s="69">
        <f t="shared" ca="1" si="570"/>
        <v>570.06576344902521</v>
      </c>
      <c r="O898" s="69">
        <f t="shared" ca="1" si="571"/>
        <v>629.49168218650186</v>
      </c>
      <c r="P898" s="69">
        <f t="shared" ca="1" si="572"/>
        <v>718.67910685835625</v>
      </c>
      <c r="Q898" s="69">
        <f t="shared" ca="1" si="573"/>
        <v>960.32927971940012</v>
      </c>
      <c r="R898" s="69">
        <f t="shared" ca="1" si="574"/>
        <v>780.31857395477186</v>
      </c>
      <c r="S898" s="69">
        <f t="shared" ca="1" si="575"/>
        <v>706.82087394510484</v>
      </c>
      <c r="T898" s="69">
        <f t="shared" ca="1" si="576"/>
        <v>797.37411014455074</v>
      </c>
      <c r="U898" s="69">
        <f t="shared" ca="1" si="577"/>
        <v>1697.2586367025137</v>
      </c>
      <c r="V898" s="69">
        <f t="shared" ca="1" si="578"/>
        <v>1913.6399795222503</v>
      </c>
      <c r="W898" s="69">
        <f t="shared" ca="1" si="579"/>
        <v>1185.8576617800315</v>
      </c>
      <c r="X898" s="69">
        <f t="shared" ca="1" si="580"/>
        <v>1492.0789398940242</v>
      </c>
      <c r="Y898" s="69">
        <f t="shared" ca="1" si="581"/>
        <v>1200.6478096195151</v>
      </c>
      <c r="AA898" s="20">
        <f t="shared" ca="1" si="541"/>
        <v>6.5568812818445872E+16</v>
      </c>
      <c r="AB898" s="20">
        <f t="shared" ca="1" si="542"/>
        <v>1680063226380124.8</v>
      </c>
      <c r="AC898" s="20">
        <f t="shared" ca="1" si="543"/>
        <v>402717735111156.44</v>
      </c>
      <c r="AD898" s="20">
        <f t="shared" ca="1" si="544"/>
        <v>303527910022428.94</v>
      </c>
      <c r="AE898" s="20">
        <f t="shared" ca="1" si="545"/>
        <v>6899986805442404</v>
      </c>
      <c r="AG898" s="16">
        <f t="shared" ca="1" si="546"/>
        <v>-1.081675807775293E-4</v>
      </c>
      <c r="AH898" s="16">
        <f t="shared" ca="1" si="547"/>
        <v>6.5352963893995327E-4</v>
      </c>
      <c r="AI898" s="16">
        <f t="shared" ca="1" si="548"/>
        <v>-1.2093811632135211E-3</v>
      </c>
      <c r="AJ898" s="16">
        <f t="shared" ca="1" si="549"/>
        <v>8.6064858462402214E-4</v>
      </c>
      <c r="AK898" s="16">
        <f t="shared" ca="1" si="550"/>
        <v>3.7083694962071332E-4</v>
      </c>
      <c r="AM898" s="16">
        <f t="shared" ca="1" si="551"/>
        <v>1.9662947957292502E-4</v>
      </c>
      <c r="AO898" s="16">
        <f t="shared" ca="1" si="552"/>
        <v>-1.081675807775293E-4</v>
      </c>
      <c r="AP898" s="16">
        <f t="shared" ca="1" si="553"/>
        <v>0</v>
      </c>
      <c r="AQ898" s="16">
        <f t="shared" ca="1" si="554"/>
        <v>-1.2093811632135211E-3</v>
      </c>
      <c r="AR898" s="16">
        <f t="shared" ca="1" si="555"/>
        <v>0</v>
      </c>
      <c r="AS898" s="16">
        <f t="shared" ca="1" si="556"/>
        <v>0</v>
      </c>
    </row>
    <row r="899" spans="1:45" x14ac:dyDescent="0.25">
      <c r="A899" s="69">
        <f t="shared" ca="1" si="557"/>
        <v>2447.3341965104901</v>
      </c>
      <c r="B899" s="69">
        <f t="shared" ca="1" si="558"/>
        <v>2143.0440000222425</v>
      </c>
      <c r="C899" s="69">
        <f t="shared" ca="1" si="559"/>
        <v>2231.6156461961773</v>
      </c>
      <c r="D899" s="69">
        <f t="shared" ca="1" si="560"/>
        <v>2906.3674980134679</v>
      </c>
      <c r="E899" s="69">
        <f t="shared" ca="1" si="561"/>
        <v>1927.3298671352672</v>
      </c>
      <c r="F899" s="69">
        <f t="shared" ca="1" si="562"/>
        <v>1218.5649234701336</v>
      </c>
      <c r="G899" s="69">
        <f t="shared" ca="1" si="563"/>
        <v>973.18978180197155</v>
      </c>
      <c r="H899" s="69">
        <f t="shared" ca="1" si="564"/>
        <v>1185.655524148619</v>
      </c>
      <c r="I899" s="69">
        <f t="shared" ca="1" si="565"/>
        <v>1050.1660247443756</v>
      </c>
      <c r="J899" s="69">
        <f t="shared" ca="1" si="566"/>
        <v>1138.5359397219484</v>
      </c>
      <c r="K899" s="69">
        <f t="shared" ca="1" si="567"/>
        <v>1171.8589224479451</v>
      </c>
      <c r="L899" s="69">
        <f t="shared" ca="1" si="568"/>
        <v>961.86240932302974</v>
      </c>
      <c r="M899" s="69">
        <f t="shared" ca="1" si="569"/>
        <v>995.54442843970514</v>
      </c>
      <c r="N899" s="69">
        <f t="shared" ca="1" si="570"/>
        <v>569.84028600866702</v>
      </c>
      <c r="O899" s="69">
        <f t="shared" ca="1" si="571"/>
        <v>629.03302824712046</v>
      </c>
      <c r="P899" s="69">
        <f t="shared" ca="1" si="572"/>
        <v>719.01576989779096</v>
      </c>
      <c r="Q899" s="69">
        <f t="shared" ca="1" si="573"/>
        <v>960.32927971940012</v>
      </c>
      <c r="R899" s="69">
        <f t="shared" ca="1" si="574"/>
        <v>780.31857395477186</v>
      </c>
      <c r="S899" s="69">
        <f t="shared" ca="1" si="575"/>
        <v>707.09822217245994</v>
      </c>
      <c r="T899" s="69">
        <f t="shared" ca="1" si="576"/>
        <v>797.37411014455074</v>
      </c>
      <c r="U899" s="69">
        <f t="shared" ca="1" si="577"/>
        <v>1697.091141895447</v>
      </c>
      <c r="V899" s="69">
        <f t="shared" ca="1" si="578"/>
        <v>1913.2965532893445</v>
      </c>
      <c r="W899" s="69">
        <f t="shared" ca="1" si="579"/>
        <v>1186.3316666403616</v>
      </c>
      <c r="X899" s="69">
        <f t="shared" ca="1" si="580"/>
        <v>1492.5043108072859</v>
      </c>
      <c r="Y899" s="69">
        <f t="shared" ca="1" si="581"/>
        <v>1200.6049776889056</v>
      </c>
      <c r="AA899" s="20">
        <f t="shared" ref="AA899:AA962" ca="1" si="582">A899*B899*C899*D899*E899</f>
        <v>6.5561720782159968E+16</v>
      </c>
      <c r="AB899" s="20">
        <f t="shared" ref="AB899:AB962" ca="1" si="583">F899*G899*H899*I899*J899</f>
        <v>1681161556350360.3</v>
      </c>
      <c r="AC899" s="20">
        <f t="shared" ref="AC899:AC962" ca="1" si="584">K899*L899*M899*N899*O899</f>
        <v>402230990257575.81</v>
      </c>
      <c r="AD899" s="20">
        <f t="shared" ref="AD899:AD962" ca="1" si="585">P899*Q899*R899*S899*T899</f>
        <v>303789253334827.81</v>
      </c>
      <c r="AE899" s="20">
        <f t="shared" ref="AE899:AE962" ca="1" si="586">U899*V899*W899*X899*Y899</f>
        <v>6902546050003652</v>
      </c>
      <c r="AG899" s="16">
        <f t="shared" ca="1" si="546"/>
        <v>-3.1838676427031195E-4</v>
      </c>
      <c r="AH899" s="16">
        <f t="shared" ca="1" si="547"/>
        <v>1.122270199126282E-3</v>
      </c>
      <c r="AI899" s="16">
        <f t="shared" ca="1" si="548"/>
        <v>-8.4691689896620252E-5</v>
      </c>
      <c r="AJ899" s="16">
        <f t="shared" ca="1" si="549"/>
        <v>-4.5511501631445209E-5</v>
      </c>
      <c r="AK899" s="16">
        <f t="shared" ca="1" si="550"/>
        <v>-2.7055526834174511E-4</v>
      </c>
      <c r="AM899" s="16">
        <f t="shared" ca="1" si="551"/>
        <v>6.7368024332790466E-4</v>
      </c>
      <c r="AO899" s="16">
        <f t="shared" ca="1" si="552"/>
        <v>-3.1838676427031195E-4</v>
      </c>
      <c r="AP899" s="16">
        <f t="shared" ca="1" si="553"/>
        <v>0</v>
      </c>
      <c r="AQ899" s="16">
        <f t="shared" ca="1" si="554"/>
        <v>-8.4691689896620252E-5</v>
      </c>
      <c r="AR899" s="16">
        <f t="shared" ca="1" si="555"/>
        <v>-4.5511501631445209E-5</v>
      </c>
      <c r="AS899" s="16">
        <f t="shared" ca="1" si="556"/>
        <v>-2.7055526834174511E-4</v>
      </c>
    </row>
    <row r="900" spans="1:45" x14ac:dyDescent="0.25">
      <c r="A900" s="69">
        <f t="shared" ca="1" si="557"/>
        <v>2447.1857181038586</v>
      </c>
      <c r="B900" s="69">
        <f t="shared" ca="1" si="558"/>
        <v>2142.675497799496</v>
      </c>
      <c r="C900" s="69">
        <f t="shared" ca="1" si="559"/>
        <v>2231.6156461961773</v>
      </c>
      <c r="D900" s="69">
        <f t="shared" ca="1" si="560"/>
        <v>2906.1182935445845</v>
      </c>
      <c r="E900" s="69">
        <f t="shared" ca="1" si="561"/>
        <v>1927.3298671352672</v>
      </c>
      <c r="F900" s="69">
        <f t="shared" ca="1" si="562"/>
        <v>1218.9827887402814</v>
      </c>
      <c r="G900" s="69">
        <f t="shared" ca="1" si="563"/>
        <v>973.59018878539678</v>
      </c>
      <c r="H900" s="69">
        <f t="shared" ca="1" si="564"/>
        <v>1186.1208256074171</v>
      </c>
      <c r="I900" s="69">
        <f t="shared" ca="1" si="565"/>
        <v>1050.1405003640311</v>
      </c>
      <c r="J900" s="69">
        <f t="shared" ca="1" si="566"/>
        <v>1138.5359397219484</v>
      </c>
      <c r="K900" s="69">
        <f t="shared" ca="1" si="567"/>
        <v>1171.543463218999</v>
      </c>
      <c r="L900" s="69">
        <f t="shared" ca="1" si="568"/>
        <v>961.40373728112183</v>
      </c>
      <c r="M900" s="69">
        <f t="shared" ca="1" si="569"/>
        <v>995.77889704347297</v>
      </c>
      <c r="N900" s="69">
        <f t="shared" ca="1" si="570"/>
        <v>569.84028600866702</v>
      </c>
      <c r="O900" s="69">
        <f t="shared" ca="1" si="571"/>
        <v>629.30106717016542</v>
      </c>
      <c r="P900" s="69">
        <f t="shared" ca="1" si="572"/>
        <v>719.27019793729073</v>
      </c>
      <c r="Q900" s="69">
        <f t="shared" ca="1" si="573"/>
        <v>960.31479688524962</v>
      </c>
      <c r="R900" s="69">
        <f t="shared" ca="1" si="574"/>
        <v>780.29407294370708</v>
      </c>
      <c r="S900" s="69">
        <f t="shared" ca="1" si="575"/>
        <v>707.09822217245994</v>
      </c>
      <c r="T900" s="69">
        <f t="shared" ca="1" si="576"/>
        <v>797.09282668364654</v>
      </c>
      <c r="U900" s="69">
        <f t="shared" ca="1" si="577"/>
        <v>1696.7023083154263</v>
      </c>
      <c r="V900" s="69">
        <f t="shared" ca="1" si="578"/>
        <v>1913.2517794833373</v>
      </c>
      <c r="W900" s="69">
        <f t="shared" ca="1" si="579"/>
        <v>1186.0100001975529</v>
      </c>
      <c r="X900" s="69">
        <f t="shared" ca="1" si="580"/>
        <v>1492.5043108072859</v>
      </c>
      <c r="Y900" s="69">
        <f t="shared" ca="1" si="581"/>
        <v>1200.9089743703541</v>
      </c>
      <c r="AA900" s="20">
        <f t="shared" ca="1" si="582"/>
        <v>6.554085012066764E+16</v>
      </c>
      <c r="AB900" s="20">
        <f t="shared" ca="1" si="583"/>
        <v>1683049332964551</v>
      </c>
      <c r="AC900" s="20">
        <f t="shared" ca="1" si="584"/>
        <v>402196926077778.94</v>
      </c>
      <c r="AD900" s="20">
        <f t="shared" ca="1" si="585"/>
        <v>303775427744343.13</v>
      </c>
      <c r="AE900" s="20">
        <f t="shared" ca="1" si="586"/>
        <v>6900678782415784</v>
      </c>
      <c r="AG900" s="16">
        <f t="shared" ref="AG900:AG963" ca="1" si="587">LN(AA901/AA900)</f>
        <v>-2.2903158196875861E-5</v>
      </c>
      <c r="AH900" s="16">
        <f t="shared" ref="AH900:AH963" ca="1" si="588">LN(AB901/AB900)</f>
        <v>3.25679325694585E-5</v>
      </c>
      <c r="AI900" s="16">
        <f t="shared" ref="AI900:AI963" ca="1" si="589">LN(AC901/AC900)</f>
        <v>3.3707709863069028E-4</v>
      </c>
      <c r="AJ900" s="16">
        <f t="shared" ref="AJ900:AJ963" ca="1" si="590">LN(AD901/AD900)</f>
        <v>-7.7090863910772524E-4</v>
      </c>
      <c r="AK900" s="16">
        <f t="shared" ref="AK900:AK963" ca="1" si="591">LN(AE901/AE900)</f>
        <v>-1.5306212421690961E-5</v>
      </c>
      <c r="AM900" s="16">
        <f t="shared" ref="AM900:AM963" ca="1" si="592">AG900+AH900+AI900+AJ900</f>
        <v>-4.241667661044523E-4</v>
      </c>
      <c r="AO900" s="16">
        <f t="shared" ref="AO900:AO963" ca="1" si="593">MIN(AG900,0)</f>
        <v>-2.2903158196875861E-5</v>
      </c>
      <c r="AP900" s="16">
        <f t="shared" ref="AP900:AP963" ca="1" si="594">MIN(AH900,0)</f>
        <v>0</v>
      </c>
      <c r="AQ900" s="16">
        <f t="shared" ref="AQ900:AQ963" ca="1" si="595">MIN(AI900,0)</f>
        <v>0</v>
      </c>
      <c r="AR900" s="16">
        <f t="shared" ref="AR900:AR963" ca="1" si="596">MIN(AJ900,0)</f>
        <v>-7.7090863910772524E-4</v>
      </c>
      <c r="AS900" s="16">
        <f t="shared" ref="AS900:AS963" ca="1" si="597">MIN(AK900,0)</f>
        <v>-1.5306212421690961E-5</v>
      </c>
    </row>
    <row r="901" spans="1:45" x14ac:dyDescent="0.25">
      <c r="A901" s="69">
        <f t="shared" ref="A901:A964" ca="1" si="598">A900+ $A$1 * RAND()  * RANDBETWEEN(-1,1)</f>
        <v>2447.0455566540154</v>
      </c>
      <c r="B901" s="69">
        <f t="shared" ref="B901:B964" ca="1" si="599">B900+ $A$1 * RAND()  * RANDBETWEEN(-1,1)</f>
        <v>2142.8973013610348</v>
      </c>
      <c r="C901" s="69">
        <f t="shared" ref="C901:C964" ca="1" si="600">C900+ $A$1 * RAND()  * RANDBETWEEN(-1,1)</f>
        <v>2231.4443654796314</v>
      </c>
      <c r="D901" s="69">
        <f t="shared" ref="D901:D964" ca="1" si="601">D900+ $A$1 * RAND()  * RANDBETWEEN(-1,1)</f>
        <v>2906.1404269633258</v>
      </c>
      <c r="E901" s="69">
        <f t="shared" ref="E901:E964" ca="1" si="602">E900+ $A$1 * RAND()  * RANDBETWEEN(-1,1)</f>
        <v>1927.3298671352672</v>
      </c>
      <c r="F901" s="69">
        <f t="shared" ref="F901:F964" ca="1" si="603">F900+ $A$1 * RAND()  * RANDBETWEEN(-1,1)</f>
        <v>1218.9827887402814</v>
      </c>
      <c r="G901" s="69">
        <f t="shared" ref="G901:G964" ca="1" si="604">G900+ $A$1 * RAND()  * RANDBETWEEN(-1,1)</f>
        <v>973.59018878539678</v>
      </c>
      <c r="H901" s="69">
        <f t="shared" ref="H901:H964" ca="1" si="605">H900+ $A$1 * RAND()  * RANDBETWEEN(-1,1)</f>
        <v>1185.8475777297913</v>
      </c>
      <c r="I901" s="69">
        <f t="shared" ref="I901:I964" ca="1" si="606">I900+ $A$1 * RAND()  * RANDBETWEEN(-1,1)</f>
        <v>1050.1405003640311</v>
      </c>
      <c r="J901" s="69">
        <f t="shared" ref="J901:J964" ca="1" si="607">J900+ $A$1 * RAND()  * RANDBETWEEN(-1,1)</f>
        <v>1138.8353747670324</v>
      </c>
      <c r="K901" s="69">
        <f t="shared" ref="K901:K964" ca="1" si="608">K900+ $A$1 * RAND()  * RANDBETWEEN(-1,1)</f>
        <v>1171.9991429124836</v>
      </c>
      <c r="L901" s="69">
        <f t="shared" ref="L901:L964" ca="1" si="609">L900+ $A$1 * RAND()  * RANDBETWEEN(-1,1)</f>
        <v>961.40373728112183</v>
      </c>
      <c r="M901" s="69">
        <f t="shared" ref="M901:M964" ca="1" si="610">M900+ $A$1 * RAND()  * RANDBETWEEN(-1,1)</f>
        <v>995.89206599900876</v>
      </c>
      <c r="N901" s="69">
        <f t="shared" ref="N901:N964" ca="1" si="611">N900+ $A$1 * RAND()  * RANDBETWEEN(-1,1)</f>
        <v>569.74601589148301</v>
      </c>
      <c r="O901" s="69">
        <f t="shared" ref="O901:O964" ca="1" si="612">O900+ $A$1 * RAND()  * RANDBETWEEN(-1,1)</f>
        <v>629.30106717016542</v>
      </c>
      <c r="P901" s="69">
        <f t="shared" ref="P901:P964" ca="1" si="613">P900+ $A$1 * RAND()  * RANDBETWEEN(-1,1)</f>
        <v>719.02048671742295</v>
      </c>
      <c r="Q901" s="69">
        <f t="shared" ref="Q901:Q964" ca="1" si="614">Q900+ $A$1 * RAND()  * RANDBETWEEN(-1,1)</f>
        <v>959.96237986573806</v>
      </c>
      <c r="R901" s="69">
        <f t="shared" ref="R901:R964" ca="1" si="615">R900+ $A$1 * RAND()  * RANDBETWEEN(-1,1)</f>
        <v>779.8085226876367</v>
      </c>
      <c r="S901" s="69">
        <f t="shared" ref="S901:S964" ca="1" si="616">S900+ $A$1 * RAND()  * RANDBETWEEN(-1,1)</f>
        <v>707.14121885842894</v>
      </c>
      <c r="T901" s="69">
        <f t="shared" ref="T901:T964" ca="1" si="617">T900+ $A$1 * RAND()  * RANDBETWEEN(-1,1)</f>
        <v>797.49548157703452</v>
      </c>
      <c r="U901" s="69">
        <f t="shared" ref="U901:U964" ca="1" si="618">U900+ $A$1 * RAND()  * RANDBETWEEN(-1,1)</f>
        <v>1697.0509344426118</v>
      </c>
      <c r="V901" s="69">
        <f t="shared" ref="V901:V964" ca="1" si="619">V900+ $A$1 * RAND()  * RANDBETWEEN(-1,1)</f>
        <v>1913.2517794833373</v>
      </c>
      <c r="W901" s="69">
        <f t="shared" ref="W901:W964" ca="1" si="620">W900+ $A$1 * RAND()  * RANDBETWEEN(-1,1)</f>
        <v>1185.8282381934407</v>
      </c>
      <c r="X901" s="69">
        <f t="shared" ref="X901:X964" ca="1" si="621">X900+ $A$1 * RAND()  * RANDBETWEEN(-1,1)</f>
        <v>1492.4035834511399</v>
      </c>
      <c r="Y901" s="69">
        <f t="shared" ref="Y901:Y964" ca="1" si="622">Y900+ $A$1 * RAND()  * RANDBETWEEN(-1,1)</f>
        <v>1200.9089743703541</v>
      </c>
      <c r="AA901" s="20">
        <f t="shared" ca="1" si="582"/>
        <v>6.553934904539872E+16</v>
      </c>
      <c r="AB901" s="20">
        <f t="shared" ca="1" si="583"/>
        <v>1683104147294328</v>
      </c>
      <c r="AC901" s="20">
        <f t="shared" ca="1" si="584"/>
        <v>402332520302269.44</v>
      </c>
      <c r="AD901" s="20">
        <f t="shared" ca="1" si="585"/>
        <v>303541334886443.06</v>
      </c>
      <c r="AE901" s="20">
        <f t="shared" ca="1" si="586"/>
        <v>6900573159968828</v>
      </c>
      <c r="AG901" s="16">
        <f t="shared" ca="1" si="587"/>
        <v>-6.5196144363502507E-5</v>
      </c>
      <c r="AH901" s="16">
        <f t="shared" ca="1" si="588"/>
        <v>9.9051969583375357E-6</v>
      </c>
      <c r="AI901" s="16">
        <f t="shared" ca="1" si="589"/>
        <v>-1.4201896063888422E-4</v>
      </c>
      <c r="AJ901" s="16">
        <f t="shared" ca="1" si="590"/>
        <v>8.5602939887055953E-4</v>
      </c>
      <c r="AK901" s="16">
        <f t="shared" ca="1" si="591"/>
        <v>5.9479502830492824E-4</v>
      </c>
      <c r="AM901" s="16">
        <f t="shared" ca="1" si="592"/>
        <v>6.587194908265104E-4</v>
      </c>
      <c r="AO901" s="16">
        <f t="shared" ca="1" si="593"/>
        <v>-6.5196144363502507E-5</v>
      </c>
      <c r="AP901" s="16">
        <f t="shared" ca="1" si="594"/>
        <v>0</v>
      </c>
      <c r="AQ901" s="16">
        <f t="shared" ca="1" si="595"/>
        <v>-1.4201896063888422E-4</v>
      </c>
      <c r="AR901" s="16">
        <f t="shared" ca="1" si="596"/>
        <v>0</v>
      </c>
      <c r="AS901" s="16">
        <f t="shared" ca="1" si="597"/>
        <v>0</v>
      </c>
    </row>
    <row r="902" spans="1:45" x14ac:dyDescent="0.25">
      <c r="A902" s="69">
        <f t="shared" ca="1" si="598"/>
        <v>2446.5505841107665</v>
      </c>
      <c r="B902" s="69">
        <f t="shared" ca="1" si="599"/>
        <v>2142.7901443024912</v>
      </c>
      <c r="C902" s="69">
        <f t="shared" ca="1" si="600"/>
        <v>2231.4443654796314</v>
      </c>
      <c r="D902" s="69">
        <f t="shared" ca="1" si="601"/>
        <v>2906.0337027697237</v>
      </c>
      <c r="E902" s="69">
        <f t="shared" ca="1" si="602"/>
        <v>1927.7613080209405</v>
      </c>
      <c r="F902" s="69">
        <f t="shared" ca="1" si="603"/>
        <v>1218.9827887402814</v>
      </c>
      <c r="G902" s="69">
        <f t="shared" ca="1" si="604"/>
        <v>973.35901820693437</v>
      </c>
      <c r="H902" s="69">
        <f t="shared" ca="1" si="605"/>
        <v>1186.2889505460712</v>
      </c>
      <c r="I902" s="69">
        <f t="shared" ca="1" si="606"/>
        <v>1050.1405003640311</v>
      </c>
      <c r="J902" s="69">
        <f t="shared" ca="1" si="607"/>
        <v>1138.6933067489931</v>
      </c>
      <c r="K902" s="69">
        <f t="shared" ca="1" si="608"/>
        <v>1171.6112406583816</v>
      </c>
      <c r="L902" s="69">
        <f t="shared" ca="1" si="609"/>
        <v>960.92173904598849</v>
      </c>
      <c r="M902" s="69">
        <f t="shared" ca="1" si="610"/>
        <v>996.37268411257389</v>
      </c>
      <c r="N902" s="69">
        <f t="shared" ca="1" si="611"/>
        <v>569.8645357426451</v>
      </c>
      <c r="O902" s="69">
        <f t="shared" ca="1" si="612"/>
        <v>629.30106717016542</v>
      </c>
      <c r="P902" s="69">
        <f t="shared" ca="1" si="613"/>
        <v>719.30733078602725</v>
      </c>
      <c r="Q902" s="69">
        <f t="shared" ca="1" si="614"/>
        <v>960.03361332853808</v>
      </c>
      <c r="R902" s="69">
        <f t="shared" ca="1" si="615"/>
        <v>780.10722315569137</v>
      </c>
      <c r="S902" s="69">
        <f t="shared" ca="1" si="616"/>
        <v>707.14121885842894</v>
      </c>
      <c r="T902" s="69">
        <f t="shared" ca="1" si="617"/>
        <v>797.49548157703452</v>
      </c>
      <c r="U902" s="69">
        <f t="shared" ca="1" si="618"/>
        <v>1697.4926223753923</v>
      </c>
      <c r="V902" s="69">
        <f t="shared" ca="1" si="619"/>
        <v>1913.2517794833373</v>
      </c>
      <c r="W902" s="69">
        <f t="shared" ca="1" si="620"/>
        <v>1186.1910119153179</v>
      </c>
      <c r="X902" s="69">
        <f t="shared" ca="1" si="621"/>
        <v>1492.8729421182038</v>
      </c>
      <c r="Y902" s="69">
        <f t="shared" ca="1" si="622"/>
        <v>1200.5658448855352</v>
      </c>
      <c r="AA902" s="20">
        <f t="shared" ca="1" si="582"/>
        <v>6.553507627182256E+16</v>
      </c>
      <c r="AB902" s="20">
        <f t="shared" ca="1" si="583"/>
        <v>1683120818854975.8</v>
      </c>
      <c r="AC902" s="20">
        <f t="shared" ca="1" si="584"/>
        <v>402275385513112.63</v>
      </c>
      <c r="AD902" s="20">
        <f t="shared" ca="1" si="585"/>
        <v>303801286440090.31</v>
      </c>
      <c r="AE902" s="20">
        <f t="shared" ca="1" si="586"/>
        <v>6904678807465149</v>
      </c>
      <c r="AG902" s="16">
        <f t="shared" ca="1" si="587"/>
        <v>-1.7892712345807946E-4</v>
      </c>
      <c r="AH902" s="16">
        <f t="shared" ca="1" si="588"/>
        <v>3.7961601113944575E-5</v>
      </c>
      <c r="AI902" s="16">
        <f t="shared" ca="1" si="589"/>
        <v>-5.9653019602524753E-4</v>
      </c>
      <c r="AJ902" s="16">
        <f t="shared" ca="1" si="590"/>
        <v>6.0911256975677754E-4</v>
      </c>
      <c r="AK902" s="16">
        <f t="shared" ca="1" si="591"/>
        <v>-2.0346836882597405E-4</v>
      </c>
      <c r="AM902" s="16">
        <f t="shared" ca="1" si="592"/>
        <v>-1.283831486126049E-4</v>
      </c>
      <c r="AO902" s="16">
        <f t="shared" ca="1" si="593"/>
        <v>-1.7892712345807946E-4</v>
      </c>
      <c r="AP902" s="16">
        <f t="shared" ca="1" si="594"/>
        <v>0</v>
      </c>
      <c r="AQ902" s="16">
        <f t="shared" ca="1" si="595"/>
        <v>-5.9653019602524753E-4</v>
      </c>
      <c r="AR902" s="16">
        <f t="shared" ca="1" si="596"/>
        <v>0</v>
      </c>
      <c r="AS902" s="16">
        <f t="shared" ca="1" si="597"/>
        <v>-2.0346836882597405E-4</v>
      </c>
    </row>
    <row r="903" spans="1:45" x14ac:dyDescent="0.25">
      <c r="A903" s="69">
        <f t="shared" ca="1" si="598"/>
        <v>2446.2640495268774</v>
      </c>
      <c r="B903" s="69">
        <f t="shared" ca="1" si="599"/>
        <v>2142.7901443024912</v>
      </c>
      <c r="C903" s="69">
        <f t="shared" ca="1" si="600"/>
        <v>2231.0277760077165</v>
      </c>
      <c r="D903" s="69">
        <f t="shared" ca="1" si="601"/>
        <v>2905.9571055367906</v>
      </c>
      <c r="E903" s="69">
        <f t="shared" ca="1" si="602"/>
        <v>1928.0529305739078</v>
      </c>
      <c r="F903" s="69">
        <f t="shared" ca="1" si="603"/>
        <v>1218.6287991487484</v>
      </c>
      <c r="G903" s="69">
        <f t="shared" ca="1" si="604"/>
        <v>973.2356502545058</v>
      </c>
      <c r="H903" s="69">
        <f t="shared" ca="1" si="605"/>
        <v>1186.2889505460712</v>
      </c>
      <c r="I903" s="69">
        <f t="shared" ca="1" si="606"/>
        <v>1050.5255162423839</v>
      </c>
      <c r="J903" s="69">
        <f t="shared" ca="1" si="607"/>
        <v>1138.794186182063</v>
      </c>
      <c r="K903" s="69">
        <f t="shared" ca="1" si="608"/>
        <v>1171.6149484022767</v>
      </c>
      <c r="L903" s="69">
        <f t="shared" ca="1" si="609"/>
        <v>961.06116168031679</v>
      </c>
      <c r="M903" s="69">
        <f t="shared" ca="1" si="610"/>
        <v>996.0185312066593</v>
      </c>
      <c r="N903" s="69">
        <f t="shared" ca="1" si="611"/>
        <v>569.86883121875394</v>
      </c>
      <c r="O903" s="69">
        <f t="shared" ca="1" si="612"/>
        <v>629.05140424523154</v>
      </c>
      <c r="P903" s="69">
        <f t="shared" ca="1" si="613"/>
        <v>719.0488203414576</v>
      </c>
      <c r="Q903" s="69">
        <f t="shared" ca="1" si="614"/>
        <v>960.15262102262909</v>
      </c>
      <c r="R903" s="69">
        <f t="shared" ca="1" si="615"/>
        <v>780.58608438953968</v>
      </c>
      <c r="S903" s="69">
        <f t="shared" ca="1" si="616"/>
        <v>707.30455828952472</v>
      </c>
      <c r="T903" s="69">
        <f t="shared" ca="1" si="617"/>
        <v>797.49548157703452</v>
      </c>
      <c r="U903" s="69">
        <f t="shared" ca="1" si="618"/>
        <v>1697.1472714556091</v>
      </c>
      <c r="V903" s="69">
        <f t="shared" ca="1" si="619"/>
        <v>1913.2517794833373</v>
      </c>
      <c r="W903" s="69">
        <f t="shared" ca="1" si="620"/>
        <v>1186.1910119153179</v>
      </c>
      <c r="X903" s="69">
        <f t="shared" ca="1" si="621"/>
        <v>1492.8729421182038</v>
      </c>
      <c r="Y903" s="69">
        <f t="shared" ca="1" si="622"/>
        <v>1200.5658448855352</v>
      </c>
      <c r="AA903" s="20">
        <f t="shared" ca="1" si="582"/>
        <v>6.552335131812704E+16</v>
      </c>
      <c r="AB903" s="20">
        <f t="shared" ca="1" si="583"/>
        <v>1683184714028901.5</v>
      </c>
      <c r="AC903" s="20">
        <f t="shared" ca="1" si="584"/>
        <v>402035487658807.31</v>
      </c>
      <c r="AD903" s="20">
        <f t="shared" ca="1" si="585"/>
        <v>303986391991705.25</v>
      </c>
      <c r="AE903" s="20">
        <f t="shared" ca="1" si="586"/>
        <v>6903274066645935</v>
      </c>
      <c r="AG903" s="16">
        <f t="shared" ca="1" si="587"/>
        <v>3.2940018813145175E-4</v>
      </c>
      <c r="AH903" s="16">
        <f t="shared" ca="1" si="588"/>
        <v>-3.3215339572115508E-4</v>
      </c>
      <c r="AI903" s="16">
        <f t="shared" ca="1" si="589"/>
        <v>1.2927270854747285E-5</v>
      </c>
      <c r="AJ903" s="16">
        <f t="shared" ca="1" si="590"/>
        <v>2.1253789621331989E-4</v>
      </c>
      <c r="AK903" s="16">
        <f t="shared" ca="1" si="591"/>
        <v>3.5719012438230997E-4</v>
      </c>
      <c r="AM903" s="16">
        <f t="shared" ca="1" si="592"/>
        <v>2.2271195947836384E-4</v>
      </c>
      <c r="AO903" s="16">
        <f t="shared" ca="1" si="593"/>
        <v>0</v>
      </c>
      <c r="AP903" s="16">
        <f t="shared" ca="1" si="594"/>
        <v>-3.3215339572115508E-4</v>
      </c>
      <c r="AQ903" s="16">
        <f t="shared" ca="1" si="595"/>
        <v>0</v>
      </c>
      <c r="AR903" s="16">
        <f t="shared" ca="1" si="596"/>
        <v>0</v>
      </c>
      <c r="AS903" s="16">
        <f t="shared" ca="1" si="597"/>
        <v>0</v>
      </c>
    </row>
    <row r="904" spans="1:45" x14ac:dyDescent="0.25">
      <c r="A904" s="69">
        <f t="shared" ca="1" si="598"/>
        <v>2446.6100576856861</v>
      </c>
      <c r="B904" s="69">
        <f t="shared" ca="1" si="599"/>
        <v>2142.7901443024912</v>
      </c>
      <c r="C904" s="69">
        <f t="shared" ca="1" si="600"/>
        <v>2231.1026129799234</v>
      </c>
      <c r="D904" s="69">
        <f t="shared" ca="1" si="601"/>
        <v>2905.9571055367906</v>
      </c>
      <c r="E904" s="69">
        <f t="shared" ca="1" si="602"/>
        <v>1928.3506903003479</v>
      </c>
      <c r="F904" s="69">
        <f t="shared" ca="1" si="603"/>
        <v>1218.6287991487484</v>
      </c>
      <c r="G904" s="69">
        <f t="shared" ca="1" si="604"/>
        <v>973.35026801685262</v>
      </c>
      <c r="H904" s="69">
        <f t="shared" ca="1" si="605"/>
        <v>1186.2889505460712</v>
      </c>
      <c r="I904" s="69">
        <f t="shared" ca="1" si="606"/>
        <v>1050.0529740457625</v>
      </c>
      <c r="J904" s="69">
        <f t="shared" ca="1" si="607"/>
        <v>1138.794186182063</v>
      </c>
      <c r="K904" s="69">
        <f t="shared" ca="1" si="608"/>
        <v>1171.6802823500298</v>
      </c>
      <c r="L904" s="69">
        <f t="shared" ca="1" si="609"/>
        <v>961.06116168031679</v>
      </c>
      <c r="M904" s="69">
        <f t="shared" ca="1" si="610"/>
        <v>996.35346282736259</v>
      </c>
      <c r="N904" s="69">
        <f t="shared" ca="1" si="611"/>
        <v>569.86883121875394</v>
      </c>
      <c r="O904" s="69">
        <f t="shared" ca="1" si="612"/>
        <v>628.81300804296848</v>
      </c>
      <c r="P904" s="69">
        <f t="shared" ca="1" si="613"/>
        <v>719.0488203414576</v>
      </c>
      <c r="Q904" s="69">
        <f t="shared" ca="1" si="614"/>
        <v>959.71067652396937</v>
      </c>
      <c r="R904" s="69">
        <f t="shared" ca="1" si="615"/>
        <v>781.06834553456224</v>
      </c>
      <c r="S904" s="69">
        <f t="shared" ca="1" si="616"/>
        <v>707.65276438830426</v>
      </c>
      <c r="T904" s="69">
        <f t="shared" ca="1" si="617"/>
        <v>797.14714948947801</v>
      </c>
      <c r="U904" s="69">
        <f t="shared" ca="1" si="618"/>
        <v>1697.0862411848516</v>
      </c>
      <c r="V904" s="69">
        <f t="shared" ca="1" si="619"/>
        <v>1913.676883518179</v>
      </c>
      <c r="W904" s="69">
        <f t="shared" ca="1" si="620"/>
        <v>1186.6798340545515</v>
      </c>
      <c r="X904" s="69">
        <f t="shared" ca="1" si="621"/>
        <v>1493.1114402544508</v>
      </c>
      <c r="Y904" s="69">
        <f t="shared" ca="1" si="622"/>
        <v>1200.0847935704996</v>
      </c>
      <c r="AA904" s="20">
        <f t="shared" ca="1" si="582"/>
        <v>6.5544938277557296E+16</v>
      </c>
      <c r="AB904" s="20">
        <f t="shared" ca="1" si="583"/>
        <v>1682625731349647.5</v>
      </c>
      <c r="AC904" s="20">
        <f t="shared" ca="1" si="584"/>
        <v>402040684914042.63</v>
      </c>
      <c r="AD904" s="20">
        <f t="shared" ca="1" si="585"/>
        <v>304051007486314.06</v>
      </c>
      <c r="AE904" s="20">
        <f t="shared" ca="1" si="586"/>
        <v>6905740288397251</v>
      </c>
      <c r="AG904" s="16">
        <f t="shared" ca="1" si="587"/>
        <v>-1.5222567935238408E-4</v>
      </c>
      <c r="AH904" s="16">
        <f t="shared" ca="1" si="588"/>
        <v>-2.3773862830219297E-4</v>
      </c>
      <c r="AI904" s="16">
        <f t="shared" ca="1" si="589"/>
        <v>7.3526490860100456E-4</v>
      </c>
      <c r="AJ904" s="16">
        <f t="shared" ca="1" si="590"/>
        <v>6.8447438742695252E-4</v>
      </c>
      <c r="AK904" s="16">
        <f t="shared" ca="1" si="591"/>
        <v>1.9232202324910677E-4</v>
      </c>
      <c r="AM904" s="16">
        <f t="shared" ca="1" si="592"/>
        <v>1.0297749883733799E-3</v>
      </c>
      <c r="AO904" s="16">
        <f t="shared" ca="1" si="593"/>
        <v>-1.5222567935238408E-4</v>
      </c>
      <c r="AP904" s="16">
        <f t="shared" ca="1" si="594"/>
        <v>-2.3773862830219297E-4</v>
      </c>
      <c r="AQ904" s="16">
        <f t="shared" ca="1" si="595"/>
        <v>0</v>
      </c>
      <c r="AR904" s="16">
        <f t="shared" ca="1" si="596"/>
        <v>0</v>
      </c>
      <c r="AS904" s="16">
        <f t="shared" ca="1" si="597"/>
        <v>0</v>
      </c>
    </row>
    <row r="905" spans="1:45" x14ac:dyDescent="0.25">
      <c r="A905" s="69">
        <f t="shared" ca="1" si="598"/>
        <v>2446.6423434172802</v>
      </c>
      <c r="B905" s="69">
        <f t="shared" ca="1" si="599"/>
        <v>2142.7901443024912</v>
      </c>
      <c r="C905" s="69">
        <f t="shared" ca="1" si="600"/>
        <v>2231.054400942327</v>
      </c>
      <c r="D905" s="69">
        <f t="shared" ca="1" si="601"/>
        <v>2905.5392229088038</v>
      </c>
      <c r="E905" s="69">
        <f t="shared" ca="1" si="602"/>
        <v>1928.3506903003479</v>
      </c>
      <c r="F905" s="69">
        <f t="shared" ca="1" si="603"/>
        <v>1218.8108799300437</v>
      </c>
      <c r="G905" s="69">
        <f t="shared" ca="1" si="604"/>
        <v>973.35026801685262</v>
      </c>
      <c r="H905" s="69">
        <f t="shared" ca="1" si="605"/>
        <v>1185.9927094312022</v>
      </c>
      <c r="I905" s="69">
        <f t="shared" ca="1" si="606"/>
        <v>1050.2328896609704</v>
      </c>
      <c r="J905" s="69">
        <f t="shared" ca="1" si="607"/>
        <v>1138.4426778638608</v>
      </c>
      <c r="K905" s="69">
        <f t="shared" ca="1" si="608"/>
        <v>1171.6802823500298</v>
      </c>
      <c r="L905" s="69">
        <f t="shared" ca="1" si="609"/>
        <v>961.46483270770125</v>
      </c>
      <c r="M905" s="69">
        <f t="shared" ca="1" si="610"/>
        <v>996.0059773730153</v>
      </c>
      <c r="N905" s="69">
        <f t="shared" ca="1" si="611"/>
        <v>570.2474323312274</v>
      </c>
      <c r="O905" s="69">
        <f t="shared" ca="1" si="612"/>
        <v>628.81300804296848</v>
      </c>
      <c r="P905" s="69">
        <f t="shared" ca="1" si="613"/>
        <v>719.0488203414576</v>
      </c>
      <c r="Q905" s="69">
        <f t="shared" ca="1" si="614"/>
        <v>959.71067652396937</v>
      </c>
      <c r="R905" s="69">
        <f t="shared" ca="1" si="615"/>
        <v>781.22524316459419</v>
      </c>
      <c r="S905" s="69">
        <f t="shared" ca="1" si="616"/>
        <v>707.99508139916645</v>
      </c>
      <c r="T905" s="69">
        <f t="shared" ca="1" si="617"/>
        <v>797.14714948947801</v>
      </c>
      <c r="U905" s="69">
        <f t="shared" ca="1" si="618"/>
        <v>1697.0862411848516</v>
      </c>
      <c r="V905" s="69">
        <f t="shared" ca="1" si="619"/>
        <v>1913.676883518179</v>
      </c>
      <c r="W905" s="69">
        <f t="shared" ca="1" si="620"/>
        <v>1186.6798340545515</v>
      </c>
      <c r="X905" s="69">
        <f t="shared" ca="1" si="621"/>
        <v>1493.1114402544508</v>
      </c>
      <c r="Y905" s="69">
        <f t="shared" ca="1" si="622"/>
        <v>1200.3156185017172</v>
      </c>
      <c r="AA905" s="20">
        <f t="shared" ca="1" si="582"/>
        <v>6.5534961414186552E+16</v>
      </c>
      <c r="AB905" s="20">
        <f t="shared" ca="1" si="583"/>
        <v>1682225753763275.8</v>
      </c>
      <c r="AC905" s="20">
        <f t="shared" ca="1" si="584"/>
        <v>402336400022638.69</v>
      </c>
      <c r="AD905" s="20">
        <f t="shared" ca="1" si="585"/>
        <v>304259193854400.13</v>
      </c>
      <c r="AE905" s="20">
        <f t="shared" ca="1" si="586"/>
        <v>6907068542063671</v>
      </c>
      <c r="AG905" s="16">
        <f t="shared" ca="1" si="587"/>
        <v>3.6702388898056555E-4</v>
      </c>
      <c r="AH905" s="16">
        <f t="shared" ca="1" si="588"/>
        <v>-4.1463328930522645E-4</v>
      </c>
      <c r="AI905" s="16">
        <f t="shared" ca="1" si="589"/>
        <v>4.0952498911175049E-4</v>
      </c>
      <c r="AJ905" s="16">
        <f t="shared" ca="1" si="590"/>
        <v>4.3659151951094425E-4</v>
      </c>
      <c r="AK905" s="16">
        <f t="shared" ca="1" si="591"/>
        <v>-2.2297220777980778E-4</v>
      </c>
      <c r="AM905" s="16">
        <f t="shared" ca="1" si="592"/>
        <v>7.985071082980339E-4</v>
      </c>
      <c r="AO905" s="16">
        <f t="shared" ca="1" si="593"/>
        <v>0</v>
      </c>
      <c r="AP905" s="16">
        <f t="shared" ca="1" si="594"/>
        <v>-4.1463328930522645E-4</v>
      </c>
      <c r="AQ905" s="16">
        <f t="shared" ca="1" si="595"/>
        <v>0</v>
      </c>
      <c r="AR905" s="16">
        <f t="shared" ca="1" si="596"/>
        <v>0</v>
      </c>
      <c r="AS905" s="16">
        <f t="shared" ca="1" si="597"/>
        <v>-2.2297220777980778E-4</v>
      </c>
    </row>
    <row r="906" spans="1:45" x14ac:dyDescent="0.25">
      <c r="A906" s="69">
        <f t="shared" ca="1" si="598"/>
        <v>2446.6423434172802</v>
      </c>
      <c r="B906" s="69">
        <f t="shared" ca="1" si="599"/>
        <v>2142.7901443024912</v>
      </c>
      <c r="C906" s="69">
        <f t="shared" ca="1" si="600"/>
        <v>2231.551886016256</v>
      </c>
      <c r="D906" s="69">
        <f t="shared" ca="1" si="601"/>
        <v>2905.9578445111997</v>
      </c>
      <c r="E906" s="69">
        <f t="shared" ca="1" si="602"/>
        <v>1928.3506903003479</v>
      </c>
      <c r="F906" s="69">
        <f t="shared" ca="1" si="603"/>
        <v>1218.8906503795258</v>
      </c>
      <c r="G906" s="69">
        <f t="shared" ca="1" si="604"/>
        <v>972.89871197772186</v>
      </c>
      <c r="H906" s="69">
        <f t="shared" ca="1" si="605"/>
        <v>1186.4697673400362</v>
      </c>
      <c r="I906" s="69">
        <f t="shared" ca="1" si="606"/>
        <v>1049.7416515045538</v>
      </c>
      <c r="J906" s="69">
        <f t="shared" ca="1" si="607"/>
        <v>1138.499186249353</v>
      </c>
      <c r="K906" s="69">
        <f t="shared" ca="1" si="608"/>
        <v>1171.6802823500298</v>
      </c>
      <c r="L906" s="69">
        <f t="shared" ca="1" si="609"/>
        <v>961.46483270770125</v>
      </c>
      <c r="M906" s="69">
        <f t="shared" ca="1" si="610"/>
        <v>996.0059773730153</v>
      </c>
      <c r="N906" s="69">
        <f t="shared" ca="1" si="611"/>
        <v>570.2474323312274</v>
      </c>
      <c r="O906" s="69">
        <f t="shared" ca="1" si="612"/>
        <v>629.07057541977952</v>
      </c>
      <c r="P906" s="69">
        <f t="shared" ca="1" si="613"/>
        <v>718.7074554057117</v>
      </c>
      <c r="Q906" s="69">
        <f t="shared" ca="1" si="614"/>
        <v>960.10305239693037</v>
      </c>
      <c r="R906" s="69">
        <f t="shared" ca="1" si="615"/>
        <v>781.61805198823936</v>
      </c>
      <c r="S906" s="69">
        <f t="shared" ca="1" si="616"/>
        <v>707.99508139916645</v>
      </c>
      <c r="T906" s="69">
        <f t="shared" ca="1" si="617"/>
        <v>797.14714948947801</v>
      </c>
      <c r="U906" s="69">
        <f t="shared" ca="1" si="618"/>
        <v>1697.4076723248152</v>
      </c>
      <c r="V906" s="69">
        <f t="shared" ca="1" si="619"/>
        <v>1913.606220989268</v>
      </c>
      <c r="W906" s="69">
        <f t="shared" ca="1" si="620"/>
        <v>1186.6798340545515</v>
      </c>
      <c r="X906" s="69">
        <f t="shared" ca="1" si="621"/>
        <v>1492.8247122717555</v>
      </c>
      <c r="Y906" s="69">
        <f t="shared" ca="1" si="622"/>
        <v>1200.0955271601492</v>
      </c>
      <c r="AA906" s="20">
        <f t="shared" ca="1" si="582"/>
        <v>6.5559018725122832E+16</v>
      </c>
      <c r="AB906" s="20">
        <f t="shared" ca="1" si="583"/>
        <v>1681528391550424</v>
      </c>
      <c r="AC906" s="20">
        <f t="shared" ca="1" si="584"/>
        <v>402501200575146.25</v>
      </c>
      <c r="AD906" s="20">
        <f t="shared" ca="1" si="585"/>
        <v>304392059840141</v>
      </c>
      <c r="AE906" s="20">
        <f t="shared" ca="1" si="586"/>
        <v>6905528629426801</v>
      </c>
      <c r="AG906" s="16">
        <f t="shared" ca="1" si="587"/>
        <v>9.9483782818166026E-5</v>
      </c>
      <c r="AH906" s="16">
        <f t="shared" ca="1" si="588"/>
        <v>5.2375807877212914E-5</v>
      </c>
      <c r="AI906" s="16">
        <f t="shared" ca="1" si="589"/>
        <v>2.618923277495423E-4</v>
      </c>
      <c r="AJ906" s="16">
        <f t="shared" ca="1" si="590"/>
        <v>-4.1204659093127901E-4</v>
      </c>
      <c r="AK906" s="16">
        <f t="shared" ca="1" si="591"/>
        <v>-2.4255690017388218E-4</v>
      </c>
      <c r="AM906" s="16">
        <f t="shared" ca="1" si="592"/>
        <v>1.7053275136421947E-6</v>
      </c>
      <c r="AO906" s="16">
        <f t="shared" ca="1" si="593"/>
        <v>0</v>
      </c>
      <c r="AP906" s="16">
        <f t="shared" ca="1" si="594"/>
        <v>0</v>
      </c>
      <c r="AQ906" s="16">
        <f t="shared" ca="1" si="595"/>
        <v>0</v>
      </c>
      <c r="AR906" s="16">
        <f t="shared" ca="1" si="596"/>
        <v>-4.1204659093127901E-4</v>
      </c>
      <c r="AS906" s="16">
        <f t="shared" ca="1" si="597"/>
        <v>-2.4255690017388218E-4</v>
      </c>
    </row>
    <row r="907" spans="1:45" x14ac:dyDescent="0.25">
      <c r="A907" s="69">
        <f t="shared" ca="1" si="598"/>
        <v>2446.9897837022777</v>
      </c>
      <c r="B907" s="69">
        <f t="shared" ca="1" si="599"/>
        <v>2143.0147571955513</v>
      </c>
      <c r="C907" s="69">
        <f t="shared" ca="1" si="600"/>
        <v>2231.1155899107575</v>
      </c>
      <c r="D907" s="69">
        <f t="shared" ca="1" si="601"/>
        <v>2905.7017964344614</v>
      </c>
      <c r="E907" s="69">
        <f t="shared" ca="1" si="602"/>
        <v>1928.6135744078972</v>
      </c>
      <c r="F907" s="69">
        <f t="shared" ca="1" si="603"/>
        <v>1219.2658264899471</v>
      </c>
      <c r="G907" s="69">
        <f t="shared" ca="1" si="604"/>
        <v>972.89871197772186</v>
      </c>
      <c r="H907" s="69">
        <f t="shared" ca="1" si="605"/>
        <v>1186.5544639406028</v>
      </c>
      <c r="I907" s="69">
        <f t="shared" ca="1" si="606"/>
        <v>1049.7416515045538</v>
      </c>
      <c r="J907" s="69">
        <f t="shared" ca="1" si="607"/>
        <v>1138.1272299424468</v>
      </c>
      <c r="K907" s="69">
        <f t="shared" ca="1" si="608"/>
        <v>1171.2511732765438</v>
      </c>
      <c r="L907" s="69">
        <f t="shared" ca="1" si="609"/>
        <v>961.46483270770125</v>
      </c>
      <c r="M907" s="69">
        <f t="shared" ca="1" si="610"/>
        <v>996.0059773730153</v>
      </c>
      <c r="N907" s="69">
        <f t="shared" ca="1" si="611"/>
        <v>570.23652270556397</v>
      </c>
      <c r="O907" s="69">
        <f t="shared" ca="1" si="612"/>
        <v>629.47792030096082</v>
      </c>
      <c r="P907" s="69">
        <f t="shared" ca="1" si="613"/>
        <v>718.84471493519527</v>
      </c>
      <c r="Q907" s="69">
        <f t="shared" ca="1" si="614"/>
        <v>960.10305239693037</v>
      </c>
      <c r="R907" s="69">
        <f t="shared" ca="1" si="615"/>
        <v>781.61805198823936</v>
      </c>
      <c r="S907" s="69">
        <f t="shared" ca="1" si="616"/>
        <v>707.56828237564059</v>
      </c>
      <c r="T907" s="69">
        <f t="shared" ca="1" si="617"/>
        <v>797.14714948947801</v>
      </c>
      <c r="U907" s="69">
        <f t="shared" ca="1" si="618"/>
        <v>1697.5164978035141</v>
      </c>
      <c r="V907" s="69">
        <f t="shared" ca="1" si="619"/>
        <v>1913.606220989268</v>
      </c>
      <c r="W907" s="69">
        <f t="shared" ca="1" si="620"/>
        <v>1186.6798340545515</v>
      </c>
      <c r="X907" s="69">
        <f t="shared" ca="1" si="621"/>
        <v>1492.8247122717555</v>
      </c>
      <c r="Y907" s="69">
        <f t="shared" ca="1" si="622"/>
        <v>1199.7275531732473</v>
      </c>
      <c r="AA907" s="20">
        <f t="shared" ca="1" si="582"/>
        <v>6.5565541108733768E+16</v>
      </c>
      <c r="AB907" s="20">
        <f t="shared" ca="1" si="583"/>
        <v>1681616465264845.8</v>
      </c>
      <c r="AC907" s="20">
        <f t="shared" ca="1" si="584"/>
        <v>402606626355985.88</v>
      </c>
      <c r="AD907" s="20">
        <f t="shared" ca="1" si="585"/>
        <v>304266661966234.75</v>
      </c>
      <c r="AE907" s="20">
        <f t="shared" ca="1" si="586"/>
        <v>6903853848931379</v>
      </c>
      <c r="AG907" s="16">
        <f t="shared" ca="1" si="587"/>
        <v>-3.4508919704719261E-4</v>
      </c>
      <c r="AH907" s="16">
        <f t="shared" ca="1" si="588"/>
        <v>-1.0990080920855459E-4</v>
      </c>
      <c r="AI907" s="16">
        <f t="shared" ca="1" si="589"/>
        <v>1.4573548296857643E-4</v>
      </c>
      <c r="AJ907" s="16">
        <f t="shared" ca="1" si="590"/>
        <v>7.4117408738322006E-4</v>
      </c>
      <c r="AK907" s="16">
        <f t="shared" ca="1" si="591"/>
        <v>-8.8232526129538108E-5</v>
      </c>
      <c r="AM907" s="16">
        <f t="shared" ca="1" si="592"/>
        <v>4.3191956409604929E-4</v>
      </c>
      <c r="AO907" s="16">
        <f t="shared" ca="1" si="593"/>
        <v>-3.4508919704719261E-4</v>
      </c>
      <c r="AP907" s="16">
        <f t="shared" ca="1" si="594"/>
        <v>-1.0990080920855459E-4</v>
      </c>
      <c r="AQ907" s="16">
        <f t="shared" ca="1" si="595"/>
        <v>0</v>
      </c>
      <c r="AR907" s="16">
        <f t="shared" ca="1" si="596"/>
        <v>0</v>
      </c>
      <c r="AS907" s="16">
        <f t="shared" ca="1" si="597"/>
        <v>-8.8232526129538108E-5</v>
      </c>
    </row>
    <row r="908" spans="1:45" x14ac:dyDescent="0.25">
      <c r="A908" s="69">
        <f t="shared" ca="1" si="598"/>
        <v>2446.5532018164677</v>
      </c>
      <c r="B908" s="69">
        <f t="shared" ca="1" si="599"/>
        <v>2142.518041995565</v>
      </c>
      <c r="C908" s="69">
        <f t="shared" ca="1" si="600"/>
        <v>2231.4470530414969</v>
      </c>
      <c r="D908" s="69">
        <f t="shared" ca="1" si="601"/>
        <v>2905.459471143794</v>
      </c>
      <c r="E908" s="69">
        <f t="shared" ca="1" si="602"/>
        <v>1928.6135744078972</v>
      </c>
      <c r="F908" s="69">
        <f t="shared" ca="1" si="603"/>
        <v>1219.6636972426979</v>
      </c>
      <c r="G908" s="69">
        <f t="shared" ca="1" si="604"/>
        <v>972.86564716689361</v>
      </c>
      <c r="H908" s="69">
        <f t="shared" ca="1" si="605"/>
        <v>1186.3707035276764</v>
      </c>
      <c r="I908" s="69">
        <f t="shared" ca="1" si="606"/>
        <v>1049.4820823305502</v>
      </c>
      <c r="J908" s="69">
        <f t="shared" ca="1" si="607"/>
        <v>1138.1272299424468</v>
      </c>
      <c r="K908" s="69">
        <f t="shared" ca="1" si="608"/>
        <v>1171.4823756411388</v>
      </c>
      <c r="L908" s="69">
        <f t="shared" ca="1" si="609"/>
        <v>961.28723355880641</v>
      </c>
      <c r="M908" s="69">
        <f t="shared" ca="1" si="610"/>
        <v>996.0059773730153</v>
      </c>
      <c r="N908" s="69">
        <f t="shared" ca="1" si="611"/>
        <v>570.38403324694968</v>
      </c>
      <c r="O908" s="69">
        <f t="shared" ca="1" si="612"/>
        <v>629.39888920444162</v>
      </c>
      <c r="P908" s="69">
        <f t="shared" ca="1" si="613"/>
        <v>718.52957107157772</v>
      </c>
      <c r="Q908" s="69">
        <f t="shared" ca="1" si="614"/>
        <v>960.40358314599052</v>
      </c>
      <c r="R908" s="69">
        <f t="shared" ca="1" si="615"/>
        <v>781.76593032407197</v>
      </c>
      <c r="S908" s="69">
        <f t="shared" ca="1" si="616"/>
        <v>707.86300464482554</v>
      </c>
      <c r="T908" s="69">
        <f t="shared" ca="1" si="617"/>
        <v>797.35529925840228</v>
      </c>
      <c r="U908" s="69">
        <f t="shared" ca="1" si="618"/>
        <v>1697.1187618908129</v>
      </c>
      <c r="V908" s="69">
        <f t="shared" ca="1" si="619"/>
        <v>1913.606220989268</v>
      </c>
      <c r="W908" s="69">
        <f t="shared" ca="1" si="620"/>
        <v>1186.6798340545515</v>
      </c>
      <c r="X908" s="69">
        <f t="shared" ca="1" si="621"/>
        <v>1492.8247122717555</v>
      </c>
      <c r="Y908" s="69">
        <f t="shared" ca="1" si="622"/>
        <v>1199.9028455986356</v>
      </c>
      <c r="AA908" s="20">
        <f t="shared" ca="1" si="582"/>
        <v>6.5542919052336728E+16</v>
      </c>
      <c r="AB908" s="20">
        <f t="shared" ca="1" si="583"/>
        <v>1681431664409602.5</v>
      </c>
      <c r="AC908" s="20">
        <f t="shared" ca="1" si="584"/>
        <v>402665304702779</v>
      </c>
      <c r="AD908" s="20">
        <f t="shared" ca="1" si="585"/>
        <v>304492260125166</v>
      </c>
      <c r="AE908" s="20">
        <f t="shared" ca="1" si="586"/>
        <v>6903244731338646</v>
      </c>
      <c r="AG908" s="16">
        <f t="shared" ca="1" si="587"/>
        <v>-5.3417487853313553E-5</v>
      </c>
      <c r="AH908" s="16">
        <f t="shared" ca="1" si="588"/>
        <v>-3.2131483400159918E-4</v>
      </c>
      <c r="AI908" s="16">
        <f t="shared" ca="1" si="589"/>
        <v>-1.6255083403172519E-4</v>
      </c>
      <c r="AJ908" s="16">
        <f t="shared" ca="1" si="590"/>
        <v>-1.8647097339117787E-5</v>
      </c>
      <c r="AK908" s="16">
        <f t="shared" ca="1" si="591"/>
        <v>1.1070194621322887E-4</v>
      </c>
      <c r="AM908" s="16">
        <f t="shared" ca="1" si="592"/>
        <v>-5.5593025322575574E-4</v>
      </c>
      <c r="AO908" s="16">
        <f t="shared" ca="1" si="593"/>
        <v>-5.3417487853313553E-5</v>
      </c>
      <c r="AP908" s="16">
        <f t="shared" ca="1" si="594"/>
        <v>-3.2131483400159918E-4</v>
      </c>
      <c r="AQ908" s="16">
        <f t="shared" ca="1" si="595"/>
        <v>-1.6255083403172519E-4</v>
      </c>
      <c r="AR908" s="16">
        <f t="shared" ca="1" si="596"/>
        <v>-1.8647097339117787E-5</v>
      </c>
      <c r="AS908" s="16">
        <f t="shared" ca="1" si="597"/>
        <v>0</v>
      </c>
    </row>
    <row r="909" spans="1:45" x14ac:dyDescent="0.25">
      <c r="A909" s="69">
        <f t="shared" ca="1" si="598"/>
        <v>2446.3277104978924</v>
      </c>
      <c r="B909" s="69">
        <f t="shared" ca="1" si="599"/>
        <v>2142.3583267086083</v>
      </c>
      <c r="C909" s="69">
        <f t="shared" ca="1" si="600"/>
        <v>2231.4143106251531</v>
      </c>
      <c r="D909" s="69">
        <f t="shared" ca="1" si="601"/>
        <v>2905.8397601949264</v>
      </c>
      <c r="E909" s="69">
        <f t="shared" ca="1" si="602"/>
        <v>1928.6079740576693</v>
      </c>
      <c r="F909" s="69">
        <f t="shared" ca="1" si="603"/>
        <v>1219.6636972426979</v>
      </c>
      <c r="G909" s="69">
        <f t="shared" ca="1" si="604"/>
        <v>972.46654675669254</v>
      </c>
      <c r="H909" s="69">
        <f t="shared" ca="1" si="605"/>
        <v>1186.7645799780307</v>
      </c>
      <c r="I909" s="69">
        <f t="shared" ca="1" si="606"/>
        <v>1049.4820823305502</v>
      </c>
      <c r="J909" s="69">
        <f t="shared" ca="1" si="607"/>
        <v>1137.8507612732069</v>
      </c>
      <c r="K909" s="69">
        <f t="shared" ca="1" si="608"/>
        <v>1171.4823756411388</v>
      </c>
      <c r="L909" s="69">
        <f t="shared" ca="1" si="609"/>
        <v>961.28723355880641</v>
      </c>
      <c r="M909" s="69">
        <f t="shared" ca="1" si="610"/>
        <v>995.84408892859994</v>
      </c>
      <c r="N909" s="69">
        <f t="shared" ca="1" si="611"/>
        <v>570.38403324694968</v>
      </c>
      <c r="O909" s="69">
        <f t="shared" ca="1" si="612"/>
        <v>629.39888920444162</v>
      </c>
      <c r="P909" s="69">
        <f t="shared" ca="1" si="613"/>
        <v>718.5093677630108</v>
      </c>
      <c r="Q909" s="69">
        <f t="shared" ca="1" si="614"/>
        <v>960.40358314599052</v>
      </c>
      <c r="R909" s="69">
        <f t="shared" ca="1" si="615"/>
        <v>781.90438671073525</v>
      </c>
      <c r="S909" s="69">
        <f t="shared" ca="1" si="616"/>
        <v>708.04795537181747</v>
      </c>
      <c r="T909" s="69">
        <f t="shared" ca="1" si="617"/>
        <v>797.01341325574265</v>
      </c>
      <c r="U909" s="69">
        <f t="shared" ca="1" si="618"/>
        <v>1697.1187618908129</v>
      </c>
      <c r="V909" s="69">
        <f t="shared" ca="1" si="619"/>
        <v>1913.4475992624555</v>
      </c>
      <c r="W909" s="69">
        <f t="shared" ca="1" si="620"/>
        <v>1186.6802381295906</v>
      </c>
      <c r="X909" s="69">
        <f t="shared" ca="1" si="621"/>
        <v>1493.1132380687698</v>
      </c>
      <c r="Y909" s="69">
        <f t="shared" ca="1" si="622"/>
        <v>1199.9028455986356</v>
      </c>
      <c r="AA909" s="20">
        <f t="shared" ca="1" si="582"/>
        <v>6.5539418007763712E+16</v>
      </c>
      <c r="AB909" s="20">
        <f t="shared" ca="1" si="583"/>
        <v>1680891482262383.8</v>
      </c>
      <c r="AC909" s="20">
        <f t="shared" ca="1" si="584"/>
        <v>402599856441142.81</v>
      </c>
      <c r="AD909" s="20">
        <f t="shared" ca="1" si="585"/>
        <v>304486582281290.25</v>
      </c>
      <c r="AE909" s="20">
        <f t="shared" ca="1" si="586"/>
        <v>6904008976266511</v>
      </c>
      <c r="AG909" s="16">
        <f t="shared" ca="1" si="587"/>
        <v>3.0965114902321904E-4</v>
      </c>
      <c r="AH909" s="16">
        <f t="shared" ca="1" si="588"/>
        <v>-2.3012316357903749E-4</v>
      </c>
      <c r="AI909" s="16">
        <f t="shared" ca="1" si="589"/>
        <v>3.0350756027748088E-4</v>
      </c>
      <c r="AJ909" s="16">
        <f t="shared" ca="1" si="590"/>
        <v>-1.4304239799158532E-4</v>
      </c>
      <c r="AK909" s="16">
        <f t="shared" ca="1" si="591"/>
        <v>1.8649084236967083E-5</v>
      </c>
      <c r="AM909" s="16">
        <f t="shared" ca="1" si="592"/>
        <v>2.3999314773007709E-4</v>
      </c>
      <c r="AO909" s="16">
        <f t="shared" ca="1" si="593"/>
        <v>0</v>
      </c>
      <c r="AP909" s="16">
        <f t="shared" ca="1" si="594"/>
        <v>-2.3012316357903749E-4</v>
      </c>
      <c r="AQ909" s="16">
        <f t="shared" ca="1" si="595"/>
        <v>0</v>
      </c>
      <c r="AR909" s="16">
        <f t="shared" ca="1" si="596"/>
        <v>-1.4304239799158532E-4</v>
      </c>
      <c r="AS909" s="16">
        <f t="shared" ca="1" si="597"/>
        <v>0</v>
      </c>
    </row>
    <row r="910" spans="1:45" x14ac:dyDescent="0.25">
      <c r="A910" s="69">
        <f t="shared" ca="1" si="598"/>
        <v>2446.5869822607765</v>
      </c>
      <c r="B910" s="69">
        <f t="shared" ca="1" si="599"/>
        <v>2142.6070667003878</v>
      </c>
      <c r="C910" s="69">
        <f t="shared" ca="1" si="600"/>
        <v>2231.7236677355918</v>
      </c>
      <c r="D910" s="69">
        <f t="shared" ca="1" si="601"/>
        <v>2905.8397601949264</v>
      </c>
      <c r="E910" s="69">
        <f t="shared" ca="1" si="602"/>
        <v>1928.5095136521829</v>
      </c>
      <c r="F910" s="69">
        <f t="shared" ca="1" si="603"/>
        <v>1219.2230999289043</v>
      </c>
      <c r="G910" s="69">
        <f t="shared" ca="1" si="604"/>
        <v>972.63619063930867</v>
      </c>
      <c r="H910" s="69">
        <f t="shared" ca="1" si="605"/>
        <v>1186.7645799780307</v>
      </c>
      <c r="I910" s="69">
        <f t="shared" ca="1" si="606"/>
        <v>1049.4820823305502</v>
      </c>
      <c r="J910" s="69">
        <f t="shared" ca="1" si="607"/>
        <v>1137.8015562349171</v>
      </c>
      <c r="K910" s="69">
        <f t="shared" ca="1" si="608"/>
        <v>1170.9872071406876</v>
      </c>
      <c r="L910" s="69">
        <f t="shared" ca="1" si="609"/>
        <v>960.92067091192473</v>
      </c>
      <c r="M910" s="69">
        <f t="shared" ca="1" si="610"/>
        <v>995.84408892859994</v>
      </c>
      <c r="N910" s="69">
        <f t="shared" ca="1" si="611"/>
        <v>570.5800958076037</v>
      </c>
      <c r="O910" s="69">
        <f t="shared" ca="1" si="612"/>
        <v>629.87993437020054</v>
      </c>
      <c r="P910" s="69">
        <f t="shared" ca="1" si="613"/>
        <v>718.5093677630108</v>
      </c>
      <c r="Q910" s="69">
        <f t="shared" ca="1" si="614"/>
        <v>960.40358314599052</v>
      </c>
      <c r="R910" s="69">
        <f t="shared" ca="1" si="615"/>
        <v>782.19730863453674</v>
      </c>
      <c r="S910" s="69">
        <f t="shared" ca="1" si="616"/>
        <v>708.04795537181747</v>
      </c>
      <c r="T910" s="69">
        <f t="shared" ca="1" si="617"/>
        <v>796.60098704302288</v>
      </c>
      <c r="U910" s="69">
        <f t="shared" ca="1" si="618"/>
        <v>1697.4744158008625</v>
      </c>
      <c r="V910" s="69">
        <f t="shared" ca="1" si="619"/>
        <v>1913.7980505109294</v>
      </c>
      <c r="W910" s="69">
        <f t="shared" ca="1" si="620"/>
        <v>1186.2875719090387</v>
      </c>
      <c r="X910" s="69">
        <f t="shared" ca="1" si="621"/>
        <v>1493.1132380687698</v>
      </c>
      <c r="Y910" s="69">
        <f t="shared" ca="1" si="622"/>
        <v>1199.8511575230514</v>
      </c>
      <c r="AA910" s="20">
        <f t="shared" ca="1" si="582"/>
        <v>6.5559715506265816E+16</v>
      </c>
      <c r="AB910" s="20">
        <f t="shared" ca="1" si="583"/>
        <v>1680504714700646.8</v>
      </c>
      <c r="AC910" s="20">
        <f t="shared" ca="1" si="584"/>
        <v>402722067086328.56</v>
      </c>
      <c r="AD910" s="20">
        <f t="shared" ca="1" si="585"/>
        <v>304443030905325.38</v>
      </c>
      <c r="AE910" s="20">
        <f t="shared" ca="1" si="586"/>
        <v>6904137730912057</v>
      </c>
      <c r="AG910" s="16">
        <f t="shared" ca="1" si="587"/>
        <v>2.347380627549308E-4</v>
      </c>
      <c r="AH910" s="16">
        <f t="shared" ca="1" si="588"/>
        <v>-3.0694792691049504E-4</v>
      </c>
      <c r="AI910" s="16">
        <f t="shared" ca="1" si="589"/>
        <v>2.0916892697849257E-5</v>
      </c>
      <c r="AJ910" s="16">
        <f t="shared" ca="1" si="590"/>
        <v>-7.6746419622609303E-4</v>
      </c>
      <c r="AK910" s="16">
        <f t="shared" ca="1" si="591"/>
        <v>-3.3912086512198253E-5</v>
      </c>
      <c r="AM910" s="16">
        <f t="shared" ca="1" si="592"/>
        <v>-8.1875716768380806E-4</v>
      </c>
      <c r="AO910" s="16">
        <f t="shared" ca="1" si="593"/>
        <v>0</v>
      </c>
      <c r="AP910" s="16">
        <f t="shared" ca="1" si="594"/>
        <v>-3.0694792691049504E-4</v>
      </c>
      <c r="AQ910" s="16">
        <f t="shared" ca="1" si="595"/>
        <v>0</v>
      </c>
      <c r="AR910" s="16">
        <f t="shared" ca="1" si="596"/>
        <v>-7.6746419622609303E-4</v>
      </c>
      <c r="AS910" s="16">
        <f t="shared" ca="1" si="597"/>
        <v>-3.3912086512198253E-5</v>
      </c>
    </row>
    <row r="911" spans="1:45" x14ac:dyDescent="0.25">
      <c r="A911" s="69">
        <f t="shared" ca="1" si="598"/>
        <v>2446.6354801299726</v>
      </c>
      <c r="B911" s="69">
        <f t="shared" ca="1" si="599"/>
        <v>2142.5271661088141</v>
      </c>
      <c r="C911" s="69">
        <f t="shared" ca="1" si="600"/>
        <v>2232.1778728585359</v>
      </c>
      <c r="D911" s="69">
        <f t="shared" ca="1" si="601"/>
        <v>2905.9812959909582</v>
      </c>
      <c r="E911" s="69">
        <f t="shared" ca="1" si="602"/>
        <v>1928.5095136521829</v>
      </c>
      <c r="F911" s="69">
        <f t="shared" ca="1" si="603"/>
        <v>1219.2230999289043</v>
      </c>
      <c r="G911" s="69">
        <f t="shared" ca="1" si="604"/>
        <v>972.63619063930867</v>
      </c>
      <c r="H911" s="69">
        <f t="shared" ca="1" si="605"/>
        <v>1186.6962456187155</v>
      </c>
      <c r="I911" s="69">
        <f t="shared" ca="1" si="606"/>
        <v>1049.1202866471801</v>
      </c>
      <c r="J911" s="69">
        <f t="shared" ca="1" si="607"/>
        <v>1137.9101428547001</v>
      </c>
      <c r="K911" s="69">
        <f t="shared" ca="1" si="608"/>
        <v>1171.2860977718842</v>
      </c>
      <c r="L911" s="69">
        <f t="shared" ca="1" si="609"/>
        <v>961.00444872192304</v>
      </c>
      <c r="M911" s="69">
        <f t="shared" ca="1" si="610"/>
        <v>995.68600940256204</v>
      </c>
      <c r="N911" s="69">
        <f t="shared" ca="1" si="611"/>
        <v>570.41056288802042</v>
      </c>
      <c r="O911" s="69">
        <f t="shared" ca="1" si="612"/>
        <v>629.96462199402811</v>
      </c>
      <c r="P911" s="69">
        <f t="shared" ca="1" si="613"/>
        <v>718.3164450858568</v>
      </c>
      <c r="Q911" s="69">
        <f t="shared" ca="1" si="614"/>
        <v>959.92453417685374</v>
      </c>
      <c r="R911" s="69">
        <f t="shared" ca="1" si="615"/>
        <v>782.19730863453674</v>
      </c>
      <c r="S911" s="69">
        <f t="shared" ca="1" si="616"/>
        <v>708.04795537181747</v>
      </c>
      <c r="T911" s="69">
        <f t="shared" ca="1" si="617"/>
        <v>796.60098704302288</v>
      </c>
      <c r="U911" s="69">
        <f t="shared" ca="1" si="618"/>
        <v>1697.1543893779144</v>
      </c>
      <c r="V911" s="69">
        <f t="shared" ca="1" si="619"/>
        <v>1914.2382682071113</v>
      </c>
      <c r="W911" s="69">
        <f t="shared" ca="1" si="620"/>
        <v>1186.5633410370431</v>
      </c>
      <c r="X911" s="69">
        <f t="shared" ca="1" si="621"/>
        <v>1493.1559116161188</v>
      </c>
      <c r="Y911" s="69">
        <f t="shared" ca="1" si="622"/>
        <v>1199.4476232985735</v>
      </c>
      <c r="AA911" s="20">
        <f t="shared" ca="1" si="582"/>
        <v>6.5575106673254216E+16</v>
      </c>
      <c r="AB911" s="20">
        <f t="shared" ca="1" si="583"/>
        <v>1679988966420288.3</v>
      </c>
      <c r="AC911" s="20">
        <f t="shared" ca="1" si="584"/>
        <v>402730490868692.19</v>
      </c>
      <c r="AD911" s="20">
        <f t="shared" ca="1" si="585"/>
        <v>304209471415052.13</v>
      </c>
      <c r="AE911" s="20">
        <f t="shared" ca="1" si="586"/>
        <v>6903903601165971</v>
      </c>
      <c r="AG911" s="16">
        <f t="shared" ca="1" si="587"/>
        <v>-2.1050734102583943E-4</v>
      </c>
      <c r="AH911" s="16">
        <f t="shared" ca="1" si="588"/>
        <v>-2.8058791848163488E-4</v>
      </c>
      <c r="AI911" s="16">
        <f t="shared" ca="1" si="589"/>
        <v>-5.5290331393038148E-5</v>
      </c>
      <c r="AJ911" s="16">
        <f t="shared" ca="1" si="590"/>
        <v>6.6861975636862091E-4</v>
      </c>
      <c r="AK911" s="16">
        <f t="shared" ca="1" si="591"/>
        <v>4.2568357095914086E-4</v>
      </c>
      <c r="AM911" s="16">
        <f t="shared" ca="1" si="592"/>
        <v>1.2223416546810844E-4</v>
      </c>
      <c r="AO911" s="16">
        <f t="shared" ca="1" si="593"/>
        <v>-2.1050734102583943E-4</v>
      </c>
      <c r="AP911" s="16">
        <f t="shared" ca="1" si="594"/>
        <v>-2.8058791848163488E-4</v>
      </c>
      <c r="AQ911" s="16">
        <f t="shared" ca="1" si="595"/>
        <v>-5.5290331393038148E-5</v>
      </c>
      <c r="AR911" s="16">
        <f t="shared" ca="1" si="596"/>
        <v>0</v>
      </c>
      <c r="AS911" s="16">
        <f t="shared" ca="1" si="597"/>
        <v>0</v>
      </c>
    </row>
    <row r="912" spans="1:45" x14ac:dyDescent="0.25">
      <c r="A912" s="69">
        <f t="shared" ca="1" si="598"/>
        <v>2446.6354801299726</v>
      </c>
      <c r="B912" s="69">
        <f t="shared" ca="1" si="599"/>
        <v>2142.0274266041106</v>
      </c>
      <c r="C912" s="69">
        <f t="shared" ca="1" si="600"/>
        <v>2232.228694662695</v>
      </c>
      <c r="D912" s="69">
        <f t="shared" ca="1" si="601"/>
        <v>2905.9812959909582</v>
      </c>
      <c r="E912" s="69">
        <f t="shared" ca="1" si="602"/>
        <v>1928.5095136521829</v>
      </c>
      <c r="F912" s="69">
        <f t="shared" ca="1" si="603"/>
        <v>1218.8810486471034</v>
      </c>
      <c r="G912" s="69">
        <f t="shared" ca="1" si="604"/>
        <v>972.63619063930867</v>
      </c>
      <c r="H912" s="69">
        <f t="shared" ca="1" si="605"/>
        <v>1186.6962456187155</v>
      </c>
      <c r="I912" s="69">
        <f t="shared" ca="1" si="606"/>
        <v>1049.1202866471801</v>
      </c>
      <c r="J912" s="69">
        <f t="shared" ca="1" si="607"/>
        <v>1137.9101428547001</v>
      </c>
      <c r="K912" s="69">
        <f t="shared" ca="1" si="608"/>
        <v>1171.2860977718842</v>
      </c>
      <c r="L912" s="69">
        <f t="shared" ca="1" si="609"/>
        <v>960.87841931012008</v>
      </c>
      <c r="M912" s="69">
        <f t="shared" ca="1" si="610"/>
        <v>995.68600940256204</v>
      </c>
      <c r="N912" s="69">
        <f t="shared" ca="1" si="611"/>
        <v>570.4027590180026</v>
      </c>
      <c r="O912" s="69">
        <f t="shared" ca="1" si="612"/>
        <v>630.02103339751989</v>
      </c>
      <c r="P912" s="69">
        <f t="shared" ca="1" si="613"/>
        <v>718.57739627733883</v>
      </c>
      <c r="Q912" s="69">
        <f t="shared" ca="1" si="614"/>
        <v>960.21774380398847</v>
      </c>
      <c r="R912" s="69">
        <f t="shared" ca="1" si="615"/>
        <v>782.19730863453674</v>
      </c>
      <c r="S912" s="69">
        <f t="shared" ca="1" si="616"/>
        <v>708.04795537181747</v>
      </c>
      <c r="T912" s="69">
        <f t="shared" ca="1" si="617"/>
        <v>796.60098704302288</v>
      </c>
      <c r="U912" s="69">
        <f t="shared" ca="1" si="618"/>
        <v>1697.5355343299861</v>
      </c>
      <c r="V912" s="69">
        <f t="shared" ca="1" si="619"/>
        <v>1914.3993566412616</v>
      </c>
      <c r="W912" s="69">
        <f t="shared" ca="1" si="620"/>
        <v>1186.5633410370431</v>
      </c>
      <c r="X912" s="69">
        <f t="shared" ca="1" si="621"/>
        <v>1493.3131945966045</v>
      </c>
      <c r="Y912" s="69">
        <f t="shared" ca="1" si="622"/>
        <v>1199.461597353257</v>
      </c>
      <c r="AA912" s="20">
        <f t="shared" ca="1" si="582"/>
        <v>6.5561304084735016E+16</v>
      </c>
      <c r="AB912" s="20">
        <f t="shared" ca="1" si="583"/>
        <v>1679517647939356.3</v>
      </c>
      <c r="AC912" s="20">
        <f t="shared" ca="1" si="584"/>
        <v>402708224381956.38</v>
      </c>
      <c r="AD912" s="20">
        <f t="shared" ca="1" si="585"/>
        <v>304412939891656.25</v>
      </c>
      <c r="AE912" s="20">
        <f t="shared" ca="1" si="586"/>
        <v>6906843105109352</v>
      </c>
      <c r="AG912" s="16">
        <f t="shared" ca="1" si="587"/>
        <v>1.0066792854962124E-4</v>
      </c>
      <c r="AH912" s="16">
        <f t="shared" ca="1" si="588"/>
        <v>-2.1882268438122755E-4</v>
      </c>
      <c r="AI912" s="16">
        <f t="shared" ca="1" si="589"/>
        <v>1.1208930927835174E-4</v>
      </c>
      <c r="AJ912" s="16">
        <f t="shared" ca="1" si="590"/>
        <v>-5.4995794245808741E-5</v>
      </c>
      <c r="AK912" s="16">
        <f t="shared" ca="1" si="591"/>
        <v>4.3640495191937014E-4</v>
      </c>
      <c r="AM912" s="16">
        <f t="shared" ca="1" si="592"/>
        <v>-6.106124079906331E-5</v>
      </c>
      <c r="AO912" s="16">
        <f t="shared" ca="1" si="593"/>
        <v>0</v>
      </c>
      <c r="AP912" s="16">
        <f t="shared" ca="1" si="594"/>
        <v>-2.1882268438122755E-4</v>
      </c>
      <c r="AQ912" s="16">
        <f t="shared" ca="1" si="595"/>
        <v>0</v>
      </c>
      <c r="AR912" s="16">
        <f t="shared" ca="1" si="596"/>
        <v>-5.4995794245808741E-5</v>
      </c>
      <c r="AS912" s="16">
        <f t="shared" ca="1" si="597"/>
        <v>0</v>
      </c>
    </row>
    <row r="913" spans="1:45" x14ac:dyDescent="0.25">
      <c r="A913" s="69">
        <f t="shared" ca="1" si="598"/>
        <v>2446.9099976919915</v>
      </c>
      <c r="B913" s="69">
        <f t="shared" ca="1" si="599"/>
        <v>2142.0274266041106</v>
      </c>
      <c r="C913" s="69">
        <f t="shared" ca="1" si="600"/>
        <v>2232.228694662695</v>
      </c>
      <c r="D913" s="69">
        <f t="shared" ca="1" si="601"/>
        <v>2905.9812959909582</v>
      </c>
      <c r="E913" s="69">
        <f t="shared" ca="1" si="602"/>
        <v>1928.4872822198624</v>
      </c>
      <c r="F913" s="69">
        <f t="shared" ca="1" si="603"/>
        <v>1218.8810486471034</v>
      </c>
      <c r="G913" s="69">
        <f t="shared" ca="1" si="604"/>
        <v>972.42337906199612</v>
      </c>
      <c r="H913" s="69">
        <f t="shared" ca="1" si="605"/>
        <v>1186.6962456187155</v>
      </c>
      <c r="I913" s="69">
        <f t="shared" ca="1" si="606"/>
        <v>1049.1202866471801</v>
      </c>
      <c r="J913" s="69">
        <f t="shared" ca="1" si="607"/>
        <v>1137.9101428547001</v>
      </c>
      <c r="K913" s="69">
        <f t="shared" ca="1" si="608"/>
        <v>1171.2860977718842</v>
      </c>
      <c r="L913" s="69">
        <f t="shared" ca="1" si="609"/>
        <v>960.64991498798372</v>
      </c>
      <c r="M913" s="69">
        <f t="shared" ca="1" si="610"/>
        <v>995.68600940256204</v>
      </c>
      <c r="N913" s="69">
        <f t="shared" ca="1" si="611"/>
        <v>570.4027590180026</v>
      </c>
      <c r="O913" s="69">
        <f t="shared" ca="1" si="612"/>
        <v>630.24153229029423</v>
      </c>
      <c r="P913" s="69">
        <f t="shared" ca="1" si="613"/>
        <v>718.88912835974918</v>
      </c>
      <c r="Q913" s="69">
        <f t="shared" ca="1" si="614"/>
        <v>960.16490000210456</v>
      </c>
      <c r="R913" s="69">
        <f t="shared" ca="1" si="615"/>
        <v>782.13673102625944</v>
      </c>
      <c r="S913" s="69">
        <f t="shared" ca="1" si="616"/>
        <v>708.12350540100442</v>
      </c>
      <c r="T913" s="69">
        <f t="shared" ca="1" si="617"/>
        <v>796.23229936481732</v>
      </c>
      <c r="U913" s="69">
        <f t="shared" ca="1" si="618"/>
        <v>1697.5355343299861</v>
      </c>
      <c r="V913" s="69">
        <f t="shared" ca="1" si="619"/>
        <v>1914.3993566412616</v>
      </c>
      <c r="W913" s="69">
        <f t="shared" ca="1" si="620"/>
        <v>1186.3174183882559</v>
      </c>
      <c r="X913" s="69">
        <f t="shared" ca="1" si="621"/>
        <v>1493.8096022080022</v>
      </c>
      <c r="Y913" s="69">
        <f t="shared" ca="1" si="622"/>
        <v>1199.8350690035206</v>
      </c>
      <c r="AA913" s="20">
        <f t="shared" ca="1" si="582"/>
        <v>6.5567904337621552E+16</v>
      </c>
      <c r="AB913" s="20">
        <f t="shared" ca="1" si="583"/>
        <v>1679150171586715.8</v>
      </c>
      <c r="AC913" s="20">
        <f t="shared" ca="1" si="584"/>
        <v>402753366198578.31</v>
      </c>
      <c r="AD913" s="20">
        <f t="shared" ca="1" si="585"/>
        <v>304396198920593.94</v>
      </c>
      <c r="AE913" s="20">
        <f t="shared" ca="1" si="586"/>
        <v>6909857943439893</v>
      </c>
      <c r="AG913" s="16">
        <f t="shared" ca="1" si="587"/>
        <v>-3.9688404433464166E-4</v>
      </c>
      <c r="AH913" s="16">
        <f t="shared" ca="1" si="588"/>
        <v>-7.2563133690290262E-4</v>
      </c>
      <c r="AI913" s="16">
        <f t="shared" ca="1" si="589"/>
        <v>1.4003822988969587E-4</v>
      </c>
      <c r="AJ913" s="16">
        <f t="shared" ca="1" si="590"/>
        <v>1.0701003126514048E-3</v>
      </c>
      <c r="AK913" s="16">
        <f t="shared" ca="1" si="591"/>
        <v>1.1450317808176713E-4</v>
      </c>
      <c r="AM913" s="16">
        <f t="shared" ca="1" si="592"/>
        <v>8.7623161303556447E-5</v>
      </c>
      <c r="AO913" s="16">
        <f t="shared" ca="1" si="593"/>
        <v>-3.9688404433464166E-4</v>
      </c>
      <c r="AP913" s="16">
        <f t="shared" ca="1" si="594"/>
        <v>-7.2563133690290262E-4</v>
      </c>
      <c r="AQ913" s="16">
        <f t="shared" ca="1" si="595"/>
        <v>0</v>
      </c>
      <c r="AR913" s="16">
        <f t="shared" ca="1" si="596"/>
        <v>0</v>
      </c>
      <c r="AS913" s="16">
        <f t="shared" ca="1" si="597"/>
        <v>0</v>
      </c>
    </row>
    <row r="914" spans="1:45" x14ac:dyDescent="0.25">
      <c r="A914" s="69">
        <f t="shared" ca="1" si="598"/>
        <v>2446.9099976919915</v>
      </c>
      <c r="B914" s="69">
        <f t="shared" ca="1" si="599"/>
        <v>2141.5564846144057</v>
      </c>
      <c r="C914" s="69">
        <f t="shared" ca="1" si="600"/>
        <v>2231.7469824569966</v>
      </c>
      <c r="D914" s="69">
        <f t="shared" ca="1" si="601"/>
        <v>2906.0941090813999</v>
      </c>
      <c r="E914" s="69">
        <f t="shared" ca="1" si="602"/>
        <v>1928.4872822198624</v>
      </c>
      <c r="F914" s="69">
        <f t="shared" ca="1" si="603"/>
        <v>1218.8609931196922</v>
      </c>
      <c r="G914" s="69">
        <f t="shared" ca="1" si="604"/>
        <v>972.0460250548673</v>
      </c>
      <c r="H914" s="69">
        <f t="shared" ca="1" si="605"/>
        <v>1186.6962456187155</v>
      </c>
      <c r="I914" s="69">
        <f t="shared" ca="1" si="606"/>
        <v>1049.1565014602281</v>
      </c>
      <c r="J914" s="69">
        <f t="shared" ca="1" si="607"/>
        <v>1137.5056135252737</v>
      </c>
      <c r="K914" s="69">
        <f t="shared" ca="1" si="608"/>
        <v>1171.2860977718842</v>
      </c>
      <c r="L914" s="69">
        <f t="shared" ca="1" si="609"/>
        <v>960.61214469544996</v>
      </c>
      <c r="M914" s="69">
        <f t="shared" ca="1" si="610"/>
        <v>995.68600940256204</v>
      </c>
      <c r="N914" s="69">
        <f t="shared" ca="1" si="611"/>
        <v>570.34217912549457</v>
      </c>
      <c r="O914" s="69">
        <f t="shared" ca="1" si="612"/>
        <v>630.42153452012747</v>
      </c>
      <c r="P914" s="69">
        <f t="shared" ca="1" si="613"/>
        <v>718.79548071356055</v>
      </c>
      <c r="Q914" s="69">
        <f t="shared" ca="1" si="614"/>
        <v>960.33306864020358</v>
      </c>
      <c r="R914" s="69">
        <f t="shared" ca="1" si="615"/>
        <v>782.13673102625944</v>
      </c>
      <c r="S914" s="69">
        <f t="shared" ca="1" si="616"/>
        <v>708.5024534821921</v>
      </c>
      <c r="T914" s="69">
        <f t="shared" ca="1" si="617"/>
        <v>796.62274381100212</v>
      </c>
      <c r="U914" s="69">
        <f t="shared" ca="1" si="618"/>
        <v>1697.6697293101681</v>
      </c>
      <c r="V914" s="69">
        <f t="shared" ca="1" si="619"/>
        <v>1914.8625337973931</v>
      </c>
      <c r="W914" s="69">
        <f t="shared" ca="1" si="620"/>
        <v>1186.3174183882559</v>
      </c>
      <c r="X914" s="69">
        <f t="shared" ca="1" si="621"/>
        <v>1493.8096022080022</v>
      </c>
      <c r="Y914" s="69">
        <f t="shared" ca="1" si="622"/>
        <v>1199.587375291524</v>
      </c>
      <c r="AA914" s="20">
        <f t="shared" ca="1" si="582"/>
        <v>6.554188664591436E+16</v>
      </c>
      <c r="AB914" s="20">
        <f t="shared" ca="1" si="583"/>
        <v>1677932169566507.8</v>
      </c>
      <c r="AC914" s="20">
        <f t="shared" ca="1" si="584"/>
        <v>402809771016386.13</v>
      </c>
      <c r="AD914" s="20">
        <f t="shared" ca="1" si="585"/>
        <v>304722107734690.44</v>
      </c>
      <c r="AE914" s="20">
        <f t="shared" ca="1" si="586"/>
        <v>6910649189433737</v>
      </c>
      <c r="AG914" s="16">
        <f t="shared" ca="1" si="587"/>
        <v>-2.7893015872916045E-4</v>
      </c>
      <c r="AH914" s="16">
        <f t="shared" ca="1" si="588"/>
        <v>5.4191084958157918E-4</v>
      </c>
      <c r="AI914" s="16">
        <f t="shared" ca="1" si="589"/>
        <v>7.9234035290464701E-4</v>
      </c>
      <c r="AJ914" s="16">
        <f t="shared" ca="1" si="590"/>
        <v>3.6332359951612417E-4</v>
      </c>
      <c r="AK914" s="16">
        <f t="shared" ca="1" si="591"/>
        <v>2.2114723026186333E-4</v>
      </c>
      <c r="AM914" s="16">
        <f t="shared" ca="1" si="592"/>
        <v>1.4186446432731901E-3</v>
      </c>
      <c r="AO914" s="16">
        <f t="shared" ca="1" si="593"/>
        <v>-2.7893015872916045E-4</v>
      </c>
      <c r="AP914" s="16">
        <f t="shared" ca="1" si="594"/>
        <v>0</v>
      </c>
      <c r="AQ914" s="16">
        <f t="shared" ca="1" si="595"/>
        <v>0</v>
      </c>
      <c r="AR914" s="16">
        <f t="shared" ca="1" si="596"/>
        <v>0</v>
      </c>
      <c r="AS914" s="16">
        <f t="shared" ca="1" si="597"/>
        <v>0</v>
      </c>
    </row>
    <row r="915" spans="1:45" x14ac:dyDescent="0.25">
      <c r="A915" s="69">
        <f t="shared" ca="1" si="598"/>
        <v>2446.9099976919915</v>
      </c>
      <c r="B915" s="69">
        <f t="shared" ca="1" si="599"/>
        <v>2141.2701183912986</v>
      </c>
      <c r="C915" s="69">
        <f t="shared" ca="1" si="600"/>
        <v>2231.9151641486555</v>
      </c>
      <c r="D915" s="69">
        <f t="shared" ca="1" si="601"/>
        <v>2905.8625402157058</v>
      </c>
      <c r="E915" s="69">
        <f t="shared" ca="1" si="602"/>
        <v>1928.215632751637</v>
      </c>
      <c r="F915" s="69">
        <f t="shared" ca="1" si="603"/>
        <v>1219.0460392560476</v>
      </c>
      <c r="G915" s="69">
        <f t="shared" ca="1" si="604"/>
        <v>972.22882318467612</v>
      </c>
      <c r="H915" s="69">
        <f t="shared" ca="1" si="605"/>
        <v>1186.6704519880734</v>
      </c>
      <c r="I915" s="69">
        <f t="shared" ca="1" si="606"/>
        <v>1049.6086530198831</v>
      </c>
      <c r="J915" s="69">
        <f t="shared" ca="1" si="607"/>
        <v>1137.2700925013621</v>
      </c>
      <c r="K915" s="69">
        <f t="shared" ca="1" si="608"/>
        <v>1171.589305657883</v>
      </c>
      <c r="L915" s="69">
        <f t="shared" ca="1" si="609"/>
        <v>960.61214469544996</v>
      </c>
      <c r="M915" s="69">
        <f t="shared" ca="1" si="610"/>
        <v>996.1176985077268</v>
      </c>
      <c r="N915" s="69">
        <f t="shared" ca="1" si="611"/>
        <v>570.34217912549457</v>
      </c>
      <c r="O915" s="69">
        <f t="shared" ca="1" si="612"/>
        <v>630.48460558215265</v>
      </c>
      <c r="P915" s="69">
        <f t="shared" ca="1" si="613"/>
        <v>718.79548071356055</v>
      </c>
      <c r="Q915" s="69">
        <f t="shared" ca="1" si="614"/>
        <v>960.33306864020358</v>
      </c>
      <c r="R915" s="69">
        <f t="shared" ca="1" si="615"/>
        <v>782.13673102625944</v>
      </c>
      <c r="S915" s="69">
        <f t="shared" ca="1" si="616"/>
        <v>708.8961796639453</v>
      </c>
      <c r="T915" s="69">
        <f t="shared" ca="1" si="617"/>
        <v>796.46961729264854</v>
      </c>
      <c r="U915" s="69">
        <f t="shared" ca="1" si="618"/>
        <v>1697.7554390004386</v>
      </c>
      <c r="V915" s="69">
        <f t="shared" ca="1" si="619"/>
        <v>1915.2248306689794</v>
      </c>
      <c r="W915" s="69">
        <f t="shared" ca="1" si="620"/>
        <v>1186.2954446516646</v>
      </c>
      <c r="X915" s="69">
        <f t="shared" ca="1" si="621"/>
        <v>1493.8096022080022</v>
      </c>
      <c r="Y915" s="69">
        <f t="shared" ca="1" si="622"/>
        <v>1199.587375291524</v>
      </c>
      <c r="AA915" s="20">
        <f t="shared" ca="1" si="582"/>
        <v>6.5523607586477792E+16</v>
      </c>
      <c r="AB915" s="20">
        <f t="shared" ca="1" si="583"/>
        <v>1678841705635531.3</v>
      </c>
      <c r="AC915" s="20">
        <f t="shared" ca="1" si="584"/>
        <v>403129059928547.13</v>
      </c>
      <c r="AD915" s="20">
        <f t="shared" ca="1" si="585"/>
        <v>304832840582435.06</v>
      </c>
      <c r="AE915" s="20">
        <f t="shared" ca="1" si="586"/>
        <v>6912177629360191</v>
      </c>
      <c r="AG915" s="16">
        <f t="shared" ca="1" si="587"/>
        <v>-2.7586286485024218E-4</v>
      </c>
      <c r="AH915" s="16">
        <f t="shared" ca="1" si="588"/>
        <v>2.3608911429534983E-4</v>
      </c>
      <c r="AI915" s="16">
        <f t="shared" ca="1" si="589"/>
        <v>1.1350198382423756E-3</v>
      </c>
      <c r="AJ915" s="16">
        <f t="shared" ca="1" si="590"/>
        <v>2.9244116756745286E-4</v>
      </c>
      <c r="AK915" s="16">
        <f t="shared" ca="1" si="591"/>
        <v>-1.8385591564968695E-4</v>
      </c>
      <c r="AM915" s="16">
        <f t="shared" ca="1" si="592"/>
        <v>1.387687255254936E-3</v>
      </c>
      <c r="AO915" s="16">
        <f t="shared" ca="1" si="593"/>
        <v>-2.7586286485024218E-4</v>
      </c>
      <c r="AP915" s="16">
        <f t="shared" ca="1" si="594"/>
        <v>0</v>
      </c>
      <c r="AQ915" s="16">
        <f t="shared" ca="1" si="595"/>
        <v>0</v>
      </c>
      <c r="AR915" s="16">
        <f t="shared" ca="1" si="596"/>
        <v>0</v>
      </c>
      <c r="AS915" s="16">
        <f t="shared" ca="1" si="597"/>
        <v>-1.8385591564968695E-4</v>
      </c>
    </row>
    <row r="916" spans="1:45" x14ac:dyDescent="0.25">
      <c r="A916" s="69">
        <f t="shared" ca="1" si="598"/>
        <v>2446.8514484065527</v>
      </c>
      <c r="B916" s="69">
        <f t="shared" ca="1" si="599"/>
        <v>2140.8158598579621</v>
      </c>
      <c r="C916" s="69">
        <f t="shared" ca="1" si="600"/>
        <v>2231.9151641486555</v>
      </c>
      <c r="D916" s="69">
        <f t="shared" ca="1" si="601"/>
        <v>2905.6731669568103</v>
      </c>
      <c r="E916" s="69">
        <f t="shared" ca="1" si="602"/>
        <v>1928.2646172017178</v>
      </c>
      <c r="F916" s="69">
        <f t="shared" ca="1" si="603"/>
        <v>1219.0460392560476</v>
      </c>
      <c r="G916" s="69">
        <f t="shared" ca="1" si="604"/>
        <v>972.22882318467612</v>
      </c>
      <c r="H916" s="69">
        <f t="shared" ca="1" si="605"/>
        <v>1186.6704519880734</v>
      </c>
      <c r="I916" s="69">
        <f t="shared" ca="1" si="606"/>
        <v>1050.0022626456196</v>
      </c>
      <c r="J916" s="69">
        <f t="shared" ca="1" si="607"/>
        <v>1137.1121973005304</v>
      </c>
      <c r="K916" s="69">
        <f t="shared" ca="1" si="608"/>
        <v>1171.589305657883</v>
      </c>
      <c r="L916" s="69">
        <f t="shared" ca="1" si="609"/>
        <v>960.61214469544996</v>
      </c>
      <c r="M916" s="69">
        <f t="shared" ca="1" si="610"/>
        <v>996.44602788948714</v>
      </c>
      <c r="N916" s="69">
        <f t="shared" ca="1" si="611"/>
        <v>570.80175492081662</v>
      </c>
      <c r="O916" s="69">
        <f t="shared" ca="1" si="612"/>
        <v>630.48460558215265</v>
      </c>
      <c r="P916" s="69">
        <f t="shared" ca="1" si="613"/>
        <v>719.14732793678536</v>
      </c>
      <c r="Q916" s="69">
        <f t="shared" ca="1" si="614"/>
        <v>960.33306864020358</v>
      </c>
      <c r="R916" s="69">
        <f t="shared" ca="1" si="615"/>
        <v>782.13673102625944</v>
      </c>
      <c r="S916" s="69">
        <f t="shared" ca="1" si="616"/>
        <v>708.8961796639453</v>
      </c>
      <c r="T916" s="69">
        <f t="shared" ca="1" si="617"/>
        <v>796.31278025848121</v>
      </c>
      <c r="U916" s="69">
        <f t="shared" ca="1" si="618"/>
        <v>1697.7554390004386</v>
      </c>
      <c r="V916" s="69">
        <f t="shared" ca="1" si="619"/>
        <v>1914.7570140767252</v>
      </c>
      <c r="W916" s="69">
        <f t="shared" ca="1" si="620"/>
        <v>1185.9796197726096</v>
      </c>
      <c r="X916" s="69">
        <f t="shared" ca="1" si="621"/>
        <v>1494.2977083100993</v>
      </c>
      <c r="Y916" s="69">
        <f t="shared" ca="1" si="622"/>
        <v>1199.587375291524</v>
      </c>
      <c r="AA916" s="20">
        <f t="shared" ca="1" si="582"/>
        <v>6.5505534549328176E+16</v>
      </c>
      <c r="AB916" s="20">
        <f t="shared" ca="1" si="583"/>
        <v>1679238108678237.3</v>
      </c>
      <c r="AC916" s="20">
        <f t="shared" ca="1" si="584"/>
        <v>403586879176752.94</v>
      </c>
      <c r="AD916" s="20">
        <f t="shared" ca="1" si="585"/>
        <v>304921999290450.81</v>
      </c>
      <c r="AE916" s="20">
        <f t="shared" ca="1" si="586"/>
        <v>6910906901432015</v>
      </c>
      <c r="AG916" s="16">
        <f t="shared" ca="1" si="587"/>
        <v>-1.2295550789233046E-4</v>
      </c>
      <c r="AH916" s="16">
        <f t="shared" ca="1" si="588"/>
        <v>3.275601214706441E-4</v>
      </c>
      <c r="AI916" s="16">
        <f t="shared" ca="1" si="589"/>
        <v>-7.4091928341100925E-5</v>
      </c>
      <c r="AJ916" s="16">
        <f t="shared" ca="1" si="590"/>
        <v>-7.7532105327748988E-4</v>
      </c>
      <c r="AK916" s="16">
        <f t="shared" ca="1" si="591"/>
        <v>3.057855980529786E-4</v>
      </c>
      <c r="AM916" s="16">
        <f t="shared" ca="1" si="592"/>
        <v>-6.4480836804027715E-4</v>
      </c>
      <c r="AO916" s="16">
        <f t="shared" ca="1" si="593"/>
        <v>-1.2295550789233046E-4</v>
      </c>
      <c r="AP916" s="16">
        <f t="shared" ca="1" si="594"/>
        <v>0</v>
      </c>
      <c r="AQ916" s="16">
        <f t="shared" ca="1" si="595"/>
        <v>-7.4091928341100925E-5</v>
      </c>
      <c r="AR916" s="16">
        <f t="shared" ca="1" si="596"/>
        <v>-7.7532105327748988E-4</v>
      </c>
      <c r="AS916" s="16">
        <f t="shared" ca="1" si="597"/>
        <v>0</v>
      </c>
    </row>
    <row r="917" spans="1:45" x14ac:dyDescent="0.25">
      <c r="A917" s="69">
        <f t="shared" ca="1" si="598"/>
        <v>2447.2565793538756</v>
      </c>
      <c r="B917" s="69">
        <f t="shared" ca="1" si="599"/>
        <v>2140.5410337230423</v>
      </c>
      <c r="C917" s="69">
        <f t="shared" ca="1" si="600"/>
        <v>2231.6842266953449</v>
      </c>
      <c r="D917" s="69">
        <f t="shared" ca="1" si="601"/>
        <v>2905.508549137995</v>
      </c>
      <c r="E917" s="69">
        <f t="shared" ca="1" si="602"/>
        <v>1928.2646172017178</v>
      </c>
      <c r="F917" s="69">
        <f t="shared" ca="1" si="603"/>
        <v>1218.7628690718934</v>
      </c>
      <c r="G917" s="69">
        <f t="shared" ca="1" si="604"/>
        <v>972.44756002093573</v>
      </c>
      <c r="H917" s="69">
        <f t="shared" ca="1" si="605"/>
        <v>1186.8060729410049</v>
      </c>
      <c r="I917" s="69">
        <f t="shared" ca="1" si="606"/>
        <v>1050.2339558684555</v>
      </c>
      <c r="J917" s="69">
        <f t="shared" ca="1" si="607"/>
        <v>1137.1121973005304</v>
      </c>
      <c r="K917" s="69">
        <f t="shared" ca="1" si="608"/>
        <v>1171.589305657883</v>
      </c>
      <c r="L917" s="69">
        <f t="shared" ca="1" si="609"/>
        <v>960.13361724346464</v>
      </c>
      <c r="M917" s="69">
        <f t="shared" ca="1" si="610"/>
        <v>996.44602788948714</v>
      </c>
      <c r="N917" s="69">
        <f t="shared" ca="1" si="611"/>
        <v>570.80175492081662</v>
      </c>
      <c r="O917" s="69">
        <f t="shared" ca="1" si="612"/>
        <v>630.75210167492719</v>
      </c>
      <c r="P917" s="69">
        <f t="shared" ca="1" si="613"/>
        <v>719.14732793678536</v>
      </c>
      <c r="Q917" s="69">
        <f t="shared" ca="1" si="614"/>
        <v>959.86672361947717</v>
      </c>
      <c r="R917" s="69">
        <f t="shared" ca="1" si="615"/>
        <v>781.91026052354914</v>
      </c>
      <c r="S917" s="69">
        <f t="shared" ca="1" si="616"/>
        <v>708.8961796639453</v>
      </c>
      <c r="T917" s="69">
        <f t="shared" ca="1" si="617"/>
        <v>796.31278025848121</v>
      </c>
      <c r="U917" s="69">
        <f t="shared" ca="1" si="618"/>
        <v>1698.0649270057006</v>
      </c>
      <c r="V917" s="69">
        <f t="shared" ca="1" si="619"/>
        <v>1914.6372018825521</v>
      </c>
      <c r="W917" s="69">
        <f t="shared" ca="1" si="620"/>
        <v>1185.9796197726096</v>
      </c>
      <c r="X917" s="69">
        <f t="shared" ca="1" si="621"/>
        <v>1494.5758002277271</v>
      </c>
      <c r="Y917" s="69">
        <f t="shared" ca="1" si="622"/>
        <v>1199.587375291524</v>
      </c>
      <c r="AA917" s="20">
        <f t="shared" ca="1" si="582"/>
        <v>6.5497480778195808E+16</v>
      </c>
      <c r="AB917" s="20">
        <f t="shared" ca="1" si="583"/>
        <v>1679788250214389.3</v>
      </c>
      <c r="AC917" s="20">
        <f t="shared" ca="1" si="584"/>
        <v>403556977754362.25</v>
      </c>
      <c r="AD917" s="20">
        <f t="shared" ca="1" si="585"/>
        <v>304685678468885.75</v>
      </c>
      <c r="AE917" s="20">
        <f t="shared" ca="1" si="586"/>
        <v>6913020480366488</v>
      </c>
      <c r="AG917" s="16">
        <f t="shared" ca="1" si="587"/>
        <v>-5.2650064771300295E-5</v>
      </c>
      <c r="AH917" s="16">
        <f t="shared" ca="1" si="588"/>
        <v>-9.3348106956968617E-4</v>
      </c>
      <c r="AI917" s="16">
        <f t="shared" ca="1" si="589"/>
        <v>1.7115512545137586E-3</v>
      </c>
      <c r="AJ917" s="16">
        <f t="shared" ca="1" si="590"/>
        <v>-6.485877612268854E-4</v>
      </c>
      <c r="AK917" s="16">
        <f t="shared" ca="1" si="591"/>
        <v>6.1262085259514357E-5</v>
      </c>
      <c r="AM917" s="16">
        <f t="shared" ca="1" si="592"/>
        <v>7.6832358945886779E-5</v>
      </c>
      <c r="AO917" s="16">
        <f t="shared" ca="1" si="593"/>
        <v>-5.2650064771300295E-5</v>
      </c>
      <c r="AP917" s="16">
        <f t="shared" ca="1" si="594"/>
        <v>-9.3348106956968617E-4</v>
      </c>
      <c r="AQ917" s="16">
        <f t="shared" ca="1" si="595"/>
        <v>0</v>
      </c>
      <c r="AR917" s="16">
        <f t="shared" ca="1" si="596"/>
        <v>-6.485877612268854E-4</v>
      </c>
      <c r="AS917" s="16">
        <f t="shared" ca="1" si="597"/>
        <v>0</v>
      </c>
    </row>
    <row r="918" spans="1:45" x14ac:dyDescent="0.25">
      <c r="A918" s="69">
        <f t="shared" ca="1" si="598"/>
        <v>2447.2565793538756</v>
      </c>
      <c r="B918" s="69">
        <f t="shared" ca="1" si="599"/>
        <v>2140.5410337230423</v>
      </c>
      <c r="C918" s="69">
        <f t="shared" ca="1" si="600"/>
        <v>2231.366395670937</v>
      </c>
      <c r="D918" s="69">
        <f t="shared" ca="1" si="601"/>
        <v>2905.7694105438691</v>
      </c>
      <c r="E918" s="69">
        <f t="shared" ca="1" si="602"/>
        <v>1928.2646172017178</v>
      </c>
      <c r="F918" s="69">
        <f t="shared" ca="1" si="603"/>
        <v>1218.7628690718934</v>
      </c>
      <c r="G918" s="69">
        <f t="shared" ca="1" si="604"/>
        <v>972.16485547528976</v>
      </c>
      <c r="H918" s="69">
        <f t="shared" ca="1" si="605"/>
        <v>1186.4803185964563</v>
      </c>
      <c r="I918" s="69">
        <f t="shared" ca="1" si="606"/>
        <v>1050.2339558684555</v>
      </c>
      <c r="J918" s="69">
        <f t="shared" ca="1" si="607"/>
        <v>1136.6935818772502</v>
      </c>
      <c r="K918" s="69">
        <f t="shared" ca="1" si="608"/>
        <v>1171.589305657883</v>
      </c>
      <c r="L918" s="69">
        <f t="shared" ca="1" si="609"/>
        <v>960.23625650935583</v>
      </c>
      <c r="M918" s="69">
        <f t="shared" ca="1" si="610"/>
        <v>996.89535596652286</v>
      </c>
      <c r="N918" s="69">
        <f t="shared" ca="1" si="611"/>
        <v>571.1824220632476</v>
      </c>
      <c r="O918" s="69">
        <f t="shared" ca="1" si="612"/>
        <v>631.05944751152276</v>
      </c>
      <c r="P918" s="69">
        <f t="shared" ca="1" si="613"/>
        <v>718.82033066832582</v>
      </c>
      <c r="Q918" s="69">
        <f t="shared" ca="1" si="614"/>
        <v>959.86672361947717</v>
      </c>
      <c r="R918" s="69">
        <f t="shared" ca="1" si="615"/>
        <v>781.91026052354914</v>
      </c>
      <c r="S918" s="69">
        <f t="shared" ca="1" si="616"/>
        <v>708.64494315095476</v>
      </c>
      <c r="T918" s="69">
        <f t="shared" ca="1" si="617"/>
        <v>796.4407461004979</v>
      </c>
      <c r="U918" s="69">
        <f t="shared" ca="1" si="618"/>
        <v>1698.0649270057006</v>
      </c>
      <c r="V918" s="69">
        <f t="shared" ca="1" si="619"/>
        <v>1914.6372018825521</v>
      </c>
      <c r="W918" s="69">
        <f t="shared" ca="1" si="620"/>
        <v>1185.9539863010395</v>
      </c>
      <c r="X918" s="69">
        <f t="shared" ca="1" si="621"/>
        <v>1494.5758002277271</v>
      </c>
      <c r="Y918" s="69">
        <f t="shared" ca="1" si="622"/>
        <v>1199.6867965017966</v>
      </c>
      <c r="AA918" s="20">
        <f t="shared" ca="1" si="582"/>
        <v>6.5494032422369352E+16</v>
      </c>
      <c r="AB918" s="20">
        <f t="shared" ca="1" si="583"/>
        <v>1678220931326996</v>
      </c>
      <c r="AC918" s="20">
        <f t="shared" ca="1" si="584"/>
        <v>404248277634736</v>
      </c>
      <c r="AD918" s="20">
        <f t="shared" ca="1" si="585"/>
        <v>304488127138422.56</v>
      </c>
      <c r="AE918" s="20">
        <f t="shared" ca="1" si="586"/>
        <v>6913443999389253</v>
      </c>
      <c r="AG918" s="16">
        <f t="shared" ca="1" si="587"/>
        <v>3.6637904636594708E-5</v>
      </c>
      <c r="AH918" s="16">
        <f t="shared" ca="1" si="588"/>
        <v>2.4244519875100856E-4</v>
      </c>
      <c r="AI918" s="16">
        <f t="shared" ca="1" si="589"/>
        <v>1.0505499371810793E-3</v>
      </c>
      <c r="AJ918" s="16">
        <f t="shared" ca="1" si="590"/>
        <v>-6.865234580485292E-4</v>
      </c>
      <c r="AK918" s="16">
        <f t="shared" ca="1" si="591"/>
        <v>-1.2181142077973269E-4</v>
      </c>
      <c r="AM918" s="16">
        <f t="shared" ca="1" si="592"/>
        <v>6.4310958252015331E-4</v>
      </c>
      <c r="AO918" s="16">
        <f t="shared" ca="1" si="593"/>
        <v>0</v>
      </c>
      <c r="AP918" s="16">
        <f t="shared" ca="1" si="594"/>
        <v>0</v>
      </c>
      <c r="AQ918" s="16">
        <f t="shared" ca="1" si="595"/>
        <v>0</v>
      </c>
      <c r="AR918" s="16">
        <f t="shared" ca="1" si="596"/>
        <v>-6.865234580485292E-4</v>
      </c>
      <c r="AS918" s="16">
        <f t="shared" ca="1" si="597"/>
        <v>-1.2181142077973269E-4</v>
      </c>
    </row>
    <row r="919" spans="1:45" x14ac:dyDescent="0.25">
      <c r="A919" s="69">
        <f t="shared" ca="1" si="598"/>
        <v>2446.7955234934825</v>
      </c>
      <c r="B919" s="69">
        <f t="shared" ca="1" si="599"/>
        <v>2140.7145669443885</v>
      </c>
      <c r="C919" s="69">
        <f t="shared" ca="1" si="600"/>
        <v>2231.4425586652087</v>
      </c>
      <c r="D919" s="69">
        <f t="shared" ca="1" si="601"/>
        <v>2906.0886380597308</v>
      </c>
      <c r="E919" s="69">
        <f t="shared" ca="1" si="602"/>
        <v>1928.2646172017178</v>
      </c>
      <c r="F919" s="69">
        <f t="shared" ca="1" si="603"/>
        <v>1218.7424808401556</v>
      </c>
      <c r="G919" s="69">
        <f t="shared" ca="1" si="604"/>
        <v>972.16485547528976</v>
      </c>
      <c r="H919" s="69">
        <f t="shared" ca="1" si="605"/>
        <v>1186.9778216743812</v>
      </c>
      <c r="I919" s="69">
        <f t="shared" ca="1" si="606"/>
        <v>1050.2011754307684</v>
      </c>
      <c r="J919" s="69">
        <f t="shared" ca="1" si="607"/>
        <v>1136.5471452080017</v>
      </c>
      <c r="K919" s="69">
        <f t="shared" ca="1" si="608"/>
        <v>1171.4618212034907</v>
      </c>
      <c r="L919" s="69">
        <f t="shared" ca="1" si="609"/>
        <v>960.23625650935583</v>
      </c>
      <c r="M919" s="69">
        <f t="shared" ca="1" si="610"/>
        <v>996.93882696367677</v>
      </c>
      <c r="N919" s="69">
        <f t="shared" ca="1" si="611"/>
        <v>571.57901337008957</v>
      </c>
      <c r="O919" s="69">
        <f t="shared" ca="1" si="612"/>
        <v>631.32560293332631</v>
      </c>
      <c r="P919" s="69">
        <f t="shared" ca="1" si="613"/>
        <v>718.79425273100901</v>
      </c>
      <c r="Q919" s="69">
        <f t="shared" ca="1" si="614"/>
        <v>959.44793604375968</v>
      </c>
      <c r="R919" s="69">
        <f t="shared" ca="1" si="615"/>
        <v>781.91026052354914</v>
      </c>
      <c r="S919" s="69">
        <f t="shared" ca="1" si="616"/>
        <v>708.49341480516614</v>
      </c>
      <c r="T919" s="69">
        <f t="shared" ca="1" si="617"/>
        <v>796.4407461004979</v>
      </c>
      <c r="U919" s="69">
        <f t="shared" ca="1" si="618"/>
        <v>1698.0649270057006</v>
      </c>
      <c r="V919" s="69">
        <f t="shared" ca="1" si="619"/>
        <v>1914.5669638061702</v>
      </c>
      <c r="W919" s="69">
        <f t="shared" ca="1" si="620"/>
        <v>1185.86208639557</v>
      </c>
      <c r="X919" s="69">
        <f t="shared" ca="1" si="621"/>
        <v>1494.5643926680564</v>
      </c>
      <c r="Y919" s="69">
        <f t="shared" ca="1" si="622"/>
        <v>1199.6867965017966</v>
      </c>
      <c r="AA919" s="20">
        <f t="shared" ca="1" si="582"/>
        <v>6.5496432030441544E+16</v>
      </c>
      <c r="AB919" s="20">
        <f t="shared" ca="1" si="583"/>
        <v>1678627857260865.8</v>
      </c>
      <c r="AC919" s="20">
        <f t="shared" ca="1" si="584"/>
        <v>404673183790899.38</v>
      </c>
      <c r="AD919" s="20">
        <f t="shared" ca="1" si="585"/>
        <v>304279160634855.5</v>
      </c>
      <c r="AE919" s="20">
        <f t="shared" ca="1" si="586"/>
        <v>6912601914242042</v>
      </c>
      <c r="AG919" s="16">
        <f t="shared" ca="1" si="587"/>
        <v>-1.6410445617667975E-4</v>
      </c>
      <c r="AH919" s="16">
        <f t="shared" ca="1" si="588"/>
        <v>-1.7021723769615991E-4</v>
      </c>
      <c r="AI919" s="16">
        <f t="shared" ca="1" si="589"/>
        <v>4.6435312168206371E-4</v>
      </c>
      <c r="AJ919" s="16">
        <f t="shared" ca="1" si="590"/>
        <v>-2.4284519481170577E-4</v>
      </c>
      <c r="AK919" s="16">
        <f t="shared" ca="1" si="591"/>
        <v>-1.7933209434537297E-4</v>
      </c>
      <c r="AM919" s="16">
        <f t="shared" ca="1" si="592"/>
        <v>-1.1281376700248173E-4</v>
      </c>
      <c r="AO919" s="16">
        <f t="shared" ca="1" si="593"/>
        <v>-1.6410445617667975E-4</v>
      </c>
      <c r="AP919" s="16">
        <f t="shared" ca="1" si="594"/>
        <v>-1.7021723769615991E-4</v>
      </c>
      <c r="AQ919" s="16">
        <f t="shared" ca="1" si="595"/>
        <v>0</v>
      </c>
      <c r="AR919" s="16">
        <f t="shared" ca="1" si="596"/>
        <v>-2.4284519481170577E-4</v>
      </c>
      <c r="AS919" s="16">
        <f t="shared" ca="1" si="597"/>
        <v>-1.7933209434537297E-4</v>
      </c>
    </row>
    <row r="920" spans="1:45" x14ac:dyDescent="0.25">
      <c r="A920" s="69">
        <f t="shared" ca="1" si="598"/>
        <v>2446.7955234934825</v>
      </c>
      <c r="B920" s="69">
        <f t="shared" ca="1" si="599"/>
        <v>2141.0053759698708</v>
      </c>
      <c r="C920" s="69">
        <f t="shared" ca="1" si="600"/>
        <v>2231.1080516212614</v>
      </c>
      <c r="D920" s="69">
        <f t="shared" ca="1" si="601"/>
        <v>2906.1857861885042</v>
      </c>
      <c r="E920" s="69">
        <f t="shared" ca="1" si="602"/>
        <v>1927.9109034790199</v>
      </c>
      <c r="F920" s="69">
        <f t="shared" ca="1" si="603"/>
        <v>1218.4645376522531</v>
      </c>
      <c r="G920" s="69">
        <f t="shared" ca="1" si="604"/>
        <v>972.16485547528976</v>
      </c>
      <c r="H920" s="69">
        <f t="shared" ca="1" si="605"/>
        <v>1187.0320965762635</v>
      </c>
      <c r="I920" s="69">
        <f t="shared" ca="1" si="606"/>
        <v>1050.2139269306028</v>
      </c>
      <c r="J920" s="69">
        <f t="shared" ca="1" si="607"/>
        <v>1136.5471452080017</v>
      </c>
      <c r="K920" s="69">
        <f t="shared" ca="1" si="608"/>
        <v>1171.4618212034907</v>
      </c>
      <c r="L920" s="69">
        <f t="shared" ca="1" si="609"/>
        <v>960.37148489901858</v>
      </c>
      <c r="M920" s="69">
        <f t="shared" ca="1" si="610"/>
        <v>996.93882696367677</v>
      </c>
      <c r="N920" s="69">
        <f t="shared" ca="1" si="611"/>
        <v>572.07508146275688</v>
      </c>
      <c r="O920" s="69">
        <f t="shared" ca="1" si="612"/>
        <v>630.9822681513507</v>
      </c>
      <c r="P920" s="69">
        <f t="shared" ca="1" si="613"/>
        <v>718.62949365730651</v>
      </c>
      <c r="Q920" s="69">
        <f t="shared" ca="1" si="614"/>
        <v>959.35698488808714</v>
      </c>
      <c r="R920" s="69">
        <f t="shared" ca="1" si="615"/>
        <v>781.97375169365387</v>
      </c>
      <c r="S920" s="69">
        <f t="shared" ca="1" si="616"/>
        <v>708.49341480516614</v>
      </c>
      <c r="T920" s="69">
        <f t="shared" ca="1" si="617"/>
        <v>796.4407461004979</v>
      </c>
      <c r="U920" s="69">
        <f t="shared" ca="1" si="618"/>
        <v>1698.0649270057006</v>
      </c>
      <c r="V920" s="69">
        <f t="shared" ca="1" si="619"/>
        <v>1914.6374667089924</v>
      </c>
      <c r="W920" s="69">
        <f t="shared" ca="1" si="620"/>
        <v>1185.4744109557291</v>
      </c>
      <c r="X920" s="69">
        <f t="shared" ca="1" si="621"/>
        <v>1494.246221207382</v>
      </c>
      <c r="Y920" s="69">
        <f t="shared" ca="1" si="622"/>
        <v>1200.0752224830044</v>
      </c>
      <c r="AA920" s="20">
        <f t="shared" ca="1" si="582"/>
        <v>6.5485684655951816E+16</v>
      </c>
      <c r="AB920" s="20">
        <f t="shared" ca="1" si="583"/>
        <v>1678342150180707.8</v>
      </c>
      <c r="AC920" s="20">
        <f t="shared" ca="1" si="584"/>
        <v>404861138682396.69</v>
      </c>
      <c r="AD920" s="20">
        <f t="shared" ca="1" si="585"/>
        <v>304205276874335.19</v>
      </c>
      <c r="AE920" s="20">
        <f t="shared" ca="1" si="586"/>
        <v>6911362374011380</v>
      </c>
      <c r="AG920" s="16">
        <f t="shared" ca="1" si="587"/>
        <v>-6.0448163873928975E-5</v>
      </c>
      <c r="AH920" s="16">
        <f t="shared" ca="1" si="588"/>
        <v>2.3390110113506957E-4</v>
      </c>
      <c r="AI920" s="16">
        <f t="shared" ca="1" si="589"/>
        <v>7.3532762153682491E-5</v>
      </c>
      <c r="AJ920" s="16">
        <f t="shared" ca="1" si="590"/>
        <v>1.6437220822979048E-5</v>
      </c>
      <c r="AK920" s="16">
        <f t="shared" ca="1" si="591"/>
        <v>-3.0922271507634985E-5</v>
      </c>
      <c r="AM920" s="16">
        <f t="shared" ca="1" si="592"/>
        <v>2.6342292023780211E-4</v>
      </c>
      <c r="AO920" s="16">
        <f t="shared" ca="1" si="593"/>
        <v>-6.0448163873928975E-5</v>
      </c>
      <c r="AP920" s="16">
        <f t="shared" ca="1" si="594"/>
        <v>0</v>
      </c>
      <c r="AQ920" s="16">
        <f t="shared" ca="1" si="595"/>
        <v>0</v>
      </c>
      <c r="AR920" s="16">
        <f t="shared" ca="1" si="596"/>
        <v>0</v>
      </c>
      <c r="AS920" s="16">
        <f t="shared" ca="1" si="597"/>
        <v>-3.0922271507634985E-5</v>
      </c>
    </row>
    <row r="921" spans="1:45" x14ac:dyDescent="0.25">
      <c r="A921" s="69">
        <f t="shared" ca="1" si="598"/>
        <v>2446.3756206261673</v>
      </c>
      <c r="B921" s="69">
        <f t="shared" ca="1" si="599"/>
        <v>2141.243426074509</v>
      </c>
      <c r="C921" s="69">
        <f t="shared" ca="1" si="600"/>
        <v>2231.1080516212614</v>
      </c>
      <c r="D921" s="69">
        <f t="shared" ca="1" si="601"/>
        <v>2906.1857861885042</v>
      </c>
      <c r="E921" s="69">
        <f t="shared" ca="1" si="602"/>
        <v>1927.9109034790199</v>
      </c>
      <c r="F921" s="69">
        <f t="shared" ca="1" si="603"/>
        <v>1218.6053806909852</v>
      </c>
      <c r="G921" s="69">
        <f t="shared" ca="1" si="604"/>
        <v>972.38190678619731</v>
      </c>
      <c r="H921" s="69">
        <f t="shared" ca="1" si="605"/>
        <v>1186.8039551998297</v>
      </c>
      <c r="I921" s="69">
        <f t="shared" ca="1" si="606"/>
        <v>1050.6404814348084</v>
      </c>
      <c r="J921" s="69">
        <f t="shared" ca="1" si="607"/>
        <v>1136.1848856329343</v>
      </c>
      <c r="K921" s="69">
        <f t="shared" ca="1" si="608"/>
        <v>1171.2050274595838</v>
      </c>
      <c r="L921" s="69">
        <f t="shared" ca="1" si="609"/>
        <v>960.00815652058282</v>
      </c>
      <c r="M921" s="69">
        <f t="shared" ca="1" si="610"/>
        <v>997.24029639081516</v>
      </c>
      <c r="N921" s="69">
        <f t="shared" ca="1" si="611"/>
        <v>572.07508146275688</v>
      </c>
      <c r="O921" s="69">
        <f t="shared" ca="1" si="612"/>
        <v>631.21502211817972</v>
      </c>
      <c r="P921" s="69">
        <f t="shared" ca="1" si="613"/>
        <v>718.70438789552816</v>
      </c>
      <c r="Q921" s="69">
        <f t="shared" ca="1" si="614"/>
        <v>959.82327165969264</v>
      </c>
      <c r="R921" s="69">
        <f t="shared" ca="1" si="615"/>
        <v>781.52526329346404</v>
      </c>
      <c r="S921" s="69">
        <f t="shared" ca="1" si="616"/>
        <v>708.49341480516614</v>
      </c>
      <c r="T921" s="69">
        <f t="shared" ca="1" si="617"/>
        <v>796.4407461004979</v>
      </c>
      <c r="U921" s="69">
        <f t="shared" ca="1" si="618"/>
        <v>1697.6523867958488</v>
      </c>
      <c r="V921" s="69">
        <f t="shared" ca="1" si="619"/>
        <v>1914.2336389563691</v>
      </c>
      <c r="W921" s="69">
        <f t="shared" ca="1" si="620"/>
        <v>1185.3220030335053</v>
      </c>
      <c r="X921" s="69">
        <f t="shared" ca="1" si="621"/>
        <v>1494.6278437001067</v>
      </c>
      <c r="Y921" s="69">
        <f t="shared" ca="1" si="622"/>
        <v>1200.4307395930782</v>
      </c>
      <c r="AA921" s="20">
        <f t="shared" ca="1" si="582"/>
        <v>6.5481726286193632E+16</v>
      </c>
      <c r="AB921" s="20">
        <f t="shared" ca="1" si="583"/>
        <v>1678734762172115</v>
      </c>
      <c r="AC921" s="20">
        <f t="shared" ca="1" si="584"/>
        <v>404890910334795.19</v>
      </c>
      <c r="AD921" s="20">
        <f t="shared" ca="1" si="585"/>
        <v>304210277204742.38</v>
      </c>
      <c r="AE921" s="20">
        <f t="shared" ca="1" si="586"/>
        <v>6911148662291806</v>
      </c>
      <c r="AG921" s="16">
        <f t="shared" ca="1" si="587"/>
        <v>3.9987453968946427E-5</v>
      </c>
      <c r="AH921" s="16">
        <f t="shared" ca="1" si="588"/>
        <v>2.3382838425694711E-4</v>
      </c>
      <c r="AI921" s="16">
        <f t="shared" ca="1" si="589"/>
        <v>4.3305539100665723E-4</v>
      </c>
      <c r="AJ921" s="16">
        <f t="shared" ca="1" si="590"/>
        <v>1.0780413758684913E-3</v>
      </c>
      <c r="AK921" s="16">
        <f t="shared" ca="1" si="591"/>
        <v>-9.5942881285343418E-5</v>
      </c>
      <c r="AM921" s="16">
        <f t="shared" ca="1" si="592"/>
        <v>1.7849126051010422E-3</v>
      </c>
      <c r="AO921" s="16">
        <f t="shared" ca="1" si="593"/>
        <v>0</v>
      </c>
      <c r="AP921" s="16">
        <f t="shared" ca="1" si="594"/>
        <v>0</v>
      </c>
      <c r="AQ921" s="16">
        <f t="shared" ca="1" si="595"/>
        <v>0</v>
      </c>
      <c r="AR921" s="16">
        <f t="shared" ca="1" si="596"/>
        <v>0</v>
      </c>
      <c r="AS921" s="16">
        <f t="shared" ca="1" si="597"/>
        <v>-9.5942881285343418E-5</v>
      </c>
    </row>
    <row r="922" spans="1:45" x14ac:dyDescent="0.25">
      <c r="A922" s="69">
        <f t="shared" ca="1" si="598"/>
        <v>2446.3756206261673</v>
      </c>
      <c r="B922" s="69">
        <f t="shared" ca="1" si="599"/>
        <v>2141.243426074509</v>
      </c>
      <c r="C922" s="69">
        <f t="shared" ca="1" si="600"/>
        <v>2231.1972697355659</v>
      </c>
      <c r="D922" s="69">
        <f t="shared" ca="1" si="601"/>
        <v>2906.1857861885042</v>
      </c>
      <c r="E922" s="69">
        <f t="shared" ca="1" si="602"/>
        <v>1927.9109034790199</v>
      </c>
      <c r="F922" s="69">
        <f t="shared" ca="1" si="603"/>
        <v>1218.8651548639507</v>
      </c>
      <c r="G922" s="69">
        <f t="shared" ca="1" si="604"/>
        <v>972.40201368110218</v>
      </c>
      <c r="H922" s="69">
        <f t="shared" ca="1" si="605"/>
        <v>1186.8039551998297</v>
      </c>
      <c r="I922" s="69">
        <f t="shared" ca="1" si="606"/>
        <v>1050.6404814348084</v>
      </c>
      <c r="J922" s="69">
        <f t="shared" ca="1" si="607"/>
        <v>1136.1848856329343</v>
      </c>
      <c r="K922" s="69">
        <f t="shared" ca="1" si="608"/>
        <v>1171.7028087767005</v>
      </c>
      <c r="L922" s="69">
        <f t="shared" ca="1" si="609"/>
        <v>959.50998841560374</v>
      </c>
      <c r="M922" s="69">
        <f t="shared" ca="1" si="610"/>
        <v>997.05088105847415</v>
      </c>
      <c r="N922" s="69">
        <f t="shared" ca="1" si="611"/>
        <v>572.48548781294187</v>
      </c>
      <c r="O922" s="69">
        <f t="shared" ca="1" si="612"/>
        <v>631.21502211817972</v>
      </c>
      <c r="P922" s="69">
        <f t="shared" ca="1" si="613"/>
        <v>719.19381467641165</v>
      </c>
      <c r="Q922" s="69">
        <f t="shared" ca="1" si="614"/>
        <v>960.07008550089017</v>
      </c>
      <c r="R922" s="69">
        <f t="shared" ca="1" si="615"/>
        <v>781.52526329346404</v>
      </c>
      <c r="S922" s="69">
        <f t="shared" ca="1" si="616"/>
        <v>708.36114109174014</v>
      </c>
      <c r="T922" s="69">
        <f t="shared" ca="1" si="617"/>
        <v>796.70113787501964</v>
      </c>
      <c r="U922" s="69">
        <f t="shared" ca="1" si="618"/>
        <v>1697.5114440886773</v>
      </c>
      <c r="V922" s="69">
        <f t="shared" ca="1" si="619"/>
        <v>1914.4639527812474</v>
      </c>
      <c r="W922" s="69">
        <f t="shared" ca="1" si="620"/>
        <v>1185.3220030335053</v>
      </c>
      <c r="X922" s="69">
        <f t="shared" ca="1" si="621"/>
        <v>1494.6278437001067</v>
      </c>
      <c r="Y922" s="69">
        <f t="shared" ca="1" si="622"/>
        <v>1200.27082101408</v>
      </c>
      <c r="AA922" s="20">
        <f t="shared" ca="1" si="582"/>
        <v>6.5484344786062528E+16</v>
      </c>
      <c r="AB922" s="20">
        <f t="shared" ca="1" si="583"/>
        <v>1679127343905737.3</v>
      </c>
      <c r="AC922" s="20">
        <f t="shared" ca="1" si="584"/>
        <v>405066288497773.88</v>
      </c>
      <c r="AD922" s="20">
        <f t="shared" ca="1" si="585"/>
        <v>304538405306590.25</v>
      </c>
      <c r="AE922" s="20">
        <f t="shared" ca="1" si="586"/>
        <v>6910485618583825</v>
      </c>
      <c r="AG922" s="16">
        <f t="shared" ca="1" si="587"/>
        <v>2.5064774682525881E-4</v>
      </c>
      <c r="AH922" s="16">
        <f t="shared" ca="1" si="588"/>
        <v>2.3654529051487873E-4</v>
      </c>
      <c r="AI922" s="16">
        <f t="shared" ca="1" si="589"/>
        <v>-2.069363208495885E-4</v>
      </c>
      <c r="AJ922" s="16">
        <f t="shared" ca="1" si="590"/>
        <v>-8.8985009199271333E-4</v>
      </c>
      <c r="AK922" s="16">
        <f t="shared" ca="1" si="591"/>
        <v>8.2020551920429551E-4</v>
      </c>
      <c r="AM922" s="16">
        <f t="shared" ca="1" si="592"/>
        <v>-6.0959337550216437E-4</v>
      </c>
      <c r="AO922" s="16">
        <f t="shared" ca="1" si="593"/>
        <v>0</v>
      </c>
      <c r="AP922" s="16">
        <f t="shared" ca="1" si="594"/>
        <v>0</v>
      </c>
      <c r="AQ922" s="16">
        <f t="shared" ca="1" si="595"/>
        <v>-2.069363208495885E-4</v>
      </c>
      <c r="AR922" s="16">
        <f t="shared" ca="1" si="596"/>
        <v>-8.8985009199271333E-4</v>
      </c>
      <c r="AS922" s="16">
        <f t="shared" ca="1" si="597"/>
        <v>0</v>
      </c>
    </row>
    <row r="923" spans="1:45" x14ac:dyDescent="0.25">
      <c r="A923" s="69">
        <f t="shared" ca="1" si="598"/>
        <v>2446.8306532783831</v>
      </c>
      <c r="B923" s="69">
        <f t="shared" ca="1" si="599"/>
        <v>2141.335225151267</v>
      </c>
      <c r="C923" s="69">
        <f t="shared" ca="1" si="600"/>
        <v>2231.6946808960897</v>
      </c>
      <c r="D923" s="69">
        <f t="shared" ca="1" si="601"/>
        <v>2906.0782645812847</v>
      </c>
      <c r="E923" s="69">
        <f t="shared" ca="1" si="602"/>
        <v>1927.5945201713837</v>
      </c>
      <c r="F923" s="69">
        <f t="shared" ca="1" si="603"/>
        <v>1219.2624025138371</v>
      </c>
      <c r="G923" s="69">
        <f t="shared" ca="1" si="604"/>
        <v>971.9983599945806</v>
      </c>
      <c r="H923" s="69">
        <f t="shared" ca="1" si="605"/>
        <v>1186.9216784553835</v>
      </c>
      <c r="I923" s="69">
        <f t="shared" ca="1" si="606"/>
        <v>1050.6524148205572</v>
      </c>
      <c r="J923" s="69">
        <f t="shared" ca="1" si="607"/>
        <v>1136.4295686307601</v>
      </c>
      <c r="K923" s="69">
        <f t="shared" ca="1" si="608"/>
        <v>1171.9081499717067</v>
      </c>
      <c r="L923" s="69">
        <f t="shared" ca="1" si="609"/>
        <v>959.50423951005712</v>
      </c>
      <c r="M923" s="69">
        <f t="shared" ca="1" si="610"/>
        <v>996.92340733345986</v>
      </c>
      <c r="N923" s="69">
        <f t="shared" ca="1" si="611"/>
        <v>572.33454707441786</v>
      </c>
      <c r="O923" s="69">
        <f t="shared" ca="1" si="612"/>
        <v>631.22472564310578</v>
      </c>
      <c r="P923" s="69">
        <f t="shared" ca="1" si="613"/>
        <v>718.77570419226367</v>
      </c>
      <c r="Q923" s="69">
        <f t="shared" ca="1" si="614"/>
        <v>960.07008550089017</v>
      </c>
      <c r="R923" s="69">
        <f t="shared" ca="1" si="615"/>
        <v>781.4944834701281</v>
      </c>
      <c r="S923" s="69">
        <f t="shared" ca="1" si="616"/>
        <v>708.36114109174014</v>
      </c>
      <c r="T923" s="69">
        <f t="shared" ca="1" si="617"/>
        <v>796.48690505994887</v>
      </c>
      <c r="U923" s="69">
        <f t="shared" ca="1" si="618"/>
        <v>1697.7162230902895</v>
      </c>
      <c r="V923" s="69">
        <f t="shared" ca="1" si="619"/>
        <v>1914.5726050879264</v>
      </c>
      <c r="W923" s="69">
        <f t="shared" ca="1" si="620"/>
        <v>1185.7270790139655</v>
      </c>
      <c r="X923" s="69">
        <f t="shared" ca="1" si="621"/>
        <v>1494.6278437001067</v>
      </c>
      <c r="Y923" s="69">
        <f t="shared" ca="1" si="622"/>
        <v>1200.6323263992606</v>
      </c>
      <c r="AA923" s="20">
        <f t="shared" ca="1" si="582"/>
        <v>6.5500760346711184E+16</v>
      </c>
      <c r="AB923" s="20">
        <f t="shared" ca="1" si="583"/>
        <v>1679524580551489.5</v>
      </c>
      <c r="AC923" s="20">
        <f t="shared" ca="1" si="584"/>
        <v>404982474242737.81</v>
      </c>
      <c r="AD923" s="20">
        <f t="shared" ca="1" si="585"/>
        <v>304267532314665.13</v>
      </c>
      <c r="AE923" s="20">
        <f t="shared" ca="1" si="586"/>
        <v>6916155962134219</v>
      </c>
      <c r="AG923" s="16">
        <f t="shared" ca="1" si="587"/>
        <v>-4.905669256230204E-4</v>
      </c>
      <c r="AH923" s="16">
        <f t="shared" ca="1" si="588"/>
        <v>4.6482120272436288E-4</v>
      </c>
      <c r="AI923" s="16">
        <f t="shared" ca="1" si="589"/>
        <v>-2.2277338679594922E-4</v>
      </c>
      <c r="AJ923" s="16">
        <f t="shared" ca="1" si="590"/>
        <v>-1.0287994498455323E-3</v>
      </c>
      <c r="AK923" s="16">
        <f t="shared" ca="1" si="591"/>
        <v>-1.6084608661137733E-4</v>
      </c>
      <c r="AM923" s="16">
        <f t="shared" ca="1" si="592"/>
        <v>-1.277318559540139E-3</v>
      </c>
      <c r="AO923" s="16">
        <f t="shared" ca="1" si="593"/>
        <v>-4.905669256230204E-4</v>
      </c>
      <c r="AP923" s="16">
        <f t="shared" ca="1" si="594"/>
        <v>0</v>
      </c>
      <c r="AQ923" s="16">
        <f t="shared" ca="1" si="595"/>
        <v>-2.2277338679594922E-4</v>
      </c>
      <c r="AR923" s="16">
        <f t="shared" ca="1" si="596"/>
        <v>-1.0287994498455323E-3</v>
      </c>
      <c r="AS923" s="16">
        <f t="shared" ca="1" si="597"/>
        <v>-1.6084608661137733E-4</v>
      </c>
    </row>
    <row r="924" spans="1:45" x14ac:dyDescent="0.25">
      <c r="A924" s="69">
        <f t="shared" ca="1" si="598"/>
        <v>2446.3976594826568</v>
      </c>
      <c r="B924" s="69">
        <f t="shared" ca="1" si="599"/>
        <v>2141.0945198754948</v>
      </c>
      <c r="C924" s="69">
        <f t="shared" ca="1" si="600"/>
        <v>2231.2457650924348</v>
      </c>
      <c r="D924" s="69">
        <f t="shared" ca="1" si="601"/>
        <v>2906.0782645812847</v>
      </c>
      <c r="E924" s="69">
        <f t="shared" ca="1" si="602"/>
        <v>1927.5945201713837</v>
      </c>
      <c r="F924" s="69">
        <f t="shared" ca="1" si="603"/>
        <v>1219.5762958463513</v>
      </c>
      <c r="G924" s="69">
        <f t="shared" ca="1" si="604"/>
        <v>971.9983599945806</v>
      </c>
      <c r="H924" s="69">
        <f t="shared" ca="1" si="605"/>
        <v>1186.6978868990102</v>
      </c>
      <c r="I924" s="69">
        <f t="shared" ca="1" si="606"/>
        <v>1050.6524148205572</v>
      </c>
      <c r="J924" s="69">
        <f t="shared" ca="1" si="607"/>
        <v>1136.8796551165715</v>
      </c>
      <c r="K924" s="69">
        <f t="shared" ca="1" si="608"/>
        <v>1172.2576545787867</v>
      </c>
      <c r="L924" s="69">
        <f t="shared" ca="1" si="609"/>
        <v>959.50423951005712</v>
      </c>
      <c r="M924" s="69">
        <f t="shared" ca="1" si="610"/>
        <v>996.92340733345986</v>
      </c>
      <c r="N924" s="69">
        <f t="shared" ca="1" si="611"/>
        <v>572.03645879344845</v>
      </c>
      <c r="O924" s="69">
        <f t="shared" ca="1" si="612"/>
        <v>631.22472564310578</v>
      </c>
      <c r="P924" s="69">
        <f t="shared" ca="1" si="613"/>
        <v>718.73857315301609</v>
      </c>
      <c r="Q924" s="69">
        <f t="shared" ca="1" si="614"/>
        <v>960.07008550089017</v>
      </c>
      <c r="R924" s="69">
        <f t="shared" ca="1" si="615"/>
        <v>781.37546764686499</v>
      </c>
      <c r="S924" s="69">
        <f t="shared" ca="1" si="616"/>
        <v>707.96462929691563</v>
      </c>
      <c r="T924" s="69">
        <f t="shared" ca="1" si="617"/>
        <v>796.27592842315846</v>
      </c>
      <c r="U924" s="69">
        <f t="shared" ca="1" si="618"/>
        <v>1697.268800930286</v>
      </c>
      <c r="V924" s="69">
        <f t="shared" ca="1" si="619"/>
        <v>1914.5726050879264</v>
      </c>
      <c r="W924" s="69">
        <f t="shared" ca="1" si="620"/>
        <v>1185.937545945043</v>
      </c>
      <c r="X924" s="69">
        <f t="shared" ca="1" si="621"/>
        <v>1494.6278437001067</v>
      </c>
      <c r="Y924" s="69">
        <f t="shared" ca="1" si="622"/>
        <v>1200.5425796446009</v>
      </c>
      <c r="AA924" s="20">
        <f t="shared" ca="1" si="582"/>
        <v>6.5468635720365768E+16</v>
      </c>
      <c r="AB924" s="20">
        <f t="shared" ca="1" si="583"/>
        <v>1680305440653133</v>
      </c>
      <c r="AC924" s="20">
        <f t="shared" ca="1" si="584"/>
        <v>404892264973843</v>
      </c>
      <c r="AD924" s="20">
        <f t="shared" ca="1" si="585"/>
        <v>303954663012292.81</v>
      </c>
      <c r="AE924" s="20">
        <f t="shared" ca="1" si="586"/>
        <v>6915043614974058</v>
      </c>
      <c r="AG924" s="16">
        <f t="shared" ca="1" si="587"/>
        <v>1.1666740638169667E-4</v>
      </c>
      <c r="AH924" s="16">
        <f t="shared" ca="1" si="588"/>
        <v>-2.8401088311548429E-4</v>
      </c>
      <c r="AI924" s="16">
        <f t="shared" ca="1" si="589"/>
        <v>7.7550988671318331E-4</v>
      </c>
      <c r="AJ924" s="16">
        <f t="shared" ca="1" si="590"/>
        <v>4.2976301149418332E-4</v>
      </c>
      <c r="AK924" s="16">
        <f t="shared" ca="1" si="591"/>
        <v>-2.0333022402586954E-4</v>
      </c>
      <c r="AM924" s="16">
        <f t="shared" ca="1" si="592"/>
        <v>1.0379294214735791E-3</v>
      </c>
      <c r="AO924" s="16">
        <f t="shared" ca="1" si="593"/>
        <v>0</v>
      </c>
      <c r="AP924" s="16">
        <f t="shared" ca="1" si="594"/>
        <v>-2.8401088311548429E-4</v>
      </c>
      <c r="AQ924" s="16">
        <f t="shared" ca="1" si="595"/>
        <v>0</v>
      </c>
      <c r="AR924" s="16">
        <f t="shared" ca="1" si="596"/>
        <v>0</v>
      </c>
      <c r="AS924" s="16">
        <f t="shared" ca="1" si="597"/>
        <v>-2.0333022402586954E-4</v>
      </c>
    </row>
    <row r="925" spans="1:45" x14ac:dyDescent="0.25">
      <c r="A925" s="69">
        <f t="shared" ca="1" si="598"/>
        <v>2446.3976594826568</v>
      </c>
      <c r="B925" s="69">
        <f t="shared" ca="1" si="599"/>
        <v>2140.8110848290262</v>
      </c>
      <c r="C925" s="69">
        <f t="shared" ca="1" si="600"/>
        <v>2231.5394143126678</v>
      </c>
      <c r="D925" s="69">
        <f t="shared" ca="1" si="601"/>
        <v>2906.41961997613</v>
      </c>
      <c r="E925" s="69">
        <f t="shared" ca="1" si="602"/>
        <v>1927.5945201713837</v>
      </c>
      <c r="F925" s="69">
        <f t="shared" ca="1" si="603"/>
        <v>1219.2518290093988</v>
      </c>
      <c r="G925" s="69">
        <f t="shared" ca="1" si="604"/>
        <v>971.79621788040129</v>
      </c>
      <c r="H925" s="69">
        <f t="shared" ca="1" si="605"/>
        <v>1186.6978868990102</v>
      </c>
      <c r="I925" s="69">
        <f t="shared" ca="1" si="606"/>
        <v>1051.0226425794917</v>
      </c>
      <c r="J925" s="69">
        <f t="shared" ca="1" si="607"/>
        <v>1136.6952040901185</v>
      </c>
      <c r="K925" s="69">
        <f t="shared" ca="1" si="608"/>
        <v>1172.2576545787867</v>
      </c>
      <c r="L925" s="69">
        <f t="shared" ca="1" si="609"/>
        <v>959.31741720649188</v>
      </c>
      <c r="M925" s="69">
        <f t="shared" ca="1" si="610"/>
        <v>997.07808615162435</v>
      </c>
      <c r="N925" s="69">
        <f t="shared" ca="1" si="611"/>
        <v>572.50291111003276</v>
      </c>
      <c r="O925" s="69">
        <f t="shared" ca="1" si="612"/>
        <v>631.22472564310578</v>
      </c>
      <c r="P925" s="69">
        <f t="shared" ca="1" si="613"/>
        <v>718.73857315301609</v>
      </c>
      <c r="Q925" s="69">
        <f t="shared" ca="1" si="614"/>
        <v>960.36930008185459</v>
      </c>
      <c r="R925" s="69">
        <f t="shared" ca="1" si="615"/>
        <v>781.72237531730559</v>
      </c>
      <c r="S925" s="69">
        <f t="shared" ca="1" si="616"/>
        <v>708.00381354534682</v>
      </c>
      <c r="T925" s="69">
        <f t="shared" ca="1" si="617"/>
        <v>795.97255275103612</v>
      </c>
      <c r="U925" s="69">
        <f t="shared" ca="1" si="618"/>
        <v>1697.268800930286</v>
      </c>
      <c r="V925" s="69">
        <f t="shared" ca="1" si="619"/>
        <v>1914.5529810062753</v>
      </c>
      <c r="W925" s="69">
        <f t="shared" ca="1" si="620"/>
        <v>1185.7085868466311</v>
      </c>
      <c r="X925" s="69">
        <f t="shared" ca="1" si="621"/>
        <v>1494.6278437001067</v>
      </c>
      <c r="Y925" s="69">
        <f t="shared" ca="1" si="622"/>
        <v>1200.5425796446009</v>
      </c>
      <c r="AA925" s="20">
        <f t="shared" ca="1" si="582"/>
        <v>6.5476274221868024E+16</v>
      </c>
      <c r="AB925" s="20">
        <f t="shared" ca="1" si="583"/>
        <v>1679828283383165.5</v>
      </c>
      <c r="AC925" s="20">
        <f t="shared" ca="1" si="584"/>
        <v>405206384714122.94</v>
      </c>
      <c r="AD925" s="20">
        <f t="shared" ca="1" si="585"/>
        <v>304085319557290.81</v>
      </c>
      <c r="AE925" s="20">
        <f t="shared" ca="1" si="586"/>
        <v>6913637720541935</v>
      </c>
      <c r="AG925" s="16">
        <f t="shared" ca="1" si="587"/>
        <v>-1.0245081108852281E-4</v>
      </c>
      <c r="AH925" s="16">
        <f t="shared" ca="1" si="588"/>
        <v>1.7174619534666264E-4</v>
      </c>
      <c r="AI925" s="16">
        <f t="shared" ca="1" si="589"/>
        <v>-5.2051915734151915E-4</v>
      </c>
      <c r="AJ925" s="16">
        <f t="shared" ca="1" si="590"/>
        <v>1.0528287355384052E-3</v>
      </c>
      <c r="AK925" s="16">
        <f t="shared" ca="1" si="591"/>
        <v>-4.8051595885985831E-4</v>
      </c>
      <c r="AM925" s="16">
        <f t="shared" ca="1" si="592"/>
        <v>6.0160496245502577E-4</v>
      </c>
      <c r="AO925" s="16">
        <f t="shared" ca="1" si="593"/>
        <v>-1.0245081108852281E-4</v>
      </c>
      <c r="AP925" s="16">
        <f t="shared" ca="1" si="594"/>
        <v>0</v>
      </c>
      <c r="AQ925" s="16">
        <f t="shared" ca="1" si="595"/>
        <v>-5.2051915734151915E-4</v>
      </c>
      <c r="AR925" s="16">
        <f t="shared" ca="1" si="596"/>
        <v>0</v>
      </c>
      <c r="AS925" s="16">
        <f t="shared" ca="1" si="597"/>
        <v>-4.8051595885985831E-4</v>
      </c>
    </row>
    <row r="926" spans="1:45" x14ac:dyDescent="0.25">
      <c r="A926" s="69">
        <f t="shared" ca="1" si="598"/>
        <v>2446.345377319838</v>
      </c>
      <c r="B926" s="69">
        <f t="shared" ca="1" si="599"/>
        <v>2141.124929096186</v>
      </c>
      <c r="C926" s="69">
        <f t="shared" ca="1" si="600"/>
        <v>2231.2362898969018</v>
      </c>
      <c r="D926" s="69">
        <f t="shared" ca="1" si="601"/>
        <v>2906.1527540084326</v>
      </c>
      <c r="E926" s="69">
        <f t="shared" ca="1" si="602"/>
        <v>1927.5945201713837</v>
      </c>
      <c r="F926" s="69">
        <f t="shared" ca="1" si="603"/>
        <v>1218.8715213901937</v>
      </c>
      <c r="G926" s="69">
        <f t="shared" ca="1" si="604"/>
        <v>971.79621788040129</v>
      </c>
      <c r="H926" s="69">
        <f t="shared" ca="1" si="605"/>
        <v>1187.171931049706</v>
      </c>
      <c r="I926" s="69">
        <f t="shared" ca="1" si="606"/>
        <v>1051.0479180695704</v>
      </c>
      <c r="J926" s="69">
        <f t="shared" ca="1" si="607"/>
        <v>1136.7637265707538</v>
      </c>
      <c r="K926" s="69">
        <f t="shared" ca="1" si="608"/>
        <v>1171.7891703946827</v>
      </c>
      <c r="L926" s="69">
        <f t="shared" ca="1" si="609"/>
        <v>959.47491551977237</v>
      </c>
      <c r="M926" s="69">
        <f t="shared" ca="1" si="610"/>
        <v>997.07808615162435</v>
      </c>
      <c r="N926" s="69">
        <f t="shared" ca="1" si="611"/>
        <v>572.41660495730957</v>
      </c>
      <c r="O926" s="69">
        <f t="shared" ca="1" si="612"/>
        <v>631.14002292330963</v>
      </c>
      <c r="P926" s="69">
        <f t="shared" ca="1" si="613"/>
        <v>718.73857315301609</v>
      </c>
      <c r="Q926" s="69">
        <f t="shared" ca="1" si="614"/>
        <v>960.84762823636322</v>
      </c>
      <c r="R926" s="69">
        <f t="shared" ca="1" si="615"/>
        <v>781.67599550748673</v>
      </c>
      <c r="S926" s="69">
        <f t="shared" ca="1" si="616"/>
        <v>708.00381354534682</v>
      </c>
      <c r="T926" s="69">
        <f t="shared" ca="1" si="617"/>
        <v>796.46160350040998</v>
      </c>
      <c r="U926" s="69">
        <f t="shared" ca="1" si="618"/>
        <v>1697.2690330372554</v>
      </c>
      <c r="V926" s="69">
        <f t="shared" ca="1" si="619"/>
        <v>1914.3919026035394</v>
      </c>
      <c r="W926" s="69">
        <f t="shared" ca="1" si="620"/>
        <v>1185.238528230341</v>
      </c>
      <c r="X926" s="69">
        <f t="shared" ca="1" si="621"/>
        <v>1494.6278437001067</v>
      </c>
      <c r="Y926" s="69">
        <f t="shared" ca="1" si="622"/>
        <v>1200.5425796446009</v>
      </c>
      <c r="AA926" s="20">
        <f t="shared" ca="1" si="582"/>
        <v>6.5469566468080216E+16</v>
      </c>
      <c r="AB926" s="20">
        <f t="shared" ca="1" si="583"/>
        <v>1680116812275833</v>
      </c>
      <c r="AC926" s="20">
        <f t="shared" ca="1" si="584"/>
        <v>404995521912027.13</v>
      </c>
      <c r="AD926" s="20">
        <f t="shared" ca="1" si="585"/>
        <v>304405637910371.38</v>
      </c>
      <c r="AE926" s="20">
        <f t="shared" ca="1" si="586"/>
        <v>6910316405319830</v>
      </c>
      <c r="AG926" s="16">
        <f t="shared" ca="1" si="587"/>
        <v>2.6801139657243073E-4</v>
      </c>
      <c r="AH926" s="16">
        <f t="shared" ca="1" si="588"/>
        <v>3.560290657059788E-4</v>
      </c>
      <c r="AI926" s="16">
        <f t="shared" ca="1" si="589"/>
        <v>1.1771552178511399E-3</v>
      </c>
      <c r="AJ926" s="16">
        <f t="shared" ca="1" si="590"/>
        <v>-9.6559843755805806E-4</v>
      </c>
      <c r="AK926" s="16">
        <f t="shared" ca="1" si="591"/>
        <v>3.9105786805578279E-4</v>
      </c>
      <c r="AM926" s="16">
        <f t="shared" ca="1" si="592"/>
        <v>8.3559724257149142E-4</v>
      </c>
      <c r="AO926" s="16">
        <f t="shared" ca="1" si="593"/>
        <v>0</v>
      </c>
      <c r="AP926" s="16">
        <f t="shared" ca="1" si="594"/>
        <v>0</v>
      </c>
      <c r="AQ926" s="16">
        <f t="shared" ca="1" si="595"/>
        <v>0</v>
      </c>
      <c r="AR926" s="16">
        <f t="shared" ca="1" si="596"/>
        <v>-9.6559843755805806E-4</v>
      </c>
      <c r="AS926" s="16">
        <f t="shared" ca="1" si="597"/>
        <v>0</v>
      </c>
    </row>
    <row r="927" spans="1:45" x14ac:dyDescent="0.25">
      <c r="A927" s="69">
        <f t="shared" ca="1" si="598"/>
        <v>2446.508757032052</v>
      </c>
      <c r="B927" s="69">
        <f t="shared" ca="1" si="599"/>
        <v>2141.124929096186</v>
      </c>
      <c r="C927" s="69">
        <f t="shared" ca="1" si="600"/>
        <v>2231.0960908800412</v>
      </c>
      <c r="D927" s="69">
        <f t="shared" ca="1" si="601"/>
        <v>2906.1850073788028</v>
      </c>
      <c r="E927" s="69">
        <f t="shared" ca="1" si="602"/>
        <v>1928.0821993029258</v>
      </c>
      <c r="F927" s="69">
        <f t="shared" ca="1" si="603"/>
        <v>1218.8715213901937</v>
      </c>
      <c r="G927" s="69">
        <f t="shared" ca="1" si="604"/>
        <v>971.79621788040129</v>
      </c>
      <c r="H927" s="69">
        <f t="shared" ca="1" si="605"/>
        <v>1187.171931049706</v>
      </c>
      <c r="I927" s="69">
        <f t="shared" ca="1" si="606"/>
        <v>1051.4221882994398</v>
      </c>
      <c r="J927" s="69">
        <f t="shared" ca="1" si="607"/>
        <v>1136.7637265707538</v>
      </c>
      <c r="K927" s="69">
        <f t="shared" ca="1" si="608"/>
        <v>1171.6554963526194</v>
      </c>
      <c r="L927" s="69">
        <f t="shared" ca="1" si="609"/>
        <v>959.77721039084201</v>
      </c>
      <c r="M927" s="69">
        <f t="shared" ca="1" si="610"/>
        <v>997.07808615162435</v>
      </c>
      <c r="N927" s="69">
        <f t="shared" ca="1" si="611"/>
        <v>572.89370926436675</v>
      </c>
      <c r="O927" s="69">
        <f t="shared" ca="1" si="612"/>
        <v>631.23033364251273</v>
      </c>
      <c r="P927" s="69">
        <f t="shared" ca="1" si="613"/>
        <v>718.65733477294077</v>
      </c>
      <c r="Q927" s="69">
        <f t="shared" ca="1" si="614"/>
        <v>960.55273088261958</v>
      </c>
      <c r="R927" s="69">
        <f t="shared" ca="1" si="615"/>
        <v>781.65555104483917</v>
      </c>
      <c r="S927" s="69">
        <f t="shared" ca="1" si="616"/>
        <v>707.6434654240345</v>
      </c>
      <c r="T927" s="69">
        <f t="shared" ca="1" si="617"/>
        <v>796.45335698936537</v>
      </c>
      <c r="U927" s="69">
        <f t="shared" ca="1" si="618"/>
        <v>1697.5095002000571</v>
      </c>
      <c r="V927" s="69">
        <f t="shared" ca="1" si="619"/>
        <v>1914.3741100520244</v>
      </c>
      <c r="W927" s="69">
        <f t="shared" ca="1" si="620"/>
        <v>1185.4561358462872</v>
      </c>
      <c r="X927" s="69">
        <f t="shared" ca="1" si="621"/>
        <v>1494.6278437001067</v>
      </c>
      <c r="Y927" s="69">
        <f t="shared" ca="1" si="622"/>
        <v>1200.6327460168659</v>
      </c>
      <c r="AA927" s="20">
        <f t="shared" ca="1" si="582"/>
        <v>6.5487115409575432E+16</v>
      </c>
      <c r="AB927" s="20">
        <f t="shared" ca="1" si="583"/>
        <v>1680715089190450.3</v>
      </c>
      <c r="AC927" s="20">
        <f t="shared" ca="1" si="584"/>
        <v>405472545214002.69</v>
      </c>
      <c r="AD927" s="20">
        <f t="shared" ca="1" si="585"/>
        <v>304111846167272.44</v>
      </c>
      <c r="AE927" s="20">
        <f t="shared" ca="1" si="586"/>
        <v>6913019267374176</v>
      </c>
      <c r="AG927" s="16">
        <f t="shared" ca="1" si="587"/>
        <v>-2.2802711159750151E-4</v>
      </c>
      <c r="AH927" s="16">
        <f t="shared" ca="1" si="588"/>
        <v>-4.3722898242315504E-4</v>
      </c>
      <c r="AI927" s="16">
        <f t="shared" ca="1" si="589"/>
        <v>3.4670608780865034E-4</v>
      </c>
      <c r="AJ927" s="16">
        <f t="shared" ca="1" si="590"/>
        <v>2.8571673030809767E-4</v>
      </c>
      <c r="AK927" s="16">
        <f t="shared" ca="1" si="591"/>
        <v>-4.1236344029123984E-4</v>
      </c>
      <c r="AM927" s="16">
        <f t="shared" ca="1" si="592"/>
        <v>-3.2833275903908514E-5</v>
      </c>
      <c r="AO927" s="16">
        <f t="shared" ca="1" si="593"/>
        <v>-2.2802711159750151E-4</v>
      </c>
      <c r="AP927" s="16">
        <f t="shared" ca="1" si="594"/>
        <v>-4.3722898242315504E-4</v>
      </c>
      <c r="AQ927" s="16">
        <f t="shared" ca="1" si="595"/>
        <v>0</v>
      </c>
      <c r="AR927" s="16">
        <f t="shared" ca="1" si="596"/>
        <v>0</v>
      </c>
      <c r="AS927" s="16">
        <f t="shared" ca="1" si="597"/>
        <v>-4.1236344029123984E-4</v>
      </c>
    </row>
    <row r="928" spans="1:45" x14ac:dyDescent="0.25">
      <c r="A928" s="69">
        <f t="shared" ca="1" si="598"/>
        <v>2446.4160423064072</v>
      </c>
      <c r="B928" s="69">
        <f t="shared" ca="1" si="599"/>
        <v>2141.0355285799683</v>
      </c>
      <c r="C928" s="69">
        <f t="shared" ca="1" si="600"/>
        <v>2231.0960908800412</v>
      </c>
      <c r="D928" s="69">
        <f t="shared" ca="1" si="601"/>
        <v>2905.7538348048042</v>
      </c>
      <c r="E928" s="69">
        <f t="shared" ca="1" si="602"/>
        <v>1928.0821993029258</v>
      </c>
      <c r="F928" s="69">
        <f t="shared" ca="1" si="603"/>
        <v>1218.4557793501172</v>
      </c>
      <c r="G928" s="69">
        <f t="shared" ca="1" si="604"/>
        <v>971.79621788040129</v>
      </c>
      <c r="H928" s="69">
        <f t="shared" ca="1" si="605"/>
        <v>1187.4330511439805</v>
      </c>
      <c r="I928" s="69">
        <f t="shared" ca="1" si="606"/>
        <v>1051.4221882994398</v>
      </c>
      <c r="J928" s="69">
        <f t="shared" ca="1" si="607"/>
        <v>1136.4045542554918</v>
      </c>
      <c r="K928" s="69">
        <f t="shared" ca="1" si="608"/>
        <v>1172.0545137711301</v>
      </c>
      <c r="L928" s="69">
        <f t="shared" ca="1" si="609"/>
        <v>959.90258750861665</v>
      </c>
      <c r="M928" s="69">
        <f t="shared" ca="1" si="610"/>
        <v>997.07808615162435</v>
      </c>
      <c r="N928" s="69">
        <f t="shared" ca="1" si="611"/>
        <v>573.20928364868053</v>
      </c>
      <c r="O928" s="69">
        <f t="shared" ca="1" si="612"/>
        <v>630.80432837121111</v>
      </c>
      <c r="P928" s="69">
        <f t="shared" ca="1" si="613"/>
        <v>718.21109799879071</v>
      </c>
      <c r="Q928" s="69">
        <f t="shared" ca="1" si="614"/>
        <v>961.0304986082408</v>
      </c>
      <c r="R928" s="69">
        <f t="shared" ca="1" si="615"/>
        <v>781.65555104483917</v>
      </c>
      <c r="S928" s="69">
        <f t="shared" ca="1" si="616"/>
        <v>707.97409489830909</v>
      </c>
      <c r="T928" s="69">
        <f t="shared" ca="1" si="617"/>
        <v>796.40752972285873</v>
      </c>
      <c r="U928" s="69">
        <f t="shared" ca="1" si="618"/>
        <v>1697.5095002000571</v>
      </c>
      <c r="V928" s="69">
        <f t="shared" ca="1" si="619"/>
        <v>1914.3741100520244</v>
      </c>
      <c r="W928" s="69">
        <f t="shared" ca="1" si="620"/>
        <v>1185.5169055581503</v>
      </c>
      <c r="X928" s="69">
        <f t="shared" ca="1" si="621"/>
        <v>1494.3154921516505</v>
      </c>
      <c r="Y928" s="69">
        <f t="shared" ca="1" si="622"/>
        <v>1200.3270795988012</v>
      </c>
      <c r="AA928" s="20">
        <f t="shared" ca="1" si="582"/>
        <v>6.5472184274218264E+16</v>
      </c>
      <c r="AB928" s="20">
        <f t="shared" ca="1" si="583"/>
        <v>1679980392469314.5</v>
      </c>
      <c r="AC928" s="20">
        <f t="shared" ca="1" si="584"/>
        <v>405613149386620.5</v>
      </c>
      <c r="AD928" s="20">
        <f t="shared" ca="1" si="585"/>
        <v>304198748423730.44</v>
      </c>
      <c r="AE928" s="20">
        <f t="shared" ca="1" si="586"/>
        <v>6910169178642866</v>
      </c>
      <c r="AG928" s="16">
        <f t="shared" ca="1" si="587"/>
        <v>1.8456200503158531E-5</v>
      </c>
      <c r="AH928" s="16">
        <f t="shared" ca="1" si="588"/>
        <v>-5.9213910613241003E-4</v>
      </c>
      <c r="AI928" s="16">
        <f t="shared" ca="1" si="589"/>
        <v>1.211493137558283E-3</v>
      </c>
      <c r="AJ928" s="16">
        <f t="shared" ca="1" si="590"/>
        <v>-2.8758751636258399E-4</v>
      </c>
      <c r="AK928" s="16">
        <f t="shared" ca="1" si="591"/>
        <v>2.0014772937872963E-4</v>
      </c>
      <c r="AM928" s="16">
        <f t="shared" ca="1" si="592"/>
        <v>3.5022271556644748E-4</v>
      </c>
      <c r="AO928" s="16">
        <f t="shared" ca="1" si="593"/>
        <v>0</v>
      </c>
      <c r="AP928" s="16">
        <f t="shared" ca="1" si="594"/>
        <v>-5.9213910613241003E-4</v>
      </c>
      <c r="AQ928" s="16">
        <f t="shared" ca="1" si="595"/>
        <v>0</v>
      </c>
      <c r="AR928" s="16">
        <f t="shared" ca="1" si="596"/>
        <v>-2.8758751636258399E-4</v>
      </c>
      <c r="AS928" s="16">
        <f t="shared" ca="1" si="597"/>
        <v>0</v>
      </c>
    </row>
    <row r="929" spans="1:45" x14ac:dyDescent="0.25">
      <c r="A929" s="69">
        <f t="shared" ca="1" si="598"/>
        <v>2446.4160423064072</v>
      </c>
      <c r="B929" s="69">
        <f t="shared" ca="1" si="599"/>
        <v>2140.9525571547656</v>
      </c>
      <c r="C929" s="69">
        <f t="shared" ca="1" si="600"/>
        <v>2231.0960908800412</v>
      </c>
      <c r="D929" s="69">
        <f t="shared" ca="1" si="601"/>
        <v>2905.7538348048042</v>
      </c>
      <c r="E929" s="69">
        <f t="shared" ca="1" si="602"/>
        <v>1928.1925078349775</v>
      </c>
      <c r="F929" s="69">
        <f t="shared" ca="1" si="603"/>
        <v>1218.4557793501172</v>
      </c>
      <c r="G929" s="69">
        <f t="shared" ca="1" si="604"/>
        <v>971.33703493972553</v>
      </c>
      <c r="H929" s="69">
        <f t="shared" ca="1" si="605"/>
        <v>1187.2911400691164</v>
      </c>
      <c r="I929" s="69">
        <f t="shared" ca="1" si="606"/>
        <v>1051.4221882994398</v>
      </c>
      <c r="J929" s="69">
        <f t="shared" ca="1" si="607"/>
        <v>1136.4045542554918</v>
      </c>
      <c r="K929" s="69">
        <f t="shared" ca="1" si="608"/>
        <v>1172.0545137711301</v>
      </c>
      <c r="L929" s="69">
        <f t="shared" ca="1" si="609"/>
        <v>960.36378048078473</v>
      </c>
      <c r="M929" s="69">
        <f t="shared" ca="1" si="610"/>
        <v>997.05819302989414</v>
      </c>
      <c r="N929" s="69">
        <f t="shared" ca="1" si="611"/>
        <v>573.20928364868053</v>
      </c>
      <c r="O929" s="69">
        <f t="shared" ca="1" si="612"/>
        <v>631.27830476846134</v>
      </c>
      <c r="P929" s="69">
        <f t="shared" ca="1" si="613"/>
        <v>717.78484108561122</v>
      </c>
      <c r="Q929" s="69">
        <f t="shared" ca="1" si="614"/>
        <v>961.32470234439666</v>
      </c>
      <c r="R929" s="69">
        <f t="shared" ca="1" si="615"/>
        <v>781.65555104483917</v>
      </c>
      <c r="S929" s="69">
        <f t="shared" ca="1" si="616"/>
        <v>707.97409489830909</v>
      </c>
      <c r="T929" s="69">
        <f t="shared" ca="1" si="617"/>
        <v>796.40752972285873</v>
      </c>
      <c r="U929" s="69">
        <f t="shared" ca="1" si="618"/>
        <v>1697.9895032307727</v>
      </c>
      <c r="V929" s="69">
        <f t="shared" ca="1" si="619"/>
        <v>1914.1268500883789</v>
      </c>
      <c r="W929" s="69">
        <f t="shared" ca="1" si="620"/>
        <v>1185.5169055581503</v>
      </c>
      <c r="X929" s="69">
        <f t="shared" ca="1" si="621"/>
        <v>1494.3154921516505</v>
      </c>
      <c r="Y929" s="69">
        <f t="shared" ca="1" si="622"/>
        <v>1200.3830002399156</v>
      </c>
      <c r="AA929" s="20">
        <f t="shared" ca="1" si="582"/>
        <v>6.5473392653129616E+16</v>
      </c>
      <c r="AB929" s="20">
        <f t="shared" ca="1" si="583"/>
        <v>1678985904847961.3</v>
      </c>
      <c r="AC929" s="20">
        <f t="shared" ca="1" si="584"/>
        <v>406104844716225.5</v>
      </c>
      <c r="AD929" s="20">
        <f t="shared" ca="1" si="585"/>
        <v>304111277239603.81</v>
      </c>
      <c r="AE929" s="20">
        <f t="shared" ca="1" si="586"/>
        <v>6911552371730454</v>
      </c>
      <c r="AG929" s="16">
        <f t="shared" ca="1" si="587"/>
        <v>-2.5842405139307712E-4</v>
      </c>
      <c r="AH929" s="16">
        <f t="shared" ca="1" si="588"/>
        <v>-1.0620122282332007E-4</v>
      </c>
      <c r="AI929" s="16">
        <f t="shared" ca="1" si="589"/>
        <v>1.4832872998784839E-4</v>
      </c>
      <c r="AJ929" s="16">
        <f t="shared" ca="1" si="590"/>
        <v>5.7773249974393522E-4</v>
      </c>
      <c r="AK929" s="16">
        <f t="shared" ca="1" si="591"/>
        <v>1.3147709867627203E-4</v>
      </c>
      <c r="AM929" s="16">
        <f t="shared" ca="1" si="592"/>
        <v>3.6143595551538644E-4</v>
      </c>
      <c r="AO929" s="16">
        <f t="shared" ca="1" si="593"/>
        <v>-2.5842405139307712E-4</v>
      </c>
      <c r="AP929" s="16">
        <f t="shared" ca="1" si="594"/>
        <v>-1.0620122282332007E-4</v>
      </c>
      <c r="AQ929" s="16">
        <f t="shared" ca="1" si="595"/>
        <v>0</v>
      </c>
      <c r="AR929" s="16">
        <f t="shared" ca="1" si="596"/>
        <v>0</v>
      </c>
      <c r="AS929" s="16">
        <f t="shared" ca="1" si="597"/>
        <v>0</v>
      </c>
    </row>
    <row r="930" spans="1:45" x14ac:dyDescent="0.25">
      <c r="A930" s="69">
        <f t="shared" ca="1" si="598"/>
        <v>2446.0025295000323</v>
      </c>
      <c r="B930" s="69">
        <f t="shared" ca="1" si="599"/>
        <v>2140.9525571547656</v>
      </c>
      <c r="C930" s="69">
        <f t="shared" ca="1" si="600"/>
        <v>2231.0960908800412</v>
      </c>
      <c r="D930" s="69">
        <f t="shared" ca="1" si="601"/>
        <v>2905.4941250012766</v>
      </c>
      <c r="E930" s="69">
        <f t="shared" ca="1" si="602"/>
        <v>1928.1925078349775</v>
      </c>
      <c r="F930" s="69">
        <f t="shared" ca="1" si="603"/>
        <v>1218.2727949210196</v>
      </c>
      <c r="G930" s="69">
        <f t="shared" ca="1" si="604"/>
        <v>971.39223085258345</v>
      </c>
      <c r="H930" s="69">
        <f t="shared" ca="1" si="605"/>
        <v>1186.9621070804017</v>
      </c>
      <c r="I930" s="69">
        <f t="shared" ca="1" si="606"/>
        <v>1051.4979432395505</v>
      </c>
      <c r="J930" s="69">
        <f t="shared" ca="1" si="607"/>
        <v>1136.6230882478396</v>
      </c>
      <c r="K930" s="69">
        <f t="shared" ca="1" si="608"/>
        <v>1172.2395332529952</v>
      </c>
      <c r="L930" s="69">
        <f t="shared" ca="1" si="609"/>
        <v>960.12081844215413</v>
      </c>
      <c r="M930" s="69">
        <f t="shared" ca="1" si="610"/>
        <v>997.46762668404415</v>
      </c>
      <c r="N930" s="69">
        <f t="shared" ca="1" si="611"/>
        <v>573.20928364868053</v>
      </c>
      <c r="O930" s="69">
        <f t="shared" ca="1" si="612"/>
        <v>631.17285618935125</v>
      </c>
      <c r="P930" s="69">
        <f t="shared" ca="1" si="613"/>
        <v>717.97994413428512</v>
      </c>
      <c r="Q930" s="69">
        <f t="shared" ca="1" si="614"/>
        <v>961.50924578165927</v>
      </c>
      <c r="R930" s="69">
        <f t="shared" ca="1" si="615"/>
        <v>781.59949563650935</v>
      </c>
      <c r="S930" s="69">
        <f t="shared" ca="1" si="616"/>
        <v>707.97409489830909</v>
      </c>
      <c r="T930" s="69">
        <f t="shared" ca="1" si="617"/>
        <v>796.55545509724993</v>
      </c>
      <c r="U930" s="69">
        <f t="shared" ca="1" si="618"/>
        <v>1698.1269191627341</v>
      </c>
      <c r="V930" s="69">
        <f t="shared" ca="1" si="619"/>
        <v>1914.1095319897036</v>
      </c>
      <c r="W930" s="69">
        <f t="shared" ca="1" si="620"/>
        <v>1185.5546908834488</v>
      </c>
      <c r="X930" s="69">
        <f t="shared" ca="1" si="621"/>
        <v>1494.3569261831783</v>
      </c>
      <c r="Y930" s="69">
        <f t="shared" ca="1" si="622"/>
        <v>1200.3830002399156</v>
      </c>
      <c r="AA930" s="20">
        <f t="shared" ca="1" si="582"/>
        <v>6.5456474939807904E+16</v>
      </c>
      <c r="AB930" s="20">
        <f t="shared" ca="1" si="583"/>
        <v>1678807603959817</v>
      </c>
      <c r="AC930" s="20">
        <f t="shared" ca="1" si="584"/>
        <v>406165086199745.06</v>
      </c>
      <c r="AD930" s="20">
        <f t="shared" ca="1" si="585"/>
        <v>304287022970125.56</v>
      </c>
      <c r="AE930" s="20">
        <f t="shared" ca="1" si="586"/>
        <v>6912461142323590</v>
      </c>
      <c r="AG930" s="16">
        <f t="shared" ca="1" si="587"/>
        <v>2.0921704202087205E-5</v>
      </c>
      <c r="AH930" s="16">
        <f t="shared" ca="1" si="588"/>
        <v>9.8075026353893402E-4</v>
      </c>
      <c r="AI930" s="16">
        <f t="shared" ca="1" si="589"/>
        <v>6.592754191577715E-4</v>
      </c>
      <c r="AJ930" s="16">
        <f t="shared" ca="1" si="590"/>
        <v>1.4601287028656256E-5</v>
      </c>
      <c r="AK930" s="16">
        <f t="shared" ca="1" si="591"/>
        <v>-9.4240055516263047E-5</v>
      </c>
      <c r="AM930" s="16">
        <f t="shared" ca="1" si="592"/>
        <v>1.675548673927449E-3</v>
      </c>
      <c r="AO930" s="16">
        <f t="shared" ca="1" si="593"/>
        <v>0</v>
      </c>
      <c r="AP930" s="16">
        <f t="shared" ca="1" si="594"/>
        <v>0</v>
      </c>
      <c r="AQ930" s="16">
        <f t="shared" ca="1" si="595"/>
        <v>0</v>
      </c>
      <c r="AR930" s="16">
        <f t="shared" ca="1" si="596"/>
        <v>0</v>
      </c>
      <c r="AS930" s="16">
        <f t="shared" ca="1" si="597"/>
        <v>-9.4240055516263047E-5</v>
      </c>
    </row>
    <row r="931" spans="1:45" x14ac:dyDescent="0.25">
      <c r="A931" s="69">
        <f t="shared" ca="1" si="598"/>
        <v>2445.8994073503495</v>
      </c>
      <c r="B931" s="69">
        <f t="shared" ca="1" si="599"/>
        <v>2141.0876171005934</v>
      </c>
      <c r="C931" s="69">
        <f t="shared" ca="1" si="600"/>
        <v>2231.0960908800412</v>
      </c>
      <c r="D931" s="69">
        <f t="shared" ca="1" si="601"/>
        <v>2905.4941250012766</v>
      </c>
      <c r="E931" s="69">
        <f t="shared" ca="1" si="602"/>
        <v>1928.1925078349775</v>
      </c>
      <c r="F931" s="69">
        <f t="shared" ca="1" si="603"/>
        <v>1218.4022578509826</v>
      </c>
      <c r="G931" s="69">
        <f t="shared" ca="1" si="604"/>
        <v>971.39223085258345</v>
      </c>
      <c r="H931" s="69">
        <f t="shared" ca="1" si="605"/>
        <v>1187.3889968632943</v>
      </c>
      <c r="I931" s="69">
        <f t="shared" ca="1" si="606"/>
        <v>1051.6849072822235</v>
      </c>
      <c r="J931" s="69">
        <f t="shared" ca="1" si="607"/>
        <v>1137.0063225768661</v>
      </c>
      <c r="K931" s="69">
        <f t="shared" ca="1" si="608"/>
        <v>1172.6332605121379</v>
      </c>
      <c r="L931" s="69">
        <f t="shared" ca="1" si="609"/>
        <v>960.12102096797832</v>
      </c>
      <c r="M931" s="69">
        <f t="shared" ca="1" si="610"/>
        <v>997.7583418878088</v>
      </c>
      <c r="N931" s="69">
        <f t="shared" ca="1" si="611"/>
        <v>573.20928364868053</v>
      </c>
      <c r="O931" s="69">
        <f t="shared" ca="1" si="612"/>
        <v>631.19294923624079</v>
      </c>
      <c r="P931" s="69">
        <f t="shared" ca="1" si="613"/>
        <v>717.97994413428512</v>
      </c>
      <c r="Q931" s="69">
        <f t="shared" ca="1" si="614"/>
        <v>961.33461897964526</v>
      </c>
      <c r="R931" s="69">
        <f t="shared" ca="1" si="615"/>
        <v>781.38164113956066</v>
      </c>
      <c r="S931" s="69">
        <f t="shared" ca="1" si="616"/>
        <v>708.31046466408407</v>
      </c>
      <c r="T931" s="69">
        <f t="shared" ca="1" si="617"/>
        <v>796.55545509724993</v>
      </c>
      <c r="U931" s="69">
        <f t="shared" ca="1" si="618"/>
        <v>1697.7115088675607</v>
      </c>
      <c r="V931" s="69">
        <f t="shared" ca="1" si="619"/>
        <v>1914.2184706286782</v>
      </c>
      <c r="W931" s="69">
        <f t="shared" ca="1" si="620"/>
        <v>1185.766739231497</v>
      </c>
      <c r="X931" s="69">
        <f t="shared" ca="1" si="621"/>
        <v>1494.3569261831783</v>
      </c>
      <c r="Y931" s="69">
        <f t="shared" ca="1" si="622"/>
        <v>1200.2805669301879</v>
      </c>
      <c r="AA931" s="20">
        <f t="shared" ca="1" si="582"/>
        <v>6.5457844415140536E+16</v>
      </c>
      <c r="AB931" s="20">
        <f t="shared" ca="1" si="583"/>
        <v>1680454902622089.5</v>
      </c>
      <c r="AC931" s="20">
        <f t="shared" ca="1" si="584"/>
        <v>406432949145222.38</v>
      </c>
      <c r="AD931" s="20">
        <f t="shared" ca="1" si="585"/>
        <v>304291465984723.81</v>
      </c>
      <c r="AE931" s="20">
        <f t="shared" ca="1" si="586"/>
        <v>6911809742296253</v>
      </c>
      <c r="AG931" s="16">
        <f t="shared" ca="1" si="587"/>
        <v>-2.5806672373361562E-4</v>
      </c>
      <c r="AH931" s="16">
        <f t="shared" ca="1" si="588"/>
        <v>7.84333640478039E-4</v>
      </c>
      <c r="AI931" s="16">
        <f t="shared" ca="1" si="589"/>
        <v>-7.2263442855054791E-4</v>
      </c>
      <c r="AJ931" s="16">
        <f t="shared" ca="1" si="590"/>
        <v>7.8888431904289684E-5</v>
      </c>
      <c r="AK931" s="16">
        <f t="shared" ca="1" si="591"/>
        <v>1.8229496204039071E-4</v>
      </c>
      <c r="AM931" s="16">
        <f t="shared" ca="1" si="592"/>
        <v>-1.1747907990183484E-4</v>
      </c>
      <c r="AO931" s="16">
        <f t="shared" ca="1" si="593"/>
        <v>-2.5806672373361562E-4</v>
      </c>
      <c r="AP931" s="16">
        <f t="shared" ca="1" si="594"/>
        <v>0</v>
      </c>
      <c r="AQ931" s="16">
        <f t="shared" ca="1" si="595"/>
        <v>-7.2263442855054791E-4</v>
      </c>
      <c r="AR931" s="16">
        <f t="shared" ca="1" si="596"/>
        <v>0</v>
      </c>
      <c r="AS931" s="16">
        <f t="shared" ca="1" si="597"/>
        <v>0</v>
      </c>
    </row>
    <row r="932" spans="1:45" x14ac:dyDescent="0.25">
      <c r="A932" s="69">
        <f t="shared" ca="1" si="598"/>
        <v>2445.8994073503495</v>
      </c>
      <c r="B932" s="69">
        <f t="shared" ca="1" si="599"/>
        <v>2140.5910344842741</v>
      </c>
      <c r="C932" s="69">
        <f t="shared" ca="1" si="600"/>
        <v>2231.0960908800412</v>
      </c>
      <c r="D932" s="69">
        <f t="shared" ca="1" si="601"/>
        <v>2905.4182642762894</v>
      </c>
      <c r="E932" s="69">
        <f t="shared" ca="1" si="602"/>
        <v>1928.1925078349775</v>
      </c>
      <c r="F932" s="69">
        <f t="shared" ca="1" si="603"/>
        <v>1218.4022578509826</v>
      </c>
      <c r="G932" s="69">
        <f t="shared" ca="1" si="604"/>
        <v>971.72710174551696</v>
      </c>
      <c r="H932" s="69">
        <f t="shared" ca="1" si="605"/>
        <v>1187.4133958815019</v>
      </c>
      <c r="I932" s="69">
        <f t="shared" ca="1" si="606"/>
        <v>1052.1257732824201</v>
      </c>
      <c r="J932" s="69">
        <f t="shared" ca="1" si="607"/>
        <v>1137.0063225768661</v>
      </c>
      <c r="K932" s="69">
        <f t="shared" ca="1" si="608"/>
        <v>1172.2970612155495</v>
      </c>
      <c r="L932" s="69">
        <f t="shared" ca="1" si="609"/>
        <v>960.08003847283021</v>
      </c>
      <c r="M932" s="69">
        <f t="shared" ca="1" si="610"/>
        <v>997.7583418878088</v>
      </c>
      <c r="N932" s="69">
        <f t="shared" ca="1" si="611"/>
        <v>573.20928364868053</v>
      </c>
      <c r="O932" s="69">
        <f t="shared" ca="1" si="612"/>
        <v>630.94481097595201</v>
      </c>
      <c r="P932" s="69">
        <f t="shared" ca="1" si="613"/>
        <v>717.98590464503525</v>
      </c>
      <c r="Q932" s="69">
        <f t="shared" ca="1" si="614"/>
        <v>961.33461897964526</v>
      </c>
      <c r="R932" s="69">
        <f t="shared" ca="1" si="615"/>
        <v>781.43679822790966</v>
      </c>
      <c r="S932" s="69">
        <f t="shared" ca="1" si="616"/>
        <v>708.31046466408407</v>
      </c>
      <c r="T932" s="69">
        <f t="shared" ca="1" si="617"/>
        <v>796.55545509724993</v>
      </c>
      <c r="U932" s="69">
        <f t="shared" ca="1" si="618"/>
        <v>1698.0891577187399</v>
      </c>
      <c r="V932" s="69">
        <f t="shared" ca="1" si="619"/>
        <v>1914.2184706286782</v>
      </c>
      <c r="W932" s="69">
        <f t="shared" ca="1" si="620"/>
        <v>1185.321257305234</v>
      </c>
      <c r="X932" s="69">
        <f t="shared" ca="1" si="621"/>
        <v>1494.5975857791207</v>
      </c>
      <c r="Y932" s="69">
        <f t="shared" ca="1" si="622"/>
        <v>1200.4901576458342</v>
      </c>
      <c r="AA932" s="20">
        <f t="shared" ca="1" si="582"/>
        <v>6.5440954103197128E+16</v>
      </c>
      <c r="AB932" s="20">
        <f t="shared" ca="1" si="583"/>
        <v>1681773456959188.3</v>
      </c>
      <c r="AC932" s="20">
        <f t="shared" ca="1" si="584"/>
        <v>406139352797463.56</v>
      </c>
      <c r="AD932" s="20">
        <f t="shared" ca="1" si="585"/>
        <v>304315472008203.5</v>
      </c>
      <c r="AE932" s="20">
        <f t="shared" ca="1" si="586"/>
        <v>6913069845242575</v>
      </c>
      <c r="AG932" s="16">
        <f t="shared" ca="1" si="587"/>
        <v>4.0645889232014799E-5</v>
      </c>
      <c r="AH932" s="16">
        <f t="shared" ca="1" si="588"/>
        <v>4.0670531000840826E-4</v>
      </c>
      <c r="AI932" s="16">
        <f t="shared" ca="1" si="589"/>
        <v>-1.5651655013237508E-4</v>
      </c>
      <c r="AJ932" s="16">
        <f t="shared" ca="1" si="590"/>
        <v>3.8326486858292615E-4</v>
      </c>
      <c r="AK932" s="16">
        <f t="shared" ca="1" si="591"/>
        <v>6.2572083562891217E-4</v>
      </c>
      <c r="AM932" s="16">
        <f t="shared" ca="1" si="592"/>
        <v>6.7409951769097413E-4</v>
      </c>
      <c r="AO932" s="16">
        <f t="shared" ca="1" si="593"/>
        <v>0</v>
      </c>
      <c r="AP932" s="16">
        <f t="shared" ca="1" si="594"/>
        <v>0</v>
      </c>
      <c r="AQ932" s="16">
        <f t="shared" ca="1" si="595"/>
        <v>-1.5651655013237508E-4</v>
      </c>
      <c r="AR932" s="16">
        <f t="shared" ca="1" si="596"/>
        <v>0</v>
      </c>
      <c r="AS932" s="16">
        <f t="shared" ca="1" si="597"/>
        <v>0</v>
      </c>
    </row>
    <row r="933" spans="1:45" x14ac:dyDescent="0.25">
      <c r="A933" s="69">
        <f t="shared" ca="1" si="598"/>
        <v>2445.8661329441402</v>
      </c>
      <c r="B933" s="69">
        <f t="shared" ca="1" si="599"/>
        <v>2140.5910344842741</v>
      </c>
      <c r="C933" s="69">
        <f t="shared" ca="1" si="600"/>
        <v>2231.0960908800412</v>
      </c>
      <c r="D933" s="69">
        <f t="shared" ca="1" si="601"/>
        <v>2905.5758879037412</v>
      </c>
      <c r="E933" s="69">
        <f t="shared" ca="1" si="602"/>
        <v>1928.1925078349775</v>
      </c>
      <c r="F933" s="69">
        <f t="shared" ca="1" si="603"/>
        <v>1218.4022578509826</v>
      </c>
      <c r="G933" s="69">
        <f t="shared" ca="1" si="604"/>
        <v>971.74361398932297</v>
      </c>
      <c r="H933" s="69">
        <f t="shared" ca="1" si="605"/>
        <v>1187.8762362366349</v>
      </c>
      <c r="I933" s="69">
        <f t="shared" ca="1" si="606"/>
        <v>1052.1257732824201</v>
      </c>
      <c r="J933" s="69">
        <f t="shared" ca="1" si="607"/>
        <v>1137.0063225768661</v>
      </c>
      <c r="K933" s="69">
        <f t="shared" ca="1" si="608"/>
        <v>1172.3914552131225</v>
      </c>
      <c r="L933" s="69">
        <f t="shared" ca="1" si="609"/>
        <v>959.8524939711283</v>
      </c>
      <c r="M933" s="69">
        <f t="shared" ca="1" si="610"/>
        <v>997.7583418878088</v>
      </c>
      <c r="N933" s="69">
        <f t="shared" ca="1" si="611"/>
        <v>573.20928364868053</v>
      </c>
      <c r="O933" s="69">
        <f t="shared" ca="1" si="612"/>
        <v>630.94481097595201</v>
      </c>
      <c r="P933" s="69">
        <f t="shared" ca="1" si="613"/>
        <v>717.74759702511597</v>
      </c>
      <c r="Q933" s="69">
        <f t="shared" ca="1" si="614"/>
        <v>961.62943261869964</v>
      </c>
      <c r="R933" s="69">
        <f t="shared" ca="1" si="615"/>
        <v>781.43679822790966</v>
      </c>
      <c r="S933" s="69">
        <f t="shared" ca="1" si="616"/>
        <v>708.35502027432926</v>
      </c>
      <c r="T933" s="69">
        <f t="shared" ca="1" si="617"/>
        <v>796.83087587985267</v>
      </c>
      <c r="U933" s="69">
        <f t="shared" ca="1" si="618"/>
        <v>1698.5190924783353</v>
      </c>
      <c r="V933" s="69">
        <f t="shared" ca="1" si="619"/>
        <v>1914.1515856469493</v>
      </c>
      <c r="W933" s="69">
        <f t="shared" ca="1" si="620"/>
        <v>1185.5891215354227</v>
      </c>
      <c r="X933" s="69">
        <f t="shared" ca="1" si="621"/>
        <v>1494.8689520309633</v>
      </c>
      <c r="Y933" s="69">
        <f t="shared" ca="1" si="622"/>
        <v>1200.4901576458342</v>
      </c>
      <c r="AA933" s="20">
        <f t="shared" ca="1" si="582"/>
        <v>6.5443614063026696E+16</v>
      </c>
      <c r="AB933" s="20">
        <f t="shared" ca="1" si="583"/>
        <v>1682457582263631.8</v>
      </c>
      <c r="AC933" s="20">
        <f t="shared" ca="1" si="584"/>
        <v>406075790241516.44</v>
      </c>
      <c r="AD933" s="20">
        <f t="shared" ca="1" si="585"/>
        <v>304432127791194.19</v>
      </c>
      <c r="AE933" s="20">
        <f t="shared" ca="1" si="586"/>
        <v>6917396850690456</v>
      </c>
      <c r="AG933" s="16">
        <f t="shared" ca="1" si="587"/>
        <v>8.8408369969522491E-5</v>
      </c>
      <c r="AH933" s="16">
        <f t="shared" ca="1" si="588"/>
        <v>-4.9006433554063701E-5</v>
      </c>
      <c r="AI933" s="16">
        <f t="shared" ca="1" si="589"/>
        <v>1.8898895202735681E-4</v>
      </c>
      <c r="AJ933" s="16">
        <f t="shared" ca="1" si="590"/>
        <v>1.3001580022270445E-3</v>
      </c>
      <c r="AK933" s="16">
        <f t="shared" ca="1" si="591"/>
        <v>-3.6738504410375669E-4</v>
      </c>
      <c r="AM933" s="16">
        <f t="shared" ca="1" si="592"/>
        <v>1.5285488906698601E-3</v>
      </c>
      <c r="AO933" s="16">
        <f t="shared" ca="1" si="593"/>
        <v>0</v>
      </c>
      <c r="AP933" s="16">
        <f t="shared" ca="1" si="594"/>
        <v>-4.9006433554063701E-5</v>
      </c>
      <c r="AQ933" s="16">
        <f t="shared" ca="1" si="595"/>
        <v>0</v>
      </c>
      <c r="AR933" s="16">
        <f t="shared" ca="1" si="596"/>
        <v>0</v>
      </c>
      <c r="AS933" s="16">
        <f t="shared" ca="1" si="597"/>
        <v>-3.6738504410375669E-4</v>
      </c>
    </row>
    <row r="934" spans="1:45" x14ac:dyDescent="0.25">
      <c r="A934" s="69">
        <f t="shared" ca="1" si="598"/>
        <v>2445.8661329441402</v>
      </c>
      <c r="B934" s="69">
        <f t="shared" ca="1" si="599"/>
        <v>2140.9552314841376</v>
      </c>
      <c r="C934" s="69">
        <f t="shared" ca="1" si="600"/>
        <v>2231.0960908800412</v>
      </c>
      <c r="D934" s="69">
        <f t="shared" ca="1" si="601"/>
        <v>2905.3681895664149</v>
      </c>
      <c r="E934" s="69">
        <f t="shared" ca="1" si="602"/>
        <v>1928.1727816543828</v>
      </c>
      <c r="F934" s="69">
        <f t="shared" ca="1" si="603"/>
        <v>1218.4022578509826</v>
      </c>
      <c r="G934" s="69">
        <f t="shared" ca="1" si="604"/>
        <v>971.48444716247695</v>
      </c>
      <c r="H934" s="69">
        <f t="shared" ca="1" si="605"/>
        <v>1188.1595974688087</v>
      </c>
      <c r="I934" s="69">
        <f t="shared" ca="1" si="606"/>
        <v>1052.1039061958702</v>
      </c>
      <c r="J934" s="69">
        <f t="shared" ca="1" si="607"/>
        <v>1137.0063225768661</v>
      </c>
      <c r="K934" s="69">
        <f t="shared" ca="1" si="608"/>
        <v>1172.2935354390447</v>
      </c>
      <c r="L934" s="69">
        <f t="shared" ca="1" si="609"/>
        <v>959.81044089243403</v>
      </c>
      <c r="M934" s="69">
        <f t="shared" ca="1" si="610"/>
        <v>997.7583418878088</v>
      </c>
      <c r="N934" s="69">
        <f t="shared" ca="1" si="611"/>
        <v>573.20928364868053</v>
      </c>
      <c r="O934" s="69">
        <f t="shared" ca="1" si="612"/>
        <v>631.14442731235079</v>
      </c>
      <c r="P934" s="69">
        <f t="shared" ca="1" si="613"/>
        <v>718.13230169948292</v>
      </c>
      <c r="Q934" s="69">
        <f t="shared" ca="1" si="614"/>
        <v>961.62943261869964</v>
      </c>
      <c r="R934" s="69">
        <f t="shared" ca="1" si="615"/>
        <v>781.72910022610904</v>
      </c>
      <c r="S934" s="69">
        <f t="shared" ca="1" si="616"/>
        <v>708.63156334944313</v>
      </c>
      <c r="T934" s="69">
        <f t="shared" ca="1" si="617"/>
        <v>796.83087587985267</v>
      </c>
      <c r="U934" s="69">
        <f t="shared" ca="1" si="618"/>
        <v>1698.5190924783353</v>
      </c>
      <c r="V934" s="69">
        <f t="shared" ca="1" si="619"/>
        <v>1914.2278902497214</v>
      </c>
      <c r="W934" s="69">
        <f t="shared" ca="1" si="620"/>
        <v>1185.7903429493588</v>
      </c>
      <c r="X934" s="69">
        <f t="shared" ca="1" si="621"/>
        <v>1494.3730446160303</v>
      </c>
      <c r="Y934" s="69">
        <f t="shared" ca="1" si="622"/>
        <v>1200.1958800943949</v>
      </c>
      <c r="AA934" s="20">
        <f t="shared" ca="1" si="582"/>
        <v>6.5449400082033408E+16</v>
      </c>
      <c r="AB934" s="20">
        <f t="shared" ca="1" si="583"/>
        <v>1682375133038206.8</v>
      </c>
      <c r="AC934" s="20">
        <f t="shared" ca="1" si="584"/>
        <v>406152541331883.5</v>
      </c>
      <c r="AD934" s="20">
        <f t="shared" ca="1" si="585"/>
        <v>304828195077509.75</v>
      </c>
      <c r="AE934" s="20">
        <f t="shared" ca="1" si="586"/>
        <v>6914855969312869</v>
      </c>
      <c r="AG934" s="16">
        <f t="shared" ca="1" si="587"/>
        <v>-6.005039399898394E-5</v>
      </c>
      <c r="AH934" s="16">
        <f t="shared" ca="1" si="588"/>
        <v>1.681736180651354E-5</v>
      </c>
      <c r="AI934" s="16">
        <f t="shared" ca="1" si="589"/>
        <v>9.8602120665353403E-4</v>
      </c>
      <c r="AJ934" s="16">
        <f t="shared" ca="1" si="590"/>
        <v>-1.4076726772475949E-4</v>
      </c>
      <c r="AK934" s="16">
        <f t="shared" ca="1" si="591"/>
        <v>1.7062273173790513E-4</v>
      </c>
      <c r="AM934" s="16">
        <f t="shared" ca="1" si="592"/>
        <v>8.0202090673630417E-4</v>
      </c>
      <c r="AO934" s="16">
        <f t="shared" ca="1" si="593"/>
        <v>-6.005039399898394E-5</v>
      </c>
      <c r="AP934" s="16">
        <f t="shared" ca="1" si="594"/>
        <v>0</v>
      </c>
      <c r="AQ934" s="16">
        <f t="shared" ca="1" si="595"/>
        <v>0</v>
      </c>
      <c r="AR934" s="16">
        <f t="shared" ca="1" si="596"/>
        <v>-1.4076726772475949E-4</v>
      </c>
      <c r="AS934" s="16">
        <f t="shared" ca="1" si="597"/>
        <v>0</v>
      </c>
    </row>
    <row r="935" spans="1:45" x14ac:dyDescent="0.25">
      <c r="A935" s="69">
        <f t="shared" ca="1" si="598"/>
        <v>2445.3957608989726</v>
      </c>
      <c r="B935" s="69">
        <f t="shared" ca="1" si="599"/>
        <v>2140.9289969531251</v>
      </c>
      <c r="C935" s="69">
        <f t="shared" ca="1" si="600"/>
        <v>2231.2988220624161</v>
      </c>
      <c r="D935" s="69">
        <f t="shared" ca="1" si="601"/>
        <v>2905.6706564237238</v>
      </c>
      <c r="E935" s="69">
        <f t="shared" ca="1" si="602"/>
        <v>1928.0755503454861</v>
      </c>
      <c r="F935" s="69">
        <f t="shared" ca="1" si="603"/>
        <v>1218.1527287885901</v>
      </c>
      <c r="G935" s="69">
        <f t="shared" ca="1" si="604"/>
        <v>971.48444716247695</v>
      </c>
      <c r="H935" s="69">
        <f t="shared" ca="1" si="605"/>
        <v>1188.1595974688087</v>
      </c>
      <c r="I935" s="69">
        <f t="shared" ca="1" si="606"/>
        <v>1052.4506198663562</v>
      </c>
      <c r="J935" s="69">
        <f t="shared" ca="1" si="607"/>
        <v>1136.8837026822837</v>
      </c>
      <c r="K935" s="69">
        <f t="shared" ca="1" si="608"/>
        <v>1172.1192658835027</v>
      </c>
      <c r="L935" s="69">
        <f t="shared" ca="1" si="609"/>
        <v>960.225778179896</v>
      </c>
      <c r="M935" s="69">
        <f t="shared" ca="1" si="610"/>
        <v>997.46949169985601</v>
      </c>
      <c r="N935" s="69">
        <f t="shared" ca="1" si="611"/>
        <v>573.34798772517797</v>
      </c>
      <c r="O935" s="69">
        <f t="shared" ca="1" si="612"/>
        <v>631.61773996793136</v>
      </c>
      <c r="P935" s="69">
        <f t="shared" ca="1" si="613"/>
        <v>718.13230169948292</v>
      </c>
      <c r="Q935" s="69">
        <f t="shared" ca="1" si="614"/>
        <v>961.920592257728</v>
      </c>
      <c r="R935" s="69">
        <f t="shared" ca="1" si="615"/>
        <v>781.29481275622277</v>
      </c>
      <c r="S935" s="69">
        <f t="shared" ca="1" si="616"/>
        <v>708.63156334944313</v>
      </c>
      <c r="T935" s="69">
        <f t="shared" ca="1" si="617"/>
        <v>796.92028757347634</v>
      </c>
      <c r="U935" s="69">
        <f t="shared" ca="1" si="618"/>
        <v>1698.8168108768057</v>
      </c>
      <c r="V935" s="69">
        <f t="shared" ca="1" si="619"/>
        <v>1914.4799537155034</v>
      </c>
      <c r="W935" s="69">
        <f t="shared" ca="1" si="620"/>
        <v>1185.4400917606513</v>
      </c>
      <c r="X935" s="69">
        <f t="shared" ca="1" si="621"/>
        <v>1494.5570981982353</v>
      </c>
      <c r="Y935" s="69">
        <f t="shared" ca="1" si="622"/>
        <v>1200.2390244307246</v>
      </c>
      <c r="AA935" s="20">
        <f t="shared" ca="1" si="582"/>
        <v>6.5445469937776024E+16</v>
      </c>
      <c r="AB935" s="20">
        <f t="shared" ca="1" si="583"/>
        <v>1682403426387422.5</v>
      </c>
      <c r="AC935" s="20">
        <f t="shared" ca="1" si="584"/>
        <v>406553213854112.44</v>
      </c>
      <c r="AD935" s="20">
        <f t="shared" ca="1" si="585"/>
        <v>304785288265371.44</v>
      </c>
      <c r="AE935" s="20">
        <f t="shared" ca="1" si="586"/>
        <v>6916035901586699</v>
      </c>
      <c r="AG935" s="16">
        <f t="shared" ca="1" si="587"/>
        <v>1.0261283569788679E-4</v>
      </c>
      <c r="AH935" s="16">
        <f t="shared" ca="1" si="588"/>
        <v>-1.4162288472346489E-4</v>
      </c>
      <c r="AI935" s="16">
        <f t="shared" ca="1" si="589"/>
        <v>1.26227574751858E-3</v>
      </c>
      <c r="AJ935" s="16">
        <f t="shared" ca="1" si="590"/>
        <v>7.1915534130397041E-4</v>
      </c>
      <c r="AK935" s="16">
        <f t="shared" ca="1" si="591"/>
        <v>1.7949747162978173E-4</v>
      </c>
      <c r="AM935" s="16">
        <f t="shared" ca="1" si="592"/>
        <v>1.9424210397969723E-3</v>
      </c>
      <c r="AO935" s="16">
        <f t="shared" ca="1" si="593"/>
        <v>0</v>
      </c>
      <c r="AP935" s="16">
        <f t="shared" ca="1" si="594"/>
        <v>-1.4162288472346489E-4</v>
      </c>
      <c r="AQ935" s="16">
        <f t="shared" ca="1" si="595"/>
        <v>0</v>
      </c>
      <c r="AR935" s="16">
        <f t="shared" ca="1" si="596"/>
        <v>0</v>
      </c>
      <c r="AS935" s="16">
        <f t="shared" ca="1" si="597"/>
        <v>0</v>
      </c>
    </row>
    <row r="936" spans="1:45" x14ac:dyDescent="0.25">
      <c r="A936" s="69">
        <f t="shared" ca="1" si="598"/>
        <v>2445.3957608989726</v>
      </c>
      <c r="B936" s="69">
        <f t="shared" ca="1" si="599"/>
        <v>2140.9289969531251</v>
      </c>
      <c r="C936" s="69">
        <f t="shared" ca="1" si="600"/>
        <v>2231.3978564769918</v>
      </c>
      <c r="D936" s="69">
        <f t="shared" ca="1" si="601"/>
        <v>2905.8244671633079</v>
      </c>
      <c r="E936" s="69">
        <f t="shared" ca="1" si="602"/>
        <v>1928.085762122651</v>
      </c>
      <c r="F936" s="69">
        <f t="shared" ca="1" si="603"/>
        <v>1218.1527287885901</v>
      </c>
      <c r="G936" s="69">
        <f t="shared" ca="1" si="604"/>
        <v>971.24476633758513</v>
      </c>
      <c r="H936" s="69">
        <f t="shared" ca="1" si="605"/>
        <v>1188.1595974688087</v>
      </c>
      <c r="I936" s="69">
        <f t="shared" ca="1" si="606"/>
        <v>1052.5612631058575</v>
      </c>
      <c r="J936" s="69">
        <f t="shared" ca="1" si="607"/>
        <v>1136.8837026822837</v>
      </c>
      <c r="K936" s="69">
        <f t="shared" ca="1" si="608"/>
        <v>1172.1192658835027</v>
      </c>
      <c r="L936" s="69">
        <f t="shared" ca="1" si="609"/>
        <v>960.225778179896</v>
      </c>
      <c r="M936" s="69">
        <f t="shared" ca="1" si="610"/>
        <v>997.46949169985601</v>
      </c>
      <c r="N936" s="69">
        <f t="shared" ca="1" si="611"/>
        <v>573.84138294153274</v>
      </c>
      <c r="O936" s="69">
        <f t="shared" ca="1" si="612"/>
        <v>631.8717612140706</v>
      </c>
      <c r="P936" s="69">
        <f t="shared" ca="1" si="613"/>
        <v>718.51046861780526</v>
      </c>
      <c r="Q936" s="69">
        <f t="shared" ca="1" si="614"/>
        <v>961.920592257728</v>
      </c>
      <c r="R936" s="69">
        <f t="shared" ca="1" si="615"/>
        <v>781.29481275622277</v>
      </c>
      <c r="S936" s="69">
        <f t="shared" ca="1" si="616"/>
        <v>708.91639334582783</v>
      </c>
      <c r="T936" s="69">
        <f t="shared" ca="1" si="617"/>
        <v>796.75361570561518</v>
      </c>
      <c r="U936" s="69">
        <f t="shared" ca="1" si="618"/>
        <v>1698.4845291072957</v>
      </c>
      <c r="V936" s="69">
        <f t="shared" ca="1" si="619"/>
        <v>1914.4799537155034</v>
      </c>
      <c r="W936" s="69">
        <f t="shared" ca="1" si="620"/>
        <v>1185.8848486885531</v>
      </c>
      <c r="X936" s="69">
        <f t="shared" ca="1" si="621"/>
        <v>1494.5570981982353</v>
      </c>
      <c r="Y936" s="69">
        <f t="shared" ca="1" si="622"/>
        <v>1200.2390244307246</v>
      </c>
      <c r="AA936" s="20">
        <f t="shared" ca="1" si="582"/>
        <v>6.5452185827592272E+16</v>
      </c>
      <c r="AB936" s="20">
        <f t="shared" ca="1" si="583"/>
        <v>1682165176432130</v>
      </c>
      <c r="AC936" s="20">
        <f t="shared" ca="1" si="584"/>
        <v>407066720141119.81</v>
      </c>
      <c r="AD936" s="20">
        <f t="shared" ca="1" si="585"/>
        <v>305004555067374.13</v>
      </c>
      <c r="AE936" s="20">
        <f t="shared" ca="1" si="586"/>
        <v>6917277423966466</v>
      </c>
      <c r="AG936" s="16">
        <f t="shared" ca="1" si="587"/>
        <v>-2.0227655939775822E-4</v>
      </c>
      <c r="AH936" s="16">
        <f t="shared" ca="1" si="588"/>
        <v>3.1978729165796176E-4</v>
      </c>
      <c r="AI936" s="16">
        <f t="shared" ca="1" si="589"/>
        <v>7.8191847367675997E-4</v>
      </c>
      <c r="AJ936" s="16">
        <f t="shared" ca="1" si="590"/>
        <v>6.1379691998212987E-4</v>
      </c>
      <c r="AK936" s="16">
        <f t="shared" ca="1" si="591"/>
        <v>1.4369318372531458E-4</v>
      </c>
      <c r="AM936" s="16">
        <f t="shared" ca="1" si="592"/>
        <v>1.5132261259190934E-3</v>
      </c>
      <c r="AO936" s="16">
        <f t="shared" ca="1" si="593"/>
        <v>-2.0227655939775822E-4</v>
      </c>
      <c r="AP936" s="16">
        <f t="shared" ca="1" si="594"/>
        <v>0</v>
      </c>
      <c r="AQ936" s="16">
        <f t="shared" ca="1" si="595"/>
        <v>0</v>
      </c>
      <c r="AR936" s="16">
        <f t="shared" ca="1" si="596"/>
        <v>0</v>
      </c>
      <c r="AS936" s="16">
        <f t="shared" ca="1" si="597"/>
        <v>0</v>
      </c>
    </row>
    <row r="937" spans="1:45" x14ac:dyDescent="0.25">
      <c r="A937" s="69">
        <f t="shared" ca="1" si="598"/>
        <v>2445.3347148212615</v>
      </c>
      <c r="B937" s="69">
        <f t="shared" ca="1" si="599"/>
        <v>2140.6930191898159</v>
      </c>
      <c r="C937" s="69">
        <f t="shared" ca="1" si="600"/>
        <v>2231.3978564769918</v>
      </c>
      <c r="D937" s="69">
        <f t="shared" ca="1" si="601"/>
        <v>2905.6295383315392</v>
      </c>
      <c r="E937" s="69">
        <f t="shared" ca="1" si="602"/>
        <v>1928.085762122651</v>
      </c>
      <c r="F937" s="69">
        <f t="shared" ca="1" si="603"/>
        <v>1217.9142450350498</v>
      </c>
      <c r="G937" s="69">
        <f t="shared" ca="1" si="604"/>
        <v>971.24476633758513</v>
      </c>
      <c r="H937" s="69">
        <f t="shared" ca="1" si="605"/>
        <v>1188.2214388792404</v>
      </c>
      <c r="I937" s="69">
        <f t="shared" ca="1" si="606"/>
        <v>1052.8448405121599</v>
      </c>
      <c r="J937" s="69">
        <f t="shared" ca="1" si="607"/>
        <v>1137.1044551063344</v>
      </c>
      <c r="K937" s="69">
        <f t="shared" ca="1" si="608"/>
        <v>1172.1325863905818</v>
      </c>
      <c r="L937" s="69">
        <f t="shared" ca="1" si="609"/>
        <v>960.68125363272395</v>
      </c>
      <c r="M937" s="69">
        <f t="shared" ca="1" si="610"/>
        <v>997.76511014627886</v>
      </c>
      <c r="N937" s="69">
        <f t="shared" ca="1" si="611"/>
        <v>573.84138294153274</v>
      </c>
      <c r="O937" s="69">
        <f t="shared" ca="1" si="612"/>
        <v>631.8717612140706</v>
      </c>
      <c r="P937" s="69">
        <f t="shared" ca="1" si="613"/>
        <v>718.84172873547334</v>
      </c>
      <c r="Q937" s="69">
        <f t="shared" ca="1" si="614"/>
        <v>962.25123749539011</v>
      </c>
      <c r="R937" s="69">
        <f t="shared" ca="1" si="615"/>
        <v>780.89912822021518</v>
      </c>
      <c r="S937" s="69">
        <f t="shared" ca="1" si="616"/>
        <v>708.91639334582783</v>
      </c>
      <c r="T937" s="69">
        <f t="shared" ca="1" si="617"/>
        <v>797.00524308768161</v>
      </c>
      <c r="U937" s="69">
        <f t="shared" ca="1" si="618"/>
        <v>1698.5878537873314</v>
      </c>
      <c r="V937" s="69">
        <f t="shared" ca="1" si="619"/>
        <v>1914.450581232114</v>
      </c>
      <c r="W937" s="69">
        <f t="shared" ca="1" si="620"/>
        <v>1186.2064119330414</v>
      </c>
      <c r="X937" s="69">
        <f t="shared" ca="1" si="621"/>
        <v>1494.2986844499321</v>
      </c>
      <c r="Y937" s="69">
        <f t="shared" ca="1" si="622"/>
        <v>1200.2390244307246</v>
      </c>
      <c r="AA937" s="20">
        <f t="shared" ca="1" si="582"/>
        <v>6.5438947723562208E+16</v>
      </c>
      <c r="AB937" s="20">
        <f t="shared" ca="1" si="583"/>
        <v>1682703197499587.5</v>
      </c>
      <c r="AC937" s="20">
        <f t="shared" ca="1" si="584"/>
        <v>407385137601641.25</v>
      </c>
      <c r="AD937" s="20">
        <f t="shared" ca="1" si="585"/>
        <v>305191823390335.5</v>
      </c>
      <c r="AE937" s="20">
        <f t="shared" ca="1" si="586"/>
        <v>6918271460998689</v>
      </c>
      <c r="AG937" s="16">
        <f t="shared" ca="1" si="587"/>
        <v>-3.6109269309563232E-6</v>
      </c>
      <c r="AH937" s="16">
        <f t="shared" ca="1" si="588"/>
        <v>2.4893038702491924E-4</v>
      </c>
      <c r="AI937" s="16">
        <f t="shared" ca="1" si="589"/>
        <v>-3.0069437972940244E-4</v>
      </c>
      <c r="AJ937" s="16">
        <f t="shared" ca="1" si="590"/>
        <v>-9.5044474674892471E-5</v>
      </c>
      <c r="AK937" s="16">
        <f t="shared" ca="1" si="591"/>
        <v>3.8427170951907673E-4</v>
      </c>
      <c r="AM937" s="16">
        <f t="shared" ca="1" si="592"/>
        <v>-1.50419394310332E-4</v>
      </c>
      <c r="AO937" s="16">
        <f t="shared" ca="1" si="593"/>
        <v>-3.6109269309563232E-6</v>
      </c>
      <c r="AP937" s="16">
        <f t="shared" ca="1" si="594"/>
        <v>0</v>
      </c>
      <c r="AQ937" s="16">
        <f t="shared" ca="1" si="595"/>
        <v>-3.0069437972940244E-4</v>
      </c>
      <c r="AR937" s="16">
        <f t="shared" ca="1" si="596"/>
        <v>-9.5044474674892471E-5</v>
      </c>
      <c r="AS937" s="16">
        <f t="shared" ca="1" si="597"/>
        <v>0</v>
      </c>
    </row>
    <row r="938" spans="1:45" x14ac:dyDescent="0.25">
      <c r="A938" s="69">
        <f t="shared" ca="1" si="598"/>
        <v>2445.6420226658406</v>
      </c>
      <c r="B938" s="69">
        <f t="shared" ca="1" si="599"/>
        <v>2140.6930191898159</v>
      </c>
      <c r="C938" s="69">
        <f t="shared" ca="1" si="600"/>
        <v>2231.3978564769918</v>
      </c>
      <c r="D938" s="69">
        <f t="shared" ca="1" si="601"/>
        <v>2905.6295383315392</v>
      </c>
      <c r="E938" s="69">
        <f t="shared" ca="1" si="602"/>
        <v>1927.8365266679268</v>
      </c>
      <c r="F938" s="69">
        <f t="shared" ca="1" si="603"/>
        <v>1217.6539401705568</v>
      </c>
      <c r="G938" s="69">
        <f t="shared" ca="1" si="604"/>
        <v>971.07546229838249</v>
      </c>
      <c r="H938" s="69">
        <f t="shared" ca="1" si="605"/>
        <v>1188.5166726142693</v>
      </c>
      <c r="I938" s="69">
        <f t="shared" ca="1" si="606"/>
        <v>1052.9071227306752</v>
      </c>
      <c r="J938" s="69">
        <f t="shared" ca="1" si="607"/>
        <v>1137.4791069696109</v>
      </c>
      <c r="K938" s="69">
        <f t="shared" ca="1" si="608"/>
        <v>1172.1325863905818</v>
      </c>
      <c r="L938" s="69">
        <f t="shared" ca="1" si="609"/>
        <v>960.68125363272395</v>
      </c>
      <c r="M938" s="69">
        <f t="shared" ca="1" si="610"/>
        <v>997.98592422190211</v>
      </c>
      <c r="N938" s="69">
        <f t="shared" ca="1" si="611"/>
        <v>573.5419281979265</v>
      </c>
      <c r="O938" s="69">
        <f t="shared" ca="1" si="612"/>
        <v>631.8717612140706</v>
      </c>
      <c r="P938" s="69">
        <f t="shared" ca="1" si="613"/>
        <v>718.84172873547334</v>
      </c>
      <c r="Q938" s="69">
        <f t="shared" ca="1" si="614"/>
        <v>961.79185176051942</v>
      </c>
      <c r="R938" s="69">
        <f t="shared" ca="1" si="615"/>
        <v>780.89912822021518</v>
      </c>
      <c r="S938" s="69">
        <f t="shared" ca="1" si="616"/>
        <v>709.18758927133763</v>
      </c>
      <c r="T938" s="69">
        <f t="shared" ca="1" si="617"/>
        <v>797.00524308768161</v>
      </c>
      <c r="U938" s="69">
        <f t="shared" ca="1" si="618"/>
        <v>1698.5878537873314</v>
      </c>
      <c r="V938" s="69">
        <f t="shared" ca="1" si="619"/>
        <v>1914.6528901014399</v>
      </c>
      <c r="W938" s="69">
        <f t="shared" ca="1" si="620"/>
        <v>1186.6807872608726</v>
      </c>
      <c r="X938" s="69">
        <f t="shared" ca="1" si="621"/>
        <v>1494.4919420097021</v>
      </c>
      <c r="Y938" s="69">
        <f t="shared" ca="1" si="622"/>
        <v>1199.9383439213784</v>
      </c>
      <c r="AA938" s="20">
        <f t="shared" ca="1" si="582"/>
        <v>6.543871142873016E+16</v>
      </c>
      <c r="AB938" s="20">
        <f t="shared" ca="1" si="583"/>
        <v>1683122125597592.8</v>
      </c>
      <c r="AC938" s="20">
        <f t="shared" ca="1" si="584"/>
        <v>407262657595826.69</v>
      </c>
      <c r="AD938" s="20">
        <f t="shared" ca="1" si="585"/>
        <v>305162817972230.5</v>
      </c>
      <c r="AE938" s="20">
        <f t="shared" ca="1" si="586"/>
        <v>6920930467857760</v>
      </c>
      <c r="AG938" s="16">
        <f t="shared" ca="1" si="587"/>
        <v>-2.3620326865479878E-4</v>
      </c>
      <c r="AH938" s="16">
        <f t="shared" ca="1" si="588"/>
        <v>-5.5719342120093736E-5</v>
      </c>
      <c r="AI938" s="16">
        <f t="shared" ca="1" si="589"/>
        <v>-4.9968366945326627E-4</v>
      </c>
      <c r="AJ938" s="16">
        <f t="shared" ca="1" si="590"/>
        <v>-7.6921627355099162E-4</v>
      </c>
      <c r="AK938" s="16">
        <f t="shared" ca="1" si="591"/>
        <v>-3.3062820061148816E-4</v>
      </c>
      <c r="AM938" s="16">
        <f t="shared" ca="1" si="592"/>
        <v>-1.5608225537791505E-3</v>
      </c>
      <c r="AO938" s="16">
        <f t="shared" ca="1" si="593"/>
        <v>-2.3620326865479878E-4</v>
      </c>
      <c r="AP938" s="16">
        <f t="shared" ca="1" si="594"/>
        <v>-5.5719342120093736E-5</v>
      </c>
      <c r="AQ938" s="16">
        <f t="shared" ca="1" si="595"/>
        <v>-4.9968366945326627E-4</v>
      </c>
      <c r="AR938" s="16">
        <f t="shared" ca="1" si="596"/>
        <v>-7.6921627355099162E-4</v>
      </c>
      <c r="AS938" s="16">
        <f t="shared" ca="1" si="597"/>
        <v>-3.3062820061148816E-4</v>
      </c>
    </row>
    <row r="939" spans="1:45" x14ac:dyDescent="0.25">
      <c r="A939" s="69">
        <f t="shared" ca="1" si="598"/>
        <v>2445.6420226658406</v>
      </c>
      <c r="B939" s="69">
        <f t="shared" ca="1" si="599"/>
        <v>2140.3505996442245</v>
      </c>
      <c r="C939" s="69">
        <f t="shared" ca="1" si="600"/>
        <v>2230.9566554378312</v>
      </c>
      <c r="D939" s="69">
        <f t="shared" ca="1" si="601"/>
        <v>2905.6514204273612</v>
      </c>
      <c r="E939" s="69">
        <f t="shared" ca="1" si="602"/>
        <v>1928.0562731575117</v>
      </c>
      <c r="F939" s="69">
        <f t="shared" ca="1" si="603"/>
        <v>1217.5149527320111</v>
      </c>
      <c r="G939" s="69">
        <f t="shared" ca="1" si="604"/>
        <v>970.96746550467412</v>
      </c>
      <c r="H939" s="69">
        <f t="shared" ca="1" si="605"/>
        <v>1188.4479360676062</v>
      </c>
      <c r="I939" s="69">
        <f t="shared" ca="1" si="606"/>
        <v>1052.9071227306752</v>
      </c>
      <c r="J939" s="69">
        <f t="shared" ca="1" si="607"/>
        <v>1137.7378971435055</v>
      </c>
      <c r="K939" s="69">
        <f t="shared" ca="1" si="608"/>
        <v>1171.7784775384771</v>
      </c>
      <c r="L939" s="69">
        <f t="shared" ca="1" si="609"/>
        <v>960.28661473453951</v>
      </c>
      <c r="M939" s="69">
        <f t="shared" ca="1" si="610"/>
        <v>998.04338248473937</v>
      </c>
      <c r="N939" s="69">
        <f t="shared" ca="1" si="611"/>
        <v>573.55967865246441</v>
      </c>
      <c r="O939" s="69">
        <f t="shared" ca="1" si="612"/>
        <v>631.95063801630727</v>
      </c>
      <c r="P939" s="69">
        <f t="shared" ca="1" si="613"/>
        <v>718.97471722062255</v>
      </c>
      <c r="Q939" s="69">
        <f t="shared" ca="1" si="614"/>
        <v>961.68391534075886</v>
      </c>
      <c r="R939" s="69">
        <f t="shared" ca="1" si="615"/>
        <v>780.48658678751406</v>
      </c>
      <c r="S939" s="69">
        <f t="shared" ca="1" si="616"/>
        <v>708.69532185153264</v>
      </c>
      <c r="T939" s="69">
        <f t="shared" ca="1" si="617"/>
        <v>797.30882212140614</v>
      </c>
      <c r="U939" s="69">
        <f t="shared" ca="1" si="618"/>
        <v>1698.4737574718733</v>
      </c>
      <c r="V939" s="69">
        <f t="shared" ca="1" si="619"/>
        <v>1914.4365484873701</v>
      </c>
      <c r="W939" s="69">
        <f t="shared" ca="1" si="620"/>
        <v>1186.2966375704905</v>
      </c>
      <c r="X939" s="69">
        <f t="shared" ca="1" si="621"/>
        <v>1494.7509816176471</v>
      </c>
      <c r="Y939" s="69">
        <f t="shared" ca="1" si="622"/>
        <v>1199.9383439213784</v>
      </c>
      <c r="AA939" s="20">
        <f t="shared" ca="1" si="582"/>
        <v>6.5423256416528192E+16</v>
      </c>
      <c r="AB939" s="20">
        <f t="shared" ca="1" si="583"/>
        <v>1683028345752746.5</v>
      </c>
      <c r="AC939" s="20">
        <f t="shared" ca="1" si="584"/>
        <v>407059205931618.19</v>
      </c>
      <c r="AD939" s="20">
        <f t="shared" ca="1" si="585"/>
        <v>304928172024874.06</v>
      </c>
      <c r="AE939" s="20">
        <f t="shared" ca="1" si="586"/>
        <v>6918642591309710</v>
      </c>
      <c r="AG939" s="16">
        <f t="shared" ca="1" si="587"/>
        <v>-1.5786298223718434E-4</v>
      </c>
      <c r="AH939" s="16">
        <f t="shared" ca="1" si="588"/>
        <v>8.2832768642510991E-4</v>
      </c>
      <c r="AI939" s="16">
        <f t="shared" ca="1" si="589"/>
        <v>3.1021751000520295E-4</v>
      </c>
      <c r="AJ939" s="16">
        <f t="shared" ca="1" si="590"/>
        <v>2.7080562816886978E-4</v>
      </c>
      <c r="AK939" s="16">
        <f t="shared" ca="1" si="591"/>
        <v>7.9491514050136064E-5</v>
      </c>
      <c r="AM939" s="16">
        <f t="shared" ca="1" si="592"/>
        <v>1.2514878423619984E-3</v>
      </c>
      <c r="AO939" s="16">
        <f t="shared" ca="1" si="593"/>
        <v>-1.5786298223718434E-4</v>
      </c>
      <c r="AP939" s="16">
        <f t="shared" ca="1" si="594"/>
        <v>0</v>
      </c>
      <c r="AQ939" s="16">
        <f t="shared" ca="1" si="595"/>
        <v>0</v>
      </c>
      <c r="AR939" s="16">
        <f t="shared" ca="1" si="596"/>
        <v>0</v>
      </c>
      <c r="AS939" s="16">
        <f t="shared" ca="1" si="597"/>
        <v>0</v>
      </c>
    </row>
    <row r="940" spans="1:45" x14ac:dyDescent="0.25">
      <c r="A940" s="69">
        <f t="shared" ca="1" si="598"/>
        <v>2445.6420226658406</v>
      </c>
      <c r="B940" s="69">
        <f t="shared" ca="1" si="599"/>
        <v>2140.3505996442245</v>
      </c>
      <c r="C940" s="69">
        <f t="shared" ca="1" si="600"/>
        <v>2230.6044977640236</v>
      </c>
      <c r="D940" s="69">
        <f t="shared" ca="1" si="601"/>
        <v>2905.6514204273612</v>
      </c>
      <c r="E940" s="69">
        <f t="shared" ca="1" si="602"/>
        <v>1928.0562731575117</v>
      </c>
      <c r="F940" s="69">
        <f t="shared" ca="1" si="603"/>
        <v>1217.8948160698733</v>
      </c>
      <c r="G940" s="69">
        <f t="shared" ca="1" si="604"/>
        <v>970.96746550467412</v>
      </c>
      <c r="H940" s="69">
        <f t="shared" ca="1" si="605"/>
        <v>1188.4479360676062</v>
      </c>
      <c r="I940" s="69">
        <f t="shared" ca="1" si="606"/>
        <v>1053.357540377461</v>
      </c>
      <c r="J940" s="69">
        <f t="shared" ca="1" si="607"/>
        <v>1137.8388009102855</v>
      </c>
      <c r="K940" s="69">
        <f t="shared" ca="1" si="608"/>
        <v>1172.0559984877475</v>
      </c>
      <c r="L940" s="69">
        <f t="shared" ca="1" si="609"/>
        <v>960.57489868183472</v>
      </c>
      <c r="M940" s="69">
        <f t="shared" ca="1" si="610"/>
        <v>997.74313000994198</v>
      </c>
      <c r="N940" s="69">
        <f t="shared" ca="1" si="611"/>
        <v>573.60220017953452</v>
      </c>
      <c r="O940" s="69">
        <f t="shared" ca="1" si="612"/>
        <v>631.95063801630727</v>
      </c>
      <c r="P940" s="69">
        <f t="shared" ca="1" si="613"/>
        <v>718.97471722062255</v>
      </c>
      <c r="Q940" s="69">
        <f t="shared" ca="1" si="614"/>
        <v>961.80676904468373</v>
      </c>
      <c r="R940" s="69">
        <f t="shared" ca="1" si="615"/>
        <v>780.76644881523703</v>
      </c>
      <c r="S940" s="69">
        <f t="shared" ca="1" si="616"/>
        <v>708.3752015134296</v>
      </c>
      <c r="T940" s="69">
        <f t="shared" ca="1" si="617"/>
        <v>797.49729754656084</v>
      </c>
      <c r="U940" s="69">
        <f t="shared" ca="1" si="618"/>
        <v>1698.6676696352401</v>
      </c>
      <c r="V940" s="69">
        <f t="shared" ca="1" si="619"/>
        <v>1914.4365484873701</v>
      </c>
      <c r="W940" s="69">
        <f t="shared" ca="1" si="620"/>
        <v>1186.1165426816917</v>
      </c>
      <c r="X940" s="69">
        <f t="shared" ca="1" si="621"/>
        <v>1494.7509816176471</v>
      </c>
      <c r="Y940" s="69">
        <f t="shared" ca="1" si="622"/>
        <v>1200.0789294595102</v>
      </c>
      <c r="AA940" s="20">
        <f t="shared" ca="1" si="582"/>
        <v>6.541292932131708E+16</v>
      </c>
      <c r="AB940" s="20">
        <f t="shared" ca="1" si="583"/>
        <v>1684423022273415.8</v>
      </c>
      <c r="AC940" s="20">
        <f t="shared" ca="1" si="584"/>
        <v>407185502413584.25</v>
      </c>
      <c r="AD940" s="20">
        <f t="shared" ca="1" si="585"/>
        <v>305010759472113.69</v>
      </c>
      <c r="AE940" s="20">
        <f t="shared" ca="1" si="586"/>
        <v>6919192586544152</v>
      </c>
      <c r="AG940" s="16">
        <f t="shared" ca="1" si="587"/>
        <v>2.5756404251524908E-4</v>
      </c>
      <c r="AH940" s="16">
        <f t="shared" ca="1" si="588"/>
        <v>4.1889975196832973E-5</v>
      </c>
      <c r="AI940" s="16">
        <f t="shared" ca="1" si="589"/>
        <v>-7.9564005535539639E-4</v>
      </c>
      <c r="AJ940" s="16">
        <f t="shared" ca="1" si="590"/>
        <v>7.2052338840753317E-4</v>
      </c>
      <c r="AK940" s="16">
        <f t="shared" ca="1" si="591"/>
        <v>8.0488540570132879E-7</v>
      </c>
      <c r="AM940" s="16">
        <f t="shared" ca="1" si="592"/>
        <v>2.243373507642189E-4</v>
      </c>
      <c r="AO940" s="16">
        <f t="shared" ca="1" si="593"/>
        <v>0</v>
      </c>
      <c r="AP940" s="16">
        <f t="shared" ca="1" si="594"/>
        <v>0</v>
      </c>
      <c r="AQ940" s="16">
        <f t="shared" ca="1" si="595"/>
        <v>-7.9564005535539639E-4</v>
      </c>
      <c r="AR940" s="16">
        <f t="shared" ca="1" si="596"/>
        <v>0</v>
      </c>
      <c r="AS940" s="16">
        <f t="shared" ca="1" si="597"/>
        <v>0</v>
      </c>
    </row>
    <row r="941" spans="1:45" x14ac:dyDescent="0.25">
      <c r="A941" s="69">
        <f t="shared" ca="1" si="598"/>
        <v>2445.8095132061858</v>
      </c>
      <c r="B941" s="69">
        <f t="shared" ca="1" si="599"/>
        <v>2140.3505996442245</v>
      </c>
      <c r="C941" s="69">
        <f t="shared" ca="1" si="600"/>
        <v>2230.7986772353001</v>
      </c>
      <c r="D941" s="69">
        <f t="shared" ca="1" si="601"/>
        <v>2905.6848215902201</v>
      </c>
      <c r="E941" s="69">
        <f t="shared" ca="1" si="602"/>
        <v>1928.2308420653653</v>
      </c>
      <c r="F941" s="69">
        <f t="shared" ca="1" si="603"/>
        <v>1217.619102519993</v>
      </c>
      <c r="G941" s="69">
        <f t="shared" ca="1" si="604"/>
        <v>970.96746550467412</v>
      </c>
      <c r="H941" s="69">
        <f t="shared" ca="1" si="605"/>
        <v>1188.7668405677273</v>
      </c>
      <c r="I941" s="69">
        <f t="shared" ca="1" si="606"/>
        <v>1053.357540377461</v>
      </c>
      <c r="J941" s="69">
        <f t="shared" ca="1" si="607"/>
        <v>1137.8388009102855</v>
      </c>
      <c r="K941" s="69">
        <f t="shared" ca="1" si="608"/>
        <v>1172.0559984877475</v>
      </c>
      <c r="L941" s="69">
        <f t="shared" ca="1" si="609"/>
        <v>960.13222052275069</v>
      </c>
      <c r="M941" s="69">
        <f t="shared" ca="1" si="610"/>
        <v>997.89227215369442</v>
      </c>
      <c r="N941" s="69">
        <f t="shared" ca="1" si="611"/>
        <v>573.21055915807824</v>
      </c>
      <c r="O941" s="69">
        <f t="shared" ca="1" si="612"/>
        <v>632.07631563592349</v>
      </c>
      <c r="P941" s="69">
        <f t="shared" ca="1" si="613"/>
        <v>718.99513313898206</v>
      </c>
      <c r="Q941" s="69">
        <f t="shared" ca="1" si="614"/>
        <v>961.80676904468373</v>
      </c>
      <c r="R941" s="69">
        <f t="shared" ca="1" si="615"/>
        <v>781.15907325895716</v>
      </c>
      <c r="S941" s="69">
        <f t="shared" ca="1" si="616"/>
        <v>708.3752015134296</v>
      </c>
      <c r="T941" s="69">
        <f t="shared" ca="1" si="617"/>
        <v>797.64834489635166</v>
      </c>
      <c r="U941" s="69">
        <f t="shared" ca="1" si="618"/>
        <v>1698.6749552046419</v>
      </c>
      <c r="V941" s="69">
        <f t="shared" ca="1" si="619"/>
        <v>1914.9320784461549</v>
      </c>
      <c r="W941" s="69">
        <f t="shared" ca="1" si="620"/>
        <v>1185.8054779879867</v>
      </c>
      <c r="X941" s="69">
        <f t="shared" ca="1" si="621"/>
        <v>1494.7509816176471</v>
      </c>
      <c r="Y941" s="69">
        <f t="shared" ca="1" si="622"/>
        <v>1200.0789294595102</v>
      </c>
      <c r="AA941" s="20">
        <f t="shared" ca="1" si="582"/>
        <v>6.5429779509734008E+16</v>
      </c>
      <c r="AB941" s="20">
        <f t="shared" ca="1" si="583"/>
        <v>1684493584189948</v>
      </c>
      <c r="AC941" s="20">
        <f t="shared" ca="1" si="584"/>
        <v>406861658166715.19</v>
      </c>
      <c r="AD941" s="20">
        <f t="shared" ca="1" si="585"/>
        <v>305230606050819</v>
      </c>
      <c r="AE941" s="20">
        <f t="shared" ca="1" si="586"/>
        <v>6919198155703525</v>
      </c>
      <c r="AG941" s="16">
        <f t="shared" ca="1" si="587"/>
        <v>2.163587394867573E-4</v>
      </c>
      <c r="AH941" s="16">
        <f t="shared" ca="1" si="588"/>
        <v>1.471477791567992E-4</v>
      </c>
      <c r="AI941" s="16">
        <f t="shared" ca="1" si="589"/>
        <v>-8.3999523346035571E-4</v>
      </c>
      <c r="AJ941" s="16">
        <f t="shared" ca="1" si="590"/>
        <v>-6.5954063794652321E-4</v>
      </c>
      <c r="AK941" s="16">
        <f t="shared" ca="1" si="591"/>
        <v>-2.4125621605085155E-4</v>
      </c>
      <c r="AM941" s="16">
        <f t="shared" ca="1" si="592"/>
        <v>-1.1360293527633224E-3</v>
      </c>
      <c r="AO941" s="16">
        <f t="shared" ca="1" si="593"/>
        <v>0</v>
      </c>
      <c r="AP941" s="16">
        <f t="shared" ca="1" si="594"/>
        <v>0</v>
      </c>
      <c r="AQ941" s="16">
        <f t="shared" ca="1" si="595"/>
        <v>-8.3999523346035571E-4</v>
      </c>
      <c r="AR941" s="16">
        <f t="shared" ca="1" si="596"/>
        <v>-6.5954063794652321E-4</v>
      </c>
      <c r="AS941" s="16">
        <f t="shared" ca="1" si="597"/>
        <v>-2.4125621605085155E-4</v>
      </c>
    </row>
    <row r="942" spans="1:45" x14ac:dyDescent="0.25">
      <c r="A942" s="69">
        <f t="shared" ca="1" si="598"/>
        <v>2446.2705444841063</v>
      </c>
      <c r="B942" s="69">
        <f t="shared" ca="1" si="599"/>
        <v>2140.5276198746005</v>
      </c>
      <c r="C942" s="69">
        <f t="shared" ca="1" si="600"/>
        <v>2230.7986772353001</v>
      </c>
      <c r="D942" s="69">
        <f t="shared" ca="1" si="601"/>
        <v>2905.5214163827977</v>
      </c>
      <c r="E942" s="69">
        <f t="shared" ca="1" si="602"/>
        <v>1928.2335671672763</v>
      </c>
      <c r="F942" s="69">
        <f t="shared" ca="1" si="603"/>
        <v>1217.3634290450814</v>
      </c>
      <c r="G942" s="69">
        <f t="shared" ca="1" si="604"/>
        <v>970.96746550467412</v>
      </c>
      <c r="H942" s="69">
        <f t="shared" ca="1" si="605"/>
        <v>1188.7668405677273</v>
      </c>
      <c r="I942" s="69">
        <f t="shared" ca="1" si="606"/>
        <v>1053.357540377461</v>
      </c>
      <c r="J942" s="69">
        <f t="shared" ca="1" si="607"/>
        <v>1138.2452503778159</v>
      </c>
      <c r="K942" s="69">
        <f t="shared" ca="1" si="608"/>
        <v>1172.1388389216481</v>
      </c>
      <c r="L942" s="69">
        <f t="shared" ca="1" si="609"/>
        <v>959.72019349907896</v>
      </c>
      <c r="M942" s="69">
        <f t="shared" ca="1" si="610"/>
        <v>997.83088302397471</v>
      </c>
      <c r="N942" s="69">
        <f t="shared" ca="1" si="611"/>
        <v>572.9699049226632</v>
      </c>
      <c r="O942" s="69">
        <f t="shared" ca="1" si="612"/>
        <v>632.07631563592349</v>
      </c>
      <c r="P942" s="69">
        <f t="shared" ca="1" si="613"/>
        <v>718.953525527838</v>
      </c>
      <c r="Q942" s="69">
        <f t="shared" ca="1" si="614"/>
        <v>961.80676904468373</v>
      </c>
      <c r="R942" s="69">
        <f t="shared" ca="1" si="615"/>
        <v>781.06715118596571</v>
      </c>
      <c r="S942" s="69">
        <f t="shared" ca="1" si="616"/>
        <v>708.03243867805202</v>
      </c>
      <c r="T942" s="69">
        <f t="shared" ca="1" si="617"/>
        <v>797.64834489635166</v>
      </c>
      <c r="U942" s="69">
        <f t="shared" ca="1" si="618"/>
        <v>1698.9555446577349</v>
      </c>
      <c r="V942" s="69">
        <f t="shared" ca="1" si="619"/>
        <v>1915.2415883086321</v>
      </c>
      <c r="W942" s="69">
        <f t="shared" ca="1" si="620"/>
        <v>1185.8054779879867</v>
      </c>
      <c r="X942" s="69">
        <f t="shared" ca="1" si="621"/>
        <v>1494.4961586694785</v>
      </c>
      <c r="Y942" s="69">
        <f t="shared" ca="1" si="622"/>
        <v>1199.6019358983867</v>
      </c>
      <c r="AA942" s="20">
        <f t="shared" ca="1" si="582"/>
        <v>6.5443937345884192E+16</v>
      </c>
      <c r="AB942" s="20">
        <f t="shared" ca="1" si="583"/>
        <v>1684741471917482.5</v>
      </c>
      <c r="AC942" s="20">
        <f t="shared" ca="1" si="584"/>
        <v>406520039812159.06</v>
      </c>
      <c r="AD942" s="20">
        <f t="shared" ca="1" si="585"/>
        <v>305029360434309.63</v>
      </c>
      <c r="AE942" s="20">
        <f t="shared" ca="1" si="586"/>
        <v>6917529057486630</v>
      </c>
      <c r="AG942" s="16">
        <f t="shared" ca="1" si="587"/>
        <v>8.6844510062164133E-5</v>
      </c>
      <c r="AH942" s="16">
        <f t="shared" ca="1" si="588"/>
        <v>-4.6382002554664178E-4</v>
      </c>
      <c r="AI942" s="16">
        <f t="shared" ca="1" si="589"/>
        <v>1.7466578475950871E-4</v>
      </c>
      <c r="AJ942" s="16">
        <f t="shared" ca="1" si="590"/>
        <v>-1.1296887193657046E-3</v>
      </c>
      <c r="AK942" s="16">
        <f t="shared" ca="1" si="591"/>
        <v>-3.2069411549897914E-4</v>
      </c>
      <c r="AM942" s="16">
        <f t="shared" ca="1" si="592"/>
        <v>-1.3319984500906735E-3</v>
      </c>
      <c r="AO942" s="16">
        <f t="shared" ca="1" si="593"/>
        <v>0</v>
      </c>
      <c r="AP942" s="16">
        <f t="shared" ca="1" si="594"/>
        <v>-4.6382002554664178E-4</v>
      </c>
      <c r="AQ942" s="16">
        <f t="shared" ca="1" si="595"/>
        <v>0</v>
      </c>
      <c r="AR942" s="16">
        <f t="shared" ca="1" si="596"/>
        <v>-1.1296887193657046E-3</v>
      </c>
      <c r="AS942" s="16">
        <f t="shared" ca="1" si="597"/>
        <v>-3.2069411549897914E-4</v>
      </c>
    </row>
    <row r="943" spans="1:45" x14ac:dyDescent="0.25">
      <c r="A943" s="69">
        <f t="shared" ca="1" si="598"/>
        <v>2446.2705444841063</v>
      </c>
      <c r="B943" s="69">
        <f t="shared" ca="1" si="599"/>
        <v>2140.969817122173</v>
      </c>
      <c r="C943" s="69">
        <f t="shared" ca="1" si="600"/>
        <v>2230.6362624075387</v>
      </c>
      <c r="D943" s="69">
        <f t="shared" ca="1" si="601"/>
        <v>2905.5546699396368</v>
      </c>
      <c r="E943" s="69">
        <f t="shared" ca="1" si="602"/>
        <v>1928.1210503078057</v>
      </c>
      <c r="F943" s="69">
        <f t="shared" ca="1" si="603"/>
        <v>1217.0564649451433</v>
      </c>
      <c r="G943" s="69">
        <f t="shared" ca="1" si="604"/>
        <v>971.13872858340335</v>
      </c>
      <c r="H943" s="69">
        <f t="shared" ca="1" si="605"/>
        <v>1188.4029935757078</v>
      </c>
      <c r="I943" s="69">
        <f t="shared" ca="1" si="606"/>
        <v>1053.0137640174669</v>
      </c>
      <c r="J943" s="69">
        <f t="shared" ca="1" si="607"/>
        <v>1138.5236215191653</v>
      </c>
      <c r="K943" s="69">
        <f t="shared" ca="1" si="608"/>
        <v>1172.1388389216481</v>
      </c>
      <c r="L943" s="69">
        <f t="shared" ca="1" si="609"/>
        <v>959.72019349907896</v>
      </c>
      <c r="M943" s="69">
        <f t="shared" ca="1" si="610"/>
        <v>998.00518516008196</v>
      </c>
      <c r="N943" s="69">
        <f t="shared" ca="1" si="611"/>
        <v>572.9699049226632</v>
      </c>
      <c r="O943" s="69">
        <f t="shared" ca="1" si="612"/>
        <v>632.07631563592349</v>
      </c>
      <c r="P943" s="69">
        <f t="shared" ca="1" si="613"/>
        <v>718.53820604665077</v>
      </c>
      <c r="Q943" s="69">
        <f t="shared" ca="1" si="614"/>
        <v>961.80676904468373</v>
      </c>
      <c r="R943" s="69">
        <f t="shared" ca="1" si="615"/>
        <v>780.81442838855526</v>
      </c>
      <c r="S943" s="69">
        <f t="shared" ca="1" si="616"/>
        <v>707.87085840430382</v>
      </c>
      <c r="T943" s="69">
        <f t="shared" ca="1" si="617"/>
        <v>797.64834489635166</v>
      </c>
      <c r="U943" s="69">
        <f t="shared" ca="1" si="618"/>
        <v>1699.2610307223206</v>
      </c>
      <c r="V943" s="69">
        <f t="shared" ca="1" si="619"/>
        <v>1914.7905313367355</v>
      </c>
      <c r="W943" s="69">
        <f t="shared" ca="1" si="620"/>
        <v>1185.6875888079278</v>
      </c>
      <c r="X943" s="69">
        <f t="shared" ca="1" si="621"/>
        <v>1494.4961586694785</v>
      </c>
      <c r="Y943" s="69">
        <f t="shared" ca="1" si="622"/>
        <v>1199.4033854762301</v>
      </c>
      <c r="AA943" s="20">
        <f t="shared" ca="1" si="582"/>
        <v>6.5449621039354752E+16</v>
      </c>
      <c r="AB943" s="20">
        <f t="shared" ca="1" si="583"/>
        <v>1683960236275311.5</v>
      </c>
      <c r="AC943" s="20">
        <f t="shared" ca="1" si="584"/>
        <v>406591051155378.75</v>
      </c>
      <c r="AD943" s="20">
        <f t="shared" ca="1" si="585"/>
        <v>304684966772195.38</v>
      </c>
      <c r="AE943" s="20">
        <f t="shared" ca="1" si="586"/>
        <v>6915311002301733</v>
      </c>
      <c r="AG943" s="16">
        <f t="shared" ca="1" si="587"/>
        <v>3.0234674011358353E-4</v>
      </c>
      <c r="AH943" s="16">
        <f t="shared" ca="1" si="588"/>
        <v>-4.3923080798733034E-4</v>
      </c>
      <c r="AI943" s="16">
        <f t="shared" ca="1" si="589"/>
        <v>-6.6060553471280158E-4</v>
      </c>
      <c r="AJ943" s="16">
        <f t="shared" ca="1" si="590"/>
        <v>2.8225424383398383E-5</v>
      </c>
      <c r="AK943" s="16">
        <f t="shared" ca="1" si="591"/>
        <v>4.6158824521579377E-4</v>
      </c>
      <c r="AM943" s="16">
        <f t="shared" ca="1" si="592"/>
        <v>-7.6926417820314991E-4</v>
      </c>
      <c r="AO943" s="16">
        <f t="shared" ca="1" si="593"/>
        <v>0</v>
      </c>
      <c r="AP943" s="16">
        <f t="shared" ca="1" si="594"/>
        <v>-4.3923080798733034E-4</v>
      </c>
      <c r="AQ943" s="16">
        <f t="shared" ca="1" si="595"/>
        <v>-6.6060553471280158E-4</v>
      </c>
      <c r="AR943" s="16">
        <f t="shared" ca="1" si="596"/>
        <v>0</v>
      </c>
      <c r="AS943" s="16">
        <f t="shared" ca="1" si="597"/>
        <v>0</v>
      </c>
    </row>
    <row r="944" spans="1:45" x14ac:dyDescent="0.25">
      <c r="A944" s="69">
        <f t="shared" ca="1" si="598"/>
        <v>2446.2705444841063</v>
      </c>
      <c r="B944" s="69">
        <f t="shared" ca="1" si="599"/>
        <v>2141.1693443497998</v>
      </c>
      <c r="C944" s="69">
        <f t="shared" ca="1" si="600"/>
        <v>2230.9218405282718</v>
      </c>
      <c r="D944" s="69">
        <f t="shared" ca="1" si="601"/>
        <v>2905.149622080191</v>
      </c>
      <c r="E944" s="69">
        <f t="shared" ca="1" si="602"/>
        <v>1928.5463509702829</v>
      </c>
      <c r="F944" s="69">
        <f t="shared" ca="1" si="603"/>
        <v>1216.5722307898816</v>
      </c>
      <c r="G944" s="69">
        <f t="shared" ca="1" si="604"/>
        <v>971.13872858340335</v>
      </c>
      <c r="H944" s="69">
        <f t="shared" ca="1" si="605"/>
        <v>1188.3539391767649</v>
      </c>
      <c r="I944" s="69">
        <f t="shared" ca="1" si="606"/>
        <v>1053.0137640174669</v>
      </c>
      <c r="J944" s="69">
        <f t="shared" ca="1" si="607"/>
        <v>1138.5236215191653</v>
      </c>
      <c r="K944" s="69">
        <f t="shared" ca="1" si="608"/>
        <v>1172.1388389216481</v>
      </c>
      <c r="L944" s="69">
        <f t="shared" ca="1" si="609"/>
        <v>959.23370146271418</v>
      </c>
      <c r="M944" s="69">
        <f t="shared" ca="1" si="610"/>
        <v>998.21307278663573</v>
      </c>
      <c r="N944" s="69">
        <f t="shared" ca="1" si="611"/>
        <v>572.9699049226632</v>
      </c>
      <c r="O944" s="69">
        <f t="shared" ca="1" si="612"/>
        <v>631.8476413413614</v>
      </c>
      <c r="P944" s="69">
        <f t="shared" ca="1" si="613"/>
        <v>718.53820604665077</v>
      </c>
      <c r="Q944" s="69">
        <f t="shared" ca="1" si="614"/>
        <v>961.8370529204069</v>
      </c>
      <c r="R944" s="69">
        <f t="shared" ca="1" si="615"/>
        <v>781.0471061344565</v>
      </c>
      <c r="S944" s="69">
        <f t="shared" ca="1" si="616"/>
        <v>707.77684475396995</v>
      </c>
      <c r="T944" s="69">
        <f t="shared" ca="1" si="617"/>
        <v>797.51404091602672</v>
      </c>
      <c r="U944" s="69">
        <f t="shared" ca="1" si="618"/>
        <v>1699.7599816019997</v>
      </c>
      <c r="V944" s="69">
        <f t="shared" ca="1" si="619"/>
        <v>1915.2420302931448</v>
      </c>
      <c r="W944" s="69">
        <f t="shared" ca="1" si="620"/>
        <v>1185.6072440092985</v>
      </c>
      <c r="X944" s="69">
        <f t="shared" ca="1" si="621"/>
        <v>1494.4961586694785</v>
      </c>
      <c r="Y944" s="69">
        <f t="shared" ca="1" si="622"/>
        <v>1199.4033854762301</v>
      </c>
      <c r="AA944" s="20">
        <f t="shared" ca="1" si="582"/>
        <v>6.5469412510710328E+16</v>
      </c>
      <c r="AB944" s="20">
        <f t="shared" ca="1" si="583"/>
        <v>1683220751474255.8</v>
      </c>
      <c r="AC944" s="20">
        <f t="shared" ca="1" si="584"/>
        <v>406322543555188.94</v>
      </c>
      <c r="AD944" s="20">
        <f t="shared" ca="1" si="585"/>
        <v>304693566756054.31</v>
      </c>
      <c r="AE944" s="20">
        <f t="shared" ca="1" si="586"/>
        <v>6918503765386674</v>
      </c>
      <c r="AG944" s="16">
        <f t="shared" ca="1" si="587"/>
        <v>3.3227974320791773E-4</v>
      </c>
      <c r="AH944" s="16">
        <f t="shared" ca="1" si="588"/>
        <v>3.5343424449478593E-4</v>
      </c>
      <c r="AI944" s="16">
        <f t="shared" ca="1" si="589"/>
        <v>-2.4264914949053747E-6</v>
      </c>
      <c r="AJ944" s="16">
        <f t="shared" ca="1" si="590"/>
        <v>-1.4356063714972289E-3</v>
      </c>
      <c r="AK944" s="16">
        <f t="shared" ca="1" si="591"/>
        <v>-3.9147260570115261E-4</v>
      </c>
      <c r="AM944" s="16">
        <f t="shared" ca="1" si="592"/>
        <v>-7.5231887528943065E-4</v>
      </c>
      <c r="AO944" s="16">
        <f t="shared" ca="1" si="593"/>
        <v>0</v>
      </c>
      <c r="AP944" s="16">
        <f t="shared" ca="1" si="594"/>
        <v>0</v>
      </c>
      <c r="AQ944" s="16">
        <f t="shared" ca="1" si="595"/>
        <v>-2.4264914949053747E-6</v>
      </c>
      <c r="AR944" s="16">
        <f t="shared" ca="1" si="596"/>
        <v>-1.4356063714972289E-3</v>
      </c>
      <c r="AS944" s="16">
        <f t="shared" ca="1" si="597"/>
        <v>-3.9147260570115261E-4</v>
      </c>
    </row>
    <row r="945" spans="1:45" x14ac:dyDescent="0.25">
      <c r="A945" s="69">
        <f t="shared" ca="1" si="598"/>
        <v>2446.6557624794827</v>
      </c>
      <c r="B945" s="69">
        <f t="shared" ca="1" si="599"/>
        <v>2141.1631514551714</v>
      </c>
      <c r="C945" s="69">
        <f t="shared" ca="1" si="600"/>
        <v>2231.256150412707</v>
      </c>
      <c r="D945" s="69">
        <f t="shared" ca="1" si="601"/>
        <v>2905.2305935774543</v>
      </c>
      <c r="E945" s="69">
        <f t="shared" ca="1" si="602"/>
        <v>1928.5463509702829</v>
      </c>
      <c r="F945" s="69">
        <f t="shared" ca="1" si="603"/>
        <v>1216.5722307898816</v>
      </c>
      <c r="G945" s="69">
        <f t="shared" ca="1" si="604"/>
        <v>971.23006966818355</v>
      </c>
      <c r="H945" s="69">
        <f t="shared" ca="1" si="605"/>
        <v>1188.3539391767649</v>
      </c>
      <c r="I945" s="69">
        <f t="shared" ca="1" si="606"/>
        <v>1053.0137640174669</v>
      </c>
      <c r="J945" s="69">
        <f t="shared" ca="1" si="607"/>
        <v>1138.818973514047</v>
      </c>
      <c r="K945" s="69">
        <f t="shared" ca="1" si="608"/>
        <v>1172.3913806150576</v>
      </c>
      <c r="L945" s="69">
        <f t="shared" ca="1" si="609"/>
        <v>959.23370146271418</v>
      </c>
      <c r="M945" s="69">
        <f t="shared" ca="1" si="610"/>
        <v>998.21307278663573</v>
      </c>
      <c r="N945" s="69">
        <f t="shared" ca="1" si="611"/>
        <v>572.9699049226632</v>
      </c>
      <c r="O945" s="69">
        <f t="shared" ca="1" si="612"/>
        <v>631.7100038891042</v>
      </c>
      <c r="P945" s="69">
        <f t="shared" ca="1" si="613"/>
        <v>718.06302006439</v>
      </c>
      <c r="Q945" s="69">
        <f t="shared" ca="1" si="614"/>
        <v>961.48878385515434</v>
      </c>
      <c r="R945" s="69">
        <f t="shared" ca="1" si="615"/>
        <v>781.35853967601292</v>
      </c>
      <c r="S945" s="69">
        <f t="shared" ca="1" si="616"/>
        <v>707.44626467570822</v>
      </c>
      <c r="T945" s="69">
        <f t="shared" ca="1" si="617"/>
        <v>797.24022709620658</v>
      </c>
      <c r="U945" s="69">
        <f t="shared" ca="1" si="618"/>
        <v>1699.3485424229457</v>
      </c>
      <c r="V945" s="69">
        <f t="shared" ca="1" si="619"/>
        <v>1914.7531978206027</v>
      </c>
      <c r="W945" s="69">
        <f t="shared" ca="1" si="620"/>
        <v>1185.6072440092985</v>
      </c>
      <c r="X945" s="69">
        <f t="shared" ca="1" si="621"/>
        <v>1494.6544031566136</v>
      </c>
      <c r="Y945" s="69">
        <f t="shared" ca="1" si="622"/>
        <v>1199.4033854762301</v>
      </c>
      <c r="AA945" s="20">
        <f t="shared" ca="1" si="582"/>
        <v>6.5491170284920984E+16</v>
      </c>
      <c r="AB945" s="20">
        <f t="shared" ca="1" si="583"/>
        <v>1683815764471661.8</v>
      </c>
      <c r="AC945" s="20">
        <f t="shared" ca="1" si="584"/>
        <v>406321557618189</v>
      </c>
      <c r="AD945" s="20">
        <f t="shared" ca="1" si="585"/>
        <v>304256460561555.75</v>
      </c>
      <c r="AE945" s="20">
        <f t="shared" ca="1" si="586"/>
        <v>6915795890754036</v>
      </c>
      <c r="AG945" s="16">
        <f t="shared" ca="1" si="587"/>
        <v>2.1160652375334059E-4</v>
      </c>
      <c r="AH945" s="16">
        <f t="shared" ca="1" si="588"/>
        <v>-3.1204198225145887E-4</v>
      </c>
      <c r="AI945" s="16">
        <f t="shared" ca="1" si="589"/>
        <v>-1.8081563986043335E-4</v>
      </c>
      <c r="AJ945" s="16">
        <f t="shared" ca="1" si="590"/>
        <v>1.5485706067572299E-4</v>
      </c>
      <c r="AK945" s="16">
        <f t="shared" ca="1" si="591"/>
        <v>-1.8814296299628238E-4</v>
      </c>
      <c r="AM945" s="16">
        <f t="shared" ca="1" si="592"/>
        <v>-1.2639403768282861E-4</v>
      </c>
      <c r="AO945" s="16">
        <f t="shared" ca="1" si="593"/>
        <v>0</v>
      </c>
      <c r="AP945" s="16">
        <f t="shared" ca="1" si="594"/>
        <v>-3.1204198225145887E-4</v>
      </c>
      <c r="AQ945" s="16">
        <f t="shared" ca="1" si="595"/>
        <v>-1.8081563986043335E-4</v>
      </c>
      <c r="AR945" s="16">
        <f t="shared" ca="1" si="596"/>
        <v>0</v>
      </c>
      <c r="AS945" s="16">
        <f t="shared" ca="1" si="597"/>
        <v>-1.8814296299628238E-4</v>
      </c>
    </row>
    <row r="946" spans="1:45" x14ac:dyDescent="0.25">
      <c r="A946" s="69">
        <f t="shared" ca="1" si="598"/>
        <v>2446.5507681220674</v>
      </c>
      <c r="B946" s="69">
        <f t="shared" ca="1" si="599"/>
        <v>2141.6612354105082</v>
      </c>
      <c r="C946" s="69">
        <f t="shared" ca="1" si="600"/>
        <v>2231.6496457977855</v>
      </c>
      <c r="D946" s="69">
        <f t="shared" ca="1" si="601"/>
        <v>2905.2305935774543</v>
      </c>
      <c r="E946" s="69">
        <f t="shared" ca="1" si="602"/>
        <v>1928.248576317284</v>
      </c>
      <c r="F946" s="69">
        <f t="shared" ca="1" si="603"/>
        <v>1216.4379800619436</v>
      </c>
      <c r="G946" s="69">
        <f t="shared" ca="1" si="604"/>
        <v>971.23006966818355</v>
      </c>
      <c r="H946" s="69">
        <f t="shared" ca="1" si="605"/>
        <v>1188.3909145005643</v>
      </c>
      <c r="I946" s="69">
        <f t="shared" ca="1" si="606"/>
        <v>1053.1946164125516</v>
      </c>
      <c r="J946" s="69">
        <f t="shared" ca="1" si="607"/>
        <v>1138.3583788874528</v>
      </c>
      <c r="K946" s="69">
        <f t="shared" ca="1" si="608"/>
        <v>1172.3913806150576</v>
      </c>
      <c r="L946" s="69">
        <f t="shared" ca="1" si="609"/>
        <v>959.57834003200662</v>
      </c>
      <c r="M946" s="69">
        <f t="shared" ca="1" si="610"/>
        <v>998.21307278663573</v>
      </c>
      <c r="N946" s="69">
        <f t="shared" ca="1" si="611"/>
        <v>572.78917280928715</v>
      </c>
      <c r="O946" s="69">
        <f t="shared" ca="1" si="612"/>
        <v>631.56816536818462</v>
      </c>
      <c r="P946" s="69">
        <f t="shared" ca="1" si="613"/>
        <v>717.99658922536753</v>
      </c>
      <c r="Q946" s="69">
        <f t="shared" ca="1" si="614"/>
        <v>961.48878385515434</v>
      </c>
      <c r="R946" s="69">
        <f t="shared" ca="1" si="615"/>
        <v>781.35853967601292</v>
      </c>
      <c r="S946" s="69">
        <f t="shared" ca="1" si="616"/>
        <v>707.6212910413434</v>
      </c>
      <c r="T946" s="69">
        <f t="shared" ca="1" si="617"/>
        <v>797.24022709620658</v>
      </c>
      <c r="U946" s="69">
        <f t="shared" ca="1" si="618"/>
        <v>1699.3485424229457</v>
      </c>
      <c r="V946" s="69">
        <f t="shared" ca="1" si="619"/>
        <v>1914.3929843674341</v>
      </c>
      <c r="W946" s="69">
        <f t="shared" ca="1" si="620"/>
        <v>1185.6072440092985</v>
      </c>
      <c r="X946" s="69">
        <f t="shared" ca="1" si="621"/>
        <v>1494.6544031566136</v>
      </c>
      <c r="Y946" s="69">
        <f t="shared" ca="1" si="622"/>
        <v>1199.4033854762301</v>
      </c>
      <c r="AA946" s="20">
        <f t="shared" ca="1" si="582"/>
        <v>6.5505030110164512E+16</v>
      </c>
      <c r="AB946" s="20">
        <f t="shared" ca="1" si="583"/>
        <v>1683290425230981.5</v>
      </c>
      <c r="AC946" s="20">
        <f t="shared" ca="1" si="584"/>
        <v>406248094967557.44</v>
      </c>
      <c r="AD946" s="20">
        <f t="shared" ca="1" si="585"/>
        <v>304303580471061.06</v>
      </c>
      <c r="AE946" s="20">
        <f t="shared" ca="1" si="586"/>
        <v>6914494854817888</v>
      </c>
      <c r="AG946" s="16">
        <f t="shared" ca="1" si="587"/>
        <v>5.3624558718779345E-5</v>
      </c>
      <c r="AH946" s="16">
        <f t="shared" ca="1" si="588"/>
        <v>4.456054758871408E-4</v>
      </c>
      <c r="AI946" s="16">
        <f t="shared" ca="1" si="589"/>
        <v>-5.7815898270884942E-5</v>
      </c>
      <c r="AJ946" s="16">
        <f t="shared" ca="1" si="590"/>
        <v>-4.7850023920926473E-4</v>
      </c>
      <c r="AK946" s="16">
        <f t="shared" ca="1" si="591"/>
        <v>-5.19531298255316E-5</v>
      </c>
      <c r="AM946" s="16">
        <f t="shared" ca="1" si="592"/>
        <v>-3.7086102874229511E-5</v>
      </c>
      <c r="AO946" s="16">
        <f t="shared" ca="1" si="593"/>
        <v>0</v>
      </c>
      <c r="AP946" s="16">
        <f t="shared" ca="1" si="594"/>
        <v>0</v>
      </c>
      <c r="AQ946" s="16">
        <f t="shared" ca="1" si="595"/>
        <v>-5.7815898270884942E-5</v>
      </c>
      <c r="AR946" s="16">
        <f t="shared" ca="1" si="596"/>
        <v>-4.7850023920926473E-4</v>
      </c>
      <c r="AS946" s="16">
        <f t="shared" ca="1" si="597"/>
        <v>-5.19531298255316E-5</v>
      </c>
    </row>
    <row r="947" spans="1:45" x14ac:dyDescent="0.25">
      <c r="A947" s="69">
        <f t="shared" ca="1" si="598"/>
        <v>2446.88595025016</v>
      </c>
      <c r="B947" s="69">
        <f t="shared" ca="1" si="599"/>
        <v>2141.6612354105082</v>
      </c>
      <c r="C947" s="69">
        <f t="shared" ca="1" si="600"/>
        <v>2232.0746854644103</v>
      </c>
      <c r="D947" s="69">
        <f t="shared" ca="1" si="601"/>
        <v>2904.8995007158346</v>
      </c>
      <c r="E947" s="69">
        <f t="shared" ca="1" si="602"/>
        <v>1927.9403920245452</v>
      </c>
      <c r="F947" s="69">
        <f t="shared" ca="1" si="603"/>
        <v>1216.4379800619436</v>
      </c>
      <c r="G947" s="69">
        <f t="shared" ca="1" si="604"/>
        <v>971.66295154567865</v>
      </c>
      <c r="H947" s="69">
        <f t="shared" ca="1" si="605"/>
        <v>1188.3909145005643</v>
      </c>
      <c r="I947" s="69">
        <f t="shared" ca="1" si="606"/>
        <v>1053.1946164125516</v>
      </c>
      <c r="J947" s="69">
        <f t="shared" ca="1" si="607"/>
        <v>1138.3583788874528</v>
      </c>
      <c r="K947" s="69">
        <f t="shared" ca="1" si="608"/>
        <v>1172.2372185220936</v>
      </c>
      <c r="L947" s="69">
        <f t="shared" ca="1" si="609"/>
        <v>959.47119121496519</v>
      </c>
      <c r="M947" s="69">
        <f t="shared" ca="1" si="610"/>
        <v>998.21307278663573</v>
      </c>
      <c r="N947" s="69">
        <f t="shared" ca="1" si="611"/>
        <v>572.71971774075359</v>
      </c>
      <c r="O947" s="69">
        <f t="shared" ca="1" si="612"/>
        <v>631.76184654828785</v>
      </c>
      <c r="P947" s="69">
        <f t="shared" ca="1" si="613"/>
        <v>717.65310986970235</v>
      </c>
      <c r="Q947" s="69">
        <f t="shared" ca="1" si="614"/>
        <v>961.48878385515434</v>
      </c>
      <c r="R947" s="69">
        <f t="shared" ca="1" si="615"/>
        <v>781.35853967601292</v>
      </c>
      <c r="S947" s="69">
        <f t="shared" ca="1" si="616"/>
        <v>707.6212910413434</v>
      </c>
      <c r="T947" s="69">
        <f t="shared" ca="1" si="617"/>
        <v>797.24022709620658</v>
      </c>
      <c r="U947" s="69">
        <f t="shared" ca="1" si="618"/>
        <v>1699.635303657391</v>
      </c>
      <c r="V947" s="69">
        <f t="shared" ca="1" si="619"/>
        <v>1914.3929843674341</v>
      </c>
      <c r="W947" s="69">
        <f t="shared" ca="1" si="620"/>
        <v>1185.6072440092985</v>
      </c>
      <c r="X947" s="69">
        <f t="shared" ca="1" si="621"/>
        <v>1494.1762007252919</v>
      </c>
      <c r="Y947" s="69">
        <f t="shared" ca="1" si="622"/>
        <v>1199.5224997764772</v>
      </c>
      <c r="AA947" s="20">
        <f t="shared" ca="1" si="582"/>
        <v>6.5508542882682632E+16</v>
      </c>
      <c r="AB947" s="20">
        <f t="shared" ca="1" si="583"/>
        <v>1684040675807441</v>
      </c>
      <c r="AC947" s="20">
        <f t="shared" ca="1" si="584"/>
        <v>406224608047991.25</v>
      </c>
      <c r="AD947" s="20">
        <f t="shared" ca="1" si="585"/>
        <v>304158005966508.63</v>
      </c>
      <c r="AE947" s="20">
        <f t="shared" ca="1" si="586"/>
        <v>6914135634500408</v>
      </c>
      <c r="AG947" s="16">
        <f t="shared" ca="1" si="587"/>
        <v>-3.311057882165021E-4</v>
      </c>
      <c r="AH947" s="16">
        <f t="shared" ca="1" si="588"/>
        <v>1.569299401534267E-4</v>
      </c>
      <c r="AI947" s="16">
        <f t="shared" ca="1" si="589"/>
        <v>5.2826124192361106E-5</v>
      </c>
      <c r="AJ947" s="16">
        <f t="shared" ca="1" si="590"/>
        <v>1.414594034057575E-4</v>
      </c>
      <c r="AK947" s="16">
        <f t="shared" ca="1" si="591"/>
        <v>-1.7398119622561512E-5</v>
      </c>
      <c r="AM947" s="16">
        <f t="shared" ca="1" si="592"/>
        <v>2.0109679535043205E-5</v>
      </c>
      <c r="AO947" s="16">
        <f t="shared" ca="1" si="593"/>
        <v>-3.311057882165021E-4</v>
      </c>
      <c r="AP947" s="16">
        <f t="shared" ca="1" si="594"/>
        <v>0</v>
      </c>
      <c r="AQ947" s="16">
        <f t="shared" ca="1" si="595"/>
        <v>0</v>
      </c>
      <c r="AR947" s="16">
        <f t="shared" ca="1" si="596"/>
        <v>0</v>
      </c>
      <c r="AS947" s="16">
        <f t="shared" ca="1" si="597"/>
        <v>-1.7398119622561512E-5</v>
      </c>
    </row>
    <row r="948" spans="1:45" x14ac:dyDescent="0.25">
      <c r="A948" s="69">
        <f t="shared" ca="1" si="598"/>
        <v>2446.88595025016</v>
      </c>
      <c r="B948" s="69">
        <f t="shared" ca="1" si="599"/>
        <v>2141.6612354105082</v>
      </c>
      <c r="C948" s="69">
        <f t="shared" ca="1" si="600"/>
        <v>2231.8236775124656</v>
      </c>
      <c r="D948" s="69">
        <f t="shared" ca="1" si="601"/>
        <v>2904.6540279597152</v>
      </c>
      <c r="E948" s="69">
        <f t="shared" ca="1" si="602"/>
        <v>1927.6817995207502</v>
      </c>
      <c r="F948" s="69">
        <f t="shared" ca="1" si="603"/>
        <v>1216.4379800619436</v>
      </c>
      <c r="G948" s="69">
        <f t="shared" ca="1" si="604"/>
        <v>971.44756901913445</v>
      </c>
      <c r="H948" s="69">
        <f t="shared" ca="1" si="605"/>
        <v>1188.4830360632111</v>
      </c>
      <c r="I948" s="69">
        <f t="shared" ca="1" si="606"/>
        <v>1053.3829492708362</v>
      </c>
      <c r="J948" s="69">
        <f t="shared" ca="1" si="607"/>
        <v>1138.4976073386003</v>
      </c>
      <c r="K948" s="69">
        <f t="shared" ca="1" si="608"/>
        <v>1171.9569938758364</v>
      </c>
      <c r="L948" s="69">
        <f t="shared" ca="1" si="609"/>
        <v>959.64839989101756</v>
      </c>
      <c r="M948" s="69">
        <f t="shared" ca="1" si="610"/>
        <v>998.04371950478117</v>
      </c>
      <c r="N948" s="69">
        <f t="shared" ca="1" si="611"/>
        <v>572.87832557595107</v>
      </c>
      <c r="O948" s="69">
        <f t="shared" ca="1" si="612"/>
        <v>631.76184654828785</v>
      </c>
      <c r="P948" s="69">
        <f t="shared" ca="1" si="613"/>
        <v>717.57230431237519</v>
      </c>
      <c r="Q948" s="69">
        <f t="shared" ca="1" si="614"/>
        <v>961.48878385515434</v>
      </c>
      <c r="R948" s="69">
        <f t="shared" ca="1" si="615"/>
        <v>781.52307744125824</v>
      </c>
      <c r="S948" s="69">
        <f t="shared" ca="1" si="616"/>
        <v>707.27884024346179</v>
      </c>
      <c r="T948" s="69">
        <f t="shared" ca="1" si="617"/>
        <v>797.66093757710928</v>
      </c>
      <c r="U948" s="69">
        <f t="shared" ca="1" si="618"/>
        <v>1699.6527860838182</v>
      </c>
      <c r="V948" s="69">
        <f t="shared" ca="1" si="619"/>
        <v>1914.7779854004734</v>
      </c>
      <c r="W948" s="69">
        <f t="shared" ca="1" si="620"/>
        <v>1185.644919566465</v>
      </c>
      <c r="X948" s="69">
        <f t="shared" ca="1" si="621"/>
        <v>1493.7579147693737</v>
      </c>
      <c r="Y948" s="69">
        <f t="shared" ca="1" si="622"/>
        <v>1199.5458114643532</v>
      </c>
      <c r="AA948" s="20">
        <f t="shared" ca="1" si="582"/>
        <v>6.54868562154452E+16</v>
      </c>
      <c r="AB948" s="20">
        <f t="shared" ca="1" si="583"/>
        <v>1684304972947436.3</v>
      </c>
      <c r="AC948" s="20">
        <f t="shared" ca="1" si="584"/>
        <v>406246067886401</v>
      </c>
      <c r="AD948" s="20">
        <f t="shared" ca="1" si="585"/>
        <v>304201035019934.06</v>
      </c>
      <c r="AE948" s="20">
        <f t="shared" ca="1" si="586"/>
        <v>6914015342587982</v>
      </c>
      <c r="AG948" s="16">
        <f t="shared" ca="1" si="587"/>
        <v>-2.6088897735821012E-4</v>
      </c>
      <c r="AH948" s="16">
        <f t="shared" ca="1" si="588"/>
        <v>-4.5208329569940999E-4</v>
      </c>
      <c r="AI948" s="16">
        <f t="shared" ca="1" si="589"/>
        <v>7.4448691515369202E-4</v>
      </c>
      <c r="AJ948" s="16">
        <f t="shared" ca="1" si="590"/>
        <v>4.9285828005657688E-4</v>
      </c>
      <c r="AK948" s="16">
        <f t="shared" ca="1" si="591"/>
        <v>3.1565106244412319E-4</v>
      </c>
      <c r="AM948" s="16">
        <f t="shared" ca="1" si="592"/>
        <v>5.2437292215264878E-4</v>
      </c>
      <c r="AO948" s="16">
        <f t="shared" ca="1" si="593"/>
        <v>-2.6088897735821012E-4</v>
      </c>
      <c r="AP948" s="16">
        <f t="shared" ca="1" si="594"/>
        <v>-4.5208329569940999E-4</v>
      </c>
      <c r="AQ948" s="16">
        <f t="shared" ca="1" si="595"/>
        <v>0</v>
      </c>
      <c r="AR948" s="16">
        <f t="shared" ca="1" si="596"/>
        <v>0</v>
      </c>
      <c r="AS948" s="16">
        <f t="shared" ca="1" si="597"/>
        <v>0</v>
      </c>
    </row>
    <row r="949" spans="1:45" x14ac:dyDescent="0.25">
      <c r="A949" s="69">
        <f t="shared" ca="1" si="598"/>
        <v>2446.5434124195049</v>
      </c>
      <c r="B949" s="69">
        <f t="shared" ca="1" si="599"/>
        <v>2141.5996522115674</v>
      </c>
      <c r="C949" s="69">
        <f t="shared" ca="1" si="600"/>
        <v>2231.7847927809025</v>
      </c>
      <c r="D949" s="69">
        <f t="shared" ca="1" si="601"/>
        <v>2904.2324508982379</v>
      </c>
      <c r="E949" s="69">
        <f t="shared" ca="1" si="602"/>
        <v>1927.8175852245461</v>
      </c>
      <c r="F949" s="69">
        <f t="shared" ca="1" si="603"/>
        <v>1216.6404674320827</v>
      </c>
      <c r="G949" s="69">
        <f t="shared" ca="1" si="604"/>
        <v>971.06923845272377</v>
      </c>
      <c r="H949" s="69">
        <f t="shared" ca="1" si="605"/>
        <v>1188.7215172008471</v>
      </c>
      <c r="I949" s="69">
        <f t="shared" ca="1" si="606"/>
        <v>1052.9293207063483</v>
      </c>
      <c r="J949" s="69">
        <f t="shared" ca="1" si="607"/>
        <v>1138.4988482840454</v>
      </c>
      <c r="K949" s="69">
        <f t="shared" ca="1" si="608"/>
        <v>1171.9569938758364</v>
      </c>
      <c r="L949" s="69">
        <f t="shared" ca="1" si="609"/>
        <v>959.50352247837418</v>
      </c>
      <c r="M949" s="69">
        <f t="shared" ca="1" si="610"/>
        <v>998.20517762117322</v>
      </c>
      <c r="N949" s="69">
        <f t="shared" ca="1" si="611"/>
        <v>572.87832557595107</v>
      </c>
      <c r="O949" s="69">
        <f t="shared" ca="1" si="612"/>
        <v>632.2255441363169</v>
      </c>
      <c r="P949" s="69">
        <f t="shared" ca="1" si="613"/>
        <v>717.94411416609898</v>
      </c>
      <c r="Q949" s="69">
        <f t="shared" ca="1" si="614"/>
        <v>961.83272759079864</v>
      </c>
      <c r="R949" s="69">
        <f t="shared" ca="1" si="615"/>
        <v>781.51280231274723</v>
      </c>
      <c r="S949" s="69">
        <f t="shared" ca="1" si="616"/>
        <v>707.27884024346179</v>
      </c>
      <c r="T949" s="69">
        <f t="shared" ca="1" si="617"/>
        <v>797.36612430804951</v>
      </c>
      <c r="U949" s="69">
        <f t="shared" ca="1" si="618"/>
        <v>1699.9073241804219</v>
      </c>
      <c r="V949" s="69">
        <f t="shared" ca="1" si="619"/>
        <v>1914.7953181785761</v>
      </c>
      <c r="W949" s="69">
        <f t="shared" ca="1" si="620"/>
        <v>1185.644919566465</v>
      </c>
      <c r="X949" s="69">
        <f t="shared" ca="1" si="621"/>
        <v>1493.583989489983</v>
      </c>
      <c r="Y949" s="69">
        <f t="shared" ca="1" si="622"/>
        <v>1199.8736835269929</v>
      </c>
      <c r="AA949" s="20">
        <f t="shared" ca="1" si="582"/>
        <v>6.5469773644920816E+16</v>
      </c>
      <c r="AB949" s="20">
        <f t="shared" ca="1" si="583"/>
        <v>1683543698896909.8</v>
      </c>
      <c r="AC949" s="20">
        <f t="shared" ca="1" si="584"/>
        <v>406548625379347.69</v>
      </c>
      <c r="AD949" s="20">
        <f t="shared" ca="1" si="585"/>
        <v>304350999971543.81</v>
      </c>
      <c r="AE949" s="20">
        <f t="shared" ca="1" si="586"/>
        <v>6916198103353879</v>
      </c>
      <c r="AG949" s="16">
        <f t="shared" ca="1" si="587"/>
        <v>5.1292594387738535E-5</v>
      </c>
      <c r="AH949" s="16">
        <f t="shared" ca="1" si="588"/>
        <v>-4.1893479736690637E-4</v>
      </c>
      <c r="AI949" s="16">
        <f t="shared" ca="1" si="589"/>
        <v>-2.1209566923680614E-4</v>
      </c>
      <c r="AJ949" s="16">
        <f t="shared" ca="1" si="590"/>
        <v>1.0224991081316758E-4</v>
      </c>
      <c r="AK949" s="16">
        <f t="shared" ca="1" si="591"/>
        <v>-5.0054751945702726E-4</v>
      </c>
      <c r="AM949" s="16">
        <f t="shared" ca="1" si="592"/>
        <v>-4.7748796140280645E-4</v>
      </c>
      <c r="AO949" s="16">
        <f t="shared" ca="1" si="593"/>
        <v>0</v>
      </c>
      <c r="AP949" s="16">
        <f t="shared" ca="1" si="594"/>
        <v>-4.1893479736690637E-4</v>
      </c>
      <c r="AQ949" s="16">
        <f t="shared" ca="1" si="595"/>
        <v>-2.1209566923680614E-4</v>
      </c>
      <c r="AR949" s="16">
        <f t="shared" ca="1" si="596"/>
        <v>0</v>
      </c>
      <c r="AS949" s="16">
        <f t="shared" ca="1" si="597"/>
        <v>-5.0054751945702726E-4</v>
      </c>
    </row>
    <row r="950" spans="1:45" x14ac:dyDescent="0.25">
      <c r="A950" s="69">
        <f t="shared" ca="1" si="598"/>
        <v>2446.621339513536</v>
      </c>
      <c r="B950" s="69">
        <f t="shared" ca="1" si="599"/>
        <v>2141.6100227290135</v>
      </c>
      <c r="C950" s="69">
        <f t="shared" ca="1" si="600"/>
        <v>2231.3697944689156</v>
      </c>
      <c r="D950" s="69">
        <f t="shared" ca="1" si="601"/>
        <v>2904.2324508982379</v>
      </c>
      <c r="E950" s="69">
        <f t="shared" ca="1" si="602"/>
        <v>1928.2042770141679</v>
      </c>
      <c r="F950" s="69">
        <f t="shared" ca="1" si="603"/>
        <v>1216.2551071270022</v>
      </c>
      <c r="G950" s="69">
        <f t="shared" ca="1" si="604"/>
        <v>971.06923845272377</v>
      </c>
      <c r="H950" s="69">
        <f t="shared" ca="1" si="605"/>
        <v>1188.8922847305539</v>
      </c>
      <c r="I950" s="69">
        <f t="shared" ca="1" si="606"/>
        <v>1052.4959237157539</v>
      </c>
      <c r="J950" s="69">
        <f t="shared" ca="1" si="607"/>
        <v>1138.6877477403309</v>
      </c>
      <c r="K950" s="69">
        <f t="shared" ca="1" si="608"/>
        <v>1171.56298534759</v>
      </c>
      <c r="L950" s="69">
        <f t="shared" ca="1" si="609"/>
        <v>959.35916510416484</v>
      </c>
      <c r="M950" s="69">
        <f t="shared" ca="1" si="610"/>
        <v>998.44700893732067</v>
      </c>
      <c r="N950" s="69">
        <f t="shared" ca="1" si="611"/>
        <v>573.11409948941809</v>
      </c>
      <c r="O950" s="69">
        <f t="shared" ca="1" si="612"/>
        <v>631.98591728973906</v>
      </c>
      <c r="P950" s="69">
        <f t="shared" ca="1" si="613"/>
        <v>717.56147002378123</v>
      </c>
      <c r="Q950" s="69">
        <f t="shared" ca="1" si="614"/>
        <v>962.16046664915712</v>
      </c>
      <c r="R950" s="69">
        <f t="shared" ca="1" si="615"/>
        <v>781.51280231274723</v>
      </c>
      <c r="S950" s="69">
        <f t="shared" ca="1" si="616"/>
        <v>707.27884024346179</v>
      </c>
      <c r="T950" s="69">
        <f t="shared" ca="1" si="617"/>
        <v>797.60112497462319</v>
      </c>
      <c r="U950" s="69">
        <f t="shared" ca="1" si="618"/>
        <v>1699.5571342708929</v>
      </c>
      <c r="V950" s="69">
        <f t="shared" ca="1" si="619"/>
        <v>1914.7953181785761</v>
      </c>
      <c r="W950" s="69">
        <f t="shared" ca="1" si="620"/>
        <v>1185.3373857054974</v>
      </c>
      <c r="X950" s="69">
        <f t="shared" ca="1" si="621"/>
        <v>1493.5315562378844</v>
      </c>
      <c r="Y950" s="69">
        <f t="shared" ca="1" si="622"/>
        <v>1199.8736835269929</v>
      </c>
      <c r="AA950" s="20">
        <f t="shared" ca="1" si="582"/>
        <v>6.547313184558972E+16</v>
      </c>
      <c r="AB950" s="20">
        <f t="shared" ca="1" si="583"/>
        <v>1682838551574242.5</v>
      </c>
      <c r="AC950" s="20">
        <f t="shared" ca="1" si="584"/>
        <v>406462407320132.25</v>
      </c>
      <c r="AD950" s="20">
        <f t="shared" ca="1" si="585"/>
        <v>304382121425202.63</v>
      </c>
      <c r="AE950" s="20">
        <f t="shared" ca="1" si="586"/>
        <v>6912737083823805</v>
      </c>
      <c r="AG950" s="16">
        <f t="shared" ca="1" si="587"/>
        <v>4.2171301889770067E-4</v>
      </c>
      <c r="AH950" s="16">
        <f t="shared" ca="1" si="588"/>
        <v>5.8098308715807189E-5</v>
      </c>
      <c r="AI950" s="16">
        <f t="shared" ca="1" si="589"/>
        <v>-4.8181258979194372E-4</v>
      </c>
      <c r="AJ950" s="16">
        <f t="shared" ca="1" si="590"/>
        <v>6.3173606786443275E-4</v>
      </c>
      <c r="AK950" s="16">
        <f t="shared" ca="1" si="591"/>
        <v>3.0646279911676058E-4</v>
      </c>
      <c r="AM950" s="16">
        <f t="shared" ca="1" si="592"/>
        <v>6.2973480568599693E-4</v>
      </c>
      <c r="AO950" s="16">
        <f t="shared" ca="1" si="593"/>
        <v>0</v>
      </c>
      <c r="AP950" s="16">
        <f t="shared" ca="1" si="594"/>
        <v>0</v>
      </c>
      <c r="AQ950" s="16">
        <f t="shared" ca="1" si="595"/>
        <v>-4.8181258979194372E-4</v>
      </c>
      <c r="AR950" s="16">
        <f t="shared" ca="1" si="596"/>
        <v>0</v>
      </c>
      <c r="AS950" s="16">
        <f t="shared" ca="1" si="597"/>
        <v>0</v>
      </c>
    </row>
    <row r="951" spans="1:45" x14ac:dyDescent="0.25">
      <c r="A951" s="69">
        <f t="shared" ca="1" si="598"/>
        <v>2446.621339513536</v>
      </c>
      <c r="B951" s="69">
        <f t="shared" ca="1" si="599"/>
        <v>2141.6100227290135</v>
      </c>
      <c r="C951" s="69">
        <f t="shared" ca="1" si="600"/>
        <v>2231.7796927844647</v>
      </c>
      <c r="D951" s="69">
        <f t="shared" ca="1" si="601"/>
        <v>2904.2324508982379</v>
      </c>
      <c r="E951" s="69">
        <f t="shared" ca="1" si="602"/>
        <v>1928.6633056236976</v>
      </c>
      <c r="F951" s="69">
        <f t="shared" ca="1" si="603"/>
        <v>1216.1717242242405</v>
      </c>
      <c r="G951" s="69">
        <f t="shared" ca="1" si="604"/>
        <v>970.96526449539328</v>
      </c>
      <c r="H951" s="69">
        <f t="shared" ca="1" si="605"/>
        <v>1188.6304759327229</v>
      </c>
      <c r="I951" s="69">
        <f t="shared" ca="1" si="606"/>
        <v>1052.7390299058275</v>
      </c>
      <c r="J951" s="69">
        <f t="shared" ca="1" si="607"/>
        <v>1138.941723637922</v>
      </c>
      <c r="K951" s="69">
        <f t="shared" ca="1" si="608"/>
        <v>1171.56298534759</v>
      </c>
      <c r="L951" s="69">
        <f t="shared" ca="1" si="609"/>
        <v>959.15896507156901</v>
      </c>
      <c r="M951" s="69">
        <f t="shared" ca="1" si="610"/>
        <v>998.46270340301953</v>
      </c>
      <c r="N951" s="69">
        <f t="shared" ca="1" si="611"/>
        <v>572.68530171645739</v>
      </c>
      <c r="O951" s="69">
        <f t="shared" ca="1" si="612"/>
        <v>632.27647048257643</v>
      </c>
      <c r="P951" s="69">
        <f t="shared" ca="1" si="613"/>
        <v>717.76128743065908</v>
      </c>
      <c r="Q951" s="69">
        <f t="shared" ca="1" si="614"/>
        <v>962.16046664915712</v>
      </c>
      <c r="R951" s="69">
        <f t="shared" ca="1" si="615"/>
        <v>781.84279008141573</v>
      </c>
      <c r="S951" s="69">
        <f t="shared" ca="1" si="616"/>
        <v>707.23014884269605</v>
      </c>
      <c r="T951" s="69">
        <f t="shared" ca="1" si="617"/>
        <v>797.60112497462319</v>
      </c>
      <c r="U951" s="69">
        <f t="shared" ca="1" si="618"/>
        <v>1699.9442101698942</v>
      </c>
      <c r="V951" s="69">
        <f t="shared" ca="1" si="619"/>
        <v>1915.261835543851</v>
      </c>
      <c r="W951" s="69">
        <f t="shared" ca="1" si="620"/>
        <v>1185.3346751778186</v>
      </c>
      <c r="X951" s="69">
        <f t="shared" ca="1" si="621"/>
        <v>1493.2887514082158</v>
      </c>
      <c r="Y951" s="69">
        <f t="shared" ca="1" si="622"/>
        <v>1199.8736835269929</v>
      </c>
      <c r="AA951" s="20">
        <f t="shared" ca="1" si="582"/>
        <v>6.55007485404276E+16</v>
      </c>
      <c r="AB951" s="20">
        <f t="shared" ca="1" si="583"/>
        <v>1682936324488123.8</v>
      </c>
      <c r="AC951" s="20">
        <f t="shared" ca="1" si="584"/>
        <v>406266615786208.94</v>
      </c>
      <c r="AD951" s="20">
        <f t="shared" ca="1" si="585"/>
        <v>304574471340512.5</v>
      </c>
      <c r="AE951" s="20">
        <f t="shared" ca="1" si="586"/>
        <v>6914855905233459</v>
      </c>
      <c r="AG951" s="16">
        <f t="shared" ca="1" si="587"/>
        <v>-1.6810604921645272E-4</v>
      </c>
      <c r="AH951" s="16">
        <f t="shared" ca="1" si="588"/>
        <v>3.6525963938647166E-4</v>
      </c>
      <c r="AI951" s="16">
        <f t="shared" ca="1" si="589"/>
        <v>-1.0096767880717044E-4</v>
      </c>
      <c r="AJ951" s="16">
        <f t="shared" ca="1" si="590"/>
        <v>3.6695371061301065E-4</v>
      </c>
      <c r="AK951" s="16">
        <f t="shared" ca="1" si="591"/>
        <v>2.9589824261242083E-5</v>
      </c>
      <c r="AM951" s="16">
        <f t="shared" ca="1" si="592"/>
        <v>4.6313962197585916E-4</v>
      </c>
      <c r="AO951" s="16">
        <f t="shared" ca="1" si="593"/>
        <v>-1.6810604921645272E-4</v>
      </c>
      <c r="AP951" s="16">
        <f t="shared" ca="1" si="594"/>
        <v>0</v>
      </c>
      <c r="AQ951" s="16">
        <f t="shared" ca="1" si="595"/>
        <v>-1.0096767880717044E-4</v>
      </c>
      <c r="AR951" s="16">
        <f t="shared" ca="1" si="596"/>
        <v>0</v>
      </c>
      <c r="AS951" s="16">
        <f t="shared" ca="1" si="597"/>
        <v>0</v>
      </c>
    </row>
    <row r="952" spans="1:45" x14ac:dyDescent="0.25">
      <c r="A952" s="69">
        <f t="shared" ca="1" si="598"/>
        <v>2446.695885236777</v>
      </c>
      <c r="B952" s="69">
        <f t="shared" ca="1" si="599"/>
        <v>2141.1140847772131</v>
      </c>
      <c r="C952" s="69">
        <f t="shared" ca="1" si="600"/>
        <v>2231.5286614025331</v>
      </c>
      <c r="D952" s="69">
        <f t="shared" ca="1" si="601"/>
        <v>2904.5623439282317</v>
      </c>
      <c r="E952" s="69">
        <f t="shared" ca="1" si="602"/>
        <v>1928.7248841445326</v>
      </c>
      <c r="F952" s="69">
        <f t="shared" ca="1" si="603"/>
        <v>1216.1717242242405</v>
      </c>
      <c r="G952" s="69">
        <f t="shared" ca="1" si="604"/>
        <v>971.26508822914218</v>
      </c>
      <c r="H952" s="69">
        <f t="shared" ca="1" si="605"/>
        <v>1188.6304759327229</v>
      </c>
      <c r="I952" s="69">
        <f t="shared" ca="1" si="606"/>
        <v>1052.7390299058275</v>
      </c>
      <c r="J952" s="69">
        <f t="shared" ca="1" si="607"/>
        <v>1139.0060961130957</v>
      </c>
      <c r="K952" s="69">
        <f t="shared" ca="1" si="608"/>
        <v>1171.56298534759</v>
      </c>
      <c r="L952" s="69">
        <f t="shared" ca="1" si="609"/>
        <v>959.15896507156901</v>
      </c>
      <c r="M952" s="69">
        <f t="shared" ca="1" si="610"/>
        <v>998.46270340301953</v>
      </c>
      <c r="N952" s="69">
        <f t="shared" ca="1" si="611"/>
        <v>572.24002076263878</v>
      </c>
      <c r="O952" s="69">
        <f t="shared" ca="1" si="612"/>
        <v>632.70458206229353</v>
      </c>
      <c r="P952" s="69">
        <f t="shared" ca="1" si="613"/>
        <v>718.12118130660713</v>
      </c>
      <c r="Q952" s="69">
        <f t="shared" ca="1" si="614"/>
        <v>962.09091045599655</v>
      </c>
      <c r="R952" s="69">
        <f t="shared" ca="1" si="615"/>
        <v>781.47517743561434</v>
      </c>
      <c r="S952" s="69">
        <f t="shared" ca="1" si="616"/>
        <v>707.23014884269605</v>
      </c>
      <c r="T952" s="69">
        <f t="shared" ca="1" si="617"/>
        <v>797.92682009227792</v>
      </c>
      <c r="U952" s="69">
        <f t="shared" ca="1" si="618"/>
        <v>1699.8216801953699</v>
      </c>
      <c r="V952" s="69">
        <f t="shared" ca="1" si="619"/>
        <v>1915.0440825790383</v>
      </c>
      <c r="W952" s="69">
        <f t="shared" ca="1" si="620"/>
        <v>1185.419569822209</v>
      </c>
      <c r="X952" s="69">
        <f t="shared" ca="1" si="621"/>
        <v>1493.5525635739878</v>
      </c>
      <c r="Y952" s="69">
        <f t="shared" ca="1" si="622"/>
        <v>1199.8342124362671</v>
      </c>
      <c r="AA952" s="20">
        <f t="shared" ca="1" si="582"/>
        <v>6.54897383938318E+16</v>
      </c>
      <c r="AB952" s="20">
        <f t="shared" ca="1" si="583"/>
        <v>1683551145480928.3</v>
      </c>
      <c r="AC952" s="20">
        <f t="shared" ca="1" si="584"/>
        <v>406225598059803.31</v>
      </c>
      <c r="AD952" s="20">
        <f t="shared" ca="1" si="585"/>
        <v>304686256581679.06</v>
      </c>
      <c r="AE952" s="20">
        <f t="shared" ca="1" si="586"/>
        <v>6915060517631694</v>
      </c>
      <c r="AG952" s="16">
        <f t="shared" ca="1" si="587"/>
        <v>2.8377522083847088E-4</v>
      </c>
      <c r="AH952" s="16">
        <f t="shared" ca="1" si="588"/>
        <v>-2.4054218258910028E-4</v>
      </c>
      <c r="AI952" s="16">
        <f t="shared" ca="1" si="589"/>
        <v>6.1847348399057941E-4</v>
      </c>
      <c r="AJ952" s="16">
        <f t="shared" ca="1" si="590"/>
        <v>1.2325361401825213E-4</v>
      </c>
      <c r="AK952" s="16">
        <f t="shared" ca="1" si="591"/>
        <v>3.3961422460774041E-4</v>
      </c>
      <c r="AM952" s="16">
        <f t="shared" ca="1" si="592"/>
        <v>7.8496013625820212E-4</v>
      </c>
      <c r="AO952" s="16">
        <f t="shared" ca="1" si="593"/>
        <v>0</v>
      </c>
      <c r="AP952" s="16">
        <f t="shared" ca="1" si="594"/>
        <v>-2.4054218258910028E-4</v>
      </c>
      <c r="AQ952" s="16">
        <f t="shared" ca="1" si="595"/>
        <v>0</v>
      </c>
      <c r="AR952" s="16">
        <f t="shared" ca="1" si="596"/>
        <v>0</v>
      </c>
      <c r="AS952" s="16">
        <f t="shared" ca="1" si="597"/>
        <v>0</v>
      </c>
    </row>
    <row r="953" spans="1:45" x14ac:dyDescent="0.25">
      <c r="A953" s="69">
        <f t="shared" ca="1" si="598"/>
        <v>2447.1785128200536</v>
      </c>
      <c r="B953" s="69">
        <f t="shared" ca="1" si="599"/>
        <v>2141.1140847772131</v>
      </c>
      <c r="C953" s="69">
        <f t="shared" ca="1" si="600"/>
        <v>2231.7217813369853</v>
      </c>
      <c r="D953" s="69">
        <f t="shared" ca="1" si="601"/>
        <v>2904.5623439282317</v>
      </c>
      <c r="E953" s="69">
        <f t="shared" ca="1" si="602"/>
        <v>1928.7248841445326</v>
      </c>
      <c r="F953" s="69">
        <f t="shared" ca="1" si="603"/>
        <v>1216.0832494205699</v>
      </c>
      <c r="G953" s="69">
        <f t="shared" ca="1" si="604"/>
        <v>971.21737246629471</v>
      </c>
      <c r="H953" s="69">
        <f t="shared" ca="1" si="605"/>
        <v>1188.6304759327229</v>
      </c>
      <c r="I953" s="69">
        <f t="shared" ca="1" si="606"/>
        <v>1053.0386323786386</v>
      </c>
      <c r="J953" s="69">
        <f t="shared" ca="1" si="607"/>
        <v>1138.5469242434606</v>
      </c>
      <c r="K953" s="69">
        <f t="shared" ca="1" si="608"/>
        <v>1171.9348391743372</v>
      </c>
      <c r="L953" s="69">
        <f t="shared" ca="1" si="609"/>
        <v>959.15896507156901</v>
      </c>
      <c r="M953" s="69">
        <f t="shared" ca="1" si="610"/>
        <v>998.46270340301953</v>
      </c>
      <c r="N953" s="69">
        <f t="shared" ca="1" si="611"/>
        <v>572.24002076263878</v>
      </c>
      <c r="O953" s="69">
        <f t="shared" ca="1" si="612"/>
        <v>632.89513332992101</v>
      </c>
      <c r="P953" s="69">
        <f t="shared" ca="1" si="613"/>
        <v>718.12118130660713</v>
      </c>
      <c r="Q953" s="69">
        <f t="shared" ca="1" si="614"/>
        <v>962.24745661857378</v>
      </c>
      <c r="R953" s="69">
        <f t="shared" ca="1" si="615"/>
        <v>781.12108219946356</v>
      </c>
      <c r="S953" s="69">
        <f t="shared" ca="1" si="616"/>
        <v>707.47134115852316</v>
      </c>
      <c r="T953" s="69">
        <f t="shared" ca="1" si="617"/>
        <v>797.98490051781221</v>
      </c>
      <c r="U953" s="69">
        <f t="shared" ca="1" si="618"/>
        <v>1699.3659899935546</v>
      </c>
      <c r="V953" s="69">
        <f t="shared" ca="1" si="619"/>
        <v>1915.5256581305923</v>
      </c>
      <c r="W953" s="69">
        <f t="shared" ca="1" si="620"/>
        <v>1185.55169524393</v>
      </c>
      <c r="X953" s="69">
        <f t="shared" ca="1" si="621"/>
        <v>1494.0375489167093</v>
      </c>
      <c r="Y953" s="69">
        <f t="shared" ca="1" si="622"/>
        <v>1199.7384384151926</v>
      </c>
      <c r="AA953" s="20">
        <f t="shared" ca="1" si="582"/>
        <v>6.5508325395947744E+16</v>
      </c>
      <c r="AB953" s="20">
        <f t="shared" ca="1" si="583"/>
        <v>1683146229115579.5</v>
      </c>
      <c r="AC953" s="20">
        <f t="shared" ca="1" si="584"/>
        <v>406476915529306.06</v>
      </c>
      <c r="AD953" s="20">
        <f t="shared" ca="1" si="585"/>
        <v>304723812578353.06</v>
      </c>
      <c r="AE953" s="20">
        <f t="shared" ca="1" si="586"/>
        <v>6917409369376661</v>
      </c>
      <c r="AG953" s="16">
        <f t="shared" ca="1" si="587"/>
        <v>2.8705452327533541E-4</v>
      </c>
      <c r="AH953" s="16">
        <f t="shared" ca="1" si="588"/>
        <v>6.2981459831715192E-4</v>
      </c>
      <c r="AI953" s="16">
        <f t="shared" ca="1" si="589"/>
        <v>8.4441335134154992E-5</v>
      </c>
      <c r="AJ953" s="16">
        <f t="shared" ca="1" si="590"/>
        <v>-6.8509791736127816E-4</v>
      </c>
      <c r="AK953" s="16">
        <f t="shared" ca="1" si="591"/>
        <v>-3.2476049550018461E-4</v>
      </c>
      <c r="AM953" s="16">
        <f t="shared" ca="1" si="592"/>
        <v>3.1621253936536407E-4</v>
      </c>
      <c r="AO953" s="16">
        <f t="shared" ca="1" si="593"/>
        <v>0</v>
      </c>
      <c r="AP953" s="16">
        <f t="shared" ca="1" si="594"/>
        <v>0</v>
      </c>
      <c r="AQ953" s="16">
        <f t="shared" ca="1" si="595"/>
        <v>0</v>
      </c>
      <c r="AR953" s="16">
        <f t="shared" ca="1" si="596"/>
        <v>-6.8509791736127816E-4</v>
      </c>
      <c r="AS953" s="16">
        <f t="shared" ca="1" si="597"/>
        <v>-3.2476049550018461E-4</v>
      </c>
    </row>
    <row r="954" spans="1:45" x14ac:dyDescent="0.25">
      <c r="A954" s="69">
        <f t="shared" ca="1" si="598"/>
        <v>2447.1785128200536</v>
      </c>
      <c r="B954" s="69">
        <f t="shared" ca="1" si="599"/>
        <v>2141.1140847772131</v>
      </c>
      <c r="C954" s="69">
        <f t="shared" ca="1" si="600"/>
        <v>2232.0696154494731</v>
      </c>
      <c r="D954" s="69">
        <f t="shared" ca="1" si="601"/>
        <v>2904.943469538935</v>
      </c>
      <c r="E954" s="69">
        <f t="shared" ca="1" si="602"/>
        <v>1928.7248841445326</v>
      </c>
      <c r="F954" s="69">
        <f t="shared" ca="1" si="603"/>
        <v>1216.2534080941446</v>
      </c>
      <c r="G954" s="69">
        <f t="shared" ca="1" si="604"/>
        <v>971.36059050039376</v>
      </c>
      <c r="H954" s="69">
        <f t="shared" ca="1" si="605"/>
        <v>1188.559081644383</v>
      </c>
      <c r="I954" s="69">
        <f t="shared" ca="1" si="606"/>
        <v>1053.0386323786386</v>
      </c>
      <c r="J954" s="69">
        <f t="shared" ca="1" si="607"/>
        <v>1139.0052992261997</v>
      </c>
      <c r="K954" s="69">
        <f t="shared" ca="1" si="608"/>
        <v>1171.9348391743372</v>
      </c>
      <c r="L954" s="69">
        <f t="shared" ca="1" si="609"/>
        <v>958.95824425317824</v>
      </c>
      <c r="M954" s="69">
        <f t="shared" ca="1" si="610"/>
        <v>997.9657394535908</v>
      </c>
      <c r="N954" s="69">
        <f t="shared" ca="1" si="611"/>
        <v>572.486152935213</v>
      </c>
      <c r="O954" s="69">
        <f t="shared" ca="1" si="612"/>
        <v>633.12400156377748</v>
      </c>
      <c r="P954" s="69">
        <f t="shared" ca="1" si="613"/>
        <v>717.67699270149649</v>
      </c>
      <c r="Q954" s="69">
        <f t="shared" ca="1" si="614"/>
        <v>962.24745661857378</v>
      </c>
      <c r="R954" s="69">
        <f t="shared" ca="1" si="615"/>
        <v>781.55727632716628</v>
      </c>
      <c r="S954" s="69">
        <f t="shared" ca="1" si="616"/>
        <v>707.47134115852316</v>
      </c>
      <c r="T954" s="69">
        <f t="shared" ca="1" si="617"/>
        <v>797.48661194452336</v>
      </c>
      <c r="U954" s="69">
        <f t="shared" ca="1" si="618"/>
        <v>1699.8030861711363</v>
      </c>
      <c r="V954" s="69">
        <f t="shared" ca="1" si="619"/>
        <v>1915.5256581305923</v>
      </c>
      <c r="W954" s="69">
        <f t="shared" ca="1" si="620"/>
        <v>1185.2369786796285</v>
      </c>
      <c r="X954" s="69">
        <f t="shared" ca="1" si="621"/>
        <v>1493.5648452462319</v>
      </c>
      <c r="Y954" s="69">
        <f t="shared" ca="1" si="622"/>
        <v>1199.7384384151926</v>
      </c>
      <c r="AA954" s="20">
        <f t="shared" ca="1" si="582"/>
        <v>6.552713255627592E+16</v>
      </c>
      <c r="AB954" s="20">
        <f t="shared" ca="1" si="583"/>
        <v>1684206633075673.8</v>
      </c>
      <c r="AC954" s="20">
        <f t="shared" ca="1" si="584"/>
        <v>406511240431954.44</v>
      </c>
      <c r="AD954" s="20">
        <f t="shared" ca="1" si="585"/>
        <v>304515118425112.81</v>
      </c>
      <c r="AE954" s="20">
        <f t="shared" ca="1" si="586"/>
        <v>6915163232830235</v>
      </c>
      <c r="AG954" s="16">
        <f t="shared" ca="1" si="587"/>
        <v>-1.6161129485440582E-4</v>
      </c>
      <c r="AH954" s="16">
        <f t="shared" ca="1" si="588"/>
        <v>-5.6963572075693089E-4</v>
      </c>
      <c r="AI954" s="16">
        <f t="shared" ca="1" si="589"/>
        <v>1.0439251254350588E-3</v>
      </c>
      <c r="AJ954" s="16">
        <f t="shared" ca="1" si="590"/>
        <v>-6.8915817209623976E-4</v>
      </c>
      <c r="AK954" s="16">
        <f t="shared" ca="1" si="591"/>
        <v>3.1532166869927935E-4</v>
      </c>
      <c r="AM954" s="16">
        <f t="shared" ca="1" si="592"/>
        <v>-3.7648006227251766E-4</v>
      </c>
      <c r="AO954" s="16">
        <f t="shared" ca="1" si="593"/>
        <v>-1.6161129485440582E-4</v>
      </c>
      <c r="AP954" s="16">
        <f t="shared" ca="1" si="594"/>
        <v>-5.6963572075693089E-4</v>
      </c>
      <c r="AQ954" s="16">
        <f t="shared" ca="1" si="595"/>
        <v>0</v>
      </c>
      <c r="AR954" s="16">
        <f t="shared" ca="1" si="596"/>
        <v>-6.8915817209623976E-4</v>
      </c>
      <c r="AS954" s="16">
        <f t="shared" ca="1" si="597"/>
        <v>0</v>
      </c>
    </row>
    <row r="955" spans="1:45" x14ac:dyDescent="0.25">
      <c r="A955" s="69">
        <f t="shared" ca="1" si="598"/>
        <v>2446.7824655633185</v>
      </c>
      <c r="B955" s="69">
        <f t="shared" ca="1" si="599"/>
        <v>2141.0389627368727</v>
      </c>
      <c r="C955" s="69">
        <f t="shared" ca="1" si="600"/>
        <v>2232.0696154494731</v>
      </c>
      <c r="D955" s="69">
        <f t="shared" ca="1" si="601"/>
        <v>2904.9081115783151</v>
      </c>
      <c r="E955" s="69">
        <f t="shared" ca="1" si="602"/>
        <v>1928.8164968069277</v>
      </c>
      <c r="F955" s="69">
        <f t="shared" ca="1" si="603"/>
        <v>1216.0566707937878</v>
      </c>
      <c r="G955" s="69">
        <f t="shared" ca="1" si="604"/>
        <v>971.18092637664313</v>
      </c>
      <c r="H955" s="69">
        <f t="shared" ca="1" si="605"/>
        <v>1188.7346210473868</v>
      </c>
      <c r="I955" s="69">
        <f t="shared" ca="1" si="606"/>
        <v>1052.6484828626142</v>
      </c>
      <c r="J955" s="69">
        <f t="shared" ca="1" si="607"/>
        <v>1139.0052992261997</v>
      </c>
      <c r="K955" s="69">
        <f t="shared" ca="1" si="608"/>
        <v>1172.2751882634905</v>
      </c>
      <c r="L955" s="69">
        <f t="shared" ca="1" si="609"/>
        <v>959.42691709748112</v>
      </c>
      <c r="M955" s="69">
        <f t="shared" ca="1" si="610"/>
        <v>997.92918872870712</v>
      </c>
      <c r="N955" s="69">
        <f t="shared" ca="1" si="611"/>
        <v>572.76337848643891</v>
      </c>
      <c r="O955" s="69">
        <f t="shared" ca="1" si="612"/>
        <v>633.00842499584553</v>
      </c>
      <c r="P955" s="69">
        <f t="shared" ca="1" si="613"/>
        <v>717.78316397607659</v>
      </c>
      <c r="Q955" s="69">
        <f t="shared" ca="1" si="614"/>
        <v>962.24745661857378</v>
      </c>
      <c r="R955" s="69">
        <f t="shared" ca="1" si="615"/>
        <v>781.57811752972395</v>
      </c>
      <c r="S955" s="69">
        <f t="shared" ca="1" si="616"/>
        <v>707.25053889422907</v>
      </c>
      <c r="T955" s="69">
        <f t="shared" ca="1" si="617"/>
        <v>797.04683869500832</v>
      </c>
      <c r="U955" s="69">
        <f t="shared" ca="1" si="618"/>
        <v>1699.7510738065791</v>
      </c>
      <c r="V955" s="69">
        <f t="shared" ca="1" si="619"/>
        <v>1915.6322511632152</v>
      </c>
      <c r="W955" s="69">
        <f t="shared" ca="1" si="620"/>
        <v>1185.4799641035936</v>
      </c>
      <c r="X955" s="69">
        <f t="shared" ca="1" si="621"/>
        <v>1493.5903674861834</v>
      </c>
      <c r="Y955" s="69">
        <f t="shared" ca="1" si="622"/>
        <v>1199.8202620273626</v>
      </c>
      <c r="AA955" s="20">
        <f t="shared" ca="1" si="582"/>
        <v>6.5516543487215032E+16</v>
      </c>
      <c r="AB955" s="20">
        <f t="shared" ca="1" si="583"/>
        <v>1683247522014233.3</v>
      </c>
      <c r="AC955" s="20">
        <f t="shared" ca="1" si="584"/>
        <v>406935829310553.31</v>
      </c>
      <c r="AD955" s="20">
        <f t="shared" ca="1" si="585"/>
        <v>304305331639165.25</v>
      </c>
      <c r="AE955" s="20">
        <f t="shared" ca="1" si="586"/>
        <v>6917344077455852</v>
      </c>
      <c r="AG955" s="16">
        <f t="shared" ca="1" si="587"/>
        <v>-3.7062389889480339E-5</v>
      </c>
      <c r="AH955" s="16">
        <f t="shared" ca="1" si="588"/>
        <v>5.8086246315725064E-4</v>
      </c>
      <c r="AI955" s="16">
        <f t="shared" ca="1" si="589"/>
        <v>2.1035213310146173E-4</v>
      </c>
      <c r="AJ955" s="16">
        <f t="shared" ca="1" si="590"/>
        <v>-1.2287900656278216E-4</v>
      </c>
      <c r="AK955" s="16">
        <f t="shared" ca="1" si="591"/>
        <v>-2.0496696531839857E-4</v>
      </c>
      <c r="AM955" s="16">
        <f t="shared" ca="1" si="592"/>
        <v>6.3127319980644993E-4</v>
      </c>
      <c r="AO955" s="16">
        <f t="shared" ca="1" si="593"/>
        <v>-3.7062389889480339E-5</v>
      </c>
      <c r="AP955" s="16">
        <f t="shared" ca="1" si="594"/>
        <v>0</v>
      </c>
      <c r="AQ955" s="16">
        <f t="shared" ca="1" si="595"/>
        <v>0</v>
      </c>
      <c r="AR955" s="16">
        <f t="shared" ca="1" si="596"/>
        <v>-1.2287900656278216E-4</v>
      </c>
      <c r="AS955" s="16">
        <f t="shared" ca="1" si="597"/>
        <v>-2.0496696531839857E-4</v>
      </c>
    </row>
    <row r="956" spans="1:45" x14ac:dyDescent="0.25">
      <c r="A956" s="69">
        <f t="shared" ca="1" si="598"/>
        <v>2446.7824655633185</v>
      </c>
      <c r="B956" s="69">
        <f t="shared" ca="1" si="599"/>
        <v>2141.0389627368727</v>
      </c>
      <c r="C956" s="69">
        <f t="shared" ca="1" si="600"/>
        <v>2231.9868911481144</v>
      </c>
      <c r="D956" s="69">
        <f t="shared" ca="1" si="601"/>
        <v>2904.9081115783151</v>
      </c>
      <c r="E956" s="69">
        <f t="shared" ca="1" si="602"/>
        <v>1928.8164968069277</v>
      </c>
      <c r="F956" s="69">
        <f t="shared" ca="1" si="603"/>
        <v>1216.3866421652294</v>
      </c>
      <c r="G956" s="69">
        <f t="shared" ca="1" si="604"/>
        <v>971.18092637664313</v>
      </c>
      <c r="H956" s="69">
        <f t="shared" ca="1" si="605"/>
        <v>1188.5506703431695</v>
      </c>
      <c r="I956" s="69">
        <f t="shared" ca="1" si="606"/>
        <v>1053.1373524339269</v>
      </c>
      <c r="J956" s="69">
        <f t="shared" ca="1" si="607"/>
        <v>1139.0052992261997</v>
      </c>
      <c r="K956" s="69">
        <f t="shared" ca="1" si="608"/>
        <v>1172.2751882634905</v>
      </c>
      <c r="L956" s="69">
        <f t="shared" ca="1" si="609"/>
        <v>959.18733745825955</v>
      </c>
      <c r="M956" s="69">
        <f t="shared" ca="1" si="610"/>
        <v>997.92918872870712</v>
      </c>
      <c r="N956" s="69">
        <f t="shared" ca="1" si="611"/>
        <v>572.7818659494767</v>
      </c>
      <c r="O956" s="69">
        <f t="shared" ca="1" si="612"/>
        <v>633.27929493058832</v>
      </c>
      <c r="P956" s="69">
        <f t="shared" ca="1" si="613"/>
        <v>718.1799727040792</v>
      </c>
      <c r="Q956" s="69">
        <f t="shared" ca="1" si="614"/>
        <v>961.98719068708044</v>
      </c>
      <c r="R956" s="69">
        <f t="shared" ca="1" si="615"/>
        <v>781.61948943750645</v>
      </c>
      <c r="S956" s="69">
        <f t="shared" ca="1" si="616"/>
        <v>707.3121189372838</v>
      </c>
      <c r="T956" s="69">
        <f t="shared" ca="1" si="617"/>
        <v>796.61253773103385</v>
      </c>
      <c r="U956" s="69">
        <f t="shared" ca="1" si="618"/>
        <v>1699.636616744905</v>
      </c>
      <c r="V956" s="69">
        <f t="shared" ca="1" si="619"/>
        <v>1915.6600048296691</v>
      </c>
      <c r="W956" s="69">
        <f t="shared" ca="1" si="620"/>
        <v>1185.2996484830469</v>
      </c>
      <c r="X956" s="69">
        <f t="shared" ca="1" si="621"/>
        <v>1493.5903674861834</v>
      </c>
      <c r="Y956" s="69">
        <f t="shared" ca="1" si="622"/>
        <v>1199.8202620273626</v>
      </c>
      <c r="AA956" s="20">
        <f t="shared" ca="1" si="582"/>
        <v>6.5514115332532984E+16</v>
      </c>
      <c r="AB956" s="20">
        <f t="shared" ca="1" si="583"/>
        <v>1684225541335831</v>
      </c>
      <c r="AC956" s="20">
        <f t="shared" ca="1" si="584"/>
        <v>407021438133967.88</v>
      </c>
      <c r="AD956" s="20">
        <f t="shared" ca="1" si="585"/>
        <v>304267941199618.75</v>
      </c>
      <c r="AE956" s="20">
        <f t="shared" ca="1" si="586"/>
        <v>6915926395726157</v>
      </c>
      <c r="AG956" s="16">
        <f t="shared" ca="1" si="587"/>
        <v>4.5918818719636021E-5</v>
      </c>
      <c r="AH956" s="16">
        <f t="shared" ca="1" si="588"/>
        <v>5.4782446028315591E-4</v>
      </c>
      <c r="AI956" s="16">
        <f t="shared" ca="1" si="589"/>
        <v>-5.6157521986914668E-4</v>
      </c>
      <c r="AJ956" s="16">
        <f t="shared" ca="1" si="590"/>
        <v>-5.2876650983790263E-5</v>
      </c>
      <c r="AK956" s="16">
        <f t="shared" ca="1" si="591"/>
        <v>9.6066782020116345E-5</v>
      </c>
      <c r="AM956" s="16">
        <f t="shared" ca="1" si="592"/>
        <v>-2.0708591850145064E-5</v>
      </c>
      <c r="AO956" s="16">
        <f t="shared" ca="1" si="593"/>
        <v>0</v>
      </c>
      <c r="AP956" s="16">
        <f t="shared" ca="1" si="594"/>
        <v>0</v>
      </c>
      <c r="AQ956" s="16">
        <f t="shared" ca="1" si="595"/>
        <v>-5.6157521986914668E-4</v>
      </c>
      <c r="AR956" s="16">
        <f t="shared" ca="1" si="596"/>
        <v>-5.2876650983790263E-5</v>
      </c>
      <c r="AS956" s="16">
        <f t="shared" ca="1" si="597"/>
        <v>0</v>
      </c>
    </row>
    <row r="957" spans="1:45" x14ac:dyDescent="0.25">
      <c r="A957" s="69">
        <f t="shared" ca="1" si="598"/>
        <v>2447.1825605569047</v>
      </c>
      <c r="B957" s="69">
        <f t="shared" ca="1" si="599"/>
        <v>2141.0389627368727</v>
      </c>
      <c r="C957" s="69">
        <f t="shared" ca="1" si="600"/>
        <v>2231.51351455333</v>
      </c>
      <c r="D957" s="69">
        <f t="shared" ca="1" si="601"/>
        <v>2905.0856581616636</v>
      </c>
      <c r="E957" s="69">
        <f t="shared" ca="1" si="602"/>
        <v>1928.8809314230828</v>
      </c>
      <c r="F957" s="69">
        <f t="shared" ca="1" si="603"/>
        <v>1216.3866421652294</v>
      </c>
      <c r="G957" s="69">
        <f t="shared" ca="1" si="604"/>
        <v>971.67507032666197</v>
      </c>
      <c r="H957" s="69">
        <f t="shared" ca="1" si="605"/>
        <v>1188.5506703431695</v>
      </c>
      <c r="I957" s="69">
        <f t="shared" ca="1" si="606"/>
        <v>1052.8371089550312</v>
      </c>
      <c r="J957" s="69">
        <f t="shared" ca="1" si="607"/>
        <v>1139.3747174929401</v>
      </c>
      <c r="K957" s="69">
        <f t="shared" ca="1" si="608"/>
        <v>1172.4569409816634</v>
      </c>
      <c r="L957" s="69">
        <f t="shared" ca="1" si="609"/>
        <v>958.72388934277274</v>
      </c>
      <c r="M957" s="69">
        <f t="shared" ca="1" si="610"/>
        <v>998.38612146876119</v>
      </c>
      <c r="N957" s="69">
        <f t="shared" ca="1" si="611"/>
        <v>572.38615441033312</v>
      </c>
      <c r="O957" s="69">
        <f t="shared" ca="1" si="612"/>
        <v>633.27929493058832</v>
      </c>
      <c r="P957" s="69">
        <f t="shared" ca="1" si="613"/>
        <v>718.1799727040792</v>
      </c>
      <c r="Q957" s="69">
        <f t="shared" ca="1" si="614"/>
        <v>962.32429187827006</v>
      </c>
      <c r="R957" s="69">
        <f t="shared" ca="1" si="615"/>
        <v>781.61948943750645</v>
      </c>
      <c r="S957" s="69">
        <f t="shared" ca="1" si="616"/>
        <v>707.02696203676385</v>
      </c>
      <c r="T957" s="69">
        <f t="shared" ca="1" si="617"/>
        <v>796.61253773103385</v>
      </c>
      <c r="U957" s="69">
        <f t="shared" ca="1" si="618"/>
        <v>1699.636616744905</v>
      </c>
      <c r="V957" s="69">
        <f t="shared" ca="1" si="619"/>
        <v>1915.8166849321196</v>
      </c>
      <c r="W957" s="69">
        <f t="shared" ca="1" si="620"/>
        <v>1185.5887318570476</v>
      </c>
      <c r="X957" s="69">
        <f t="shared" ca="1" si="621"/>
        <v>1493.5903674861834</v>
      </c>
      <c r="Y957" s="69">
        <f t="shared" ca="1" si="622"/>
        <v>1199.544839176755</v>
      </c>
      <c r="AA957" s="20">
        <f t="shared" ca="1" si="582"/>
        <v>6.5517123732389072E+16</v>
      </c>
      <c r="AB957" s="20">
        <f t="shared" ca="1" si="583"/>
        <v>1685148454058009</v>
      </c>
      <c r="AC957" s="20">
        <f t="shared" ca="1" si="584"/>
        <v>406792929148853.44</v>
      </c>
      <c r="AD957" s="20">
        <f t="shared" ca="1" si="585"/>
        <v>304251852955236.38</v>
      </c>
      <c r="AE957" s="20">
        <f t="shared" ca="1" si="586"/>
        <v>6916590818433647</v>
      </c>
      <c r="AG957" s="16">
        <f t="shared" ca="1" si="587"/>
        <v>1.4656930802187785E-4</v>
      </c>
      <c r="AH957" s="16">
        <f t="shared" ca="1" si="588"/>
        <v>-2.4735380536755592E-5</v>
      </c>
      <c r="AI957" s="16">
        <f t="shared" ca="1" si="589"/>
        <v>-6.1920454382268376E-4</v>
      </c>
      <c r="AJ957" s="16">
        <f t="shared" ca="1" si="590"/>
        <v>-2.2630953554848217E-4</v>
      </c>
      <c r="AK957" s="16">
        <f t="shared" ca="1" si="591"/>
        <v>3.6760128312584396E-4</v>
      </c>
      <c r="AM957" s="16">
        <f t="shared" ca="1" si="592"/>
        <v>-7.2368015188604366E-4</v>
      </c>
      <c r="AO957" s="16">
        <f t="shared" ca="1" si="593"/>
        <v>0</v>
      </c>
      <c r="AP957" s="16">
        <f t="shared" ca="1" si="594"/>
        <v>-2.4735380536755592E-5</v>
      </c>
      <c r="AQ957" s="16">
        <f t="shared" ca="1" si="595"/>
        <v>-6.1920454382268376E-4</v>
      </c>
      <c r="AR957" s="16">
        <f t="shared" ca="1" si="596"/>
        <v>-2.2630953554848217E-4</v>
      </c>
      <c r="AS957" s="16">
        <f t="shared" ca="1" si="597"/>
        <v>0</v>
      </c>
    </row>
    <row r="958" spans="1:45" x14ac:dyDescent="0.25">
      <c r="A958" s="69">
        <f t="shared" ca="1" si="598"/>
        <v>2447.1825605569047</v>
      </c>
      <c r="B958" s="69">
        <f t="shared" ca="1" si="599"/>
        <v>2140.9414286663655</v>
      </c>
      <c r="C958" s="69">
        <f t="shared" ca="1" si="600"/>
        <v>2231.51351455333</v>
      </c>
      <c r="D958" s="69">
        <f t="shared" ca="1" si="601"/>
        <v>2905.0944745349989</v>
      </c>
      <c r="E958" s="69">
        <f t="shared" ca="1" si="602"/>
        <v>1929.2456981883731</v>
      </c>
      <c r="F958" s="69">
        <f t="shared" ca="1" si="603"/>
        <v>1216.3866421652294</v>
      </c>
      <c r="G958" s="69">
        <f t="shared" ca="1" si="604"/>
        <v>971.31025448697824</v>
      </c>
      <c r="H958" s="69">
        <f t="shared" ca="1" si="605"/>
        <v>1188.8101561369904</v>
      </c>
      <c r="I958" s="69">
        <f t="shared" ca="1" si="606"/>
        <v>1052.9766066964223</v>
      </c>
      <c r="J958" s="69">
        <f t="shared" ca="1" si="607"/>
        <v>1139.3747174929401</v>
      </c>
      <c r="K958" s="69">
        <f t="shared" ca="1" si="608"/>
        <v>1172.4569409816634</v>
      </c>
      <c r="L958" s="69">
        <f t="shared" ca="1" si="609"/>
        <v>958.72388934277274</v>
      </c>
      <c r="M958" s="69">
        <f t="shared" ca="1" si="610"/>
        <v>997.88965232067278</v>
      </c>
      <c r="N958" s="69">
        <f t="shared" ca="1" si="611"/>
        <v>572.11141509384265</v>
      </c>
      <c r="O958" s="69">
        <f t="shared" ca="1" si="612"/>
        <v>633.5062367087811</v>
      </c>
      <c r="P958" s="69">
        <f t="shared" ca="1" si="613"/>
        <v>717.9350602832734</v>
      </c>
      <c r="Q958" s="69">
        <f t="shared" ca="1" si="614"/>
        <v>962.33587755447616</v>
      </c>
      <c r="R958" s="69">
        <f t="shared" ca="1" si="615"/>
        <v>781.69978745918274</v>
      </c>
      <c r="S958" s="69">
        <f t="shared" ca="1" si="616"/>
        <v>707.02696203676385</v>
      </c>
      <c r="T958" s="69">
        <f t="shared" ca="1" si="617"/>
        <v>796.61253773103385</v>
      </c>
      <c r="U958" s="69">
        <f t="shared" ca="1" si="618"/>
        <v>1700.0289735140466</v>
      </c>
      <c r="V958" s="69">
        <f t="shared" ca="1" si="619"/>
        <v>1915.8166849321196</v>
      </c>
      <c r="W958" s="69">
        <f t="shared" ca="1" si="620"/>
        <v>1185.5887318570476</v>
      </c>
      <c r="X958" s="69">
        <f t="shared" ca="1" si="621"/>
        <v>1493.7946754659845</v>
      </c>
      <c r="Y958" s="69">
        <f t="shared" ca="1" si="622"/>
        <v>1199.544839176755</v>
      </c>
      <c r="AA958" s="20">
        <f t="shared" ca="1" si="582"/>
        <v>6.5526727235650328E+16</v>
      </c>
      <c r="AB958" s="20">
        <f t="shared" ca="1" si="583"/>
        <v>1685106771785252.5</v>
      </c>
      <c r="AC958" s="20">
        <f t="shared" ca="1" si="584"/>
        <v>406541119087742.19</v>
      </c>
      <c r="AD958" s="20">
        <f t="shared" ca="1" si="585"/>
        <v>304183005650398.94</v>
      </c>
      <c r="AE958" s="20">
        <f t="shared" ca="1" si="586"/>
        <v>6919133833472519</v>
      </c>
      <c r="AG958" s="16">
        <f t="shared" ca="1" si="587"/>
        <v>3.3582191803015649E-4</v>
      </c>
      <c r="AH958" s="16">
        <f t="shared" ca="1" si="588"/>
        <v>2.8990309707413702E-4</v>
      </c>
      <c r="AI958" s="16">
        <f t="shared" ca="1" si="589"/>
        <v>6.2377239856769911E-4</v>
      </c>
      <c r="AJ958" s="16">
        <f t="shared" ca="1" si="590"/>
        <v>4.5378995290880619E-4</v>
      </c>
      <c r="AK958" s="16">
        <f t="shared" ca="1" si="591"/>
        <v>-2.3535038351793413E-4</v>
      </c>
      <c r="AM958" s="16">
        <f t="shared" ca="1" si="592"/>
        <v>1.7032873665807986E-3</v>
      </c>
      <c r="AO958" s="16">
        <f t="shared" ca="1" si="593"/>
        <v>0</v>
      </c>
      <c r="AP958" s="16">
        <f t="shared" ca="1" si="594"/>
        <v>0</v>
      </c>
      <c r="AQ958" s="16">
        <f t="shared" ca="1" si="595"/>
        <v>0</v>
      </c>
      <c r="AR958" s="16">
        <f t="shared" ca="1" si="596"/>
        <v>0</v>
      </c>
      <c r="AS958" s="16">
        <f t="shared" ca="1" si="597"/>
        <v>-2.3535038351793413E-4</v>
      </c>
    </row>
    <row r="959" spans="1:45" x14ac:dyDescent="0.25">
      <c r="A959" s="69">
        <f t="shared" ca="1" si="598"/>
        <v>2447.5484035649379</v>
      </c>
      <c r="B959" s="69">
        <f t="shared" ca="1" si="599"/>
        <v>2140.9414286663655</v>
      </c>
      <c r="C959" s="69">
        <f t="shared" ca="1" si="600"/>
        <v>2231.9293679426096</v>
      </c>
      <c r="D959" s="69">
        <f t="shared" ca="1" si="601"/>
        <v>2905.0944745349989</v>
      </c>
      <c r="E959" s="69">
        <f t="shared" ca="1" si="602"/>
        <v>1929.2456981883731</v>
      </c>
      <c r="F959" s="69">
        <f t="shared" ca="1" si="603"/>
        <v>1216.7401681728154</v>
      </c>
      <c r="G959" s="69">
        <f t="shared" ca="1" si="604"/>
        <v>971.30958341895803</v>
      </c>
      <c r="H959" s="69">
        <f t="shared" ca="1" si="605"/>
        <v>1188.8101561369904</v>
      </c>
      <c r="I959" s="69">
        <f t="shared" ca="1" si="606"/>
        <v>1052.9766066964223</v>
      </c>
      <c r="J959" s="69">
        <f t="shared" ca="1" si="607"/>
        <v>1139.3747174929401</v>
      </c>
      <c r="K959" s="69">
        <f t="shared" ca="1" si="608"/>
        <v>1172.4775191256499</v>
      </c>
      <c r="L959" s="69">
        <f t="shared" ca="1" si="609"/>
        <v>958.87637056610117</v>
      </c>
      <c r="M959" s="69">
        <f t="shared" ca="1" si="610"/>
        <v>997.83586797759449</v>
      </c>
      <c r="N959" s="69">
        <f t="shared" ca="1" si="611"/>
        <v>572.01550916426197</v>
      </c>
      <c r="O959" s="69">
        <f t="shared" ca="1" si="612"/>
        <v>633.93002715278487</v>
      </c>
      <c r="P959" s="69">
        <f t="shared" ca="1" si="613"/>
        <v>717.90608966073262</v>
      </c>
      <c r="Q959" s="69">
        <f t="shared" ca="1" si="614"/>
        <v>962.33587755447616</v>
      </c>
      <c r="R959" s="69">
        <f t="shared" ca="1" si="615"/>
        <v>782.08218620721846</v>
      </c>
      <c r="S959" s="69">
        <f t="shared" ca="1" si="616"/>
        <v>707.02696203676385</v>
      </c>
      <c r="T959" s="69">
        <f t="shared" ca="1" si="617"/>
        <v>796.61658001558578</v>
      </c>
      <c r="U959" s="69">
        <f t="shared" ca="1" si="618"/>
        <v>1700.0289735140466</v>
      </c>
      <c r="V959" s="69">
        <f t="shared" ca="1" si="619"/>
        <v>1915.975157033964</v>
      </c>
      <c r="W959" s="69">
        <f t="shared" ca="1" si="620"/>
        <v>1185.2116978467768</v>
      </c>
      <c r="X959" s="69">
        <f t="shared" ca="1" si="621"/>
        <v>1493.7946754659845</v>
      </c>
      <c r="Y959" s="69">
        <f t="shared" ca="1" si="622"/>
        <v>1199.544839176755</v>
      </c>
      <c r="AA959" s="20">
        <f t="shared" ca="1" si="582"/>
        <v>6.5548736242219408E+16</v>
      </c>
      <c r="AB959" s="20">
        <f t="shared" ca="1" si="583"/>
        <v>1685595360275530</v>
      </c>
      <c r="AC959" s="20">
        <f t="shared" ca="1" si="584"/>
        <v>406794787324109.06</v>
      </c>
      <c r="AD959" s="20">
        <f t="shared" ca="1" si="585"/>
        <v>304321072166438.31</v>
      </c>
      <c r="AE959" s="20">
        <f t="shared" ca="1" si="586"/>
        <v>6917505604280897</v>
      </c>
      <c r="AG959" s="16">
        <f t="shared" ca="1" si="587"/>
        <v>-3.3680150309379429E-4</v>
      </c>
      <c r="AH959" s="16">
        <f t="shared" ca="1" si="588"/>
        <v>-1.0270774953036362E-3</v>
      </c>
      <c r="AI959" s="16">
        <f t="shared" ca="1" si="589"/>
        <v>5.1244299976479081E-4</v>
      </c>
      <c r="AJ959" s="16">
        <f t="shared" ca="1" si="590"/>
        <v>1.0679000904370286E-3</v>
      </c>
      <c r="AK959" s="16">
        <f t="shared" ca="1" si="591"/>
        <v>-1.7270296519344646E-4</v>
      </c>
      <c r="AM959" s="16">
        <f t="shared" ca="1" si="592"/>
        <v>2.1646409180438894E-4</v>
      </c>
      <c r="AO959" s="16">
        <f t="shared" ca="1" si="593"/>
        <v>-3.3680150309379429E-4</v>
      </c>
      <c r="AP959" s="16">
        <f t="shared" ca="1" si="594"/>
        <v>-1.0270774953036362E-3</v>
      </c>
      <c r="AQ959" s="16">
        <f t="shared" ca="1" si="595"/>
        <v>0</v>
      </c>
      <c r="AR959" s="16">
        <f t="shared" ca="1" si="596"/>
        <v>0</v>
      </c>
      <c r="AS959" s="16">
        <f t="shared" ca="1" si="597"/>
        <v>-1.7270296519344646E-4</v>
      </c>
    </row>
    <row r="960" spans="1:45" x14ac:dyDescent="0.25">
      <c r="A960" s="69">
        <f t="shared" ca="1" si="598"/>
        <v>2447.1001742439066</v>
      </c>
      <c r="B960" s="69">
        <f t="shared" ca="1" si="599"/>
        <v>2140.9414286663655</v>
      </c>
      <c r="C960" s="69">
        <f t="shared" ca="1" si="600"/>
        <v>2231.9293679426096</v>
      </c>
      <c r="D960" s="69">
        <f t="shared" ca="1" si="601"/>
        <v>2904.7234585395108</v>
      </c>
      <c r="E960" s="69">
        <f t="shared" ca="1" si="602"/>
        <v>1929.1956727564907</v>
      </c>
      <c r="F960" s="69">
        <f t="shared" ca="1" si="603"/>
        <v>1216.3002061194916</v>
      </c>
      <c r="G960" s="69">
        <f t="shared" ca="1" si="604"/>
        <v>971.30958341895803</v>
      </c>
      <c r="H960" s="69">
        <f t="shared" ca="1" si="605"/>
        <v>1188.5548757864362</v>
      </c>
      <c r="I960" s="69">
        <f t="shared" ca="1" si="606"/>
        <v>1052.5021768187503</v>
      </c>
      <c r="J960" s="69">
        <f t="shared" ca="1" si="607"/>
        <v>1139.3747174929401</v>
      </c>
      <c r="K960" s="69">
        <f t="shared" ca="1" si="608"/>
        <v>1172.6203251221584</v>
      </c>
      <c r="L960" s="69">
        <f t="shared" ca="1" si="609"/>
        <v>959.26832204956111</v>
      </c>
      <c r="M960" s="69">
        <f t="shared" ca="1" si="610"/>
        <v>997.83586797759449</v>
      </c>
      <c r="N960" s="69">
        <f t="shared" ca="1" si="611"/>
        <v>572.00519822779995</v>
      </c>
      <c r="O960" s="69">
        <f t="shared" ca="1" si="612"/>
        <v>633.93002715278487</v>
      </c>
      <c r="P960" s="69">
        <f t="shared" ca="1" si="613"/>
        <v>718.31967393311356</v>
      </c>
      <c r="Q960" s="69">
        <f t="shared" ca="1" si="614"/>
        <v>962.33587755447616</v>
      </c>
      <c r="R960" s="69">
        <f t="shared" ca="1" si="615"/>
        <v>782.1268361519642</v>
      </c>
      <c r="S960" s="69">
        <f t="shared" ca="1" si="616"/>
        <v>707.33449970692868</v>
      </c>
      <c r="T960" s="69">
        <f t="shared" ca="1" si="617"/>
        <v>796.61658001558578</v>
      </c>
      <c r="U960" s="69">
        <f t="shared" ca="1" si="618"/>
        <v>1699.9000756331204</v>
      </c>
      <c r="V960" s="69">
        <f t="shared" ca="1" si="619"/>
        <v>1915.975157033964</v>
      </c>
      <c r="W960" s="69">
        <f t="shared" ca="1" si="620"/>
        <v>1185.2116978467768</v>
      </c>
      <c r="X960" s="69">
        <f t="shared" ca="1" si="621"/>
        <v>1493.6285561240445</v>
      </c>
      <c r="Y960" s="69">
        <f t="shared" ca="1" si="622"/>
        <v>1199.562032807049</v>
      </c>
      <c r="AA960" s="20">
        <f t="shared" ca="1" si="582"/>
        <v>6.5526663046678504E+16</v>
      </c>
      <c r="AB960" s="20">
        <f t="shared" ca="1" si="583"/>
        <v>1683865011967816</v>
      </c>
      <c r="AC960" s="20">
        <f t="shared" ca="1" si="584"/>
        <v>407003299886052.56</v>
      </c>
      <c r="AD960" s="20">
        <f t="shared" ca="1" si="585"/>
        <v>304646230254201.25</v>
      </c>
      <c r="AE960" s="20">
        <f t="shared" ca="1" si="586"/>
        <v>6916311033707205</v>
      </c>
      <c r="AG960" s="16">
        <f t="shared" ca="1" si="587"/>
        <v>-3.2674749359230067E-4</v>
      </c>
      <c r="AH960" s="16">
        <f t="shared" ca="1" si="588"/>
        <v>-7.9283635420595894E-5</v>
      </c>
      <c r="AI960" s="16">
        <f t="shared" ca="1" si="589"/>
        <v>-3.5572712830477475E-4</v>
      </c>
      <c r="AJ960" s="16">
        <f t="shared" ca="1" si="590"/>
        <v>-1.0348743966498307E-3</v>
      </c>
      <c r="AK960" s="16">
        <f t="shared" ca="1" si="591"/>
        <v>1.360416015535234E-4</v>
      </c>
      <c r="AM960" s="16">
        <f t="shared" ca="1" si="592"/>
        <v>-1.7966326539675019E-3</v>
      </c>
      <c r="AO960" s="16">
        <f t="shared" ca="1" si="593"/>
        <v>-3.2674749359230067E-4</v>
      </c>
      <c r="AP960" s="16">
        <f t="shared" ca="1" si="594"/>
        <v>-7.9283635420595894E-5</v>
      </c>
      <c r="AQ960" s="16">
        <f t="shared" ca="1" si="595"/>
        <v>-3.5572712830477475E-4</v>
      </c>
      <c r="AR960" s="16">
        <f t="shared" ca="1" si="596"/>
        <v>-1.0348743966498307E-3</v>
      </c>
      <c r="AS960" s="16">
        <f t="shared" ca="1" si="597"/>
        <v>0</v>
      </c>
    </row>
    <row r="961" spans="1:45" x14ac:dyDescent="0.25">
      <c r="A961" s="69">
        <f t="shared" ca="1" si="598"/>
        <v>2446.8715332849479</v>
      </c>
      <c r="B961" s="69">
        <f t="shared" ca="1" si="599"/>
        <v>2140.5595989377875</v>
      </c>
      <c r="C961" s="69">
        <f t="shared" ca="1" si="600"/>
        <v>2232.3795833277077</v>
      </c>
      <c r="D961" s="69">
        <f t="shared" ca="1" si="601"/>
        <v>2904.5158209122533</v>
      </c>
      <c r="E961" s="69">
        <f t="shared" ca="1" si="602"/>
        <v>1928.8385011969258</v>
      </c>
      <c r="F961" s="69">
        <f t="shared" ca="1" si="603"/>
        <v>1216.3696618391555</v>
      </c>
      <c r="G961" s="69">
        <f t="shared" ca="1" si="604"/>
        <v>971.53626477218859</v>
      </c>
      <c r="H961" s="69">
        <f t="shared" ca="1" si="605"/>
        <v>1188.1680274370156</v>
      </c>
      <c r="I961" s="69">
        <f t="shared" ca="1" si="606"/>
        <v>1052.5021768187503</v>
      </c>
      <c r="J961" s="69">
        <f t="shared" ca="1" si="607"/>
        <v>1139.324352519375</v>
      </c>
      <c r="K961" s="69">
        <f t="shared" ca="1" si="608"/>
        <v>1172.6203251221584</v>
      </c>
      <c r="L961" s="69">
        <f t="shared" ca="1" si="609"/>
        <v>959.26832204956111</v>
      </c>
      <c r="M961" s="69">
        <f t="shared" ca="1" si="610"/>
        <v>998.318523468732</v>
      </c>
      <c r="N961" s="69">
        <f t="shared" ca="1" si="611"/>
        <v>571.52530854957035</v>
      </c>
      <c r="O961" s="69">
        <f t="shared" ca="1" si="612"/>
        <v>633.93002715278487</v>
      </c>
      <c r="P961" s="69">
        <f t="shared" ca="1" si="613"/>
        <v>718.30378744819882</v>
      </c>
      <c r="Q961" s="69">
        <f t="shared" ca="1" si="614"/>
        <v>961.8599884638129</v>
      </c>
      <c r="R961" s="69">
        <f t="shared" ca="1" si="615"/>
        <v>782.1268361519642</v>
      </c>
      <c r="S961" s="69">
        <f t="shared" ca="1" si="616"/>
        <v>707.02819252446352</v>
      </c>
      <c r="T961" s="69">
        <f t="shared" ca="1" si="617"/>
        <v>796.54888401593041</v>
      </c>
      <c r="U961" s="69">
        <f t="shared" ca="1" si="618"/>
        <v>1699.9000756331204</v>
      </c>
      <c r="V961" s="69">
        <f t="shared" ca="1" si="619"/>
        <v>1915.975157033964</v>
      </c>
      <c r="W961" s="69">
        <f t="shared" ca="1" si="620"/>
        <v>1185.2116978467768</v>
      </c>
      <c r="X961" s="69">
        <f t="shared" ca="1" si="621"/>
        <v>1493.5326340529282</v>
      </c>
      <c r="Y961" s="69">
        <f t="shared" ca="1" si="622"/>
        <v>1199.8022865511166</v>
      </c>
      <c r="AA961" s="20">
        <f t="shared" ca="1" si="582"/>
        <v>6.550525587132544E+16</v>
      </c>
      <c r="AB961" s="20">
        <f t="shared" ca="1" si="583"/>
        <v>1683731514320269</v>
      </c>
      <c r="AC961" s="20">
        <f t="shared" ca="1" si="584"/>
        <v>406858543519383.31</v>
      </c>
      <c r="AD961" s="20">
        <f t="shared" ca="1" si="585"/>
        <v>304331122746943.44</v>
      </c>
      <c r="AE961" s="20">
        <f t="shared" ca="1" si="586"/>
        <v>6917252003741157</v>
      </c>
      <c r="AG961" s="16">
        <f t="shared" ca="1" si="587"/>
        <v>-2.3164354990768161E-4</v>
      </c>
      <c r="AH961" s="16">
        <f t="shared" ca="1" si="588"/>
        <v>3.8126103335064406E-4</v>
      </c>
      <c r="AI961" s="16">
        <f t="shared" ca="1" si="589"/>
        <v>-2.0173773171617651E-4</v>
      </c>
      <c r="AJ961" s="16">
        <f t="shared" ca="1" si="590"/>
        <v>8.3053406223156749E-5</v>
      </c>
      <c r="AK961" s="16">
        <f t="shared" ca="1" si="591"/>
        <v>-3.7318979338831751E-4</v>
      </c>
      <c r="AM961" s="16">
        <f t="shared" ca="1" si="592"/>
        <v>3.0933157949942686E-5</v>
      </c>
      <c r="AO961" s="16">
        <f t="shared" ca="1" si="593"/>
        <v>-2.3164354990768161E-4</v>
      </c>
      <c r="AP961" s="16">
        <f t="shared" ca="1" si="594"/>
        <v>0</v>
      </c>
      <c r="AQ961" s="16">
        <f t="shared" ca="1" si="595"/>
        <v>-2.0173773171617651E-4</v>
      </c>
      <c r="AR961" s="16">
        <f t="shared" ca="1" si="596"/>
        <v>0</v>
      </c>
      <c r="AS961" s="16">
        <f t="shared" ca="1" si="597"/>
        <v>-3.7318979338831751E-4</v>
      </c>
    </row>
    <row r="962" spans="1:45" x14ac:dyDescent="0.25">
      <c r="A962" s="69">
        <f t="shared" ca="1" si="598"/>
        <v>2446.6753723969746</v>
      </c>
      <c r="B962" s="69">
        <f t="shared" ca="1" si="599"/>
        <v>2140.2918356430991</v>
      </c>
      <c r="C962" s="69">
        <f t="shared" ca="1" si="600"/>
        <v>2232.6779834687277</v>
      </c>
      <c r="D962" s="69">
        <f t="shared" ca="1" si="601"/>
        <v>2904.3353027710136</v>
      </c>
      <c r="E962" s="69">
        <f t="shared" ca="1" si="602"/>
        <v>1928.6497127957487</v>
      </c>
      <c r="F962" s="69">
        <f t="shared" ca="1" si="603"/>
        <v>1216.6432699907846</v>
      </c>
      <c r="G962" s="69">
        <f t="shared" ca="1" si="604"/>
        <v>971.53626477218859</v>
      </c>
      <c r="H962" s="69">
        <f t="shared" ca="1" si="605"/>
        <v>1188.1680274370156</v>
      </c>
      <c r="I962" s="69">
        <f t="shared" ca="1" si="606"/>
        <v>1052.6667462994842</v>
      </c>
      <c r="J962" s="69">
        <f t="shared" ca="1" si="607"/>
        <v>1139.324352519375</v>
      </c>
      <c r="K962" s="69">
        <f t="shared" ca="1" si="608"/>
        <v>1172.6203251221584</v>
      </c>
      <c r="L962" s="69">
        <f t="shared" ca="1" si="609"/>
        <v>959.22495895208647</v>
      </c>
      <c r="M962" s="69">
        <f t="shared" ca="1" si="610"/>
        <v>998.16226654056334</v>
      </c>
      <c r="N962" s="69">
        <f t="shared" ca="1" si="611"/>
        <v>571.52530854957035</v>
      </c>
      <c r="O962" s="69">
        <f t="shared" ca="1" si="612"/>
        <v>633.93002715278487</v>
      </c>
      <c r="P962" s="69">
        <f t="shared" ca="1" si="613"/>
        <v>718.24521721333883</v>
      </c>
      <c r="Q962" s="69">
        <f t="shared" ca="1" si="614"/>
        <v>961.8599884638129</v>
      </c>
      <c r="R962" s="69">
        <f t="shared" ca="1" si="615"/>
        <v>782.42567986008089</v>
      </c>
      <c r="S962" s="69">
        <f t="shared" ca="1" si="616"/>
        <v>706.87448592511134</v>
      </c>
      <c r="T962" s="69">
        <f t="shared" ca="1" si="617"/>
        <v>796.54888401593041</v>
      </c>
      <c r="U962" s="69">
        <f t="shared" ca="1" si="618"/>
        <v>1699.9000756331204</v>
      </c>
      <c r="V962" s="69">
        <f t="shared" ca="1" si="619"/>
        <v>1915.8977534354526</v>
      </c>
      <c r="W962" s="69">
        <f t="shared" ca="1" si="620"/>
        <v>1185.21440703801</v>
      </c>
      <c r="X962" s="69">
        <f t="shared" ca="1" si="621"/>
        <v>1493.5326340529282</v>
      </c>
      <c r="Y962" s="69">
        <f t="shared" ca="1" si="622"/>
        <v>1199.4003292565048</v>
      </c>
      <c r="AA962" s="20">
        <f t="shared" ca="1" si="582"/>
        <v>6.5490083758646656E+16</v>
      </c>
      <c r="AB962" s="20">
        <f t="shared" ca="1" si="583"/>
        <v>1684373577926443.3</v>
      </c>
      <c r="AC962" s="20">
        <f t="shared" ca="1" si="584"/>
        <v>406776473078315</v>
      </c>
      <c r="AD962" s="20">
        <f t="shared" ca="1" si="585"/>
        <v>304356399532954.38</v>
      </c>
      <c r="AE962" s="20">
        <f t="shared" ca="1" si="586"/>
        <v>6914671037520146</v>
      </c>
      <c r="AG962" s="16">
        <f t="shared" ca="1" si="587"/>
        <v>-1.5412697511202488E-4</v>
      </c>
      <c r="AH962" s="16">
        <f t="shared" ca="1" si="588"/>
        <v>3.6027241000383077E-4</v>
      </c>
      <c r="AI962" s="16">
        <f t="shared" ca="1" si="589"/>
        <v>7.380782314547219E-4</v>
      </c>
      <c r="AJ962" s="16">
        <f t="shared" ca="1" si="590"/>
        <v>-9.5262454263510266E-4</v>
      </c>
      <c r="AK962" s="16">
        <f t="shared" ca="1" si="591"/>
        <v>2.5383165516279591E-4</v>
      </c>
      <c r="AM962" s="16">
        <f t="shared" ca="1" si="592"/>
        <v>-8.400876288574893E-6</v>
      </c>
      <c r="AO962" s="16">
        <f t="shared" ca="1" si="593"/>
        <v>-1.5412697511202488E-4</v>
      </c>
      <c r="AP962" s="16">
        <f t="shared" ca="1" si="594"/>
        <v>0</v>
      </c>
      <c r="AQ962" s="16">
        <f t="shared" ca="1" si="595"/>
        <v>0</v>
      </c>
      <c r="AR962" s="16">
        <f t="shared" ca="1" si="596"/>
        <v>-9.5262454263510266E-4</v>
      </c>
      <c r="AS962" s="16">
        <f t="shared" ca="1" si="597"/>
        <v>0</v>
      </c>
    </row>
    <row r="963" spans="1:45" x14ac:dyDescent="0.25">
      <c r="A963" s="69">
        <f t="shared" ca="1" si="598"/>
        <v>2446.7975914479903</v>
      </c>
      <c r="B963" s="69">
        <f t="shared" ca="1" si="599"/>
        <v>2140.2918356430991</v>
      </c>
      <c r="C963" s="69">
        <f t="shared" ca="1" si="600"/>
        <v>2232.6779834687277</v>
      </c>
      <c r="D963" s="69">
        <f t="shared" ca="1" si="601"/>
        <v>2904.2503608014631</v>
      </c>
      <c r="E963" s="69">
        <f t="shared" ca="1" si="602"/>
        <v>1928.3125529688064</v>
      </c>
      <c r="F963" s="69">
        <f t="shared" ca="1" si="603"/>
        <v>1216.8208184507037</v>
      </c>
      <c r="G963" s="69">
        <f t="shared" ca="1" si="604"/>
        <v>971.53626477218859</v>
      </c>
      <c r="H963" s="69">
        <f t="shared" ca="1" si="605"/>
        <v>1188.616265676653</v>
      </c>
      <c r="I963" s="69">
        <f t="shared" ca="1" si="606"/>
        <v>1052.4953540992981</v>
      </c>
      <c r="J963" s="69">
        <f t="shared" ca="1" si="607"/>
        <v>1139.324352519375</v>
      </c>
      <c r="K963" s="69">
        <f t="shared" ca="1" si="608"/>
        <v>1172.6203251221584</v>
      </c>
      <c r="L963" s="69">
        <f t="shared" ca="1" si="609"/>
        <v>959.22495895208647</v>
      </c>
      <c r="M963" s="69">
        <f t="shared" ca="1" si="610"/>
        <v>998.58404678171223</v>
      </c>
      <c r="N963" s="69">
        <f t="shared" ca="1" si="611"/>
        <v>571.52530854957035</v>
      </c>
      <c r="O963" s="69">
        <f t="shared" ca="1" si="612"/>
        <v>634.13013382581755</v>
      </c>
      <c r="P963" s="69">
        <f t="shared" ca="1" si="613"/>
        <v>717.96832171142728</v>
      </c>
      <c r="Q963" s="69">
        <f t="shared" ca="1" si="614"/>
        <v>961.57802779593419</v>
      </c>
      <c r="R963" s="69">
        <f t="shared" ca="1" si="615"/>
        <v>782.42567986008089</v>
      </c>
      <c r="S963" s="69">
        <f t="shared" ca="1" si="616"/>
        <v>706.39074345472613</v>
      </c>
      <c r="T963" s="69">
        <f t="shared" ca="1" si="617"/>
        <v>796.87611355033255</v>
      </c>
      <c r="U963" s="69">
        <f t="shared" ca="1" si="618"/>
        <v>1700.3738458183329</v>
      </c>
      <c r="V963" s="69">
        <f t="shared" ca="1" si="619"/>
        <v>1915.3982516399769</v>
      </c>
      <c r="W963" s="69">
        <f t="shared" ca="1" si="620"/>
        <v>1185.21440703801</v>
      </c>
      <c r="X963" s="69">
        <f t="shared" ca="1" si="621"/>
        <v>1493.885020838916</v>
      </c>
      <c r="Y963" s="69">
        <f t="shared" ca="1" si="622"/>
        <v>1199.4003292565048</v>
      </c>
      <c r="AA963" s="20">
        <f t="shared" ref="AA963:AA1001" ca="1" si="623">A963*B963*C963*D963*E963</f>
        <v>6.5479990747959688E+16</v>
      </c>
      <c r="AB963" s="20">
        <f t="shared" ref="AB963:AB1001" ca="1" si="624">F963*G963*H963*I963*J963</f>
        <v>1684980520580491</v>
      </c>
      <c r="AC963" s="20">
        <f t="shared" ref="AC963:AC1001" ca="1" si="625">K963*L963*M963*N963*O963</f>
        <v>407076816763095.25</v>
      </c>
      <c r="AD963" s="20">
        <f t="shared" ref="AD963:AD1001" ca="1" si="626">P963*Q963*R963*S963*T963</f>
        <v>304066600213939</v>
      </c>
      <c r="AE963" s="20">
        <f t="shared" ref="AE963:AE1001" ca="1" si="627">U963*V963*W963*X963*Y963</f>
        <v>6916426422691242</v>
      </c>
      <c r="AG963" s="16">
        <f t="shared" ca="1" si="587"/>
        <v>-1.0196053505634936E-4</v>
      </c>
      <c r="AH963" s="16">
        <f t="shared" ca="1" si="588"/>
        <v>-1.9027671561781177E-4</v>
      </c>
      <c r="AI963" s="16">
        <f t="shared" ca="1" si="589"/>
        <v>-1.1590748626955029E-3</v>
      </c>
      <c r="AJ963" s="16">
        <f t="shared" ca="1" si="590"/>
        <v>7.510446520072651E-4</v>
      </c>
      <c r="AK963" s="16">
        <f t="shared" ca="1" si="591"/>
        <v>-1.8270995669148981E-4</v>
      </c>
      <c r="AM963" s="16">
        <f t="shared" ca="1" si="592"/>
        <v>-7.0026746136239899E-4</v>
      </c>
      <c r="AO963" s="16">
        <f t="shared" ca="1" si="593"/>
        <v>-1.0196053505634936E-4</v>
      </c>
      <c r="AP963" s="16">
        <f t="shared" ca="1" si="594"/>
        <v>-1.9027671561781177E-4</v>
      </c>
      <c r="AQ963" s="16">
        <f t="shared" ca="1" si="595"/>
        <v>-1.1590748626955029E-3</v>
      </c>
      <c r="AR963" s="16">
        <f t="shared" ca="1" si="596"/>
        <v>0</v>
      </c>
      <c r="AS963" s="16">
        <f t="shared" ca="1" si="597"/>
        <v>-1.8270995669148981E-4</v>
      </c>
    </row>
    <row r="964" spans="1:45" x14ac:dyDescent="0.25">
      <c r="A964" s="69">
        <f t="shared" ca="1" si="598"/>
        <v>2446.6190081884261</v>
      </c>
      <c r="B964" s="69">
        <f t="shared" ca="1" si="599"/>
        <v>2140.0497884199976</v>
      </c>
      <c r="C964" s="69">
        <f t="shared" ca="1" si="600"/>
        <v>2232.3158314820239</v>
      </c>
      <c r="D964" s="69">
        <f t="shared" ca="1" si="601"/>
        <v>2904.2503608014631</v>
      </c>
      <c r="E964" s="69">
        <f t="shared" ca="1" si="602"/>
        <v>1928.7876400355947</v>
      </c>
      <c r="F964" s="69">
        <f t="shared" ca="1" si="603"/>
        <v>1216.8583593122585</v>
      </c>
      <c r="G964" s="69">
        <f t="shared" ca="1" si="604"/>
        <v>971.53626477218859</v>
      </c>
      <c r="H964" s="69">
        <f t="shared" ca="1" si="605"/>
        <v>1188.2489342686333</v>
      </c>
      <c r="I964" s="69">
        <f t="shared" ca="1" si="606"/>
        <v>1052.5901680045956</v>
      </c>
      <c r="J964" s="69">
        <f t="shared" ca="1" si="607"/>
        <v>1139.3219375279693</v>
      </c>
      <c r="K964" s="69">
        <f t="shared" ca="1" si="608"/>
        <v>1172.6203251221584</v>
      </c>
      <c r="L964" s="69">
        <f t="shared" ca="1" si="609"/>
        <v>959.02260311053749</v>
      </c>
      <c r="M964" s="69">
        <f t="shared" ca="1" si="610"/>
        <v>998.30588298157352</v>
      </c>
      <c r="N964" s="69">
        <f t="shared" ca="1" si="611"/>
        <v>571.14280159688849</v>
      </c>
      <c r="O964" s="69">
        <f t="shared" ca="1" si="612"/>
        <v>634.13013382581755</v>
      </c>
      <c r="P964" s="69">
        <f t="shared" ca="1" si="613"/>
        <v>717.7314942912268</v>
      </c>
      <c r="Q964" s="69">
        <f t="shared" ca="1" si="614"/>
        <v>961.85449530543065</v>
      </c>
      <c r="R964" s="69">
        <f t="shared" ca="1" si="615"/>
        <v>782.59941751664871</v>
      </c>
      <c r="S964" s="69">
        <f t="shared" ca="1" si="616"/>
        <v>706.43265612997754</v>
      </c>
      <c r="T964" s="69">
        <f t="shared" ca="1" si="617"/>
        <v>797.28431950541278</v>
      </c>
      <c r="U964" s="69">
        <f t="shared" ca="1" si="618"/>
        <v>1700.5295294095595</v>
      </c>
      <c r="V964" s="69">
        <f t="shared" ca="1" si="619"/>
        <v>1914.9861291262441</v>
      </c>
      <c r="W964" s="69">
        <f t="shared" ca="1" si="620"/>
        <v>1185.21440703801</v>
      </c>
      <c r="X964" s="69">
        <f t="shared" ca="1" si="621"/>
        <v>1494.2803870074513</v>
      </c>
      <c r="Y964" s="69">
        <f t="shared" ca="1" si="622"/>
        <v>1199.0121467129425</v>
      </c>
      <c r="AA964" s="20">
        <f t="shared" ca="1" si="623"/>
        <v>6.5473314713419352E+16</v>
      </c>
      <c r="AB964" s="20">
        <f t="shared" ca="1" si="624"/>
        <v>1684659938521772.8</v>
      </c>
      <c r="AC964" s="20">
        <f t="shared" ca="1" si="625"/>
        <v>406605257596580.31</v>
      </c>
      <c r="AD964" s="20">
        <f t="shared" ca="1" si="626"/>
        <v>304295053586486.94</v>
      </c>
      <c r="AE964" s="20">
        <f t="shared" ca="1" si="627"/>
        <v>6915162838157345</v>
      </c>
      <c r="AG964" s="16">
        <f t="shared" ref="AG964:AG1000" ca="1" si="628">LN(AA965/AA964)</f>
        <v>4.9770046887426115E-4</v>
      </c>
      <c r="AH964" s="16">
        <f t="shared" ref="AH964:AH1000" ca="1" si="629">LN(AB965/AB964)</f>
        <v>2.0310523120742576E-4</v>
      </c>
      <c r="AI964" s="16">
        <f t="shared" ref="AI964:AI1000" ca="1" si="630">LN(AC965/AC964)</f>
        <v>-7.2854926749401987E-4</v>
      </c>
      <c r="AJ964" s="16">
        <f t="shared" ref="AJ964:AJ1000" ca="1" si="631">LN(AD965/AD964)</f>
        <v>1.7607341750164402E-4</v>
      </c>
      <c r="AK964" s="16">
        <f t="shared" ref="AK964:AK1000" ca="1" si="632">LN(AE965/AE964)</f>
        <v>2.3095909379224525E-4</v>
      </c>
      <c r="AM964" s="16">
        <f t="shared" ref="AM964:AM1000" ca="1" si="633">AG964+AH964+AI964+AJ964</f>
        <v>1.4832985008931109E-4</v>
      </c>
      <c r="AO964" s="16">
        <f t="shared" ref="AO964:AO1000" ca="1" si="634">MIN(AG964,0)</f>
        <v>0</v>
      </c>
      <c r="AP964" s="16">
        <f t="shared" ref="AP964:AP1000" ca="1" si="635">MIN(AH964,0)</f>
        <v>0</v>
      </c>
      <c r="AQ964" s="16">
        <f t="shared" ref="AQ964:AQ1000" ca="1" si="636">MIN(AI964,0)</f>
        <v>-7.2854926749401987E-4</v>
      </c>
      <c r="AR964" s="16">
        <f t="shared" ref="AR964:AR1000" ca="1" si="637">MIN(AJ964,0)</f>
        <v>0</v>
      </c>
      <c r="AS964" s="16">
        <f t="shared" ref="AS964:AS1000" ca="1" si="638">MIN(AK964,0)</f>
        <v>0</v>
      </c>
    </row>
    <row r="965" spans="1:45" x14ac:dyDescent="0.25">
      <c r="A965" s="69">
        <f t="shared" ref="A965:A1002" ca="1" si="639">A964+ $A$1 * RAND()  * RANDBETWEEN(-1,1)</f>
        <v>2446.8631846469398</v>
      </c>
      <c r="B965" s="69">
        <f t="shared" ref="B965:B1002" ca="1" si="640">B964+ $A$1 * RAND()  * RANDBETWEEN(-1,1)</f>
        <v>2140.1660726575828</v>
      </c>
      <c r="C965" s="69">
        <f t="shared" ref="C965:C1002" ca="1" si="641">C964+ $A$1 * RAND()  * RANDBETWEEN(-1,1)</f>
        <v>2232.7702482543209</v>
      </c>
      <c r="D965" s="69">
        <f t="shared" ref="D965:D1002" ca="1" si="642">D964+ $A$1 * RAND()  * RANDBETWEEN(-1,1)</f>
        <v>2904.6570596925612</v>
      </c>
      <c r="E965" s="69">
        <f t="shared" ref="E965:E1002" ca="1" si="643">E964+ $A$1 * RAND()  * RANDBETWEEN(-1,1)</f>
        <v>1928.7876400355947</v>
      </c>
      <c r="F965" s="69">
        <f t="shared" ref="F965:F1002" ca="1" si="644">F964+ $A$1 * RAND()  * RANDBETWEEN(-1,1)</f>
        <v>1216.8583593122585</v>
      </c>
      <c r="G965" s="69">
        <f t="shared" ref="G965:G1002" ca="1" si="645">G964+ $A$1 * RAND()  * RANDBETWEEN(-1,1)</f>
        <v>971.62729577392224</v>
      </c>
      <c r="H965" s="69">
        <f t="shared" ref="H965:H1002" ca="1" si="646">H964+ $A$1 * RAND()  * RANDBETWEEN(-1,1)</f>
        <v>1188.6312395186401</v>
      </c>
      <c r="I965" s="69">
        <f t="shared" ref="I965:I1002" ca="1" si="647">I964+ $A$1 * RAND()  * RANDBETWEEN(-1,1)</f>
        <v>1052.1087112827897</v>
      </c>
      <c r="J965" s="69">
        <f t="shared" ref="J965:J1002" ca="1" si="648">J964+ $A$1 * RAND()  * RANDBETWEEN(-1,1)</f>
        <v>1139.6013694649791</v>
      </c>
      <c r="K965" s="69">
        <f t="shared" ref="K965:K1002" ca="1" si="649">K964+ $A$1 * RAND()  * RANDBETWEEN(-1,1)</f>
        <v>1172.1676049730145</v>
      </c>
      <c r="L965" s="69">
        <f t="shared" ref="L965:L1002" ca="1" si="650">L964+ $A$1 * RAND()  * RANDBETWEEN(-1,1)</f>
        <v>959.02260311053749</v>
      </c>
      <c r="M965" s="69">
        <f t="shared" ref="M965:M1002" ca="1" si="651">M964+ $A$1 * RAND()  * RANDBETWEEN(-1,1)</f>
        <v>998.13994823922496</v>
      </c>
      <c r="N965" s="69">
        <f t="shared" ref="N965:N1002" ca="1" si="652">N964+ $A$1 * RAND()  * RANDBETWEEN(-1,1)</f>
        <v>571.14280159688849</v>
      </c>
      <c r="O965" s="69">
        <f t="shared" ref="O965:O1002" ca="1" si="653">O964+ $A$1 * RAND()  * RANDBETWEEN(-1,1)</f>
        <v>634.01842963980766</v>
      </c>
      <c r="P965" s="69">
        <f t="shared" ref="P965:P1002" ca="1" si="654">P964+ $A$1 * RAND()  * RANDBETWEEN(-1,1)</f>
        <v>718.22644307571341</v>
      </c>
      <c r="Q965" s="69">
        <f t="shared" ref="Q965:Q1002" ca="1" si="655">Q964+ $A$1 * RAND()  * RANDBETWEEN(-1,1)</f>
        <v>961.85449530543065</v>
      </c>
      <c r="R965" s="69">
        <f t="shared" ref="R965:R1002" ca="1" si="656">R964+ $A$1 * RAND()  * RANDBETWEEN(-1,1)</f>
        <v>782.59941751664871</v>
      </c>
      <c r="S965" s="69">
        <f t="shared" ref="S965:S1002" ca="1" si="657">S964+ $A$1 * RAND()  * RANDBETWEEN(-1,1)</f>
        <v>706.2389531869967</v>
      </c>
      <c r="T965" s="69">
        <f t="shared" ref="T965:T1002" ca="1" si="658">T964+ $A$1 * RAND()  * RANDBETWEEN(-1,1)</f>
        <v>797.09374813897023</v>
      </c>
      <c r="U965" s="69">
        <f t="shared" ref="U965:U1002" ca="1" si="659">U964+ $A$1 * RAND()  * RANDBETWEEN(-1,1)</f>
        <v>1700.4063964115644</v>
      </c>
      <c r="V965" s="69">
        <f t="shared" ref="V965:V1002" ca="1" si="660">V964+ $A$1 * RAND()  * RANDBETWEEN(-1,1)</f>
        <v>1914.9861291262441</v>
      </c>
      <c r="W965" s="69">
        <f t="shared" ref="W965:W1002" ca="1" si="661">W964+ $A$1 * RAND()  * RANDBETWEEN(-1,1)</f>
        <v>1185.21440703801</v>
      </c>
      <c r="X965" s="69">
        <f t="shared" ref="X965:X1002" ca="1" si="662">X964+ $A$1 * RAND()  * RANDBETWEEN(-1,1)</f>
        <v>1494.7337761199199</v>
      </c>
      <c r="Y965" s="69">
        <f t="shared" ref="Y965:Y1002" ca="1" si="663">Y964+ $A$1 * RAND()  * RANDBETWEEN(-1,1)</f>
        <v>1199.0121467129425</v>
      </c>
      <c r="AA965" s="20">
        <f t="shared" ca="1" si="623"/>
        <v>6.5505908923254912E+16</v>
      </c>
      <c r="AB965" s="20">
        <f t="shared" ca="1" si="624"/>
        <v>1685002136518017.3</v>
      </c>
      <c r="AC965" s="20">
        <f t="shared" ca="1" si="625"/>
        <v>406309133517587.69</v>
      </c>
      <c r="AD965" s="20">
        <f t="shared" ca="1" si="626"/>
        <v>304348636573632.13</v>
      </c>
      <c r="AE965" s="20">
        <f t="shared" ca="1" si="627"/>
        <v>6916760142348736</v>
      </c>
      <c r="AG965" s="16">
        <f t="shared" ca="1" si="628"/>
        <v>-4.181662810962199E-4</v>
      </c>
      <c r="AH965" s="16">
        <f t="shared" ca="1" si="629"/>
        <v>9.5418526662203605E-4</v>
      </c>
      <c r="AI965" s="16">
        <f t="shared" ca="1" si="630"/>
        <v>-5.2806517711354961E-4</v>
      </c>
      <c r="AJ965" s="16">
        <f t="shared" ca="1" si="631"/>
        <v>-2.2889639266171092E-4</v>
      </c>
      <c r="AK965" s="16">
        <f t="shared" ca="1" si="632"/>
        <v>-2.6037555409005018E-4</v>
      </c>
      <c r="AM965" s="16">
        <f t="shared" ca="1" si="633"/>
        <v>-2.2094258424944433E-4</v>
      </c>
      <c r="AO965" s="16">
        <f t="shared" ca="1" si="634"/>
        <v>-4.181662810962199E-4</v>
      </c>
      <c r="AP965" s="16">
        <f t="shared" ca="1" si="635"/>
        <v>0</v>
      </c>
      <c r="AQ965" s="16">
        <f t="shared" ca="1" si="636"/>
        <v>-5.2806517711354961E-4</v>
      </c>
      <c r="AR965" s="16">
        <f t="shared" ca="1" si="637"/>
        <v>-2.2889639266171092E-4</v>
      </c>
      <c r="AS965" s="16">
        <f t="shared" ca="1" si="638"/>
        <v>-2.6037555409005018E-4</v>
      </c>
    </row>
    <row r="966" spans="1:45" x14ac:dyDescent="0.25">
      <c r="A966" s="69">
        <f t="shared" ca="1" si="639"/>
        <v>2446.8631846469398</v>
      </c>
      <c r="B966" s="69">
        <f t="shared" ca="1" si="640"/>
        <v>2139.6740056732647</v>
      </c>
      <c r="C966" s="69">
        <f t="shared" ca="1" si="641"/>
        <v>2232.6540746393453</v>
      </c>
      <c r="D966" s="69">
        <f t="shared" ca="1" si="642"/>
        <v>2904.2962181040102</v>
      </c>
      <c r="E966" s="69">
        <f t="shared" ca="1" si="643"/>
        <v>1928.764589267118</v>
      </c>
      <c r="F966" s="69">
        <f t="shared" ca="1" si="644"/>
        <v>1217.2630793893593</v>
      </c>
      <c r="G966" s="69">
        <f t="shared" ca="1" si="645"/>
        <v>971.62729577392224</v>
      </c>
      <c r="H966" s="69">
        <f t="shared" ca="1" si="646"/>
        <v>1189.0471115276362</v>
      </c>
      <c r="I966" s="69">
        <f t="shared" ca="1" si="647"/>
        <v>1052.394747825618</v>
      </c>
      <c r="J966" s="69">
        <f t="shared" ca="1" si="648"/>
        <v>1139.6013694649791</v>
      </c>
      <c r="K966" s="69">
        <f t="shared" ca="1" si="649"/>
        <v>1172.2437806768878</v>
      </c>
      <c r="L966" s="69">
        <f t="shared" ca="1" si="650"/>
        <v>958.79942345501593</v>
      </c>
      <c r="M966" s="69">
        <f t="shared" ca="1" si="651"/>
        <v>998.13994823922496</v>
      </c>
      <c r="N966" s="69">
        <f t="shared" ca="1" si="652"/>
        <v>570.98481674670711</v>
      </c>
      <c r="O966" s="69">
        <f t="shared" ca="1" si="653"/>
        <v>633.96539165288732</v>
      </c>
      <c r="P966" s="69">
        <f t="shared" ca="1" si="654"/>
        <v>718.22988667107882</v>
      </c>
      <c r="Q966" s="69">
        <f t="shared" ca="1" si="655"/>
        <v>961.47169698846028</v>
      </c>
      <c r="R966" s="69">
        <f t="shared" ca="1" si="656"/>
        <v>782.59941751664871</v>
      </c>
      <c r="S966" s="69">
        <f t="shared" ca="1" si="657"/>
        <v>706.2389531869967</v>
      </c>
      <c r="T966" s="69">
        <f t="shared" ca="1" si="658"/>
        <v>797.22477536961242</v>
      </c>
      <c r="U966" s="69">
        <f t="shared" ca="1" si="659"/>
        <v>1700.5586892751519</v>
      </c>
      <c r="V966" s="69">
        <f t="shared" ca="1" si="660"/>
        <v>1914.9232547943323</v>
      </c>
      <c r="W966" s="69">
        <f t="shared" ca="1" si="661"/>
        <v>1185.21440703801</v>
      </c>
      <c r="X966" s="69">
        <f t="shared" ca="1" si="662"/>
        <v>1494.2598699194646</v>
      </c>
      <c r="Y966" s="69">
        <f t="shared" ca="1" si="663"/>
        <v>1199.0121467129425</v>
      </c>
      <c r="AA966" s="20">
        <f t="shared" ca="1" si="623"/>
        <v>6.5478522287413552E+16</v>
      </c>
      <c r="AB966" s="20">
        <f t="shared" ca="1" si="624"/>
        <v>1686610708046489.5</v>
      </c>
      <c r="AC966" s="20">
        <f t="shared" ca="1" si="625"/>
        <v>406094632453289.63</v>
      </c>
      <c r="AD966" s="20">
        <f t="shared" ca="1" si="626"/>
        <v>304278980240954.69</v>
      </c>
      <c r="AE966" s="20">
        <f t="shared" ca="1" si="627"/>
        <v>6914959421536177</v>
      </c>
      <c r="AG966" s="16">
        <f t="shared" ca="1" si="628"/>
        <v>5.0418938091299618E-4</v>
      </c>
      <c r="AH966" s="16">
        <f t="shared" ca="1" si="629"/>
        <v>7.7477889437992283E-5</v>
      </c>
      <c r="AI966" s="16">
        <f t="shared" ca="1" si="630"/>
        <v>-1.7190177816022397E-4</v>
      </c>
      <c r="AJ966" s="16">
        <f t="shared" ca="1" si="631"/>
        <v>-1.5275657277094944E-4</v>
      </c>
      <c r="AK966" s="16">
        <f t="shared" ca="1" si="632"/>
        <v>2.9112979126671534E-5</v>
      </c>
      <c r="AM966" s="16">
        <f t="shared" ca="1" si="633"/>
        <v>2.57008919419815E-4</v>
      </c>
      <c r="AO966" s="16">
        <f t="shared" ca="1" si="634"/>
        <v>0</v>
      </c>
      <c r="AP966" s="16">
        <f t="shared" ca="1" si="635"/>
        <v>0</v>
      </c>
      <c r="AQ966" s="16">
        <f t="shared" ca="1" si="636"/>
        <v>-1.7190177816022397E-4</v>
      </c>
      <c r="AR966" s="16">
        <f t="shared" ca="1" si="637"/>
        <v>-1.5275657277094944E-4</v>
      </c>
      <c r="AS966" s="16">
        <f t="shared" ca="1" si="638"/>
        <v>0</v>
      </c>
    </row>
    <row r="967" spans="1:45" x14ac:dyDescent="0.25">
      <c r="A967" s="69">
        <f t="shared" ca="1" si="639"/>
        <v>2447.2175093678034</v>
      </c>
      <c r="B967" s="69">
        <f t="shared" ca="1" si="640"/>
        <v>2140.0379068257394</v>
      </c>
      <c r="C967" s="69">
        <f t="shared" ca="1" si="641"/>
        <v>2232.9237411236736</v>
      </c>
      <c r="D967" s="69">
        <f t="shared" ca="1" si="642"/>
        <v>2904.3032576108549</v>
      </c>
      <c r="E967" s="69">
        <f t="shared" ca="1" si="643"/>
        <v>1928.8921503280701</v>
      </c>
      <c r="F967" s="69">
        <f t="shared" ca="1" si="644"/>
        <v>1216.7860372191769</v>
      </c>
      <c r="G967" s="69">
        <f t="shared" ca="1" si="645"/>
        <v>971.71737127768597</v>
      </c>
      <c r="H967" s="69">
        <f t="shared" ca="1" si="646"/>
        <v>1189.0471115276362</v>
      </c>
      <c r="I967" s="69">
        <f t="shared" ca="1" si="647"/>
        <v>1052.7913127983886</v>
      </c>
      <c r="J967" s="69">
        <f t="shared" ca="1" si="648"/>
        <v>1139.6013694649791</v>
      </c>
      <c r="K967" s="69">
        <f t="shared" ca="1" si="649"/>
        <v>1172.2437806768878</v>
      </c>
      <c r="L967" s="69">
        <f t="shared" ca="1" si="650"/>
        <v>958.31396309482955</v>
      </c>
      <c r="M967" s="69">
        <f t="shared" ca="1" si="651"/>
        <v>998.38854106749568</v>
      </c>
      <c r="N967" s="69">
        <f t="shared" ca="1" si="652"/>
        <v>571.03365085538394</v>
      </c>
      <c r="O967" s="69">
        <f t="shared" ca="1" si="653"/>
        <v>633.96539165288732</v>
      </c>
      <c r="P967" s="69">
        <f t="shared" ca="1" si="654"/>
        <v>718.22988667107882</v>
      </c>
      <c r="Q967" s="69">
        <f t="shared" ca="1" si="655"/>
        <v>961.42415164589636</v>
      </c>
      <c r="R967" s="69">
        <f t="shared" ca="1" si="656"/>
        <v>782.45980776118211</v>
      </c>
      <c r="S967" s="69">
        <f t="shared" ca="1" si="657"/>
        <v>706.2389531869967</v>
      </c>
      <c r="T967" s="69">
        <f t="shared" ca="1" si="658"/>
        <v>797.28465199825496</v>
      </c>
      <c r="U967" s="69">
        <f t="shared" ca="1" si="659"/>
        <v>1700.2827347124748</v>
      </c>
      <c r="V967" s="69">
        <f t="shared" ca="1" si="660"/>
        <v>1914.4405419858344</v>
      </c>
      <c r="W967" s="69">
        <f t="shared" ca="1" si="661"/>
        <v>1185.3572495780886</v>
      </c>
      <c r="X967" s="69">
        <f t="shared" ca="1" si="662"/>
        <v>1494.7425894819378</v>
      </c>
      <c r="Y967" s="69">
        <f t="shared" ca="1" si="663"/>
        <v>1199.0121467129425</v>
      </c>
      <c r="AA967" s="20">
        <f t="shared" ca="1" si="623"/>
        <v>6.551154418697476E+16</v>
      </c>
      <c r="AB967" s="20">
        <f t="shared" ca="1" si="624"/>
        <v>1686741388146796.3</v>
      </c>
      <c r="AC967" s="20">
        <f t="shared" ca="1" si="625"/>
        <v>406024830063618.94</v>
      </c>
      <c r="AD967" s="20">
        <f t="shared" ca="1" si="626"/>
        <v>304232503176695.75</v>
      </c>
      <c r="AE967" s="20">
        <f t="shared" ca="1" si="627"/>
        <v>6915160739535947</v>
      </c>
      <c r="AG967" s="16">
        <f t="shared" ca="1" si="628"/>
        <v>-2.814550920989192E-5</v>
      </c>
      <c r="AH967" s="16">
        <f t="shared" ca="1" si="629"/>
        <v>5.8082488685760544E-4</v>
      </c>
      <c r="AI967" s="16">
        <f t="shared" ca="1" si="630"/>
        <v>6.4965071251495479E-4</v>
      </c>
      <c r="AJ967" s="16">
        <f t="shared" ca="1" si="631"/>
        <v>-5.0270603667085636E-4</v>
      </c>
      <c r="AK967" s="16">
        <f t="shared" ca="1" si="632"/>
        <v>-3.2373051945066498E-4</v>
      </c>
      <c r="AM967" s="16">
        <f t="shared" ca="1" si="633"/>
        <v>6.9962405349181193E-4</v>
      </c>
      <c r="AO967" s="16">
        <f t="shared" ca="1" si="634"/>
        <v>-2.814550920989192E-5</v>
      </c>
      <c r="AP967" s="16">
        <f t="shared" ca="1" si="635"/>
        <v>0</v>
      </c>
      <c r="AQ967" s="16">
        <f t="shared" ca="1" si="636"/>
        <v>0</v>
      </c>
      <c r="AR967" s="16">
        <f t="shared" ca="1" si="637"/>
        <v>-5.0270603667085636E-4</v>
      </c>
      <c r="AS967" s="16">
        <f t="shared" ca="1" si="638"/>
        <v>-3.2373051945066498E-4</v>
      </c>
    </row>
    <row r="968" spans="1:45" x14ac:dyDescent="0.25">
      <c r="A968" s="69">
        <f t="shared" ca="1" si="639"/>
        <v>2447.3740026095134</v>
      </c>
      <c r="B968" s="69">
        <f t="shared" ca="1" si="640"/>
        <v>2139.7672770039371</v>
      </c>
      <c r="C968" s="69">
        <f t="shared" ca="1" si="641"/>
        <v>2232.8923662828156</v>
      </c>
      <c r="D968" s="69">
        <f t="shared" ca="1" si="642"/>
        <v>2904.3032576108549</v>
      </c>
      <c r="E968" s="69">
        <f t="shared" ca="1" si="643"/>
        <v>1928.9855659805826</v>
      </c>
      <c r="F968" s="69">
        <f t="shared" ca="1" si="644"/>
        <v>1216.7860372191769</v>
      </c>
      <c r="G968" s="69">
        <f t="shared" ca="1" si="645"/>
        <v>971.69980810474976</v>
      </c>
      <c r="H968" s="69">
        <f t="shared" ca="1" si="646"/>
        <v>1189.0578047364547</v>
      </c>
      <c r="I968" s="69">
        <f t="shared" ca="1" si="647"/>
        <v>1053.1347416703752</v>
      </c>
      <c r="J968" s="69">
        <f t="shared" ca="1" si="648"/>
        <v>1139.9019808254784</v>
      </c>
      <c r="K968" s="69">
        <f t="shared" ca="1" si="649"/>
        <v>1172.4235324571623</v>
      </c>
      <c r="L968" s="69">
        <f t="shared" ca="1" si="650"/>
        <v>958.12128804515032</v>
      </c>
      <c r="M968" s="69">
        <f t="shared" ca="1" si="651"/>
        <v>998.83194746167953</v>
      </c>
      <c r="N968" s="69">
        <f t="shared" ca="1" si="652"/>
        <v>571.03365085538394</v>
      </c>
      <c r="O968" s="69">
        <f t="shared" ca="1" si="653"/>
        <v>634.12604333789966</v>
      </c>
      <c r="P968" s="69">
        <f t="shared" ca="1" si="654"/>
        <v>717.90123098636525</v>
      </c>
      <c r="Q968" s="69">
        <f t="shared" ca="1" si="655"/>
        <v>961.07212334729479</v>
      </c>
      <c r="R968" s="69">
        <f t="shared" ca="1" si="656"/>
        <v>782.77533107919942</v>
      </c>
      <c r="S968" s="69">
        <f t="shared" ca="1" si="657"/>
        <v>706.18107630630959</v>
      </c>
      <c r="T968" s="69">
        <f t="shared" ca="1" si="658"/>
        <v>797.28465199825496</v>
      </c>
      <c r="U968" s="69">
        <f t="shared" ca="1" si="659"/>
        <v>1700.2827347124748</v>
      </c>
      <c r="V968" s="69">
        <f t="shared" ca="1" si="660"/>
        <v>1914.0348938450786</v>
      </c>
      <c r="W968" s="69">
        <f t="shared" ca="1" si="661"/>
        <v>1184.9779624170669</v>
      </c>
      <c r="X968" s="69">
        <f t="shared" ca="1" si="662"/>
        <v>1494.7425894819378</v>
      </c>
      <c r="Y968" s="69">
        <f t="shared" ca="1" si="663"/>
        <v>1199.2618176217213</v>
      </c>
      <c r="AA968" s="20">
        <f t="shared" ca="1" si="623"/>
        <v>6.5509700357152376E+16</v>
      </c>
      <c r="AB968" s="20">
        <f t="shared" ca="1" si="624"/>
        <v>1687721374095288</v>
      </c>
      <c r="AC968" s="20">
        <f t="shared" ca="1" si="625"/>
        <v>406288690082913.25</v>
      </c>
      <c r="AD968" s="20">
        <f t="shared" ca="1" si="626"/>
        <v>304079602096165.44</v>
      </c>
      <c r="AE968" s="20">
        <f t="shared" ca="1" si="627"/>
        <v>6912922453277987</v>
      </c>
      <c r="AG968" s="16">
        <f t="shared" ca="1" si="628"/>
        <v>-7.2775366468966169E-5</v>
      </c>
      <c r="AH968" s="16">
        <f t="shared" ca="1" si="629"/>
        <v>-4.5696036758172105E-4</v>
      </c>
      <c r="AI968" s="16">
        <f t="shared" ca="1" si="630"/>
        <v>3.5382936778953809E-4</v>
      </c>
      <c r="AJ968" s="16">
        <f t="shared" ca="1" si="631"/>
        <v>4.4418875912313086E-5</v>
      </c>
      <c r="AK968" s="16">
        <f t="shared" ca="1" si="632"/>
        <v>4.6281692522126192E-4</v>
      </c>
      <c r="AM968" s="16">
        <f t="shared" ca="1" si="633"/>
        <v>-1.3148749034883606E-4</v>
      </c>
      <c r="AO968" s="16">
        <f t="shared" ca="1" si="634"/>
        <v>-7.2775366468966169E-5</v>
      </c>
      <c r="AP968" s="16">
        <f t="shared" ca="1" si="635"/>
        <v>-4.5696036758172105E-4</v>
      </c>
      <c r="AQ968" s="16">
        <f t="shared" ca="1" si="636"/>
        <v>0</v>
      </c>
      <c r="AR968" s="16">
        <f t="shared" ca="1" si="637"/>
        <v>0</v>
      </c>
      <c r="AS968" s="16">
        <f t="shared" ca="1" si="638"/>
        <v>0</v>
      </c>
    </row>
    <row r="969" spans="1:45" x14ac:dyDescent="0.25">
      <c r="A969" s="69">
        <f t="shared" ca="1" si="639"/>
        <v>2447.8726970913708</v>
      </c>
      <c r="B969" s="69">
        <f t="shared" ca="1" si="640"/>
        <v>2139.5743072834111</v>
      </c>
      <c r="C969" s="69">
        <f t="shared" ca="1" si="641"/>
        <v>2232.857698321488</v>
      </c>
      <c r="D969" s="69">
        <f t="shared" ca="1" si="642"/>
        <v>2904.3032576108549</v>
      </c>
      <c r="E969" s="69">
        <f t="shared" ca="1" si="643"/>
        <v>1928.6561060476013</v>
      </c>
      <c r="F969" s="69">
        <f t="shared" ca="1" si="644"/>
        <v>1216.9916809666672</v>
      </c>
      <c r="G969" s="69">
        <f t="shared" ca="1" si="645"/>
        <v>971.26753431679401</v>
      </c>
      <c r="H969" s="69">
        <f t="shared" ca="1" si="646"/>
        <v>1189.3708702828649</v>
      </c>
      <c r="I969" s="69">
        <f t="shared" ca="1" si="647"/>
        <v>1052.6669974465347</v>
      </c>
      <c r="J969" s="69">
        <f t="shared" ca="1" si="648"/>
        <v>1139.9019808254784</v>
      </c>
      <c r="K969" s="69">
        <f t="shared" ca="1" si="649"/>
        <v>1172.4235324571623</v>
      </c>
      <c r="L969" s="69">
        <f t="shared" ca="1" si="650"/>
        <v>958.45911103052447</v>
      </c>
      <c r="M969" s="69">
        <f t="shared" ca="1" si="651"/>
        <v>998.83324849701023</v>
      </c>
      <c r="N969" s="69">
        <f t="shared" ca="1" si="652"/>
        <v>571.03365085538394</v>
      </c>
      <c r="O969" s="69">
        <f t="shared" ca="1" si="653"/>
        <v>634.12604333789966</v>
      </c>
      <c r="P969" s="69">
        <f t="shared" ca="1" si="654"/>
        <v>717.91454720359798</v>
      </c>
      <c r="Q969" s="69">
        <f t="shared" ca="1" si="655"/>
        <v>961.07212334729479</v>
      </c>
      <c r="R969" s="69">
        <f t="shared" ca="1" si="656"/>
        <v>782.79558192117861</v>
      </c>
      <c r="S969" s="69">
        <f t="shared" ca="1" si="657"/>
        <v>706.18107630630959</v>
      </c>
      <c r="T969" s="69">
        <f t="shared" ca="1" si="658"/>
        <v>797.28465199825496</v>
      </c>
      <c r="U969" s="69">
        <f t="shared" ca="1" si="659"/>
        <v>1700.2827347124748</v>
      </c>
      <c r="V969" s="69">
        <f t="shared" ca="1" si="660"/>
        <v>1913.9259445382581</v>
      </c>
      <c r="W969" s="69">
        <f t="shared" ca="1" si="661"/>
        <v>1185.3460027676017</v>
      </c>
      <c r="X969" s="69">
        <f t="shared" ca="1" si="662"/>
        <v>1494.5048982455844</v>
      </c>
      <c r="Y969" s="69">
        <f t="shared" ca="1" si="663"/>
        <v>1199.7035037296325</v>
      </c>
      <c r="AA969" s="20">
        <f t="shared" ca="1" si="623"/>
        <v>6.5504933038175408E+16</v>
      </c>
      <c r="AB969" s="20">
        <f t="shared" ca="1" si="624"/>
        <v>1686950328497862.8</v>
      </c>
      <c r="AC969" s="20">
        <f t="shared" ca="1" si="625"/>
        <v>406432472388966.5</v>
      </c>
      <c r="AD969" s="20">
        <f t="shared" ca="1" si="626"/>
        <v>304093109270262.94</v>
      </c>
      <c r="AE969" s="20">
        <f t="shared" ca="1" si="627"/>
        <v>6916122611278627</v>
      </c>
      <c r="AG969" s="16">
        <f t="shared" ca="1" si="628"/>
        <v>-2.5178552641056138E-4</v>
      </c>
      <c r="AH969" s="16">
        <f t="shared" ca="1" si="629"/>
        <v>4.091619382677312E-4</v>
      </c>
      <c r="AI969" s="16">
        <f t="shared" ca="1" si="630"/>
        <v>-6.3575533555614342E-4</v>
      </c>
      <c r="AJ969" s="16">
        <f t="shared" ca="1" si="631"/>
        <v>4.4187604853155807E-4</v>
      </c>
      <c r="AK969" s="16">
        <f t="shared" ca="1" si="632"/>
        <v>-1.8431538129411629E-4</v>
      </c>
      <c r="AM969" s="16">
        <f t="shared" ca="1" si="633"/>
        <v>-3.6502875167415531E-5</v>
      </c>
      <c r="AO969" s="16">
        <f t="shared" ca="1" si="634"/>
        <v>-2.5178552641056138E-4</v>
      </c>
      <c r="AP969" s="16">
        <f t="shared" ca="1" si="635"/>
        <v>0</v>
      </c>
      <c r="AQ969" s="16">
        <f t="shared" ca="1" si="636"/>
        <v>-6.3575533555614342E-4</v>
      </c>
      <c r="AR969" s="16">
        <f t="shared" ca="1" si="637"/>
        <v>0</v>
      </c>
      <c r="AS969" s="16">
        <f t="shared" ca="1" si="638"/>
        <v>-1.8431538129411629E-4</v>
      </c>
    </row>
    <row r="970" spans="1:45" x14ac:dyDescent="0.25">
      <c r="A970" s="69">
        <f t="shared" ca="1" si="639"/>
        <v>2447.8726970913708</v>
      </c>
      <c r="B970" s="69">
        <f t="shared" ca="1" si="640"/>
        <v>2139.3508177704848</v>
      </c>
      <c r="C970" s="69">
        <f t="shared" ca="1" si="641"/>
        <v>2232.5287669247596</v>
      </c>
      <c r="D970" s="69">
        <f t="shared" ca="1" si="642"/>
        <v>2904.3032576108549</v>
      </c>
      <c r="E970" s="69">
        <f t="shared" ca="1" si="643"/>
        <v>1928.6561060476013</v>
      </c>
      <c r="F970" s="69">
        <f t="shared" ca="1" si="644"/>
        <v>1217.4873741062636</v>
      </c>
      <c r="G970" s="69">
        <f t="shared" ca="1" si="645"/>
        <v>971.26753431679401</v>
      </c>
      <c r="H970" s="69">
        <f t="shared" ca="1" si="646"/>
        <v>1189.3350306958464</v>
      </c>
      <c r="I970" s="69">
        <f t="shared" ca="1" si="647"/>
        <v>1052.7007552703792</v>
      </c>
      <c r="J970" s="69">
        <f t="shared" ca="1" si="648"/>
        <v>1139.9019808254784</v>
      </c>
      <c r="K970" s="69">
        <f t="shared" ca="1" si="649"/>
        <v>1172.024805795199</v>
      </c>
      <c r="L970" s="69">
        <f t="shared" ca="1" si="650"/>
        <v>958.21560413677764</v>
      </c>
      <c r="M970" s="69">
        <f t="shared" ca="1" si="651"/>
        <v>998.73521288966242</v>
      </c>
      <c r="N970" s="69">
        <f t="shared" ca="1" si="652"/>
        <v>571.28035301201214</v>
      </c>
      <c r="O970" s="69">
        <f t="shared" ca="1" si="653"/>
        <v>633.88810304744334</v>
      </c>
      <c r="P970" s="69">
        <f t="shared" ca="1" si="654"/>
        <v>718.03920026050707</v>
      </c>
      <c r="Q970" s="69">
        <f t="shared" ca="1" si="655"/>
        <v>961.36373245232039</v>
      </c>
      <c r="R970" s="69">
        <f t="shared" ca="1" si="656"/>
        <v>782.76481305404764</v>
      </c>
      <c r="S970" s="69">
        <f t="shared" ca="1" si="657"/>
        <v>706.44769893887201</v>
      </c>
      <c r="T970" s="69">
        <f t="shared" ca="1" si="658"/>
        <v>796.98708688305419</v>
      </c>
      <c r="U970" s="69">
        <f t="shared" ca="1" si="659"/>
        <v>1699.85640425821</v>
      </c>
      <c r="V970" s="69">
        <f t="shared" ca="1" si="660"/>
        <v>1913.4392883562318</v>
      </c>
      <c r="W970" s="69">
        <f t="shared" ca="1" si="661"/>
        <v>1185.3460027676017</v>
      </c>
      <c r="X970" s="69">
        <f t="shared" ca="1" si="662"/>
        <v>1494.5048982455844</v>
      </c>
      <c r="Y970" s="69">
        <f t="shared" ca="1" si="663"/>
        <v>1200.0883829207462</v>
      </c>
      <c r="AA970" s="20">
        <f t="shared" ca="1" si="623"/>
        <v>6.5488441920327416E+16</v>
      </c>
      <c r="AB970" s="20">
        <f t="shared" ca="1" si="624"/>
        <v>1687640705592415.8</v>
      </c>
      <c r="AC970" s="20">
        <f t="shared" ca="1" si="625"/>
        <v>406174162895621.63</v>
      </c>
      <c r="AD970" s="20">
        <f t="shared" ca="1" si="626"/>
        <v>304227510423911.44</v>
      </c>
      <c r="AE970" s="20">
        <f t="shared" ca="1" si="627"/>
        <v>6914847980973046</v>
      </c>
      <c r="AG970" s="16">
        <f t="shared" ca="1" si="628"/>
        <v>-9.0813267293082117E-5</v>
      </c>
      <c r="AH970" s="16">
        <f t="shared" ca="1" si="629"/>
        <v>-4.2898788998481537E-4</v>
      </c>
      <c r="AI970" s="16">
        <f t="shared" ca="1" si="630"/>
        <v>5.8883363810077597E-4</v>
      </c>
      <c r="AJ970" s="16">
        <f t="shared" ca="1" si="631"/>
        <v>7.203162278874224E-4</v>
      </c>
      <c r="AK970" s="16">
        <f t="shared" ca="1" si="632"/>
        <v>3.0112294510653879E-4</v>
      </c>
      <c r="AM970" s="16">
        <f t="shared" ca="1" si="633"/>
        <v>7.8934870871030089E-4</v>
      </c>
      <c r="AO970" s="16">
        <f t="shared" ca="1" si="634"/>
        <v>-9.0813267293082117E-5</v>
      </c>
      <c r="AP970" s="16">
        <f t="shared" ca="1" si="635"/>
        <v>-4.2898788998481537E-4</v>
      </c>
      <c r="AQ970" s="16">
        <f t="shared" ca="1" si="636"/>
        <v>0</v>
      </c>
      <c r="AR970" s="16">
        <f t="shared" ca="1" si="637"/>
        <v>0</v>
      </c>
      <c r="AS970" s="16">
        <f t="shared" ca="1" si="638"/>
        <v>0</v>
      </c>
    </row>
    <row r="971" spans="1:45" x14ac:dyDescent="0.25">
      <c r="A971" s="69">
        <f t="shared" ca="1" si="639"/>
        <v>2447.8726970913708</v>
      </c>
      <c r="B971" s="69">
        <f t="shared" ca="1" si="640"/>
        <v>2139.3508177704848</v>
      </c>
      <c r="C971" s="69">
        <f t="shared" ca="1" si="641"/>
        <v>2232.7024040010715</v>
      </c>
      <c r="D971" s="69">
        <f t="shared" ca="1" si="642"/>
        <v>2903.8136734116015</v>
      </c>
      <c r="E971" s="69">
        <f t="shared" ca="1" si="643"/>
        <v>1928.6561060476013</v>
      </c>
      <c r="F971" s="69">
        <f t="shared" ca="1" si="644"/>
        <v>1217.6978204381687</v>
      </c>
      <c r="G971" s="69">
        <f t="shared" ca="1" si="645"/>
        <v>970.94373713447465</v>
      </c>
      <c r="H971" s="69">
        <f t="shared" ca="1" si="646"/>
        <v>1189.6176172284838</v>
      </c>
      <c r="I971" s="69">
        <f t="shared" ca="1" si="647"/>
        <v>1052.4392977313848</v>
      </c>
      <c r="J971" s="69">
        <f t="shared" ca="1" si="648"/>
        <v>1139.6084169297928</v>
      </c>
      <c r="K971" s="69">
        <f t="shared" ca="1" si="649"/>
        <v>1172.2424922848552</v>
      </c>
      <c r="L971" s="69">
        <f t="shared" ca="1" si="650"/>
        <v>958.21560413677764</v>
      </c>
      <c r="M971" s="69">
        <f t="shared" ca="1" si="651"/>
        <v>998.73521288966242</v>
      </c>
      <c r="N971" s="69">
        <f t="shared" ca="1" si="652"/>
        <v>571.28035301201214</v>
      </c>
      <c r="O971" s="69">
        <f t="shared" ca="1" si="653"/>
        <v>634.14368467188956</v>
      </c>
      <c r="P971" s="69">
        <f t="shared" ca="1" si="654"/>
        <v>718.09654046633045</v>
      </c>
      <c r="Q971" s="69">
        <f t="shared" ca="1" si="655"/>
        <v>961.44948676836282</v>
      </c>
      <c r="R971" s="69">
        <f t="shared" ca="1" si="656"/>
        <v>782.76481305404764</v>
      </c>
      <c r="S971" s="69">
        <f t="shared" ca="1" si="657"/>
        <v>706.58591827605198</v>
      </c>
      <c r="T971" s="69">
        <f t="shared" ca="1" si="658"/>
        <v>797.2705707269746</v>
      </c>
      <c r="U971" s="69">
        <f t="shared" ca="1" si="659"/>
        <v>1699.663685616749</v>
      </c>
      <c r="V971" s="69">
        <f t="shared" ca="1" si="660"/>
        <v>1913.697297158142</v>
      </c>
      <c r="W971" s="69">
        <f t="shared" ca="1" si="661"/>
        <v>1185.6775567498755</v>
      </c>
      <c r="X971" s="69">
        <f t="shared" ca="1" si="662"/>
        <v>1494.5048982455844</v>
      </c>
      <c r="Y971" s="69">
        <f t="shared" ca="1" si="663"/>
        <v>1200.0883829207462</v>
      </c>
      <c r="AA971" s="20">
        <f t="shared" ca="1" si="623"/>
        <v>6.5482494970981736E+16</v>
      </c>
      <c r="AB971" s="20">
        <f t="shared" ca="1" si="624"/>
        <v>1686916883433642</v>
      </c>
      <c r="AC971" s="20">
        <f t="shared" ca="1" si="625"/>
        <v>406413402334864.19</v>
      </c>
      <c r="AD971" s="20">
        <f t="shared" ca="1" si="626"/>
        <v>304446729380647</v>
      </c>
      <c r="AE971" s="20">
        <f t="shared" ca="1" si="627"/>
        <v>6916930513895528</v>
      </c>
      <c r="AG971" s="16">
        <f t="shared" ca="1" si="628"/>
        <v>8.7781048647188415E-5</v>
      </c>
      <c r="AH971" s="16">
        <f t="shared" ca="1" si="629"/>
        <v>4.4538781302489003E-4</v>
      </c>
      <c r="AI971" s="16">
        <f t="shared" ca="1" si="630"/>
        <v>1.6800834299075509E-3</v>
      </c>
      <c r="AJ971" s="16">
        <f t="shared" ca="1" si="631"/>
        <v>9.9008311804980379E-5</v>
      </c>
      <c r="AK971" s="16">
        <f t="shared" ca="1" si="632"/>
        <v>2.4803807522370564E-4</v>
      </c>
      <c r="AM971" s="16">
        <f t="shared" ca="1" si="633"/>
        <v>2.3122606033846096E-3</v>
      </c>
      <c r="AO971" s="16">
        <f t="shared" ca="1" si="634"/>
        <v>0</v>
      </c>
      <c r="AP971" s="16">
        <f t="shared" ca="1" si="635"/>
        <v>0</v>
      </c>
      <c r="AQ971" s="16">
        <f t="shared" ca="1" si="636"/>
        <v>0</v>
      </c>
      <c r="AR971" s="16">
        <f t="shared" ca="1" si="637"/>
        <v>0</v>
      </c>
      <c r="AS971" s="16">
        <f t="shared" ca="1" si="638"/>
        <v>0</v>
      </c>
    </row>
    <row r="972" spans="1:45" x14ac:dyDescent="0.25">
      <c r="A972" s="69">
        <f t="shared" ca="1" si="639"/>
        <v>2447.8726970913708</v>
      </c>
      <c r="B972" s="69">
        <f t="shared" ca="1" si="640"/>
        <v>2139.3508177704848</v>
      </c>
      <c r="C972" s="69">
        <f t="shared" ca="1" si="641"/>
        <v>2232.7024040010715</v>
      </c>
      <c r="D972" s="69">
        <f t="shared" ca="1" si="642"/>
        <v>2904.1418392400687</v>
      </c>
      <c r="E972" s="69">
        <f t="shared" ca="1" si="643"/>
        <v>1928.6074571230072</v>
      </c>
      <c r="F972" s="69">
        <f t="shared" ca="1" si="644"/>
        <v>1217.6978204381687</v>
      </c>
      <c r="G972" s="69">
        <f t="shared" ca="1" si="645"/>
        <v>970.58544779286092</v>
      </c>
      <c r="H972" s="69">
        <f t="shared" ca="1" si="646"/>
        <v>1190.0973126148585</v>
      </c>
      <c r="I972" s="69">
        <f t="shared" ca="1" si="647"/>
        <v>1052.4392977313848</v>
      </c>
      <c r="J972" s="69">
        <f t="shared" ca="1" si="648"/>
        <v>1140.0772498833189</v>
      </c>
      <c r="K972" s="69">
        <f t="shared" ca="1" si="649"/>
        <v>1172.7277736753008</v>
      </c>
      <c r="L972" s="69">
        <f t="shared" ca="1" si="650"/>
        <v>958.6038257678365</v>
      </c>
      <c r="M972" s="69">
        <f t="shared" ca="1" si="651"/>
        <v>999.1748703364093</v>
      </c>
      <c r="N972" s="69">
        <f t="shared" ca="1" si="652"/>
        <v>571.52091622834678</v>
      </c>
      <c r="O972" s="69">
        <f t="shared" ca="1" si="653"/>
        <v>634.14368467188956</v>
      </c>
      <c r="P972" s="69">
        <f t="shared" ca="1" si="654"/>
        <v>718.09654046633045</v>
      </c>
      <c r="Q972" s="69">
        <f t="shared" ca="1" si="655"/>
        <v>961.8008554092404</v>
      </c>
      <c r="R972" s="69">
        <f t="shared" ca="1" si="656"/>
        <v>782.81281988304238</v>
      </c>
      <c r="S972" s="69">
        <f t="shared" ca="1" si="657"/>
        <v>706.3544008905443</v>
      </c>
      <c r="T972" s="69">
        <f t="shared" ca="1" si="658"/>
        <v>797.2705707269746</v>
      </c>
      <c r="U972" s="69">
        <f t="shared" ca="1" si="659"/>
        <v>1699.8136617356588</v>
      </c>
      <c r="V972" s="69">
        <f t="shared" ca="1" si="660"/>
        <v>1913.697297158142</v>
      </c>
      <c r="W972" s="69">
        <f t="shared" ca="1" si="661"/>
        <v>1185.6775567498755</v>
      </c>
      <c r="X972" s="69">
        <f t="shared" ca="1" si="662"/>
        <v>1494.7437440918063</v>
      </c>
      <c r="Y972" s="69">
        <f t="shared" ca="1" si="663"/>
        <v>1200.0883829207462</v>
      </c>
      <c r="AA972" s="20">
        <f t="shared" ca="1" si="623"/>
        <v>6.54882433453538E+16</v>
      </c>
      <c r="AB972" s="20">
        <f t="shared" ca="1" si="624"/>
        <v>1687668382997059.8</v>
      </c>
      <c r="AC972" s="20">
        <f t="shared" ca="1" si="625"/>
        <v>407096784666737.94</v>
      </c>
      <c r="AD972" s="20">
        <f t="shared" ca="1" si="626"/>
        <v>304476873629598.5</v>
      </c>
      <c r="AE972" s="20">
        <f t="shared" ca="1" si="627"/>
        <v>6918646388819011</v>
      </c>
      <c r="AG972" s="16">
        <f t="shared" ca="1" si="628"/>
        <v>-4.2248194566402869E-4</v>
      </c>
      <c r="AH972" s="16">
        <f t="shared" ca="1" si="629"/>
        <v>6.7346864530255768E-4</v>
      </c>
      <c r="AI972" s="16">
        <f t="shared" ca="1" si="630"/>
        <v>1.2116033130310471E-4</v>
      </c>
      <c r="AJ972" s="16">
        <f t="shared" ca="1" si="631"/>
        <v>-1.1965982130634231E-4</v>
      </c>
      <c r="AK972" s="16">
        <f t="shared" ca="1" si="632"/>
        <v>2.3629191749408086E-4</v>
      </c>
      <c r="AM972" s="16">
        <f t="shared" ca="1" si="633"/>
        <v>2.5248720963529141E-4</v>
      </c>
      <c r="AO972" s="16">
        <f t="shared" ca="1" si="634"/>
        <v>-4.2248194566402869E-4</v>
      </c>
      <c r="AP972" s="16">
        <f t="shared" ca="1" si="635"/>
        <v>0</v>
      </c>
      <c r="AQ972" s="16">
        <f t="shared" ca="1" si="636"/>
        <v>0</v>
      </c>
      <c r="AR972" s="16">
        <f t="shared" ca="1" si="637"/>
        <v>-1.1965982130634231E-4</v>
      </c>
      <c r="AS972" s="16">
        <f t="shared" ca="1" si="638"/>
        <v>0</v>
      </c>
    </row>
    <row r="973" spans="1:45" x14ac:dyDescent="0.25">
      <c r="A973" s="69">
        <f t="shared" ca="1" si="639"/>
        <v>2447.6306558028186</v>
      </c>
      <c r="B973" s="69">
        <f t="shared" ca="1" si="640"/>
        <v>2139.1071086755678</v>
      </c>
      <c r="C973" s="69">
        <f t="shared" ca="1" si="641"/>
        <v>2232.7024040010715</v>
      </c>
      <c r="D973" s="69">
        <f t="shared" ca="1" si="642"/>
        <v>2903.9820924663259</v>
      </c>
      <c r="E973" s="69">
        <f t="shared" ca="1" si="643"/>
        <v>1928.3091882747151</v>
      </c>
      <c r="F973" s="69">
        <f t="shared" ca="1" si="644"/>
        <v>1217.5425157246727</v>
      </c>
      <c r="G973" s="69">
        <f t="shared" ca="1" si="645"/>
        <v>970.84321911570794</v>
      </c>
      <c r="H973" s="69">
        <f t="shared" ca="1" si="646"/>
        <v>1190.0973126148585</v>
      </c>
      <c r="I973" s="69">
        <f t="shared" ca="1" si="647"/>
        <v>1052.604601009986</v>
      </c>
      <c r="J973" s="69">
        <f t="shared" ca="1" si="648"/>
        <v>1140.5087525398569</v>
      </c>
      <c r="K973" s="69">
        <f t="shared" ca="1" si="649"/>
        <v>1172.7277736753008</v>
      </c>
      <c r="L973" s="69">
        <f t="shared" ca="1" si="650"/>
        <v>958.44355341414109</v>
      </c>
      <c r="M973" s="69">
        <f t="shared" ca="1" si="651"/>
        <v>999.18783537980266</v>
      </c>
      <c r="N973" s="69">
        <f t="shared" ca="1" si="652"/>
        <v>571.52091622834678</v>
      </c>
      <c r="O973" s="69">
        <f t="shared" ca="1" si="653"/>
        <v>634.31834692640825</v>
      </c>
      <c r="P973" s="69">
        <f t="shared" ca="1" si="654"/>
        <v>718.09654046633045</v>
      </c>
      <c r="Q973" s="69">
        <f t="shared" ca="1" si="655"/>
        <v>961.65872938918312</v>
      </c>
      <c r="R973" s="69">
        <f t="shared" ca="1" si="656"/>
        <v>782.69301491424721</v>
      </c>
      <c r="S973" s="69">
        <f t="shared" ca="1" si="657"/>
        <v>706.41989065745406</v>
      </c>
      <c r="T973" s="69">
        <f t="shared" ca="1" si="658"/>
        <v>797.34110589075351</v>
      </c>
      <c r="U973" s="69">
        <f t="shared" ca="1" si="659"/>
        <v>1699.3587039752865</v>
      </c>
      <c r="V973" s="69">
        <f t="shared" ca="1" si="660"/>
        <v>1913.5375730575281</v>
      </c>
      <c r="W973" s="69">
        <f t="shared" ca="1" si="661"/>
        <v>1185.8606404605184</v>
      </c>
      <c r="X973" s="69">
        <f t="shared" ca="1" si="662"/>
        <v>1494.9440270094512</v>
      </c>
      <c r="Y973" s="69">
        <f t="shared" ca="1" si="663"/>
        <v>1200.4473387262442</v>
      </c>
      <c r="AA973" s="20">
        <f t="shared" ca="1" si="623"/>
        <v>6.5460581588594992E+16</v>
      </c>
      <c r="AB973" s="20">
        <f t="shared" ca="1" si="624"/>
        <v>1688805357552059.5</v>
      </c>
      <c r="AC973" s="20">
        <f t="shared" ca="1" si="625"/>
        <v>407146111636216.19</v>
      </c>
      <c r="AD973" s="20">
        <f t="shared" ca="1" si="626"/>
        <v>304440442161043.06</v>
      </c>
      <c r="AE973" s="20">
        <f t="shared" ca="1" si="627"/>
        <v>6920281402203305</v>
      </c>
      <c r="AG973" s="16">
        <f t="shared" ca="1" si="628"/>
        <v>-1.1759699954344974E-4</v>
      </c>
      <c r="AH973" s="16">
        <f t="shared" ca="1" si="629"/>
        <v>1.5635459539916174E-4</v>
      </c>
      <c r="AI973" s="16">
        <f t="shared" ca="1" si="630"/>
        <v>-6.2695670116704068E-4</v>
      </c>
      <c r="AJ973" s="16">
        <f t="shared" ca="1" si="631"/>
        <v>6.9298053281776186E-4</v>
      </c>
      <c r="AK973" s="16">
        <f t="shared" ca="1" si="632"/>
        <v>-2.4514558252402825E-4</v>
      </c>
      <c r="AM973" s="16">
        <f t="shared" ca="1" si="633"/>
        <v>1.0478142750643322E-4</v>
      </c>
      <c r="AO973" s="16">
        <f t="shared" ca="1" si="634"/>
        <v>-1.1759699954344974E-4</v>
      </c>
      <c r="AP973" s="16">
        <f t="shared" ca="1" si="635"/>
        <v>0</v>
      </c>
      <c r="AQ973" s="16">
        <f t="shared" ca="1" si="636"/>
        <v>-6.2695670116704068E-4</v>
      </c>
      <c r="AR973" s="16">
        <f t="shared" ca="1" si="637"/>
        <v>0</v>
      </c>
      <c r="AS973" s="16">
        <f t="shared" ca="1" si="638"/>
        <v>-2.4514558252402825E-4</v>
      </c>
    </row>
    <row r="974" spans="1:45" x14ac:dyDescent="0.25">
      <c r="A974" s="69">
        <f t="shared" ca="1" si="639"/>
        <v>2447.2411721654189</v>
      </c>
      <c r="B974" s="69">
        <f t="shared" ca="1" si="640"/>
        <v>2139.1071086755678</v>
      </c>
      <c r="C974" s="69">
        <f t="shared" ca="1" si="641"/>
        <v>2233.1715787997205</v>
      </c>
      <c r="D974" s="69">
        <f t="shared" ca="1" si="642"/>
        <v>2903.9820924663259</v>
      </c>
      <c r="E974" s="69">
        <f t="shared" ca="1" si="643"/>
        <v>1927.9841546265857</v>
      </c>
      <c r="F974" s="69">
        <f t="shared" ca="1" si="644"/>
        <v>1217.5425157246727</v>
      </c>
      <c r="G974" s="69">
        <f t="shared" ca="1" si="645"/>
        <v>970.99502678203271</v>
      </c>
      <c r="H974" s="69">
        <f t="shared" ca="1" si="646"/>
        <v>1190.0973126148585</v>
      </c>
      <c r="I974" s="69">
        <f t="shared" ca="1" si="647"/>
        <v>1052.604601009986</v>
      </c>
      <c r="J974" s="69">
        <f t="shared" ca="1" si="648"/>
        <v>1140.5087525398569</v>
      </c>
      <c r="K974" s="69">
        <f t="shared" ca="1" si="649"/>
        <v>1172.4583091003085</v>
      </c>
      <c r="L974" s="69">
        <f t="shared" ca="1" si="650"/>
        <v>958.44355341414109</v>
      </c>
      <c r="M974" s="69">
        <f t="shared" ca="1" si="651"/>
        <v>999.18783537980266</v>
      </c>
      <c r="N974" s="69">
        <f t="shared" ca="1" si="652"/>
        <v>571.52091622834678</v>
      </c>
      <c r="O974" s="69">
        <f t="shared" ca="1" si="653"/>
        <v>634.06647462167575</v>
      </c>
      <c r="P974" s="69">
        <f t="shared" ca="1" si="654"/>
        <v>718.09654046633045</v>
      </c>
      <c r="Q974" s="69">
        <f t="shared" ca="1" si="655"/>
        <v>961.65872938918312</v>
      </c>
      <c r="R974" s="69">
        <f t="shared" ca="1" si="656"/>
        <v>782.69301491424721</v>
      </c>
      <c r="S974" s="69">
        <f t="shared" ca="1" si="657"/>
        <v>706.90959554805568</v>
      </c>
      <c r="T974" s="69">
        <f t="shared" ca="1" si="658"/>
        <v>797.34110589075351</v>
      </c>
      <c r="U974" s="69">
        <f t="shared" ca="1" si="659"/>
        <v>1699.453228538652</v>
      </c>
      <c r="V974" s="69">
        <f t="shared" ca="1" si="660"/>
        <v>1913.5375730575281</v>
      </c>
      <c r="W974" s="69">
        <f t="shared" ca="1" si="661"/>
        <v>1185.8606404605184</v>
      </c>
      <c r="X974" s="69">
        <f t="shared" ca="1" si="662"/>
        <v>1494.9440270094512</v>
      </c>
      <c r="Y974" s="69">
        <f t="shared" ca="1" si="663"/>
        <v>1200.0863372291217</v>
      </c>
      <c r="AA974" s="20">
        <f t="shared" ca="1" si="623"/>
        <v>6.5452884073223032E+16</v>
      </c>
      <c r="AB974" s="20">
        <f t="shared" ca="1" si="624"/>
        <v>1689069430674432.8</v>
      </c>
      <c r="AC974" s="20">
        <f t="shared" ca="1" si="625"/>
        <v>406890928655870.38</v>
      </c>
      <c r="AD974" s="20">
        <f t="shared" ca="1" si="626"/>
        <v>304651486577253.44</v>
      </c>
      <c r="AE974" s="20">
        <f t="shared" ca="1" si="627"/>
        <v>6918585133712590</v>
      </c>
      <c r="AG974" s="16">
        <f t="shared" ca="1" si="628"/>
        <v>-2.6414150077178598E-5</v>
      </c>
      <c r="AH974" s="16">
        <f t="shared" ca="1" si="629"/>
        <v>-1.7632683865344883E-4</v>
      </c>
      <c r="AI974" s="16">
        <f t="shared" ca="1" si="630"/>
        <v>1.6486065462221477E-4</v>
      </c>
      <c r="AJ974" s="16">
        <f t="shared" ca="1" si="631"/>
        <v>-4.1889170213048202E-4</v>
      </c>
      <c r="AK974" s="16">
        <f t="shared" ca="1" si="632"/>
        <v>-3.7181058768918549E-4</v>
      </c>
      <c r="AM974" s="16">
        <f t="shared" ca="1" si="633"/>
        <v>-4.5677203623889468E-4</v>
      </c>
      <c r="AO974" s="16">
        <f t="shared" ca="1" si="634"/>
        <v>-2.6414150077178598E-5</v>
      </c>
      <c r="AP974" s="16">
        <f t="shared" ca="1" si="635"/>
        <v>-1.7632683865344883E-4</v>
      </c>
      <c r="AQ974" s="16">
        <f t="shared" ca="1" si="636"/>
        <v>0</v>
      </c>
      <c r="AR974" s="16">
        <f t="shared" ca="1" si="637"/>
        <v>-4.1889170213048202E-4</v>
      </c>
      <c r="AS974" s="16">
        <f t="shared" ca="1" si="638"/>
        <v>-3.7181058768918549E-4</v>
      </c>
    </row>
    <row r="975" spans="1:45" x14ac:dyDescent="0.25">
      <c r="A975" s="69">
        <f t="shared" ca="1" si="639"/>
        <v>2447.5964663353116</v>
      </c>
      <c r="B975" s="69">
        <f t="shared" ca="1" si="640"/>
        <v>2139.1071086755678</v>
      </c>
      <c r="C975" s="69">
        <f t="shared" ca="1" si="641"/>
        <v>2233.0362185351696</v>
      </c>
      <c r="D975" s="69">
        <f t="shared" ca="1" si="642"/>
        <v>2903.8518762225067</v>
      </c>
      <c r="E975" s="69">
        <f t="shared" ca="1" si="643"/>
        <v>1927.8566646513812</v>
      </c>
      <c r="F975" s="69">
        <f t="shared" ca="1" si="644"/>
        <v>1217.5425157246727</v>
      </c>
      <c r="G975" s="69">
        <f t="shared" ca="1" si="645"/>
        <v>970.99502678203271</v>
      </c>
      <c r="H975" s="69">
        <f t="shared" ca="1" si="646"/>
        <v>1190.0973126148585</v>
      </c>
      <c r="I975" s="69">
        <f t="shared" ca="1" si="647"/>
        <v>1052.4559809407831</v>
      </c>
      <c r="J975" s="69">
        <f t="shared" ca="1" si="648"/>
        <v>1140.4686938022141</v>
      </c>
      <c r="K975" s="69">
        <f t="shared" ca="1" si="649"/>
        <v>1172.4583091003085</v>
      </c>
      <c r="L975" s="69">
        <f t="shared" ca="1" si="650"/>
        <v>958.44355341414109</v>
      </c>
      <c r="M975" s="69">
        <f t="shared" ca="1" si="651"/>
        <v>999.35257571966065</v>
      </c>
      <c r="N975" s="69">
        <f t="shared" ca="1" si="652"/>
        <v>571.52091622834678</v>
      </c>
      <c r="O975" s="69">
        <f t="shared" ca="1" si="653"/>
        <v>634.06647462167575</v>
      </c>
      <c r="P975" s="69">
        <f t="shared" ca="1" si="654"/>
        <v>718.09654046633045</v>
      </c>
      <c r="Q975" s="69">
        <f t="shared" ca="1" si="655"/>
        <v>961.39946573301245</v>
      </c>
      <c r="R975" s="69">
        <f t="shared" ca="1" si="656"/>
        <v>782.69301491424721</v>
      </c>
      <c r="S975" s="69">
        <f t="shared" ca="1" si="657"/>
        <v>706.90959554805568</v>
      </c>
      <c r="T975" s="69">
        <f t="shared" ca="1" si="658"/>
        <v>797.22210772663391</v>
      </c>
      <c r="U975" s="69">
        <f t="shared" ca="1" si="659"/>
        <v>1699.0967125595298</v>
      </c>
      <c r="V975" s="69">
        <f t="shared" ca="1" si="660"/>
        <v>1913.2359884664775</v>
      </c>
      <c r="W975" s="69">
        <f t="shared" ca="1" si="661"/>
        <v>1185.8606404605184</v>
      </c>
      <c r="X975" s="69">
        <f t="shared" ca="1" si="662"/>
        <v>1494.5528227680529</v>
      </c>
      <c r="Y975" s="69">
        <f t="shared" ca="1" si="663"/>
        <v>1200.3951969854559</v>
      </c>
      <c r="AA975" s="20">
        <f t="shared" ca="1" si="623"/>
        <v>6.5451155213753416E+16</v>
      </c>
      <c r="AB975" s="20">
        <f t="shared" ca="1" si="624"/>
        <v>1688771628657471.5</v>
      </c>
      <c r="AC975" s="20">
        <f t="shared" ca="1" si="625"/>
        <v>406958014490483.75</v>
      </c>
      <c r="AD975" s="20">
        <f t="shared" ca="1" si="626"/>
        <v>304523897322390.25</v>
      </c>
      <c r="AE975" s="20">
        <f t="shared" ca="1" si="627"/>
        <v>6916013208672156</v>
      </c>
      <c r="AG975" s="16">
        <f t="shared" ca="1" si="628"/>
        <v>-7.6668423898725304E-5</v>
      </c>
      <c r="AH975" s="16">
        <f t="shared" ca="1" si="629"/>
        <v>8.4098111985621597E-4</v>
      </c>
      <c r="AI975" s="16">
        <f t="shared" ca="1" si="630"/>
        <v>1.5830238604609315E-3</v>
      </c>
      <c r="AJ975" s="16">
        <f t="shared" ca="1" si="631"/>
        <v>-6.4405575791730806E-4</v>
      </c>
      <c r="AK975" s="16">
        <f t="shared" ca="1" si="632"/>
        <v>-3.3303348771869615E-4</v>
      </c>
      <c r="AM975" s="16">
        <f t="shared" ca="1" si="633"/>
        <v>1.7032807985011139E-3</v>
      </c>
      <c r="AO975" s="16">
        <f t="shared" ca="1" si="634"/>
        <v>-7.6668423898725304E-5</v>
      </c>
      <c r="AP975" s="16">
        <f t="shared" ca="1" si="635"/>
        <v>0</v>
      </c>
      <c r="AQ975" s="16">
        <f t="shared" ca="1" si="636"/>
        <v>0</v>
      </c>
      <c r="AR975" s="16">
        <f t="shared" ca="1" si="637"/>
        <v>-6.4405575791730806E-4</v>
      </c>
      <c r="AS975" s="16">
        <f t="shared" ca="1" si="638"/>
        <v>-3.3303348771869615E-4</v>
      </c>
    </row>
    <row r="976" spans="1:45" x14ac:dyDescent="0.25">
      <c r="A976" s="69">
        <f t="shared" ca="1" si="639"/>
        <v>2447.5964663353116</v>
      </c>
      <c r="B976" s="69">
        <f t="shared" ca="1" si="640"/>
        <v>2138.9431129917207</v>
      </c>
      <c r="C976" s="69">
        <f t="shared" ca="1" si="641"/>
        <v>2233.0362185351696</v>
      </c>
      <c r="D976" s="69">
        <f t="shared" ca="1" si="642"/>
        <v>2903.8518762225067</v>
      </c>
      <c r="E976" s="69">
        <f t="shared" ca="1" si="643"/>
        <v>1927.8566646513812</v>
      </c>
      <c r="F976" s="69">
        <f t="shared" ca="1" si="644"/>
        <v>1217.5425157246727</v>
      </c>
      <c r="G976" s="69">
        <f t="shared" ca="1" si="645"/>
        <v>970.99502678203271</v>
      </c>
      <c r="H976" s="69">
        <f t="shared" ca="1" si="646"/>
        <v>1190.0973126148585</v>
      </c>
      <c r="I976" s="69">
        <f t="shared" ca="1" si="647"/>
        <v>1052.955850239731</v>
      </c>
      <c r="J976" s="69">
        <f t="shared" ca="1" si="648"/>
        <v>1140.8863401064359</v>
      </c>
      <c r="K976" s="69">
        <f t="shared" ca="1" si="649"/>
        <v>1172.7800340903864</v>
      </c>
      <c r="L976" s="69">
        <f t="shared" ca="1" si="650"/>
        <v>958.44355341414109</v>
      </c>
      <c r="M976" s="69">
        <f t="shared" ca="1" si="651"/>
        <v>999.49106819445785</v>
      </c>
      <c r="N976" s="69">
        <f t="shared" ca="1" si="652"/>
        <v>571.82203073525477</v>
      </c>
      <c r="O976" s="69">
        <f t="shared" ca="1" si="653"/>
        <v>634.47453909365242</v>
      </c>
      <c r="P976" s="69">
        <f t="shared" ca="1" si="654"/>
        <v>718.09654046633045</v>
      </c>
      <c r="Q976" s="69">
        <f t="shared" ca="1" si="655"/>
        <v>960.98705640808885</v>
      </c>
      <c r="R976" s="69">
        <f t="shared" ca="1" si="656"/>
        <v>782.76695857179709</v>
      </c>
      <c r="S976" s="69">
        <f t="shared" ca="1" si="657"/>
        <v>706.94688887399957</v>
      </c>
      <c r="T976" s="69">
        <f t="shared" ca="1" si="658"/>
        <v>796.93339103558515</v>
      </c>
      <c r="U976" s="69">
        <f t="shared" ca="1" si="659"/>
        <v>1699.0967125595298</v>
      </c>
      <c r="V976" s="69">
        <f t="shared" ca="1" si="660"/>
        <v>1912.7942571825711</v>
      </c>
      <c r="W976" s="69">
        <f t="shared" ca="1" si="661"/>
        <v>1185.8606404605184</v>
      </c>
      <c r="X976" s="69">
        <f t="shared" ca="1" si="662"/>
        <v>1494.5528227680529</v>
      </c>
      <c r="Y976" s="69">
        <f t="shared" ca="1" si="663"/>
        <v>1200.2726127957205</v>
      </c>
      <c r="AA976" s="20">
        <f t="shared" ca="1" si="623"/>
        <v>6.54461373691984E+16</v>
      </c>
      <c r="AB976" s="20">
        <f t="shared" ca="1" si="624"/>
        <v>1690192451071594.3</v>
      </c>
      <c r="AC976" s="20">
        <f t="shared" ca="1" si="625"/>
        <v>407602748917979.06</v>
      </c>
      <c r="AD976" s="20">
        <f t="shared" ca="1" si="626"/>
        <v>304327830098786</v>
      </c>
      <c r="AE976" s="20">
        <f t="shared" ca="1" si="627"/>
        <v>6913710328161612</v>
      </c>
      <c r="AG976" s="16">
        <f t="shared" ca="1" si="628"/>
        <v>1.6282524086230722E-4</v>
      </c>
      <c r="AH976" s="16">
        <f t="shared" ca="1" si="629"/>
        <v>-2.1129261178684159E-4</v>
      </c>
      <c r="AI976" s="16">
        <f t="shared" ca="1" si="630"/>
        <v>3.7542536672324544E-4</v>
      </c>
      <c r="AJ976" s="16">
        <f t="shared" ca="1" si="631"/>
        <v>-1.2754622839639168E-3</v>
      </c>
      <c r="AK976" s="16">
        <f t="shared" ca="1" si="632"/>
        <v>-1.2999712398268335E-4</v>
      </c>
      <c r="AM976" s="16">
        <f t="shared" ca="1" si="633"/>
        <v>-9.4850428816520575E-4</v>
      </c>
      <c r="AO976" s="16">
        <f t="shared" ca="1" si="634"/>
        <v>0</v>
      </c>
      <c r="AP976" s="16">
        <f t="shared" ca="1" si="635"/>
        <v>-2.1129261178684159E-4</v>
      </c>
      <c r="AQ976" s="16">
        <f t="shared" ca="1" si="636"/>
        <v>0</v>
      </c>
      <c r="AR976" s="16">
        <f t="shared" ca="1" si="637"/>
        <v>-1.2754622839639168E-3</v>
      </c>
      <c r="AS976" s="16">
        <f t="shared" ca="1" si="638"/>
        <v>-1.2999712398268335E-4</v>
      </c>
    </row>
    <row r="977" spans="1:45" x14ac:dyDescent="0.25">
      <c r="A977" s="69">
        <f t="shared" ca="1" si="639"/>
        <v>2447.6941196579928</v>
      </c>
      <c r="B977" s="69">
        <f t="shared" ca="1" si="640"/>
        <v>2138.9431129917207</v>
      </c>
      <c r="C977" s="69">
        <f t="shared" ca="1" si="641"/>
        <v>2233.0362185351696</v>
      </c>
      <c r="D977" s="69">
        <f t="shared" ca="1" si="642"/>
        <v>2903.8518762225067</v>
      </c>
      <c r="E977" s="69">
        <f t="shared" ca="1" si="643"/>
        <v>1928.0936675472274</v>
      </c>
      <c r="F977" s="69">
        <f t="shared" ca="1" si="644"/>
        <v>1217.5425157246727</v>
      </c>
      <c r="G977" s="69">
        <f t="shared" ca="1" si="645"/>
        <v>970.9327397514536</v>
      </c>
      <c r="H977" s="69">
        <f t="shared" ca="1" si="646"/>
        <v>1190.3617456350814</v>
      </c>
      <c r="I977" s="69">
        <f t="shared" ca="1" si="647"/>
        <v>1053.0068796642227</v>
      </c>
      <c r="J977" s="69">
        <f t="shared" ca="1" si="648"/>
        <v>1140.4098063853942</v>
      </c>
      <c r="K977" s="69">
        <f t="shared" ca="1" si="649"/>
        <v>1172.5798414506296</v>
      </c>
      <c r="L977" s="69">
        <f t="shared" ca="1" si="650"/>
        <v>958.40760853440645</v>
      </c>
      <c r="M977" s="69">
        <f t="shared" ca="1" si="651"/>
        <v>999.36700766237959</v>
      </c>
      <c r="N977" s="69">
        <f t="shared" ca="1" si="652"/>
        <v>572.22689513633293</v>
      </c>
      <c r="O977" s="69">
        <f t="shared" ca="1" si="653"/>
        <v>634.47453909365242</v>
      </c>
      <c r="P977" s="69">
        <f t="shared" ca="1" si="654"/>
        <v>717.92015487765218</v>
      </c>
      <c r="Q977" s="69">
        <f t="shared" ca="1" si="655"/>
        <v>960.56605510821191</v>
      </c>
      <c r="R977" s="69">
        <f t="shared" ca="1" si="656"/>
        <v>782.30399949372838</v>
      </c>
      <c r="S977" s="69">
        <f t="shared" ca="1" si="657"/>
        <v>706.94688887399957</v>
      </c>
      <c r="T977" s="69">
        <f t="shared" ca="1" si="658"/>
        <v>796.93339103558515</v>
      </c>
      <c r="U977" s="69">
        <f t="shared" ca="1" si="659"/>
        <v>1699.0967125595298</v>
      </c>
      <c r="V977" s="69">
        <f t="shared" ca="1" si="660"/>
        <v>1912.5456155920633</v>
      </c>
      <c r="W977" s="69">
        <f t="shared" ca="1" si="661"/>
        <v>1185.8606404605184</v>
      </c>
      <c r="X977" s="69">
        <f t="shared" ca="1" si="662"/>
        <v>1494.5528227680529</v>
      </c>
      <c r="Y977" s="69">
        <f t="shared" ca="1" si="663"/>
        <v>1200.2726127957205</v>
      </c>
      <c r="AA977" s="20">
        <f t="shared" ca="1" si="623"/>
        <v>6.5456794519882072E+16</v>
      </c>
      <c r="AB977" s="20">
        <f t="shared" ca="1" si="624"/>
        <v>1689835363620483.5</v>
      </c>
      <c r="AC977" s="20">
        <f t="shared" ca="1" si="625"/>
        <v>407755802057686.88</v>
      </c>
      <c r="AD977" s="20">
        <f t="shared" ca="1" si="626"/>
        <v>303939918865196.38</v>
      </c>
      <c r="AE977" s="20">
        <f t="shared" ca="1" si="627"/>
        <v>6912811624118638</v>
      </c>
      <c r="AG977" s="16">
        <f t="shared" ca="1" si="628"/>
        <v>-4.6212589290169987E-4</v>
      </c>
      <c r="AH977" s="16">
        <f t="shared" ca="1" si="629"/>
        <v>3.7162209316468517E-4</v>
      </c>
      <c r="AI977" s="16">
        <f t="shared" ca="1" si="630"/>
        <v>-3.9217571775949727E-4</v>
      </c>
      <c r="AJ977" s="16">
        <f t="shared" ca="1" si="631"/>
        <v>-6.2354788650677631E-4</v>
      </c>
      <c r="AK977" s="16">
        <f t="shared" ca="1" si="632"/>
        <v>6.9367662620482785E-4</v>
      </c>
      <c r="AM977" s="16">
        <f t="shared" ca="1" si="633"/>
        <v>-1.1062274040032883E-3</v>
      </c>
      <c r="AO977" s="16">
        <f t="shared" ca="1" si="634"/>
        <v>-4.6212589290169987E-4</v>
      </c>
      <c r="AP977" s="16">
        <f t="shared" ca="1" si="635"/>
        <v>0</v>
      </c>
      <c r="AQ977" s="16">
        <f t="shared" ca="1" si="636"/>
        <v>-3.9217571775949727E-4</v>
      </c>
      <c r="AR977" s="16">
        <f t="shared" ca="1" si="637"/>
        <v>-6.2354788650677631E-4</v>
      </c>
      <c r="AS977" s="16">
        <f t="shared" ca="1" si="638"/>
        <v>0</v>
      </c>
    </row>
    <row r="978" spans="1:45" x14ac:dyDescent="0.25">
      <c r="A978" s="69">
        <f t="shared" ca="1" si="639"/>
        <v>2447.5491993153505</v>
      </c>
      <c r="B978" s="69">
        <f t="shared" ca="1" si="640"/>
        <v>2138.6382876056205</v>
      </c>
      <c r="C978" s="69">
        <f t="shared" ca="1" si="641"/>
        <v>2232.9443967764569</v>
      </c>
      <c r="D978" s="69">
        <f t="shared" ca="1" si="642"/>
        <v>2903.8518762225067</v>
      </c>
      <c r="E978" s="69">
        <f t="shared" ca="1" si="643"/>
        <v>1927.6709322917052</v>
      </c>
      <c r="F978" s="69">
        <f t="shared" ca="1" si="644"/>
        <v>1217.9039471253741</v>
      </c>
      <c r="G978" s="69">
        <f t="shared" ca="1" si="645"/>
        <v>971.05433279039858</v>
      </c>
      <c r="H978" s="69">
        <f t="shared" ca="1" si="646"/>
        <v>1190.3617456350814</v>
      </c>
      <c r="I978" s="69">
        <f t="shared" ca="1" si="647"/>
        <v>1053.0068796642227</v>
      </c>
      <c r="J978" s="69">
        <f t="shared" ca="1" si="648"/>
        <v>1140.3523169861135</v>
      </c>
      <c r="K978" s="69">
        <f t="shared" ca="1" si="649"/>
        <v>1172.6809392864038</v>
      </c>
      <c r="L978" s="69">
        <f t="shared" ca="1" si="650"/>
        <v>958.27448106029806</v>
      </c>
      <c r="M978" s="69">
        <f t="shared" ca="1" si="651"/>
        <v>999.38699263516469</v>
      </c>
      <c r="N978" s="69">
        <f t="shared" ca="1" si="652"/>
        <v>572.22689513633293</v>
      </c>
      <c r="O978" s="69">
        <f t="shared" ca="1" si="653"/>
        <v>634.2465034764241</v>
      </c>
      <c r="P978" s="69">
        <f t="shared" ca="1" si="654"/>
        <v>717.92015487765218</v>
      </c>
      <c r="Q978" s="69">
        <f t="shared" ca="1" si="655"/>
        <v>960.60844671586062</v>
      </c>
      <c r="R978" s="69">
        <f t="shared" ca="1" si="656"/>
        <v>782.30399949372838</v>
      </c>
      <c r="S978" s="69">
        <f t="shared" ca="1" si="657"/>
        <v>706.47503295432284</v>
      </c>
      <c r="T978" s="69">
        <f t="shared" ca="1" si="658"/>
        <v>796.93339103558515</v>
      </c>
      <c r="U978" s="69">
        <f t="shared" ca="1" si="659"/>
        <v>1699.5783675069533</v>
      </c>
      <c r="V978" s="69">
        <f t="shared" ca="1" si="660"/>
        <v>1912.4643605252579</v>
      </c>
      <c r="W978" s="69">
        <f t="shared" ca="1" si="661"/>
        <v>1186.3595632970719</v>
      </c>
      <c r="X978" s="69">
        <f t="shared" ca="1" si="662"/>
        <v>1494.5528227680529</v>
      </c>
      <c r="Y978" s="69">
        <f t="shared" ca="1" si="663"/>
        <v>1200.3111278195177</v>
      </c>
      <c r="AA978" s="20">
        <f t="shared" ca="1" si="623"/>
        <v>6.5426552228679216E+16</v>
      </c>
      <c r="AB978" s="20">
        <f t="shared" ca="1" si="624"/>
        <v>1690463460475521.5</v>
      </c>
      <c r="AC978" s="20">
        <f t="shared" ca="1" si="625"/>
        <v>407595921486032.44</v>
      </c>
      <c r="AD978" s="20">
        <f t="shared" ca="1" si="626"/>
        <v>303750456846622.31</v>
      </c>
      <c r="AE978" s="20">
        <f t="shared" ca="1" si="627"/>
        <v>6917608543526730</v>
      </c>
      <c r="AG978" s="16">
        <f t="shared" ca="1" si="628"/>
        <v>2.4673006340014935E-4</v>
      </c>
      <c r="AH978" s="16">
        <f t="shared" ca="1" si="629"/>
        <v>-1.3865759284244201E-4</v>
      </c>
      <c r="AI978" s="16">
        <f t="shared" ca="1" si="630"/>
        <v>-4.8090410590247623E-4</v>
      </c>
      <c r="AJ978" s="16">
        <f t="shared" ca="1" si="631"/>
        <v>-3.5421662963518505E-4</v>
      </c>
      <c r="AK978" s="16">
        <f t="shared" ca="1" si="632"/>
        <v>-1.0407313083568081E-4</v>
      </c>
      <c r="AM978" s="16">
        <f t="shared" ca="1" si="633"/>
        <v>-7.2704826497995388E-4</v>
      </c>
      <c r="AO978" s="16">
        <f t="shared" ca="1" si="634"/>
        <v>0</v>
      </c>
      <c r="AP978" s="16">
        <f t="shared" ca="1" si="635"/>
        <v>-1.3865759284244201E-4</v>
      </c>
      <c r="AQ978" s="16">
        <f t="shared" ca="1" si="636"/>
        <v>-4.8090410590247623E-4</v>
      </c>
      <c r="AR978" s="16">
        <f t="shared" ca="1" si="637"/>
        <v>-3.5421662963518505E-4</v>
      </c>
      <c r="AS978" s="16">
        <f t="shared" ca="1" si="638"/>
        <v>-1.0407313083568081E-4</v>
      </c>
    </row>
    <row r="979" spans="1:45" x14ac:dyDescent="0.25">
      <c r="A979" s="69">
        <f t="shared" ca="1" si="639"/>
        <v>2447.9654259865197</v>
      </c>
      <c r="B979" s="69">
        <f t="shared" ca="1" si="640"/>
        <v>2138.1450419004277</v>
      </c>
      <c r="C979" s="69">
        <f t="shared" ca="1" si="641"/>
        <v>2232.9443967764569</v>
      </c>
      <c r="D979" s="69">
        <f t="shared" ca="1" si="642"/>
        <v>2904.0583471015111</v>
      </c>
      <c r="E979" s="69">
        <f t="shared" ca="1" si="643"/>
        <v>1928.1263946628724</v>
      </c>
      <c r="F979" s="69">
        <f t="shared" ca="1" si="644"/>
        <v>1217.9039471253741</v>
      </c>
      <c r="G979" s="69">
        <f t="shared" ca="1" si="645"/>
        <v>971.05433279039858</v>
      </c>
      <c r="H979" s="69">
        <f t="shared" ca="1" si="646"/>
        <v>1190.3617456350814</v>
      </c>
      <c r="I979" s="69">
        <f t="shared" ca="1" si="647"/>
        <v>1053.1251648074119</v>
      </c>
      <c r="J979" s="69">
        <f t="shared" ca="1" si="648"/>
        <v>1140.0661448572703</v>
      </c>
      <c r="K979" s="69">
        <f t="shared" ca="1" si="649"/>
        <v>1172.2624618936691</v>
      </c>
      <c r="L979" s="69">
        <f t="shared" ca="1" si="650"/>
        <v>958.27448106029806</v>
      </c>
      <c r="M979" s="69">
        <f t="shared" ca="1" si="651"/>
        <v>999.26309118883523</v>
      </c>
      <c r="N979" s="69">
        <f t="shared" ca="1" si="652"/>
        <v>572.22689513633293</v>
      </c>
      <c r="O979" s="69">
        <f t="shared" ca="1" si="653"/>
        <v>634.2465034764241</v>
      </c>
      <c r="P979" s="69">
        <f t="shared" ca="1" si="654"/>
        <v>717.92015487765218</v>
      </c>
      <c r="Q979" s="69">
        <f t="shared" ca="1" si="655"/>
        <v>960.84238443981815</v>
      </c>
      <c r="R979" s="69">
        <f t="shared" ca="1" si="656"/>
        <v>782.25323959073955</v>
      </c>
      <c r="S979" s="69">
        <f t="shared" ca="1" si="657"/>
        <v>706.47503295432284</v>
      </c>
      <c r="T979" s="69">
        <f t="shared" ca="1" si="658"/>
        <v>796.5088737125169</v>
      </c>
      <c r="U979" s="69">
        <f t="shared" ca="1" si="659"/>
        <v>1699.8751295761779</v>
      </c>
      <c r="V979" s="69">
        <f t="shared" ca="1" si="660"/>
        <v>1912.5967966125695</v>
      </c>
      <c r="W979" s="69">
        <f t="shared" ca="1" si="661"/>
        <v>1185.9518885872544</v>
      </c>
      <c r="X979" s="69">
        <f t="shared" ca="1" si="662"/>
        <v>1494.2791018667351</v>
      </c>
      <c r="Y979" s="69">
        <f t="shared" ca="1" si="663"/>
        <v>1200.5259342058869</v>
      </c>
      <c r="AA979" s="20">
        <f t="shared" ca="1" si="623"/>
        <v>6.5442696917666816E+16</v>
      </c>
      <c r="AB979" s="20">
        <f t="shared" ca="1" si="624"/>
        <v>1690229081130917.3</v>
      </c>
      <c r="AC979" s="20">
        <f t="shared" ca="1" si="625"/>
        <v>407399954058387.75</v>
      </c>
      <c r="AD979" s="20">
        <f t="shared" ca="1" si="626"/>
        <v>303642882436995.13</v>
      </c>
      <c r="AE979" s="20">
        <f t="shared" ca="1" si="627"/>
        <v>6916888643809468</v>
      </c>
      <c r="AG979" s="16">
        <f t="shared" ca="1" si="628"/>
        <v>1.2618238576961104E-4</v>
      </c>
      <c r="AH979" s="16">
        <f t="shared" ca="1" si="629"/>
        <v>1.0238671814054047E-3</v>
      </c>
      <c r="AI979" s="16">
        <f t="shared" ca="1" si="630"/>
        <v>-5.659783837533819E-4</v>
      </c>
      <c r="AJ979" s="16">
        <f t="shared" ca="1" si="631"/>
        <v>-9.514041768476486E-4</v>
      </c>
      <c r="AK979" s="16">
        <f t="shared" ca="1" si="632"/>
        <v>7.0421726429727909E-4</v>
      </c>
      <c r="AM979" s="16">
        <f t="shared" ca="1" si="633"/>
        <v>-3.6733299342601479E-4</v>
      </c>
      <c r="AO979" s="16">
        <f t="shared" ca="1" si="634"/>
        <v>0</v>
      </c>
      <c r="AP979" s="16">
        <f t="shared" ca="1" si="635"/>
        <v>0</v>
      </c>
      <c r="AQ979" s="16">
        <f t="shared" ca="1" si="636"/>
        <v>-5.659783837533819E-4</v>
      </c>
      <c r="AR979" s="16">
        <f t="shared" ca="1" si="637"/>
        <v>-9.514041768476486E-4</v>
      </c>
      <c r="AS979" s="16">
        <f t="shared" ca="1" si="638"/>
        <v>0</v>
      </c>
    </row>
    <row r="980" spans="1:45" x14ac:dyDescent="0.25">
      <c r="A980" s="69">
        <f t="shared" ca="1" si="639"/>
        <v>2448.395078636252</v>
      </c>
      <c r="B980" s="69">
        <f t="shared" ca="1" si="640"/>
        <v>2138.0395988937635</v>
      </c>
      <c r="C980" s="69">
        <f t="shared" ca="1" si="641"/>
        <v>2232.9443967764569</v>
      </c>
      <c r="D980" s="69">
        <f t="shared" ca="1" si="642"/>
        <v>2904.0583471015111</v>
      </c>
      <c r="E980" s="69">
        <f t="shared" ca="1" si="643"/>
        <v>1928.1263946628724</v>
      </c>
      <c r="F980" s="69">
        <f t="shared" ca="1" si="644"/>
        <v>1218.2060105639421</v>
      </c>
      <c r="G980" s="69">
        <f t="shared" ca="1" si="645"/>
        <v>971.40659588224787</v>
      </c>
      <c r="H980" s="69">
        <f t="shared" ca="1" si="646"/>
        <v>1190.7009611378792</v>
      </c>
      <c r="I980" s="69">
        <f t="shared" ca="1" si="647"/>
        <v>1053.2602402173668</v>
      </c>
      <c r="J980" s="69">
        <f t="shared" ca="1" si="648"/>
        <v>1140.0661448572703</v>
      </c>
      <c r="K980" s="69">
        <f t="shared" ca="1" si="649"/>
        <v>1172.263579609514</v>
      </c>
      <c r="L980" s="69">
        <f t="shared" ca="1" si="650"/>
        <v>958.50897200950044</v>
      </c>
      <c r="M980" s="69">
        <f t="shared" ca="1" si="651"/>
        <v>999.26309118883523</v>
      </c>
      <c r="N980" s="69">
        <f t="shared" ca="1" si="652"/>
        <v>571.76266239586903</v>
      </c>
      <c r="O980" s="69">
        <f t="shared" ca="1" si="653"/>
        <v>634.2465034764241</v>
      </c>
      <c r="P980" s="69">
        <f t="shared" ca="1" si="654"/>
        <v>717.91063476895795</v>
      </c>
      <c r="Q980" s="69">
        <f t="shared" ca="1" si="655"/>
        <v>961.09546736751383</v>
      </c>
      <c r="R980" s="69">
        <f t="shared" ca="1" si="656"/>
        <v>781.75525202001813</v>
      </c>
      <c r="S980" s="69">
        <f t="shared" ca="1" si="657"/>
        <v>706.47503295432284</v>
      </c>
      <c r="T980" s="69">
        <f t="shared" ca="1" si="658"/>
        <v>796.05921504224193</v>
      </c>
      <c r="U980" s="69">
        <f t="shared" ca="1" si="659"/>
        <v>1700.2698721757563</v>
      </c>
      <c r="V980" s="69">
        <f t="shared" ca="1" si="660"/>
        <v>1912.9336758491224</v>
      </c>
      <c r="W980" s="69">
        <f t="shared" ca="1" si="661"/>
        <v>1186.1054700232205</v>
      </c>
      <c r="X980" s="69">
        <f t="shared" ca="1" si="662"/>
        <v>1494.2791018667351</v>
      </c>
      <c r="Y980" s="69">
        <f t="shared" ca="1" si="663"/>
        <v>1200.7257326052586</v>
      </c>
      <c r="AA980" s="20">
        <f t="shared" ca="1" si="623"/>
        <v>6.5450955154306128E+16</v>
      </c>
      <c r="AB980" s="20">
        <f t="shared" ca="1" si="624"/>
        <v>1691960537455539.8</v>
      </c>
      <c r="AC980" s="20">
        <f t="shared" ca="1" si="625"/>
        <v>407169439730065.5</v>
      </c>
      <c r="AD980" s="20">
        <f t="shared" ca="1" si="626"/>
        <v>303354132711002.81</v>
      </c>
      <c r="AE980" s="20">
        <f t="shared" ca="1" si="627"/>
        <v>6921761351728807</v>
      </c>
      <c r="AG980" s="16">
        <f t="shared" ca="1" si="628"/>
        <v>-3.6084014654610085E-4</v>
      </c>
      <c r="AH980" s="16">
        <f t="shared" ca="1" si="629"/>
        <v>1.6337313773853057E-4</v>
      </c>
      <c r="AI980" s="16">
        <f t="shared" ca="1" si="630"/>
        <v>2.0490439202388712E-4</v>
      </c>
      <c r="AJ980" s="16">
        <f t="shared" ca="1" si="631"/>
        <v>-9.0626138695645223E-4</v>
      </c>
      <c r="AK980" s="16">
        <f t="shared" ca="1" si="632"/>
        <v>5.9783556249416367E-4</v>
      </c>
      <c r="AM980" s="16">
        <f t="shared" ca="1" si="633"/>
        <v>-8.9882400374013537E-4</v>
      </c>
      <c r="AO980" s="16">
        <f t="shared" ca="1" si="634"/>
        <v>-3.6084014654610085E-4</v>
      </c>
      <c r="AP980" s="16">
        <f t="shared" ca="1" si="635"/>
        <v>0</v>
      </c>
      <c r="AQ980" s="16">
        <f t="shared" ca="1" si="636"/>
        <v>0</v>
      </c>
      <c r="AR980" s="16">
        <f t="shared" ca="1" si="637"/>
        <v>-9.0626138695645223E-4</v>
      </c>
      <c r="AS980" s="16">
        <f t="shared" ca="1" si="638"/>
        <v>0</v>
      </c>
    </row>
    <row r="981" spans="1:45" x14ac:dyDescent="0.25">
      <c r="A981" s="69">
        <f t="shared" ca="1" si="639"/>
        <v>2448.3397575171907</v>
      </c>
      <c r="B981" s="69">
        <f t="shared" ca="1" si="640"/>
        <v>2137.8141561140337</v>
      </c>
      <c r="C981" s="69">
        <f t="shared" ca="1" si="641"/>
        <v>2232.9443967764569</v>
      </c>
      <c r="D981" s="69">
        <f t="shared" ca="1" si="642"/>
        <v>2903.5764226794959</v>
      </c>
      <c r="E981" s="69">
        <f t="shared" ca="1" si="643"/>
        <v>1927.9975356849272</v>
      </c>
      <c r="F981" s="69">
        <f t="shared" ca="1" si="644"/>
        <v>1218.2060105639421</v>
      </c>
      <c r="G981" s="69">
        <f t="shared" ca="1" si="645"/>
        <v>971.40659588224787</v>
      </c>
      <c r="H981" s="69">
        <f t="shared" ca="1" si="646"/>
        <v>1190.3760813228384</v>
      </c>
      <c r="I981" s="69">
        <f t="shared" ca="1" si="647"/>
        <v>1053.6316465744953</v>
      </c>
      <c r="J981" s="69">
        <f t="shared" ca="1" si="648"/>
        <v>1140.1615662448323</v>
      </c>
      <c r="K981" s="69">
        <f t="shared" ca="1" si="649"/>
        <v>1172.1984976977903</v>
      </c>
      <c r="L981" s="69">
        <f t="shared" ca="1" si="650"/>
        <v>958.69318123836683</v>
      </c>
      <c r="M981" s="69">
        <f t="shared" ca="1" si="651"/>
        <v>999.33130266600961</v>
      </c>
      <c r="N981" s="69">
        <f t="shared" ca="1" si="652"/>
        <v>571.76266239586903</v>
      </c>
      <c r="O981" s="69">
        <f t="shared" ca="1" si="653"/>
        <v>634.2465034764241</v>
      </c>
      <c r="P981" s="69">
        <f t="shared" ca="1" si="654"/>
        <v>717.63095277605873</v>
      </c>
      <c r="Q981" s="69">
        <f t="shared" ca="1" si="655"/>
        <v>961.03951780294096</v>
      </c>
      <c r="R981" s="69">
        <f t="shared" ca="1" si="656"/>
        <v>781.83939387392979</v>
      </c>
      <c r="S981" s="69">
        <f t="shared" ca="1" si="657"/>
        <v>706.02383859857389</v>
      </c>
      <c r="T981" s="69">
        <f t="shared" ca="1" si="658"/>
        <v>796.11720364406335</v>
      </c>
      <c r="U981" s="69">
        <f t="shared" ca="1" si="659"/>
        <v>1700.2698721757563</v>
      </c>
      <c r="V981" s="69">
        <f t="shared" ca="1" si="660"/>
        <v>1912.8236138095319</v>
      </c>
      <c r="W981" s="69">
        <f t="shared" ca="1" si="661"/>
        <v>1186.3615221844452</v>
      </c>
      <c r="X981" s="69">
        <f t="shared" ca="1" si="662"/>
        <v>1494.470629607476</v>
      </c>
      <c r="Y981" s="69">
        <f t="shared" ca="1" si="663"/>
        <v>1201.0996416537271</v>
      </c>
      <c r="AA981" s="20">
        <f t="shared" ca="1" si="623"/>
        <v>6.5427342082585008E+16</v>
      </c>
      <c r="AB981" s="20">
        <f t="shared" ca="1" si="624"/>
        <v>1692236980938578.3</v>
      </c>
      <c r="AC981" s="20">
        <f t="shared" ca="1" si="625"/>
        <v>407252879084817.25</v>
      </c>
      <c r="AD981" s="20">
        <f t="shared" ca="1" si="626"/>
        <v>303079339110175.63</v>
      </c>
      <c r="AE981" s="20">
        <f t="shared" ca="1" si="627"/>
        <v>6925900664010727</v>
      </c>
      <c r="AG981" s="16">
        <f t="shared" ca="1" si="628"/>
        <v>5.956054626407441E-4</v>
      </c>
      <c r="AH981" s="16">
        <f t="shared" ca="1" si="629"/>
        <v>1.2503554102260808E-3</v>
      </c>
      <c r="AI981" s="16">
        <f t="shared" ca="1" si="630"/>
        <v>-2.597152667111222E-4</v>
      </c>
      <c r="AJ981" s="16">
        <f t="shared" ca="1" si="631"/>
        <v>-4.1881218151913844E-4</v>
      </c>
      <c r="AK981" s="16">
        <f t="shared" ca="1" si="632"/>
        <v>3.019499436613101E-4</v>
      </c>
      <c r="AM981" s="16">
        <f t="shared" ca="1" si="633"/>
        <v>1.1674334246365645E-3</v>
      </c>
      <c r="AO981" s="16">
        <f t="shared" ca="1" si="634"/>
        <v>0</v>
      </c>
      <c r="AP981" s="16">
        <f t="shared" ca="1" si="635"/>
        <v>0</v>
      </c>
      <c r="AQ981" s="16">
        <f t="shared" ca="1" si="636"/>
        <v>-2.597152667111222E-4</v>
      </c>
      <c r="AR981" s="16">
        <f t="shared" ca="1" si="637"/>
        <v>-4.1881218151913844E-4</v>
      </c>
      <c r="AS981" s="16">
        <f t="shared" ca="1" si="638"/>
        <v>0</v>
      </c>
    </row>
    <row r="982" spans="1:45" x14ac:dyDescent="0.25">
      <c r="A982" s="69">
        <f t="shared" ca="1" si="639"/>
        <v>2448.7486738525713</v>
      </c>
      <c r="B982" s="69">
        <f t="shared" ca="1" si="640"/>
        <v>2137.6235626541297</v>
      </c>
      <c r="C982" s="69">
        <f t="shared" ca="1" si="641"/>
        <v>2233.2030778931735</v>
      </c>
      <c r="D982" s="69">
        <f t="shared" ca="1" si="642"/>
        <v>2904.0201253331784</v>
      </c>
      <c r="E982" s="69">
        <f t="shared" ca="1" si="643"/>
        <v>1928.4778932272584</v>
      </c>
      <c r="F982" s="69">
        <f t="shared" ca="1" si="644"/>
        <v>1218.2848790022952</v>
      </c>
      <c r="G982" s="69">
        <f t="shared" ca="1" si="645"/>
        <v>971.74896525105771</v>
      </c>
      <c r="H982" s="69">
        <f t="shared" ca="1" si="646"/>
        <v>1190.8047880399979</v>
      </c>
      <c r="I982" s="69">
        <f t="shared" ca="1" si="647"/>
        <v>1053.6769312880931</v>
      </c>
      <c r="J982" s="69">
        <f t="shared" ca="1" si="648"/>
        <v>1140.6521388132235</v>
      </c>
      <c r="K982" s="69">
        <f t="shared" ca="1" si="649"/>
        <v>1172.1984976977903</v>
      </c>
      <c r="L982" s="69">
        <f t="shared" ca="1" si="650"/>
        <v>958.59854388194901</v>
      </c>
      <c r="M982" s="69">
        <f t="shared" ca="1" si="651"/>
        <v>999.33130266600961</v>
      </c>
      <c r="N982" s="69">
        <f t="shared" ca="1" si="652"/>
        <v>571.67061862580169</v>
      </c>
      <c r="O982" s="69">
        <f t="shared" ca="1" si="653"/>
        <v>634.2465034764241</v>
      </c>
      <c r="P982" s="69">
        <f t="shared" ca="1" si="654"/>
        <v>717.22472727094748</v>
      </c>
      <c r="Q982" s="69">
        <f t="shared" ca="1" si="655"/>
        <v>961.03951780294096</v>
      </c>
      <c r="R982" s="69">
        <f t="shared" ca="1" si="656"/>
        <v>781.9546554494965</v>
      </c>
      <c r="S982" s="69">
        <f t="shared" ca="1" si="657"/>
        <v>706.02383859857389</v>
      </c>
      <c r="T982" s="69">
        <f t="shared" ca="1" si="658"/>
        <v>796.11720364406335</v>
      </c>
      <c r="U982" s="69">
        <f t="shared" ca="1" si="659"/>
        <v>1700.2698721757563</v>
      </c>
      <c r="V982" s="69">
        <f t="shared" ca="1" si="660"/>
        <v>1913.0740493374797</v>
      </c>
      <c r="W982" s="69">
        <f t="shared" ca="1" si="661"/>
        <v>1186.2658715389161</v>
      </c>
      <c r="X982" s="69">
        <f t="shared" ca="1" si="662"/>
        <v>1494.2906369469072</v>
      </c>
      <c r="Y982" s="69">
        <f t="shared" ca="1" si="663"/>
        <v>1201.5466645340227</v>
      </c>
      <c r="AA982" s="20">
        <f t="shared" ca="1" si="623"/>
        <v>6.5466322572279416E+16</v>
      </c>
      <c r="AB982" s="20">
        <f t="shared" ca="1" si="624"/>
        <v>1694354201966626.5</v>
      </c>
      <c r="AC982" s="20">
        <f t="shared" ca="1" si="625"/>
        <v>407147123028532.5</v>
      </c>
      <c r="AD982" s="20">
        <f t="shared" ca="1" si="626"/>
        <v>302952432367889.31</v>
      </c>
      <c r="AE982" s="20">
        <f t="shared" ca="1" si="627"/>
        <v>6927992255088042</v>
      </c>
      <c r="AG982" s="16">
        <f t="shared" ca="1" si="628"/>
        <v>3.4173327616453978E-5</v>
      </c>
      <c r="AH982" s="16">
        <f t="shared" ca="1" si="629"/>
        <v>5.1113301797629047E-4</v>
      </c>
      <c r="AI982" s="16">
        <f t="shared" ca="1" si="630"/>
        <v>1.5679209778321867E-4</v>
      </c>
      <c r="AJ982" s="16">
        <f t="shared" ca="1" si="631"/>
        <v>-4.0554840486857816E-4</v>
      </c>
      <c r="AK982" s="16">
        <f t="shared" ca="1" si="632"/>
        <v>6.3607297286783751E-4</v>
      </c>
      <c r="AM982" s="16">
        <f t="shared" ca="1" si="633"/>
        <v>2.9655003850738502E-4</v>
      </c>
      <c r="AO982" s="16">
        <f t="shared" ca="1" si="634"/>
        <v>0</v>
      </c>
      <c r="AP982" s="16">
        <f t="shared" ca="1" si="635"/>
        <v>0</v>
      </c>
      <c r="AQ982" s="16">
        <f t="shared" ca="1" si="636"/>
        <v>0</v>
      </c>
      <c r="AR982" s="16">
        <f t="shared" ca="1" si="637"/>
        <v>-4.0554840486857816E-4</v>
      </c>
      <c r="AS982" s="16">
        <f t="shared" ca="1" si="638"/>
        <v>0</v>
      </c>
    </row>
    <row r="983" spans="1:45" x14ac:dyDescent="0.25">
      <c r="A983" s="69">
        <f t="shared" ca="1" si="639"/>
        <v>2448.3174363637563</v>
      </c>
      <c r="B983" s="69">
        <f t="shared" ca="1" si="640"/>
        <v>2138.0840505065621</v>
      </c>
      <c r="C983" s="69">
        <f t="shared" ca="1" si="641"/>
        <v>2233.2030778931735</v>
      </c>
      <c r="D983" s="69">
        <f t="shared" ca="1" si="642"/>
        <v>2904.3096983396558</v>
      </c>
      <c r="E983" s="69">
        <f t="shared" ca="1" si="643"/>
        <v>1928.2757747698774</v>
      </c>
      <c r="F983" s="69">
        <f t="shared" ca="1" si="644"/>
        <v>1218.4730472604895</v>
      </c>
      <c r="G983" s="69">
        <f t="shared" ca="1" si="645"/>
        <v>972.1694969572161</v>
      </c>
      <c r="H983" s="69">
        <f t="shared" ca="1" si="646"/>
        <v>1190.8047880399979</v>
      </c>
      <c r="I983" s="69">
        <f t="shared" ca="1" si="647"/>
        <v>1053.5662865052636</v>
      </c>
      <c r="J983" s="69">
        <f t="shared" ca="1" si="648"/>
        <v>1140.6852653883943</v>
      </c>
      <c r="K983" s="69">
        <f t="shared" ca="1" si="649"/>
        <v>1172.4134678943726</v>
      </c>
      <c r="L983" s="69">
        <f t="shared" ca="1" si="650"/>
        <v>958.49802809268692</v>
      </c>
      <c r="M983" s="69">
        <f t="shared" ca="1" si="651"/>
        <v>999.32945891760073</v>
      </c>
      <c r="N983" s="69">
        <f t="shared" ca="1" si="652"/>
        <v>571.67061862580169</v>
      </c>
      <c r="O983" s="69">
        <f t="shared" ca="1" si="653"/>
        <v>634.29732502539014</v>
      </c>
      <c r="P983" s="69">
        <f t="shared" ca="1" si="654"/>
        <v>717.22472727094748</v>
      </c>
      <c r="Q983" s="69">
        <f t="shared" ca="1" si="655"/>
        <v>960.60199239642918</v>
      </c>
      <c r="R983" s="69">
        <f t="shared" ca="1" si="656"/>
        <v>781.8943593299133</v>
      </c>
      <c r="S983" s="69">
        <f t="shared" ca="1" si="657"/>
        <v>706.25567839444614</v>
      </c>
      <c r="T983" s="69">
        <f t="shared" ca="1" si="658"/>
        <v>795.9568900503308</v>
      </c>
      <c r="U983" s="69">
        <f t="shared" ca="1" si="659"/>
        <v>1700.571969105413</v>
      </c>
      <c r="V983" s="69">
        <f t="shared" ca="1" si="660"/>
        <v>1913.0740493374797</v>
      </c>
      <c r="W983" s="69">
        <f t="shared" ca="1" si="661"/>
        <v>1186.1378845075055</v>
      </c>
      <c r="X983" s="69">
        <f t="shared" ca="1" si="662"/>
        <v>1494.7112711886675</v>
      </c>
      <c r="Y983" s="69">
        <f t="shared" ca="1" si="663"/>
        <v>1201.8889795425889</v>
      </c>
      <c r="AA983" s="20">
        <f t="shared" ca="1" si="623"/>
        <v>6.546855981259528E+16</v>
      </c>
      <c r="AB983" s="20">
        <f t="shared" ca="1" si="624"/>
        <v>1695220463712028.8</v>
      </c>
      <c r="AC983" s="20">
        <f t="shared" ca="1" si="625"/>
        <v>407210965484924.06</v>
      </c>
      <c r="AD983" s="20">
        <f t="shared" ca="1" si="626"/>
        <v>302829595402042.81</v>
      </c>
      <c r="AE983" s="20">
        <f t="shared" ca="1" si="627"/>
        <v>6932400365509069</v>
      </c>
      <c r="AG983" s="16">
        <f t="shared" ca="1" si="628"/>
        <v>1.2969357721280829E-4</v>
      </c>
      <c r="AH983" s="16">
        <f t="shared" ca="1" si="629"/>
        <v>6.3638986796412528E-4</v>
      </c>
      <c r="AI983" s="16">
        <f t="shared" ca="1" si="630"/>
        <v>-1.3920624896302087E-3</v>
      </c>
      <c r="AJ983" s="16">
        <f t="shared" ca="1" si="631"/>
        <v>-1.4982100868255884E-4</v>
      </c>
      <c r="AK983" s="16">
        <f t="shared" ca="1" si="632"/>
        <v>-5.4916881195703389E-5</v>
      </c>
      <c r="AM983" s="16">
        <f t="shared" ca="1" si="633"/>
        <v>-7.7580005313583394E-4</v>
      </c>
      <c r="AO983" s="16">
        <f t="shared" ca="1" si="634"/>
        <v>0</v>
      </c>
      <c r="AP983" s="16">
        <f t="shared" ca="1" si="635"/>
        <v>0</v>
      </c>
      <c r="AQ983" s="16">
        <f t="shared" ca="1" si="636"/>
        <v>-1.3920624896302087E-3</v>
      </c>
      <c r="AR983" s="16">
        <f t="shared" ca="1" si="637"/>
        <v>-1.4982100868255884E-4</v>
      </c>
      <c r="AS983" s="16">
        <f t="shared" ca="1" si="638"/>
        <v>-5.4916881195703389E-5</v>
      </c>
    </row>
    <row r="984" spans="1:45" x14ac:dyDescent="0.25">
      <c r="A984" s="69">
        <f t="shared" ca="1" si="639"/>
        <v>2447.9960564300004</v>
      </c>
      <c r="B984" s="69">
        <f t="shared" ca="1" si="640"/>
        <v>2138.0145399350363</v>
      </c>
      <c r="C984" s="69">
        <f t="shared" ca="1" si="641"/>
        <v>2233.5170737717267</v>
      </c>
      <c r="D984" s="69">
        <f t="shared" ca="1" si="642"/>
        <v>2904.5716207658602</v>
      </c>
      <c r="E984" s="69">
        <f t="shared" ca="1" si="643"/>
        <v>1928.3966921738381</v>
      </c>
      <c r="F984" s="69">
        <f t="shared" ca="1" si="644"/>
        <v>1218.4730472604895</v>
      </c>
      <c r="G984" s="69">
        <f t="shared" ca="1" si="645"/>
        <v>972.35619318794738</v>
      </c>
      <c r="H984" s="69">
        <f t="shared" ca="1" si="646"/>
        <v>1190.9302393603125</v>
      </c>
      <c r="I984" s="69">
        <f t="shared" ca="1" si="647"/>
        <v>1054.0498558707973</v>
      </c>
      <c r="J984" s="69">
        <f t="shared" ca="1" si="648"/>
        <v>1140.5485567128405</v>
      </c>
      <c r="K984" s="69">
        <f t="shared" ca="1" si="649"/>
        <v>1172.0912910285454</v>
      </c>
      <c r="L984" s="69">
        <f t="shared" ca="1" si="650"/>
        <v>958.76050784039296</v>
      </c>
      <c r="M984" s="69">
        <f t="shared" ca="1" si="651"/>
        <v>999.13562447620984</v>
      </c>
      <c r="N984" s="69">
        <f t="shared" ca="1" si="652"/>
        <v>571.39309851328562</v>
      </c>
      <c r="O984" s="69">
        <f t="shared" ca="1" si="653"/>
        <v>633.84619672010638</v>
      </c>
      <c r="P984" s="69">
        <f t="shared" ca="1" si="654"/>
        <v>717.70462115913847</v>
      </c>
      <c r="Q984" s="69">
        <f t="shared" ca="1" si="655"/>
        <v>960.28429515877269</v>
      </c>
      <c r="R984" s="69">
        <f t="shared" ca="1" si="656"/>
        <v>781.51295542354353</v>
      </c>
      <c r="S984" s="69">
        <f t="shared" ca="1" si="657"/>
        <v>706.25567839444614</v>
      </c>
      <c r="T984" s="69">
        <f t="shared" ca="1" si="658"/>
        <v>795.9568900503308</v>
      </c>
      <c r="U984" s="69">
        <f t="shared" ca="1" si="659"/>
        <v>1700.3007164229898</v>
      </c>
      <c r="V984" s="69">
        <f t="shared" ca="1" si="660"/>
        <v>1912.8518066863789</v>
      </c>
      <c r="W984" s="69">
        <f t="shared" ca="1" si="661"/>
        <v>1186.2786513903666</v>
      </c>
      <c r="X984" s="69">
        <f t="shared" ca="1" si="662"/>
        <v>1494.8639041647675</v>
      </c>
      <c r="Y984" s="69">
        <f t="shared" ca="1" si="663"/>
        <v>1201.8889795425889</v>
      </c>
      <c r="AA984" s="20">
        <f t="shared" ca="1" si="623"/>
        <v>6.5477051214940616E+16</v>
      </c>
      <c r="AB984" s="20">
        <f t="shared" ca="1" si="624"/>
        <v>1696299628187348.3</v>
      </c>
      <c r="AC984" s="20">
        <f t="shared" ca="1" si="625"/>
        <v>406644496745925</v>
      </c>
      <c r="AD984" s="20">
        <f t="shared" ca="1" si="626"/>
        <v>302784228565138.25</v>
      </c>
      <c r="AE984" s="20">
        <f t="shared" ca="1" si="627"/>
        <v>6932019670155192</v>
      </c>
      <c r="AG984" s="16">
        <f t="shared" ca="1" si="628"/>
        <v>1.9469769479824647E-4</v>
      </c>
      <c r="AH984" s="16">
        <f t="shared" ca="1" si="629"/>
        <v>-1.1167737279918979E-4</v>
      </c>
      <c r="AI984" s="16">
        <f t="shared" ca="1" si="630"/>
        <v>-8.9071172945756594E-4</v>
      </c>
      <c r="AJ984" s="16">
        <f t="shared" ca="1" si="631"/>
        <v>-5.1218076785999249E-4</v>
      </c>
      <c r="AK984" s="16">
        <f t="shared" ca="1" si="632"/>
        <v>-1.1231715755480837E-4</v>
      </c>
      <c r="AM984" s="16">
        <f t="shared" ca="1" si="633"/>
        <v>-1.3198721753185016E-3</v>
      </c>
      <c r="AO984" s="16">
        <f t="shared" ca="1" si="634"/>
        <v>0</v>
      </c>
      <c r="AP984" s="16">
        <f t="shared" ca="1" si="635"/>
        <v>-1.1167737279918979E-4</v>
      </c>
      <c r="AQ984" s="16">
        <f t="shared" ca="1" si="636"/>
        <v>-8.9071172945756594E-4</v>
      </c>
      <c r="AR984" s="16">
        <f t="shared" ca="1" si="637"/>
        <v>-5.1218076785999249E-4</v>
      </c>
      <c r="AS984" s="16">
        <f t="shared" ca="1" si="638"/>
        <v>-1.1231715755480837E-4</v>
      </c>
    </row>
    <row r="985" spans="1:45" x14ac:dyDescent="0.25">
      <c r="A985" s="69">
        <f t="shared" ca="1" si="639"/>
        <v>2448.3484359342906</v>
      </c>
      <c r="B985" s="69">
        <f t="shared" ca="1" si="640"/>
        <v>2137.7073309105936</v>
      </c>
      <c r="C985" s="69">
        <f t="shared" ca="1" si="641"/>
        <v>2233.9530981482926</v>
      </c>
      <c r="D985" s="69">
        <f t="shared" ca="1" si="642"/>
        <v>2904.5694757987012</v>
      </c>
      <c r="E985" s="69">
        <f t="shared" ca="1" si="643"/>
        <v>1928.3966921738381</v>
      </c>
      <c r="F985" s="69">
        <f t="shared" ca="1" si="644"/>
        <v>1218.2410882696067</v>
      </c>
      <c r="G985" s="69">
        <f t="shared" ca="1" si="645"/>
        <v>972.35619318794738</v>
      </c>
      <c r="H985" s="69">
        <f t="shared" ca="1" si="646"/>
        <v>1191.0926697913162</v>
      </c>
      <c r="I985" s="69">
        <f t="shared" ca="1" si="647"/>
        <v>1053.9890696121013</v>
      </c>
      <c r="J985" s="69">
        <f t="shared" ca="1" si="648"/>
        <v>1140.5485567128405</v>
      </c>
      <c r="K985" s="69">
        <f t="shared" ca="1" si="649"/>
        <v>1172.1028209932479</v>
      </c>
      <c r="L985" s="69">
        <f t="shared" ca="1" si="650"/>
        <v>958.76050784039296</v>
      </c>
      <c r="M985" s="69">
        <f t="shared" ca="1" si="651"/>
        <v>998.67092301473269</v>
      </c>
      <c r="N985" s="69">
        <f t="shared" ca="1" si="652"/>
        <v>571.0677084609714</v>
      </c>
      <c r="O985" s="69">
        <f t="shared" ca="1" si="653"/>
        <v>633.93132358270975</v>
      </c>
      <c r="P985" s="69">
        <f t="shared" ca="1" si="654"/>
        <v>717.70462115913847</v>
      </c>
      <c r="Q985" s="69">
        <f t="shared" ca="1" si="655"/>
        <v>960.28429515877269</v>
      </c>
      <c r="R985" s="69">
        <f t="shared" ca="1" si="656"/>
        <v>781.92733308772995</v>
      </c>
      <c r="S985" s="69">
        <f t="shared" ca="1" si="657"/>
        <v>705.80051927854777</v>
      </c>
      <c r="T985" s="69">
        <f t="shared" ca="1" si="658"/>
        <v>795.640488825793</v>
      </c>
      <c r="U985" s="69">
        <f t="shared" ca="1" si="659"/>
        <v>1700.62586197103</v>
      </c>
      <c r="V985" s="69">
        <f t="shared" ca="1" si="660"/>
        <v>1912.8518066863789</v>
      </c>
      <c r="W985" s="69">
        <f t="shared" ca="1" si="661"/>
        <v>1186.2786513903666</v>
      </c>
      <c r="X985" s="69">
        <f t="shared" ca="1" si="662"/>
        <v>1494.951856766573</v>
      </c>
      <c r="Y985" s="69">
        <f t="shared" ca="1" si="663"/>
        <v>1201.453539626669</v>
      </c>
      <c r="AA985" s="20">
        <f t="shared" ca="1" si="623"/>
        <v>6.548980068698048E+16</v>
      </c>
      <c r="AB985" s="20">
        <f t="shared" ca="1" si="624"/>
        <v>1696110200478983.3</v>
      </c>
      <c r="AC985" s="20">
        <f t="shared" ca="1" si="625"/>
        <v>406282454984311.88</v>
      </c>
      <c r="AD985" s="20">
        <f t="shared" ca="1" si="626"/>
        <v>302629188014239.38</v>
      </c>
      <c r="AE985" s="20">
        <f t="shared" ca="1" si="627"/>
        <v>6931241129132302</v>
      </c>
      <c r="AG985" s="16">
        <f t="shared" ca="1" si="628"/>
        <v>2.2854850706462856E-4</v>
      </c>
      <c r="AH985" s="16">
        <f t="shared" ca="1" si="629"/>
        <v>6.3803164471260617E-4</v>
      </c>
      <c r="AI985" s="16">
        <f t="shared" ca="1" si="630"/>
        <v>-1.3055239869402594E-3</v>
      </c>
      <c r="AJ985" s="16">
        <f t="shared" ca="1" si="631"/>
        <v>2.2814960772557797E-5</v>
      </c>
      <c r="AK985" s="16">
        <f t="shared" ca="1" si="632"/>
        <v>-1.0643062105562594E-4</v>
      </c>
      <c r="AM985" s="16">
        <f t="shared" ca="1" si="633"/>
        <v>-4.1612887439046692E-4</v>
      </c>
      <c r="AO985" s="16">
        <f t="shared" ca="1" si="634"/>
        <v>0</v>
      </c>
      <c r="AP985" s="16">
        <f t="shared" ca="1" si="635"/>
        <v>0</v>
      </c>
      <c r="AQ985" s="16">
        <f t="shared" ca="1" si="636"/>
        <v>-1.3055239869402594E-3</v>
      </c>
      <c r="AR985" s="16">
        <f t="shared" ca="1" si="637"/>
        <v>0</v>
      </c>
      <c r="AS985" s="16">
        <f t="shared" ca="1" si="638"/>
        <v>-1.0643062105562594E-4</v>
      </c>
    </row>
    <row r="986" spans="1:45" x14ac:dyDescent="0.25">
      <c r="A986" s="69">
        <f t="shared" ca="1" si="639"/>
        <v>2448.3484359342906</v>
      </c>
      <c r="B986" s="69">
        <f t="shared" ca="1" si="640"/>
        <v>2137.9638212335617</v>
      </c>
      <c r="C986" s="69">
        <f t="shared" ca="1" si="641"/>
        <v>2233.9530981482926</v>
      </c>
      <c r="D986" s="69">
        <f t="shared" ca="1" si="642"/>
        <v>2904.884847457814</v>
      </c>
      <c r="E986" s="69">
        <f t="shared" ca="1" si="643"/>
        <v>1928.3966921738381</v>
      </c>
      <c r="F986" s="69">
        <f t="shared" ca="1" si="644"/>
        <v>1218.343609183727</v>
      </c>
      <c r="G986" s="69">
        <f t="shared" ca="1" si="645"/>
        <v>972.28674090107597</v>
      </c>
      <c r="H986" s="69">
        <f t="shared" ca="1" si="646"/>
        <v>1191.4229923790881</v>
      </c>
      <c r="I986" s="69">
        <f t="shared" ca="1" si="647"/>
        <v>1054.3559435183931</v>
      </c>
      <c r="J986" s="69">
        <f t="shared" ca="1" si="648"/>
        <v>1140.5485567128405</v>
      </c>
      <c r="K986" s="69">
        <f t="shared" ca="1" si="649"/>
        <v>1171.6033593203863</v>
      </c>
      <c r="L986" s="69">
        <f t="shared" ca="1" si="650"/>
        <v>958.6480273642477</v>
      </c>
      <c r="M986" s="69">
        <f t="shared" ca="1" si="651"/>
        <v>998.7479336429875</v>
      </c>
      <c r="N986" s="69">
        <f t="shared" ca="1" si="652"/>
        <v>570.9229700912656</v>
      </c>
      <c r="O986" s="69">
        <f t="shared" ca="1" si="653"/>
        <v>633.56019636402277</v>
      </c>
      <c r="P986" s="69">
        <f t="shared" ca="1" si="654"/>
        <v>717.25654371033886</v>
      </c>
      <c r="Q986" s="69">
        <f t="shared" ca="1" si="655"/>
        <v>960.49056650183957</v>
      </c>
      <c r="R986" s="69">
        <f t="shared" ca="1" si="656"/>
        <v>781.9719247360664</v>
      </c>
      <c r="S986" s="69">
        <f t="shared" ca="1" si="657"/>
        <v>706.14694666574974</v>
      </c>
      <c r="T986" s="69">
        <f t="shared" ca="1" si="658"/>
        <v>795.54884897501938</v>
      </c>
      <c r="U986" s="69">
        <f t="shared" ca="1" si="659"/>
        <v>1700.62586197103</v>
      </c>
      <c r="V986" s="69">
        <f t="shared" ca="1" si="660"/>
        <v>1912.4968292561757</v>
      </c>
      <c r="W986" s="69">
        <f t="shared" ca="1" si="661"/>
        <v>1186.4344570378298</v>
      </c>
      <c r="X986" s="69">
        <f t="shared" ca="1" si="662"/>
        <v>1494.8738677040285</v>
      </c>
      <c r="Y986" s="69">
        <f t="shared" ca="1" si="663"/>
        <v>1201.453539626669</v>
      </c>
      <c r="AA986" s="20">
        <f t="shared" ca="1" si="623"/>
        <v>6.5504769993696648E+16</v>
      </c>
      <c r="AB986" s="20">
        <f t="shared" ca="1" si="624"/>
        <v>1697192717763227.3</v>
      </c>
      <c r="AC986" s="20">
        <f t="shared" ca="1" si="625"/>
        <v>405752389575696.31</v>
      </c>
      <c r="AD986" s="20">
        <f t="shared" ca="1" si="626"/>
        <v>302636092566055.81</v>
      </c>
      <c r="AE986" s="20">
        <f t="shared" ca="1" si="627"/>
        <v>6930503472089587</v>
      </c>
      <c r="AG986" s="16">
        <f t="shared" ca="1" si="628"/>
        <v>2.4266656345746135E-4</v>
      </c>
      <c r="AH986" s="16">
        <f t="shared" ca="1" si="629"/>
        <v>-1.8873165192414781E-5</v>
      </c>
      <c r="AI986" s="16">
        <f t="shared" ca="1" si="630"/>
        <v>-1.1877131490505316E-3</v>
      </c>
      <c r="AJ986" s="16">
        <f t="shared" ca="1" si="631"/>
        <v>-5.4261575469798031E-4</v>
      </c>
      <c r="AK986" s="16">
        <f t="shared" ca="1" si="632"/>
        <v>4.3507959434435514E-4</v>
      </c>
      <c r="AM986" s="16">
        <f t="shared" ca="1" si="633"/>
        <v>-1.5065355054834655E-3</v>
      </c>
      <c r="AO986" s="16">
        <f t="shared" ca="1" si="634"/>
        <v>0</v>
      </c>
      <c r="AP986" s="16">
        <f t="shared" ca="1" si="635"/>
        <v>-1.8873165192414781E-5</v>
      </c>
      <c r="AQ986" s="16">
        <f t="shared" ca="1" si="636"/>
        <v>-1.1877131490505316E-3</v>
      </c>
      <c r="AR986" s="16">
        <f t="shared" ca="1" si="637"/>
        <v>-5.4261575469798031E-4</v>
      </c>
      <c r="AS986" s="16">
        <f t="shared" ca="1" si="638"/>
        <v>0</v>
      </c>
    </row>
    <row r="987" spans="1:45" x14ac:dyDescent="0.25">
      <c r="A987" s="69">
        <f t="shared" ca="1" si="639"/>
        <v>2448.2170436703459</v>
      </c>
      <c r="B987" s="69">
        <f t="shared" ca="1" si="640"/>
        <v>2137.9638212335617</v>
      </c>
      <c r="C987" s="69">
        <f t="shared" ca="1" si="641"/>
        <v>2233.9530981482926</v>
      </c>
      <c r="D987" s="69">
        <f t="shared" ca="1" si="642"/>
        <v>2905.1210857506017</v>
      </c>
      <c r="E987" s="69">
        <f t="shared" ca="1" si="643"/>
        <v>1928.8113661214936</v>
      </c>
      <c r="F987" s="69">
        <f t="shared" ca="1" si="644"/>
        <v>1218.343609183727</v>
      </c>
      <c r="G987" s="69">
        <f t="shared" ca="1" si="645"/>
        <v>972.27166011404313</v>
      </c>
      <c r="H987" s="69">
        <f t="shared" ca="1" si="646"/>
        <v>1191.2736806232103</v>
      </c>
      <c r="I987" s="69">
        <f t="shared" ca="1" si="647"/>
        <v>1054.3559435183931</v>
      </c>
      <c r="J987" s="69">
        <f t="shared" ca="1" si="648"/>
        <v>1140.6876752242888</v>
      </c>
      <c r="K987" s="69">
        <f t="shared" ca="1" si="649"/>
        <v>1171.6033593203863</v>
      </c>
      <c r="L987" s="69">
        <f t="shared" ca="1" si="650"/>
        <v>958.6480273642477</v>
      </c>
      <c r="M987" s="69">
        <f t="shared" ca="1" si="651"/>
        <v>998.76528267847448</v>
      </c>
      <c r="N987" s="69">
        <f t="shared" ca="1" si="652"/>
        <v>570.5522777150145</v>
      </c>
      <c r="O987" s="69">
        <f t="shared" ca="1" si="653"/>
        <v>633.20829647356857</v>
      </c>
      <c r="P987" s="69">
        <f t="shared" ca="1" si="654"/>
        <v>716.84057537007402</v>
      </c>
      <c r="Q987" s="69">
        <f t="shared" ca="1" si="655"/>
        <v>960.49056650183957</v>
      </c>
      <c r="R987" s="69">
        <f t="shared" ca="1" si="656"/>
        <v>781.9719247360664</v>
      </c>
      <c r="S987" s="69">
        <f t="shared" ca="1" si="657"/>
        <v>705.7339666211202</v>
      </c>
      <c r="T987" s="69">
        <f t="shared" ca="1" si="658"/>
        <v>796.0442346944991</v>
      </c>
      <c r="U987" s="69">
        <f t="shared" ca="1" si="659"/>
        <v>1700.3600564436924</v>
      </c>
      <c r="V987" s="69">
        <f t="shared" ca="1" si="660"/>
        <v>1912.697251935175</v>
      </c>
      <c r="W987" s="69">
        <f t="shared" ca="1" si="661"/>
        <v>1186.4344570378298</v>
      </c>
      <c r="X987" s="69">
        <f t="shared" ca="1" si="662"/>
        <v>1495.2323227477711</v>
      </c>
      <c r="Y987" s="69">
        <f t="shared" ca="1" si="663"/>
        <v>1201.7501416534078</v>
      </c>
      <c r="AA987" s="20">
        <f t="shared" ca="1" si="623"/>
        <v>6.5520667739968808E+16</v>
      </c>
      <c r="AB987" s="20">
        <f t="shared" ca="1" si="624"/>
        <v>1697160686666966.5</v>
      </c>
      <c r="AC987" s="20">
        <f t="shared" ca="1" si="625"/>
        <v>405270758203913.5</v>
      </c>
      <c r="AD987" s="20">
        <f t="shared" ca="1" si="626"/>
        <v>302471921999085.38</v>
      </c>
      <c r="AE987" s="20">
        <f t="shared" ca="1" si="627"/>
        <v>6933519448776207</v>
      </c>
      <c r="AG987" s="16">
        <f t="shared" ca="1" si="628"/>
        <v>1.9023787111046691E-4</v>
      </c>
      <c r="AH987" s="16">
        <f t="shared" ca="1" si="629"/>
        <v>-7.236976912654825E-4</v>
      </c>
      <c r="AI987" s="16">
        <f t="shared" ca="1" si="630"/>
        <v>8.4003455596688074E-4</v>
      </c>
      <c r="AJ987" s="16">
        <f t="shared" ca="1" si="631"/>
        <v>-4.2040269075514433E-4</v>
      </c>
      <c r="AK987" s="16">
        <f t="shared" ca="1" si="632"/>
        <v>-5.1976737748722006E-4</v>
      </c>
      <c r="AM987" s="16">
        <f t="shared" ca="1" si="633"/>
        <v>-1.1382795494327912E-4</v>
      </c>
      <c r="AO987" s="16">
        <f t="shared" ca="1" si="634"/>
        <v>0</v>
      </c>
      <c r="AP987" s="16">
        <f t="shared" ca="1" si="635"/>
        <v>-7.236976912654825E-4</v>
      </c>
      <c r="AQ987" s="16">
        <f t="shared" ca="1" si="636"/>
        <v>0</v>
      </c>
      <c r="AR987" s="16">
        <f t="shared" ca="1" si="637"/>
        <v>-4.2040269075514433E-4</v>
      </c>
      <c r="AS987" s="16">
        <f t="shared" ca="1" si="638"/>
        <v>-5.1976737748722006E-4</v>
      </c>
    </row>
    <row r="988" spans="1:45" x14ac:dyDescent="0.25">
      <c r="A988" s="69">
        <f t="shared" ca="1" si="639"/>
        <v>2448.3770793193939</v>
      </c>
      <c r="B988" s="69">
        <f t="shared" ca="1" si="640"/>
        <v>2137.9638212335617</v>
      </c>
      <c r="C988" s="69">
        <f t="shared" ca="1" si="641"/>
        <v>2234.4289282872983</v>
      </c>
      <c r="D988" s="69">
        <f t="shared" ca="1" si="642"/>
        <v>2904.8651421520112</v>
      </c>
      <c r="E988" s="69">
        <f t="shared" ca="1" si="643"/>
        <v>1928.8113661214936</v>
      </c>
      <c r="F988" s="69">
        <f t="shared" ca="1" si="644"/>
        <v>1218.6390456113625</v>
      </c>
      <c r="G988" s="69">
        <f t="shared" ca="1" si="645"/>
        <v>971.83769441546644</v>
      </c>
      <c r="H988" s="69">
        <f t="shared" ca="1" si="646"/>
        <v>1190.9830650538563</v>
      </c>
      <c r="I988" s="69">
        <f t="shared" ca="1" si="647"/>
        <v>1054.0652623931205</v>
      </c>
      <c r="J988" s="69">
        <f t="shared" ca="1" si="648"/>
        <v>1140.6876752242888</v>
      </c>
      <c r="K988" s="69">
        <f t="shared" ca="1" si="649"/>
        <v>1171.6033593203863</v>
      </c>
      <c r="L988" s="69">
        <f t="shared" ca="1" si="650"/>
        <v>958.67816072481651</v>
      </c>
      <c r="M988" s="69">
        <f t="shared" ca="1" si="651"/>
        <v>999.25550326491589</v>
      </c>
      <c r="N988" s="69">
        <f t="shared" ca="1" si="652"/>
        <v>570.73368264179533</v>
      </c>
      <c r="O988" s="69">
        <f t="shared" ca="1" si="653"/>
        <v>633.20829647356857</v>
      </c>
      <c r="P988" s="69">
        <f t="shared" ca="1" si="654"/>
        <v>716.84057537007402</v>
      </c>
      <c r="Q988" s="69">
        <f t="shared" ca="1" si="655"/>
        <v>960.49056650183957</v>
      </c>
      <c r="R988" s="69">
        <f t="shared" ca="1" si="656"/>
        <v>781.9719247360664</v>
      </c>
      <c r="S988" s="69">
        <f t="shared" ca="1" si="657"/>
        <v>705.46139278711394</v>
      </c>
      <c r="T988" s="69">
        <f t="shared" ca="1" si="658"/>
        <v>796.01708954704281</v>
      </c>
      <c r="U988" s="69">
        <f t="shared" ca="1" si="659"/>
        <v>1700.7565048212821</v>
      </c>
      <c r="V988" s="69">
        <f t="shared" ca="1" si="660"/>
        <v>1912.6239396912854</v>
      </c>
      <c r="W988" s="69">
        <f t="shared" ca="1" si="661"/>
        <v>1185.9946639465181</v>
      </c>
      <c r="X988" s="69">
        <f t="shared" ca="1" si="662"/>
        <v>1495.0900023791096</v>
      </c>
      <c r="Y988" s="69">
        <f t="shared" ca="1" si="663"/>
        <v>1201.4513936113017</v>
      </c>
      <c r="AA988" s="20">
        <f t="shared" ca="1" si="623"/>
        <v>6.5533133437999728E+16</v>
      </c>
      <c r="AB988" s="20">
        <f t="shared" ca="1" si="624"/>
        <v>1695932899723194</v>
      </c>
      <c r="AC988" s="20">
        <f t="shared" ca="1" si="625"/>
        <v>405611342676662.88</v>
      </c>
      <c r="AD988" s="20">
        <f t="shared" ca="1" si="626"/>
        <v>302344788714658.94</v>
      </c>
      <c r="AE988" s="20">
        <f t="shared" ca="1" si="627"/>
        <v>6929916567966627</v>
      </c>
      <c r="AG988" s="16">
        <f t="shared" ca="1" si="628"/>
        <v>1.0500065995989076E-4</v>
      </c>
      <c r="AH988" s="16">
        <f t="shared" ca="1" si="629"/>
        <v>7.9121129174557339E-5</v>
      </c>
      <c r="AI988" s="16">
        <f t="shared" ca="1" si="630"/>
        <v>1.4736671336823956E-3</v>
      </c>
      <c r="AJ988" s="16">
        <f t="shared" ca="1" si="631"/>
        <v>-3.0313673269585827E-4</v>
      </c>
      <c r="AK988" s="16">
        <f t="shared" ca="1" si="632"/>
        <v>3.2472208073832114E-4</v>
      </c>
      <c r="AM988" s="16">
        <f t="shared" ca="1" si="633"/>
        <v>1.3546521901209854E-3</v>
      </c>
      <c r="AO988" s="16">
        <f t="shared" ca="1" si="634"/>
        <v>0</v>
      </c>
      <c r="AP988" s="16">
        <f t="shared" ca="1" si="635"/>
        <v>0</v>
      </c>
      <c r="AQ988" s="16">
        <f t="shared" ca="1" si="636"/>
        <v>0</v>
      </c>
      <c r="AR988" s="16">
        <f t="shared" ca="1" si="637"/>
        <v>-3.0313673269585827E-4</v>
      </c>
      <c r="AS988" s="16">
        <f t="shared" ca="1" si="638"/>
        <v>0</v>
      </c>
    </row>
    <row r="989" spans="1:45" x14ac:dyDescent="0.25">
      <c r="A989" s="69">
        <f t="shared" ca="1" si="639"/>
        <v>2448.7758386360229</v>
      </c>
      <c r="B989" s="69">
        <f t="shared" ca="1" si="640"/>
        <v>2138.0068812519607</v>
      </c>
      <c r="C989" s="69">
        <f t="shared" ca="1" si="641"/>
        <v>2234.2546645219427</v>
      </c>
      <c r="D989" s="69">
        <f t="shared" ca="1" si="642"/>
        <v>2904.8651421520112</v>
      </c>
      <c r="E989" s="69">
        <f t="shared" ca="1" si="643"/>
        <v>1928.8113661214936</v>
      </c>
      <c r="F989" s="69">
        <f t="shared" ca="1" si="644"/>
        <v>1218.6390456113625</v>
      </c>
      <c r="G989" s="69">
        <f t="shared" ca="1" si="645"/>
        <v>971.83769441546644</v>
      </c>
      <c r="H989" s="69">
        <f t="shared" ca="1" si="646"/>
        <v>1191.0151684153986</v>
      </c>
      <c r="I989" s="69">
        <f t="shared" ca="1" si="647"/>
        <v>1054.069898893471</v>
      </c>
      <c r="J989" s="69">
        <f t="shared" ca="1" si="648"/>
        <v>1140.742164291147</v>
      </c>
      <c r="K989" s="69">
        <f t="shared" ca="1" si="649"/>
        <v>1172.0152294615477</v>
      </c>
      <c r="L989" s="69">
        <f t="shared" ca="1" si="650"/>
        <v>958.80209649358517</v>
      </c>
      <c r="M989" s="69">
        <f t="shared" ca="1" si="651"/>
        <v>999.25550326491589</v>
      </c>
      <c r="N989" s="69">
        <f t="shared" ca="1" si="652"/>
        <v>571.0295271008365</v>
      </c>
      <c r="O989" s="69">
        <f t="shared" ca="1" si="653"/>
        <v>633.50894651064539</v>
      </c>
      <c r="P989" s="69">
        <f t="shared" ca="1" si="654"/>
        <v>716.87607589630227</v>
      </c>
      <c r="Q989" s="69">
        <f t="shared" ca="1" si="655"/>
        <v>960.07674909988873</v>
      </c>
      <c r="R989" s="69">
        <f t="shared" ca="1" si="656"/>
        <v>781.9719247360664</v>
      </c>
      <c r="S989" s="69">
        <f t="shared" ca="1" si="657"/>
        <v>705.46139278711394</v>
      </c>
      <c r="T989" s="69">
        <f t="shared" ca="1" si="658"/>
        <v>796.07939892012962</v>
      </c>
      <c r="U989" s="69">
        <f t="shared" ca="1" si="659"/>
        <v>1700.8400654502307</v>
      </c>
      <c r="V989" s="69">
        <f t="shared" ca="1" si="660"/>
        <v>1912.4958475672693</v>
      </c>
      <c r="W989" s="69">
        <f t="shared" ca="1" si="661"/>
        <v>1186.3533833293802</v>
      </c>
      <c r="X989" s="69">
        <f t="shared" ca="1" si="662"/>
        <v>1495.1500297307298</v>
      </c>
      <c r="Y989" s="69">
        <f t="shared" ca="1" si="663"/>
        <v>1201.4513936113017</v>
      </c>
      <c r="AA989" s="20">
        <f t="shared" ca="1" si="623"/>
        <v>6.5540014821528536E+16</v>
      </c>
      <c r="AB989" s="20">
        <f t="shared" ca="1" si="624"/>
        <v>1696067089157764.3</v>
      </c>
      <c r="AC989" s="20">
        <f t="shared" ca="1" si="625"/>
        <v>406209519429870.13</v>
      </c>
      <c r="AD989" s="20">
        <f t="shared" ca="1" si="626"/>
        <v>302253150793372.13</v>
      </c>
      <c r="AE989" s="20">
        <f t="shared" ca="1" si="627"/>
        <v>6932167230294021</v>
      </c>
      <c r="AG989" s="16">
        <f t="shared" ca="1" si="628"/>
        <v>1.1438777232180724E-4</v>
      </c>
      <c r="AH989" s="16">
        <f t="shared" ca="1" si="629"/>
        <v>1.6798283420693409E-4</v>
      </c>
      <c r="AI989" s="16">
        <f t="shared" ca="1" si="630"/>
        <v>-2.2972095402641293E-4</v>
      </c>
      <c r="AJ989" s="16">
        <f t="shared" ca="1" si="631"/>
        <v>-2.7197895835685831E-4</v>
      </c>
      <c r="AK989" s="16">
        <f t="shared" ca="1" si="632"/>
        <v>2.9256465965469831E-4</v>
      </c>
      <c r="AM989" s="16">
        <f t="shared" ca="1" si="633"/>
        <v>-2.1932930585452989E-4</v>
      </c>
      <c r="AO989" s="16">
        <f t="shared" ca="1" si="634"/>
        <v>0</v>
      </c>
      <c r="AP989" s="16">
        <f t="shared" ca="1" si="635"/>
        <v>0</v>
      </c>
      <c r="AQ989" s="16">
        <f t="shared" ca="1" si="636"/>
        <v>-2.2972095402641293E-4</v>
      </c>
      <c r="AR989" s="16">
        <f t="shared" ca="1" si="637"/>
        <v>-2.7197895835685831E-4</v>
      </c>
      <c r="AS989" s="16">
        <f t="shared" ca="1" si="638"/>
        <v>0</v>
      </c>
    </row>
    <row r="990" spans="1:45" x14ac:dyDescent="0.25">
      <c r="A990" s="69">
        <f t="shared" ca="1" si="639"/>
        <v>2448.4006456537959</v>
      </c>
      <c r="B990" s="69">
        <f t="shared" ca="1" si="640"/>
        <v>2138.0068812519607</v>
      </c>
      <c r="C990" s="69">
        <f t="shared" ca="1" si="641"/>
        <v>2234.6139972633255</v>
      </c>
      <c r="D990" s="69">
        <f t="shared" ca="1" si="642"/>
        <v>2904.8253649766707</v>
      </c>
      <c r="E990" s="69">
        <f t="shared" ca="1" si="643"/>
        <v>1929.0437892994476</v>
      </c>
      <c r="F990" s="69">
        <f t="shared" ca="1" si="644"/>
        <v>1218.6390456113625</v>
      </c>
      <c r="G990" s="69">
        <f t="shared" ca="1" si="645"/>
        <v>971.58066842768028</v>
      </c>
      <c r="H990" s="69">
        <f t="shared" ca="1" si="646"/>
        <v>1190.7193382952598</v>
      </c>
      <c r="I990" s="69">
        <f t="shared" ca="1" si="647"/>
        <v>1054.4935885304237</v>
      </c>
      <c r="J990" s="69">
        <f t="shared" ca="1" si="648"/>
        <v>1141.0605128938134</v>
      </c>
      <c r="K990" s="69">
        <f t="shared" ca="1" si="649"/>
        <v>1172.4873385320591</v>
      </c>
      <c r="L990" s="69">
        <f t="shared" ca="1" si="650"/>
        <v>958.80209649358517</v>
      </c>
      <c r="M990" s="69">
        <f t="shared" ca="1" si="651"/>
        <v>998.85067606263885</v>
      </c>
      <c r="N990" s="69">
        <f t="shared" ca="1" si="652"/>
        <v>571.0295271008365</v>
      </c>
      <c r="O990" s="69">
        <f t="shared" ca="1" si="653"/>
        <v>633.36499976887637</v>
      </c>
      <c r="P990" s="69">
        <f t="shared" ca="1" si="654"/>
        <v>717.26246589689379</v>
      </c>
      <c r="Q990" s="69">
        <f t="shared" ca="1" si="655"/>
        <v>960.07674909988873</v>
      </c>
      <c r="R990" s="69">
        <f t="shared" ca="1" si="656"/>
        <v>781.51144354255916</v>
      </c>
      <c r="S990" s="69">
        <f t="shared" ca="1" si="657"/>
        <v>705.46139278711394</v>
      </c>
      <c r="T990" s="69">
        <f t="shared" ca="1" si="658"/>
        <v>795.90286410778162</v>
      </c>
      <c r="U990" s="69">
        <f t="shared" ca="1" si="659"/>
        <v>1701.0457556806659</v>
      </c>
      <c r="V990" s="69">
        <f t="shared" ca="1" si="660"/>
        <v>1912.5631421411617</v>
      </c>
      <c r="W990" s="69">
        <f t="shared" ca="1" si="661"/>
        <v>1186.3533833293802</v>
      </c>
      <c r="X990" s="69">
        <f t="shared" ca="1" si="662"/>
        <v>1494.9872428528108</v>
      </c>
      <c r="Y990" s="69">
        <f t="shared" ca="1" si="663"/>
        <v>1201.7461864807342</v>
      </c>
      <c r="AA990" s="20">
        <f t="shared" ca="1" si="623"/>
        <v>6.5547512226619472E+16</v>
      </c>
      <c r="AB990" s="20">
        <f t="shared" ca="1" si="624"/>
        <v>1696352023245754</v>
      </c>
      <c r="AC990" s="20">
        <f t="shared" ca="1" si="625"/>
        <v>406116215308898.25</v>
      </c>
      <c r="AD990" s="20">
        <f t="shared" ca="1" si="626"/>
        <v>302170955474464.56</v>
      </c>
      <c r="AE990" s="20">
        <f t="shared" ca="1" si="627"/>
        <v>6934195634145594</v>
      </c>
      <c r="AG990" s="16">
        <f t="shared" ca="1" si="628"/>
        <v>1.8829637483820633E-4</v>
      </c>
      <c r="AH990" s="16">
        <f t="shared" ca="1" si="629"/>
        <v>-5.0402623516903721E-4</v>
      </c>
      <c r="AI990" s="16">
        <f t="shared" ca="1" si="630"/>
        <v>-7.6842079499943111E-4</v>
      </c>
      <c r="AJ990" s="16">
        <f t="shared" ca="1" si="631"/>
        <v>9.1200743854484372E-4</v>
      </c>
      <c r="AK990" s="16">
        <f t="shared" ca="1" si="632"/>
        <v>3.1139037651040097E-4</v>
      </c>
      <c r="AM990" s="16">
        <f t="shared" ca="1" si="633"/>
        <v>-1.7214321678541821E-4</v>
      </c>
      <c r="AO990" s="16">
        <f t="shared" ca="1" si="634"/>
        <v>0</v>
      </c>
      <c r="AP990" s="16">
        <f t="shared" ca="1" si="635"/>
        <v>-5.0402623516903721E-4</v>
      </c>
      <c r="AQ990" s="16">
        <f t="shared" ca="1" si="636"/>
        <v>-7.6842079499943111E-4</v>
      </c>
      <c r="AR990" s="16">
        <f t="shared" ca="1" si="637"/>
        <v>0</v>
      </c>
      <c r="AS990" s="16">
        <f t="shared" ca="1" si="638"/>
        <v>0</v>
      </c>
    </row>
    <row r="991" spans="1:45" x14ac:dyDescent="0.25">
      <c r="A991" s="69">
        <f t="shared" ca="1" si="639"/>
        <v>2448.4055993968032</v>
      </c>
      <c r="B991" s="69">
        <f t="shared" ca="1" si="640"/>
        <v>2138.0068812519607</v>
      </c>
      <c r="C991" s="69">
        <f t="shared" ca="1" si="641"/>
        <v>2234.8113274181528</v>
      </c>
      <c r="D991" s="69">
        <f t="shared" ca="1" si="642"/>
        <v>2905.1099671881548</v>
      </c>
      <c r="E991" s="69">
        <f t="shared" ca="1" si="643"/>
        <v>1929.0437892994476</v>
      </c>
      <c r="F991" s="69">
        <f t="shared" ca="1" si="644"/>
        <v>1218.238649244392</v>
      </c>
      <c r="G991" s="69">
        <f t="shared" ca="1" si="645"/>
        <v>971.57509447128371</v>
      </c>
      <c r="H991" s="69">
        <f t="shared" ca="1" si="646"/>
        <v>1190.4788993840873</v>
      </c>
      <c r="I991" s="69">
        <f t="shared" ca="1" si="647"/>
        <v>1054.5276206081749</v>
      </c>
      <c r="J991" s="69">
        <f t="shared" ca="1" si="648"/>
        <v>1141.0605128938134</v>
      </c>
      <c r="K991" s="69">
        <f t="shared" ca="1" si="649"/>
        <v>1172.4873385320591</v>
      </c>
      <c r="L991" s="69">
        <f t="shared" ca="1" si="650"/>
        <v>958.51443500761695</v>
      </c>
      <c r="M991" s="69">
        <f t="shared" ca="1" si="651"/>
        <v>998.47303889963769</v>
      </c>
      <c r="N991" s="69">
        <f t="shared" ca="1" si="652"/>
        <v>570.79382584150369</v>
      </c>
      <c r="O991" s="69">
        <f t="shared" ca="1" si="653"/>
        <v>633.56938150185078</v>
      </c>
      <c r="P991" s="69">
        <f t="shared" ca="1" si="654"/>
        <v>717.23151084006463</v>
      </c>
      <c r="Q991" s="69">
        <f t="shared" ca="1" si="655"/>
        <v>960.51665116679987</v>
      </c>
      <c r="R991" s="69">
        <f t="shared" ca="1" si="656"/>
        <v>781.06195500746855</v>
      </c>
      <c r="S991" s="69">
        <f t="shared" ca="1" si="657"/>
        <v>705.88530208383304</v>
      </c>
      <c r="T991" s="69">
        <f t="shared" ca="1" si="658"/>
        <v>796.27836261234575</v>
      </c>
      <c r="U991" s="69">
        <f t="shared" ca="1" si="659"/>
        <v>1701.1697432781552</v>
      </c>
      <c r="V991" s="69">
        <f t="shared" ca="1" si="660"/>
        <v>1912.8840552187801</v>
      </c>
      <c r="W991" s="69">
        <f t="shared" ca="1" si="661"/>
        <v>1186.5071988801096</v>
      </c>
      <c r="X991" s="69">
        <f t="shared" ca="1" si="662"/>
        <v>1494.8216029671448</v>
      </c>
      <c r="Y991" s="69">
        <f t="shared" ca="1" si="663"/>
        <v>1201.8085385846312</v>
      </c>
      <c r="AA991" s="20">
        <f t="shared" ca="1" si="623"/>
        <v>6.5559855747635064E+16</v>
      </c>
      <c r="AB991" s="20">
        <f t="shared" ca="1" si="624"/>
        <v>1695497232758467.8</v>
      </c>
      <c r="AC991" s="20">
        <f t="shared" ca="1" si="625"/>
        <v>405804267032989.19</v>
      </c>
      <c r="AD991" s="20">
        <f t="shared" ca="1" si="626"/>
        <v>302446663338270.63</v>
      </c>
      <c r="AE991" s="20">
        <f t="shared" ca="1" si="627"/>
        <v>6936355212153362</v>
      </c>
      <c r="AG991" s="16">
        <f t="shared" ca="1" si="628"/>
        <v>2.2597180675828154E-4</v>
      </c>
      <c r="AH991" s="16">
        <f t="shared" ca="1" si="629"/>
        <v>1.9217455709911381E-4</v>
      </c>
      <c r="AI991" s="16">
        <f t="shared" ca="1" si="630"/>
        <v>-1.4987643490114225E-3</v>
      </c>
      <c r="AJ991" s="16">
        <f t="shared" ca="1" si="631"/>
        <v>-5.0487396703675772E-4</v>
      </c>
      <c r="AK991" s="16">
        <f t="shared" ca="1" si="632"/>
        <v>-1.957106218394528E-4</v>
      </c>
      <c r="AM991" s="16">
        <f t="shared" ca="1" si="633"/>
        <v>-1.5854919521907851E-3</v>
      </c>
      <c r="AO991" s="16">
        <f t="shared" ca="1" si="634"/>
        <v>0</v>
      </c>
      <c r="AP991" s="16">
        <f t="shared" ca="1" si="635"/>
        <v>0</v>
      </c>
      <c r="AQ991" s="16">
        <f t="shared" ca="1" si="636"/>
        <v>-1.4987643490114225E-3</v>
      </c>
      <c r="AR991" s="16">
        <f t="shared" ca="1" si="637"/>
        <v>-5.0487396703675772E-4</v>
      </c>
      <c r="AS991" s="16">
        <f t="shared" ca="1" si="638"/>
        <v>-1.957106218394528E-4</v>
      </c>
    </row>
    <row r="992" spans="1:45" x14ac:dyDescent="0.25">
      <c r="A992" s="69">
        <f t="shared" ca="1" si="639"/>
        <v>2448.4055993968032</v>
      </c>
      <c r="B992" s="69">
        <f t="shared" ca="1" si="640"/>
        <v>2138.0068812519607</v>
      </c>
      <c r="C992" s="69">
        <f t="shared" ca="1" si="641"/>
        <v>2234.8113274181528</v>
      </c>
      <c r="D992" s="69">
        <f t="shared" ca="1" si="642"/>
        <v>2905.4225428629466</v>
      </c>
      <c r="E992" s="69">
        <f t="shared" ca="1" si="643"/>
        <v>1929.2721677819763</v>
      </c>
      <c r="F992" s="69">
        <f t="shared" ca="1" si="644"/>
        <v>1218.238649244392</v>
      </c>
      <c r="G992" s="69">
        <f t="shared" ca="1" si="645"/>
        <v>971.44993069645591</v>
      </c>
      <c r="H992" s="69">
        <f t="shared" ca="1" si="646"/>
        <v>1190.7291445768758</v>
      </c>
      <c r="I992" s="69">
        <f t="shared" ca="1" si="647"/>
        <v>1054.2528977893828</v>
      </c>
      <c r="J992" s="69">
        <f t="shared" ca="1" si="648"/>
        <v>1141.4843546025775</v>
      </c>
      <c r="K992" s="69">
        <f t="shared" ca="1" si="649"/>
        <v>1172.0292624694835</v>
      </c>
      <c r="L992" s="69">
        <f t="shared" ca="1" si="650"/>
        <v>958.04780836861744</v>
      </c>
      <c r="M992" s="69">
        <f t="shared" ca="1" si="651"/>
        <v>998.07114691852485</v>
      </c>
      <c r="N992" s="69">
        <f t="shared" ca="1" si="652"/>
        <v>570.66913718236378</v>
      </c>
      <c r="O992" s="69">
        <f t="shared" ca="1" si="653"/>
        <v>633.56938150185078</v>
      </c>
      <c r="P992" s="69">
        <f t="shared" ca="1" si="654"/>
        <v>717.23151084006463</v>
      </c>
      <c r="Q992" s="69">
        <f t="shared" ca="1" si="655"/>
        <v>960.3569022889933</v>
      </c>
      <c r="R992" s="69">
        <f t="shared" ca="1" si="656"/>
        <v>780.71478002778065</v>
      </c>
      <c r="S992" s="69">
        <f t="shared" ca="1" si="657"/>
        <v>706.34445730895266</v>
      </c>
      <c r="T992" s="69">
        <f t="shared" ca="1" si="658"/>
        <v>795.84513745468371</v>
      </c>
      <c r="U992" s="69">
        <f t="shared" ca="1" si="659"/>
        <v>1701.1697432781552</v>
      </c>
      <c r="V992" s="69">
        <f t="shared" ca="1" si="660"/>
        <v>1913.2374825259822</v>
      </c>
      <c r="W992" s="69">
        <f t="shared" ca="1" si="661"/>
        <v>1186.5071988801096</v>
      </c>
      <c r="X992" s="69">
        <f t="shared" ca="1" si="662"/>
        <v>1494.6249617657845</v>
      </c>
      <c r="Y992" s="69">
        <f t="shared" ca="1" si="663"/>
        <v>1201.5094479242023</v>
      </c>
      <c r="AA992" s="20">
        <f t="shared" ca="1" si="623"/>
        <v>6.557467210066516E+16</v>
      </c>
      <c r="AB992" s="20">
        <f t="shared" ca="1" si="624"/>
        <v>1695823095498496.8</v>
      </c>
      <c r="AC992" s="20">
        <f t="shared" ca="1" si="625"/>
        <v>405196517615229</v>
      </c>
      <c r="AD992" s="20">
        <f t="shared" ca="1" si="626"/>
        <v>302294004431530.63</v>
      </c>
      <c r="AE992" s="20">
        <f t="shared" ca="1" si="627"/>
        <v>6934997826593211</v>
      </c>
      <c r="AG992" s="16">
        <f t="shared" ca="1" si="628"/>
        <v>-4.3558809514153375E-4</v>
      </c>
      <c r="AH992" s="16">
        <f t="shared" ca="1" si="629"/>
        <v>-5.8428228112135562E-5</v>
      </c>
      <c r="AI992" s="16">
        <f t="shared" ca="1" si="630"/>
        <v>-4.7975544496908518E-4</v>
      </c>
      <c r="AJ992" s="16">
        <f t="shared" ca="1" si="631"/>
        <v>-1.7503477545091563E-4</v>
      </c>
      <c r="AK992" s="16">
        <f t="shared" ca="1" si="632"/>
        <v>2.8671895587546828E-4</v>
      </c>
      <c r="AM992" s="16">
        <f t="shared" ca="1" si="633"/>
        <v>-1.1488065436736701E-3</v>
      </c>
      <c r="AO992" s="16">
        <f t="shared" ca="1" si="634"/>
        <v>-4.3558809514153375E-4</v>
      </c>
      <c r="AP992" s="16">
        <f t="shared" ca="1" si="635"/>
        <v>-5.8428228112135562E-5</v>
      </c>
      <c r="AQ992" s="16">
        <f t="shared" ca="1" si="636"/>
        <v>-4.7975544496908518E-4</v>
      </c>
      <c r="AR992" s="16">
        <f t="shared" ca="1" si="637"/>
        <v>-1.7503477545091563E-4</v>
      </c>
      <c r="AS992" s="16">
        <f t="shared" ca="1" si="638"/>
        <v>0</v>
      </c>
    </row>
    <row r="993" spans="1:45" x14ac:dyDescent="0.25">
      <c r="A993" s="69">
        <f t="shared" ca="1" si="639"/>
        <v>2448.4055993968032</v>
      </c>
      <c r="B993" s="69">
        <f t="shared" ca="1" si="640"/>
        <v>2137.6830417397728</v>
      </c>
      <c r="C993" s="69">
        <f t="shared" ca="1" si="641"/>
        <v>2234.3214418723778</v>
      </c>
      <c r="D993" s="69">
        <f t="shared" ca="1" si="642"/>
        <v>2905.4225428629466</v>
      </c>
      <c r="E993" s="69">
        <f t="shared" ca="1" si="643"/>
        <v>1929.1470045643448</v>
      </c>
      <c r="F993" s="69">
        <f t="shared" ca="1" si="644"/>
        <v>1218.2474277194547</v>
      </c>
      <c r="G993" s="69">
        <f t="shared" ca="1" si="645"/>
        <v>971.42719632179046</v>
      </c>
      <c r="H993" s="69">
        <f t="shared" ca="1" si="646"/>
        <v>1190.7291445768758</v>
      </c>
      <c r="I993" s="69">
        <f t="shared" ca="1" si="647"/>
        <v>1054.6690126498468</v>
      </c>
      <c r="J993" s="69">
        <f t="shared" ca="1" si="648"/>
        <v>1140.9858008301183</v>
      </c>
      <c r="K993" s="69">
        <f t="shared" ca="1" si="649"/>
        <v>1172.1656983696562</v>
      </c>
      <c r="L993" s="69">
        <f t="shared" ca="1" si="650"/>
        <v>957.61507615271091</v>
      </c>
      <c r="M993" s="69">
        <f t="shared" ca="1" si="651"/>
        <v>998.07114691852485</v>
      </c>
      <c r="N993" s="69">
        <f t="shared" ca="1" si="652"/>
        <v>570.66913718236378</v>
      </c>
      <c r="O993" s="69">
        <f t="shared" ca="1" si="653"/>
        <v>633.47791628752225</v>
      </c>
      <c r="P993" s="69">
        <f t="shared" ca="1" si="654"/>
        <v>717.5578836265978</v>
      </c>
      <c r="Q993" s="69">
        <f t="shared" ca="1" si="655"/>
        <v>960.69958195875449</v>
      </c>
      <c r="R993" s="69">
        <f t="shared" ca="1" si="656"/>
        <v>780.42776697595195</v>
      </c>
      <c r="S993" s="69">
        <f t="shared" ca="1" si="657"/>
        <v>706.29910900834807</v>
      </c>
      <c r="T993" s="69">
        <f t="shared" ca="1" si="658"/>
        <v>795.40369433791818</v>
      </c>
      <c r="U993" s="69">
        <f t="shared" ca="1" si="659"/>
        <v>1701.650637210847</v>
      </c>
      <c r="V993" s="69">
        <f t="shared" ca="1" si="660"/>
        <v>1912.8574619111298</v>
      </c>
      <c r="W993" s="69">
        <f t="shared" ca="1" si="661"/>
        <v>1186.5071988801096</v>
      </c>
      <c r="X993" s="69">
        <f t="shared" ca="1" si="662"/>
        <v>1494.9279848779254</v>
      </c>
      <c r="Y993" s="69">
        <f t="shared" ca="1" si="663"/>
        <v>1201.5094479242023</v>
      </c>
      <c r="AA993" s="20">
        <f t="shared" ca="1" si="623"/>
        <v>6.5546114774222544E+16</v>
      </c>
      <c r="AB993" s="20">
        <f t="shared" ca="1" si="624"/>
        <v>1695724014454428.3</v>
      </c>
      <c r="AC993" s="20">
        <f t="shared" ca="1" si="625"/>
        <v>405002169003250.69</v>
      </c>
      <c r="AD993" s="20">
        <f t="shared" ca="1" si="626"/>
        <v>302241097098791.44</v>
      </c>
      <c r="AE993" s="20">
        <f t="shared" ca="1" si="627"/>
        <v>6936986507011614</v>
      </c>
      <c r="AG993" s="16">
        <f t="shared" ca="1" si="628"/>
        <v>1.4726378061312648E-4</v>
      </c>
      <c r="AH993" s="16">
        <f t="shared" ca="1" si="629"/>
        <v>5.6056802077189452E-4</v>
      </c>
      <c r="AI993" s="16">
        <f t="shared" ca="1" si="630"/>
        <v>-7.6881820420265901E-4</v>
      </c>
      <c r="AJ993" s="16">
        <f t="shared" ca="1" si="631"/>
        <v>1.7310302670602718E-5</v>
      </c>
      <c r="AK993" s="16">
        <f t="shared" ca="1" si="632"/>
        <v>-6.8034072737074698E-5</v>
      </c>
      <c r="AM993" s="16">
        <f t="shared" ca="1" si="633"/>
        <v>-4.3676100147035325E-5</v>
      </c>
      <c r="AO993" s="16">
        <f t="shared" ca="1" si="634"/>
        <v>0</v>
      </c>
      <c r="AP993" s="16">
        <f t="shared" ca="1" si="635"/>
        <v>0</v>
      </c>
      <c r="AQ993" s="16">
        <f t="shared" ca="1" si="636"/>
        <v>-7.6881820420265901E-4</v>
      </c>
      <c r="AR993" s="16">
        <f t="shared" ca="1" si="637"/>
        <v>0</v>
      </c>
      <c r="AS993" s="16">
        <f t="shared" ca="1" si="638"/>
        <v>-6.8034072737074698E-5</v>
      </c>
    </row>
    <row r="994" spans="1:45" x14ac:dyDescent="0.25">
      <c r="A994" s="69">
        <f t="shared" ca="1" si="639"/>
        <v>2448.4055993968032</v>
      </c>
      <c r="B994" s="69">
        <f t="shared" ca="1" si="640"/>
        <v>2137.6830417397728</v>
      </c>
      <c r="C994" s="69">
        <f t="shared" ca="1" si="641"/>
        <v>2234.456714159433</v>
      </c>
      <c r="D994" s="69">
        <f t="shared" ca="1" si="642"/>
        <v>2905.5243462390699</v>
      </c>
      <c r="E994" s="69">
        <f t="shared" ca="1" si="643"/>
        <v>1929.2467136336816</v>
      </c>
      <c r="F994" s="69">
        <f t="shared" ca="1" si="644"/>
        <v>1218.2474277194547</v>
      </c>
      <c r="G994" s="69">
        <f t="shared" ca="1" si="645"/>
        <v>971.77463409505845</v>
      </c>
      <c r="H994" s="69">
        <f t="shared" ca="1" si="646"/>
        <v>1190.9708572683091</v>
      </c>
      <c r="I994" s="69">
        <f t="shared" ca="1" si="647"/>
        <v>1054.6690126498468</v>
      </c>
      <c r="J994" s="69">
        <f t="shared" ca="1" si="648"/>
        <v>1140.9858008301183</v>
      </c>
      <c r="K994" s="69">
        <f t="shared" ca="1" si="649"/>
        <v>1172.1656983696562</v>
      </c>
      <c r="L994" s="69">
        <f t="shared" ca="1" si="650"/>
        <v>957.19517860660517</v>
      </c>
      <c r="M994" s="69">
        <f t="shared" ca="1" si="651"/>
        <v>998.07114691852485</v>
      </c>
      <c r="N994" s="69">
        <f t="shared" ca="1" si="652"/>
        <v>570.66913718236378</v>
      </c>
      <c r="O994" s="69">
        <f t="shared" ca="1" si="653"/>
        <v>633.26875143118218</v>
      </c>
      <c r="P994" s="69">
        <f t="shared" ca="1" si="654"/>
        <v>717.5578836265978</v>
      </c>
      <c r="Q994" s="69">
        <f t="shared" ca="1" si="655"/>
        <v>960.69958195875449</v>
      </c>
      <c r="R994" s="69">
        <f t="shared" ca="1" si="656"/>
        <v>780.79011608478561</v>
      </c>
      <c r="S994" s="69">
        <f t="shared" ca="1" si="657"/>
        <v>706.29910900834807</v>
      </c>
      <c r="T994" s="69">
        <f t="shared" ca="1" si="658"/>
        <v>795.04832576713511</v>
      </c>
      <c r="U994" s="69">
        <f t="shared" ca="1" si="659"/>
        <v>1701.9504052825575</v>
      </c>
      <c r="V994" s="69">
        <f t="shared" ca="1" si="660"/>
        <v>1912.3689527111244</v>
      </c>
      <c r="W994" s="69">
        <f t="shared" ca="1" si="661"/>
        <v>1186.5071988801096</v>
      </c>
      <c r="X994" s="69">
        <f t="shared" ca="1" si="662"/>
        <v>1494.9447772887213</v>
      </c>
      <c r="Y994" s="69">
        <f t="shared" ca="1" si="663"/>
        <v>1201.5094479242023</v>
      </c>
      <c r="AA994" s="20">
        <f t="shared" ca="1" si="623"/>
        <v>6.5555768053660464E+16</v>
      </c>
      <c r="AB994" s="20">
        <f t="shared" ca="1" si="624"/>
        <v>1696674849587971.8</v>
      </c>
      <c r="AC994" s="20">
        <f t="shared" ca="1" si="625"/>
        <v>404690915626941.69</v>
      </c>
      <c r="AD994" s="20">
        <f t="shared" ca="1" si="626"/>
        <v>302246329028944.75</v>
      </c>
      <c r="AE994" s="20">
        <f t="shared" ca="1" si="627"/>
        <v>6936514571621045</v>
      </c>
      <c r="AG994" s="16">
        <f t="shared" ca="1" si="628"/>
        <v>-2.7708319061960296E-4</v>
      </c>
      <c r="AH994" s="16">
        <f t="shared" ca="1" si="629"/>
        <v>1.345803800665726E-5</v>
      </c>
      <c r="AI994" s="16">
        <f t="shared" ca="1" si="630"/>
        <v>1.8153838822503396E-4</v>
      </c>
      <c r="AJ994" s="16">
        <f t="shared" ca="1" si="631"/>
        <v>1.0036413885036697E-4</v>
      </c>
      <c r="AK994" s="16">
        <f t="shared" ca="1" si="632"/>
        <v>7.123243479811327E-4</v>
      </c>
      <c r="AM994" s="16">
        <f t="shared" ca="1" si="633"/>
        <v>1.827737446245524E-5</v>
      </c>
      <c r="AO994" s="16">
        <f t="shared" ca="1" si="634"/>
        <v>-2.7708319061960296E-4</v>
      </c>
      <c r="AP994" s="16">
        <f t="shared" ca="1" si="635"/>
        <v>0</v>
      </c>
      <c r="AQ994" s="16">
        <f t="shared" ca="1" si="636"/>
        <v>0</v>
      </c>
      <c r="AR994" s="16">
        <f t="shared" ca="1" si="637"/>
        <v>0</v>
      </c>
      <c r="AS994" s="16">
        <f t="shared" ca="1" si="638"/>
        <v>0</v>
      </c>
    </row>
    <row r="995" spans="1:45" x14ac:dyDescent="0.25">
      <c r="A995" s="69">
        <f t="shared" ca="1" si="639"/>
        <v>2447.9877571197467</v>
      </c>
      <c r="B995" s="69">
        <f t="shared" ca="1" si="640"/>
        <v>2137.2586917234539</v>
      </c>
      <c r="C995" s="69">
        <f t="shared" ca="1" si="641"/>
        <v>2234.456714159433</v>
      </c>
      <c r="D995" s="69">
        <f t="shared" ca="1" si="642"/>
        <v>2905.967242567071</v>
      </c>
      <c r="E995" s="69">
        <f t="shared" ca="1" si="643"/>
        <v>1929.1303805795824</v>
      </c>
      <c r="F995" s="69">
        <f t="shared" ca="1" si="644"/>
        <v>1217.8848141155042</v>
      </c>
      <c r="G995" s="69">
        <f t="shared" ca="1" si="645"/>
        <v>971.77463409505845</v>
      </c>
      <c r="H995" s="69">
        <f t="shared" ca="1" si="646"/>
        <v>1191.3457123706271</v>
      </c>
      <c r="I995" s="69">
        <f t="shared" ca="1" si="647"/>
        <v>1054.6652751398481</v>
      </c>
      <c r="J995" s="69">
        <f t="shared" ca="1" si="648"/>
        <v>1140.9858008301183</v>
      </c>
      <c r="K995" s="69">
        <f t="shared" ca="1" si="649"/>
        <v>1172.1656983696562</v>
      </c>
      <c r="L995" s="69">
        <f t="shared" ca="1" si="650"/>
        <v>956.73581964766777</v>
      </c>
      <c r="M995" s="69">
        <f t="shared" ca="1" si="651"/>
        <v>997.95020173450484</v>
      </c>
      <c r="N995" s="69">
        <f t="shared" ca="1" si="652"/>
        <v>571.1159981090841</v>
      </c>
      <c r="O995" s="69">
        <f t="shared" ca="1" si="653"/>
        <v>633.26875143118218</v>
      </c>
      <c r="P995" s="69">
        <f t="shared" ca="1" si="654"/>
        <v>717.5578836265978</v>
      </c>
      <c r="Q995" s="69">
        <f t="shared" ca="1" si="655"/>
        <v>961.0433223776995</v>
      </c>
      <c r="R995" s="69">
        <f t="shared" ca="1" si="656"/>
        <v>780.79011608478561</v>
      </c>
      <c r="S995" s="69">
        <f t="shared" ca="1" si="657"/>
        <v>706.15921393908468</v>
      </c>
      <c r="T995" s="69">
        <f t="shared" ca="1" si="658"/>
        <v>795.0011913723223</v>
      </c>
      <c r="U995" s="69">
        <f t="shared" ca="1" si="659"/>
        <v>1702.3890579959047</v>
      </c>
      <c r="V995" s="69">
        <f t="shared" ca="1" si="660"/>
        <v>1912.2419683229959</v>
      </c>
      <c r="W995" s="69">
        <f t="shared" ca="1" si="661"/>
        <v>1186.9732711272902</v>
      </c>
      <c r="X995" s="69">
        <f t="shared" ca="1" si="662"/>
        <v>1494.9447772887213</v>
      </c>
      <c r="Y995" s="69">
        <f t="shared" ca="1" si="663"/>
        <v>1201.6636029422184</v>
      </c>
      <c r="AA995" s="20">
        <f t="shared" ca="1" si="623"/>
        <v>6.5537606168577368E+16</v>
      </c>
      <c r="AB995" s="20">
        <f t="shared" ca="1" si="624"/>
        <v>1696697683656233</v>
      </c>
      <c r="AC995" s="20">
        <f t="shared" ca="1" si="625"/>
        <v>404764389232432.06</v>
      </c>
      <c r="AD995" s="20">
        <f t="shared" ca="1" si="626"/>
        <v>302276665243787</v>
      </c>
      <c r="AE995" s="20">
        <f t="shared" ca="1" si="627"/>
        <v>6941457380072939</v>
      </c>
      <c r="AG995" s="16">
        <f t="shared" ca="1" si="628"/>
        <v>-8.7657477970718632E-5</v>
      </c>
      <c r="AH995" s="16">
        <f t="shared" ca="1" si="629"/>
        <v>-3.2987775794881142E-4</v>
      </c>
      <c r="AI995" s="16">
        <f t="shared" ca="1" si="630"/>
        <v>3.5642353078295933E-4</v>
      </c>
      <c r="AJ995" s="16">
        <f t="shared" ca="1" si="631"/>
        <v>5.9057962406536019E-4</v>
      </c>
      <c r="AK995" s="16">
        <f t="shared" ca="1" si="632"/>
        <v>-1.4361712956315726E-4</v>
      </c>
      <c r="AM995" s="16">
        <f t="shared" ca="1" si="633"/>
        <v>5.2946791892878944E-4</v>
      </c>
      <c r="AO995" s="16">
        <f t="shared" ca="1" si="634"/>
        <v>-8.7657477970718632E-5</v>
      </c>
      <c r="AP995" s="16">
        <f t="shared" ca="1" si="635"/>
        <v>-3.2987775794881142E-4</v>
      </c>
      <c r="AQ995" s="16">
        <f t="shared" ca="1" si="636"/>
        <v>0</v>
      </c>
      <c r="AR995" s="16">
        <f t="shared" ca="1" si="637"/>
        <v>0</v>
      </c>
      <c r="AS995" s="16">
        <f t="shared" ca="1" si="638"/>
        <v>-1.4361712956315726E-4</v>
      </c>
    </row>
    <row r="996" spans="1:45" x14ac:dyDescent="0.25">
      <c r="A996" s="69">
        <f t="shared" ca="1" si="639"/>
        <v>2447.9877571197467</v>
      </c>
      <c r="B996" s="69">
        <f t="shared" ca="1" si="640"/>
        <v>2137.2586917234539</v>
      </c>
      <c r="C996" s="69">
        <f t="shared" ca="1" si="641"/>
        <v>2234.748942433901</v>
      </c>
      <c r="D996" s="69">
        <f t="shared" ca="1" si="642"/>
        <v>2906.0511106571262</v>
      </c>
      <c r="E996" s="69">
        <f t="shared" ca="1" si="643"/>
        <v>1928.65338133617</v>
      </c>
      <c r="F996" s="69">
        <f t="shared" ca="1" si="644"/>
        <v>1217.8848141155042</v>
      </c>
      <c r="G996" s="69">
        <f t="shared" ca="1" si="645"/>
        <v>971.5297845188046</v>
      </c>
      <c r="H996" s="69">
        <f t="shared" ca="1" si="646"/>
        <v>1190.9158568808793</v>
      </c>
      <c r="I996" s="69">
        <f t="shared" ca="1" si="647"/>
        <v>1054.9637828471311</v>
      </c>
      <c r="J996" s="69">
        <f t="shared" ca="1" si="648"/>
        <v>1140.9858008301183</v>
      </c>
      <c r="K996" s="69">
        <f t="shared" ca="1" si="649"/>
        <v>1172.6345705232575</v>
      </c>
      <c r="L996" s="69">
        <f t="shared" ca="1" si="650"/>
        <v>956.73581964766777</v>
      </c>
      <c r="M996" s="69">
        <f t="shared" ca="1" si="651"/>
        <v>997.85404828922128</v>
      </c>
      <c r="N996" s="69">
        <f t="shared" ca="1" si="652"/>
        <v>571.34856288479546</v>
      </c>
      <c r="O996" s="69">
        <f t="shared" ca="1" si="653"/>
        <v>633.04444043259514</v>
      </c>
      <c r="P996" s="69">
        <f t="shared" ca="1" si="654"/>
        <v>717.83165493662386</v>
      </c>
      <c r="Q996" s="69">
        <f t="shared" ca="1" si="655"/>
        <v>961.2443171254863</v>
      </c>
      <c r="R996" s="69">
        <f t="shared" ca="1" si="656"/>
        <v>780.79011608478561</v>
      </c>
      <c r="S996" s="69">
        <f t="shared" ca="1" si="657"/>
        <v>706.15921393908468</v>
      </c>
      <c r="T996" s="69">
        <f t="shared" ca="1" si="658"/>
        <v>795.0011913723223</v>
      </c>
      <c r="U996" s="69">
        <f t="shared" ca="1" si="659"/>
        <v>1702.4623467759679</v>
      </c>
      <c r="V996" s="69">
        <f t="shared" ca="1" si="660"/>
        <v>1912.2419683229959</v>
      </c>
      <c r="W996" s="69">
        <f t="shared" ca="1" si="661"/>
        <v>1186.7920885220051</v>
      </c>
      <c r="X996" s="69">
        <f t="shared" ca="1" si="662"/>
        <v>1494.4927856300412</v>
      </c>
      <c r="Y996" s="69">
        <f t="shared" ca="1" si="663"/>
        <v>1201.9861485499575</v>
      </c>
      <c r="AA996" s="20">
        <f t="shared" ca="1" si="623"/>
        <v>6.5531861559091064E+16</v>
      </c>
      <c r="AB996" s="20">
        <f t="shared" ca="1" si="624"/>
        <v>1696138073135038.3</v>
      </c>
      <c r="AC996" s="20">
        <f t="shared" ca="1" si="625"/>
        <v>404908682498407.56</v>
      </c>
      <c r="AD996" s="20">
        <f t="shared" ca="1" si="626"/>
        <v>302455236408165.75</v>
      </c>
      <c r="AE996" s="20">
        <f t="shared" ca="1" si="627"/>
        <v>6940460539472434</v>
      </c>
      <c r="AG996" s="16">
        <f t="shared" ca="1" si="628"/>
        <v>3.436985967976319E-4</v>
      </c>
      <c r="AH996" s="16">
        <f t="shared" ca="1" si="629"/>
        <v>-6.4084881811680831E-4</v>
      </c>
      <c r="AI996" s="16">
        <f t="shared" ca="1" si="630"/>
        <v>5.7755532590429151E-4</v>
      </c>
      <c r="AJ996" s="16">
        <f t="shared" ca="1" si="631"/>
        <v>4.5227961590079563E-4</v>
      </c>
      <c r="AK996" s="16">
        <f t="shared" ca="1" si="632"/>
        <v>6.0307265732856426E-4</v>
      </c>
      <c r="AM996" s="16">
        <f t="shared" ca="1" si="633"/>
        <v>7.3268472048591067E-4</v>
      </c>
      <c r="AO996" s="16">
        <f t="shared" ca="1" si="634"/>
        <v>0</v>
      </c>
      <c r="AP996" s="16">
        <f t="shared" ca="1" si="635"/>
        <v>-6.4084881811680831E-4</v>
      </c>
      <c r="AQ996" s="16">
        <f t="shared" ca="1" si="636"/>
        <v>0</v>
      </c>
      <c r="AR996" s="16">
        <f t="shared" ca="1" si="637"/>
        <v>0</v>
      </c>
      <c r="AS996" s="16">
        <f t="shared" ca="1" si="638"/>
        <v>0</v>
      </c>
    </row>
    <row r="997" spans="1:45" x14ac:dyDescent="0.25">
      <c r="A997" s="69">
        <f t="shared" ca="1" si="639"/>
        <v>2448.0352233517415</v>
      </c>
      <c r="B997" s="69">
        <f t="shared" ca="1" si="640"/>
        <v>2137.2586917234539</v>
      </c>
      <c r="C997" s="69">
        <f t="shared" ca="1" si="641"/>
        <v>2234.7892733428325</v>
      </c>
      <c r="D997" s="69">
        <f t="shared" ca="1" si="642"/>
        <v>2906.2990933185292</v>
      </c>
      <c r="E997" s="69">
        <f t="shared" ca="1" si="643"/>
        <v>1929.0795302501767</v>
      </c>
      <c r="F997" s="69">
        <f t="shared" ca="1" si="644"/>
        <v>1217.5260150817153</v>
      </c>
      <c r="G997" s="69">
        <f t="shared" ca="1" si="645"/>
        <v>971.19350197316987</v>
      </c>
      <c r="H997" s="69">
        <f t="shared" ca="1" si="646"/>
        <v>1190.9158568808793</v>
      </c>
      <c r="I997" s="69">
        <f t="shared" ca="1" si="647"/>
        <v>1054.9637828471311</v>
      </c>
      <c r="J997" s="69">
        <f t="shared" ca="1" si="648"/>
        <v>1140.9858008301183</v>
      </c>
      <c r="K997" s="69">
        <f t="shared" ca="1" si="649"/>
        <v>1172.6345705232575</v>
      </c>
      <c r="L997" s="69">
        <f t="shared" ca="1" si="650"/>
        <v>956.72136430784963</v>
      </c>
      <c r="M997" s="69">
        <f t="shared" ca="1" si="651"/>
        <v>998.21761239318221</v>
      </c>
      <c r="N997" s="69">
        <f t="shared" ca="1" si="652"/>
        <v>571.34856288479546</v>
      </c>
      <c r="O997" s="69">
        <f t="shared" ca="1" si="653"/>
        <v>633.18903469946508</v>
      </c>
      <c r="P997" s="69">
        <f t="shared" ca="1" si="654"/>
        <v>717.72448675751434</v>
      </c>
      <c r="Q997" s="69">
        <f t="shared" ca="1" si="655"/>
        <v>961.2443171254863</v>
      </c>
      <c r="R997" s="69">
        <f t="shared" ca="1" si="656"/>
        <v>780.79011608478561</v>
      </c>
      <c r="S997" s="69">
        <f t="shared" ca="1" si="657"/>
        <v>706.58415658451543</v>
      </c>
      <c r="T997" s="69">
        <f t="shared" ca="1" si="658"/>
        <v>795.0011913723223</v>
      </c>
      <c r="U997" s="69">
        <f t="shared" ca="1" si="659"/>
        <v>1702.4623467759679</v>
      </c>
      <c r="V997" s="69">
        <f t="shared" ca="1" si="660"/>
        <v>1912.7166631057496</v>
      </c>
      <c r="W997" s="69">
        <f t="shared" ca="1" si="661"/>
        <v>1187.015379179946</v>
      </c>
      <c r="X997" s="69">
        <f t="shared" ca="1" si="662"/>
        <v>1494.4927856300412</v>
      </c>
      <c r="Y997" s="69">
        <f t="shared" ca="1" si="663"/>
        <v>1202.1865782359152</v>
      </c>
      <c r="AA997" s="20">
        <f t="shared" ca="1" si="623"/>
        <v>6.5554388638995584E+16</v>
      </c>
      <c r="AB997" s="20">
        <f t="shared" ca="1" si="624"/>
        <v>1695051453272222.5</v>
      </c>
      <c r="AC997" s="20">
        <f t="shared" ca="1" si="625"/>
        <v>405142607210218.44</v>
      </c>
      <c r="AD997" s="20">
        <f t="shared" ca="1" si="626"/>
        <v>302592061685625.19</v>
      </c>
      <c r="AE997" s="20">
        <f t="shared" ca="1" si="627"/>
        <v>6944647403817865</v>
      </c>
      <c r="AG997" s="16">
        <f t="shared" ca="1" si="628"/>
        <v>8.7815649676531104E-5</v>
      </c>
      <c r="AH997" s="16">
        <f t="shared" ca="1" si="629"/>
        <v>2.1027080418374776E-4</v>
      </c>
      <c r="AI997" s="16">
        <f t="shared" ca="1" si="630"/>
        <v>-4.0847548442436082E-5</v>
      </c>
      <c r="AJ997" s="16">
        <f t="shared" ca="1" si="631"/>
        <v>-1.9299651982235968E-4</v>
      </c>
      <c r="AK997" s="16">
        <f t="shared" ca="1" si="632"/>
        <v>-3.3211332941831254E-4</v>
      </c>
      <c r="AM997" s="16">
        <f t="shared" ca="1" si="633"/>
        <v>6.4242385595483087E-5</v>
      </c>
      <c r="AO997" s="16">
        <f t="shared" ca="1" si="634"/>
        <v>0</v>
      </c>
      <c r="AP997" s="16">
        <f t="shared" ca="1" si="635"/>
        <v>0</v>
      </c>
      <c r="AQ997" s="16">
        <f t="shared" ca="1" si="636"/>
        <v>-4.0847548442436082E-5</v>
      </c>
      <c r="AR997" s="16">
        <f t="shared" ca="1" si="637"/>
        <v>-1.9299651982235968E-4</v>
      </c>
      <c r="AS997" s="16">
        <f t="shared" ca="1" si="638"/>
        <v>-3.3211332941831254E-4</v>
      </c>
    </row>
    <row r="998" spans="1:45" x14ac:dyDescent="0.25">
      <c r="A998" s="69">
        <f t="shared" ca="1" si="639"/>
        <v>2448.0352233517415</v>
      </c>
      <c r="B998" s="69">
        <f t="shared" ca="1" si="640"/>
        <v>2137.2586917234539</v>
      </c>
      <c r="C998" s="69">
        <f t="shared" ca="1" si="641"/>
        <v>2235.0103094984142</v>
      </c>
      <c r="D998" s="69">
        <f t="shared" ca="1" si="642"/>
        <v>2906.5216670905834</v>
      </c>
      <c r="E998" s="69">
        <f t="shared" ca="1" si="643"/>
        <v>1928.9104216433138</v>
      </c>
      <c r="F998" s="69">
        <f t="shared" ca="1" si="644"/>
        <v>1217.7595299804932</v>
      </c>
      <c r="G998" s="69">
        <f t="shared" ca="1" si="645"/>
        <v>971.29533231854327</v>
      </c>
      <c r="H998" s="69">
        <f t="shared" ca="1" si="646"/>
        <v>1190.9158568808793</v>
      </c>
      <c r="I998" s="69">
        <f t="shared" ca="1" si="647"/>
        <v>1055.0893280237885</v>
      </c>
      <c r="J998" s="69">
        <f t="shared" ca="1" si="648"/>
        <v>1140.7515259657007</v>
      </c>
      <c r="K998" s="69">
        <f t="shared" ca="1" si="649"/>
        <v>1172.6670705417537</v>
      </c>
      <c r="L998" s="69">
        <f t="shared" ca="1" si="650"/>
        <v>956.72136430784963</v>
      </c>
      <c r="M998" s="69">
        <f t="shared" ca="1" si="651"/>
        <v>998.57498743358076</v>
      </c>
      <c r="N998" s="69">
        <f t="shared" ca="1" si="652"/>
        <v>571.55140632691212</v>
      </c>
      <c r="O998" s="69">
        <f t="shared" ca="1" si="653"/>
        <v>632.6944069969079</v>
      </c>
      <c r="P998" s="69">
        <f t="shared" ca="1" si="654"/>
        <v>717.72448675751434</v>
      </c>
      <c r="Q998" s="69">
        <f t="shared" ca="1" si="655"/>
        <v>961.2443171254863</v>
      </c>
      <c r="R998" s="69">
        <f t="shared" ca="1" si="656"/>
        <v>780.63944085003493</v>
      </c>
      <c r="S998" s="69">
        <f t="shared" ca="1" si="657"/>
        <v>706.58415658451543</v>
      </c>
      <c r="T998" s="69">
        <f t="shared" ca="1" si="658"/>
        <v>795.0011913723223</v>
      </c>
      <c r="U998" s="69">
        <f t="shared" ca="1" si="659"/>
        <v>1702.2807236355827</v>
      </c>
      <c r="V998" s="69">
        <f t="shared" ca="1" si="660"/>
        <v>1912.7166631057496</v>
      </c>
      <c r="W998" s="69">
        <f t="shared" ca="1" si="661"/>
        <v>1186.8123285384838</v>
      </c>
      <c r="X998" s="69">
        <f t="shared" ca="1" si="662"/>
        <v>1494.6736861270683</v>
      </c>
      <c r="Y998" s="69">
        <f t="shared" ca="1" si="663"/>
        <v>1201.9757476456809</v>
      </c>
      <c r="AA998" s="20">
        <f t="shared" ca="1" si="623"/>
        <v>6.5560145592994688E+16</v>
      </c>
      <c r="AB998" s="20">
        <f t="shared" ca="1" si="624"/>
        <v>1695407910579403.8</v>
      </c>
      <c r="AC998" s="20">
        <f t="shared" ca="1" si="625"/>
        <v>405126058465934.44</v>
      </c>
      <c r="AD998" s="20">
        <f t="shared" ca="1" si="626"/>
        <v>302533668105854.06</v>
      </c>
      <c r="AE998" s="20">
        <f t="shared" ca="1" si="627"/>
        <v>6942341376799298</v>
      </c>
      <c r="AG998" s="16">
        <f t="shared" ca="1" si="628"/>
        <v>1.5900857636356598E-4</v>
      </c>
      <c r="AH998" s="16">
        <f t="shared" ca="1" si="629"/>
        <v>-2.8396955653070809E-4</v>
      </c>
      <c r="AI998" s="16">
        <f t="shared" ca="1" si="630"/>
        <v>-8.5070811055221564E-4</v>
      </c>
      <c r="AJ998" s="16">
        <f t="shared" ca="1" si="631"/>
        <v>-8.4860785604427868E-4</v>
      </c>
      <c r="AK998" s="16">
        <f t="shared" ca="1" si="632"/>
        <v>-2.3260871219279823E-4</v>
      </c>
      <c r="AM998" s="16">
        <f t="shared" ca="1" si="633"/>
        <v>-1.8242769467636363E-3</v>
      </c>
      <c r="AO998" s="16">
        <f t="shared" ca="1" si="634"/>
        <v>0</v>
      </c>
      <c r="AP998" s="16">
        <f t="shared" ca="1" si="635"/>
        <v>-2.8396955653070809E-4</v>
      </c>
      <c r="AQ998" s="16">
        <f t="shared" ca="1" si="636"/>
        <v>-8.5070811055221564E-4</v>
      </c>
      <c r="AR998" s="16">
        <f t="shared" ca="1" si="637"/>
        <v>-8.4860785604427868E-4</v>
      </c>
      <c r="AS998" s="16">
        <f t="shared" ca="1" si="638"/>
        <v>-2.3260871219279823E-4</v>
      </c>
    </row>
    <row r="999" spans="1:45" x14ac:dyDescent="0.25">
      <c r="A999" s="69">
        <f t="shared" ca="1" si="639"/>
        <v>2448.3970207851971</v>
      </c>
      <c r="B999" s="69">
        <f t="shared" ca="1" si="640"/>
        <v>2137.5236779046281</v>
      </c>
      <c r="C999" s="69">
        <f t="shared" ca="1" si="641"/>
        <v>2235.1850341951558</v>
      </c>
      <c r="D999" s="69">
        <f t="shared" ca="1" si="642"/>
        <v>2906.5216670905834</v>
      </c>
      <c r="E999" s="69">
        <f t="shared" ca="1" si="643"/>
        <v>1928.5421871296237</v>
      </c>
      <c r="F999" s="69">
        <f t="shared" ca="1" si="644"/>
        <v>1217.8190865145245</v>
      </c>
      <c r="G999" s="69">
        <f t="shared" ca="1" si="645"/>
        <v>971.47065296243193</v>
      </c>
      <c r="H999" s="69">
        <f t="shared" ca="1" si="646"/>
        <v>1190.9304180860768</v>
      </c>
      <c r="I999" s="69">
        <f t="shared" ca="1" si="647"/>
        <v>1054.8188740572843</v>
      </c>
      <c r="J999" s="69">
        <f t="shared" ca="1" si="648"/>
        <v>1140.4444521180312</v>
      </c>
      <c r="K999" s="69">
        <f t="shared" ca="1" si="649"/>
        <v>1172.2199183125754</v>
      </c>
      <c r="L999" s="69">
        <f t="shared" ca="1" si="650"/>
        <v>957.00233580231816</v>
      </c>
      <c r="M999" s="69">
        <f t="shared" ca="1" si="651"/>
        <v>998.0877891763746</v>
      </c>
      <c r="N999" s="69">
        <f t="shared" ca="1" si="652"/>
        <v>571.43974404021571</v>
      </c>
      <c r="O999" s="69">
        <f t="shared" ca="1" si="653"/>
        <v>632.64406988631413</v>
      </c>
      <c r="P999" s="69">
        <f t="shared" ca="1" si="654"/>
        <v>717.72448675751434</v>
      </c>
      <c r="Q999" s="69">
        <f t="shared" ca="1" si="655"/>
        <v>960.96260843229652</v>
      </c>
      <c r="R999" s="69">
        <f t="shared" ca="1" si="656"/>
        <v>780.60856520067432</v>
      </c>
      <c r="S999" s="69">
        <f t="shared" ca="1" si="657"/>
        <v>706.21969156663886</v>
      </c>
      <c r="T999" s="69">
        <f t="shared" ca="1" si="658"/>
        <v>795.0011913723223</v>
      </c>
      <c r="U999" s="69">
        <f t="shared" ca="1" si="659"/>
        <v>1702.2807236355827</v>
      </c>
      <c r="V999" s="69">
        <f t="shared" ca="1" si="660"/>
        <v>1912.7024382285842</v>
      </c>
      <c r="W999" s="69">
        <f t="shared" ca="1" si="661"/>
        <v>1186.4846987088711</v>
      </c>
      <c r="X999" s="69">
        <f t="shared" ca="1" si="662"/>
        <v>1494.4981264105979</v>
      </c>
      <c r="Y999" s="69">
        <f t="shared" ca="1" si="663"/>
        <v>1202.1781640374795</v>
      </c>
      <c r="AA999" s="20">
        <f t="shared" ca="1" si="623"/>
        <v>6.5570571047257976E+16</v>
      </c>
      <c r="AB999" s="20">
        <f t="shared" ca="1" si="624"/>
        <v>1694926534698180.5</v>
      </c>
      <c r="AC999" s="20">
        <f t="shared" ca="1" si="625"/>
        <v>404781560996373.31</v>
      </c>
      <c r="AD999" s="20">
        <f t="shared" ca="1" si="626"/>
        <v>302277044560160.31</v>
      </c>
      <c r="AE999" s="20">
        <f t="shared" ca="1" si="627"/>
        <v>6940726715511460</v>
      </c>
      <c r="AG999" s="16">
        <f t="shared" ca="1" si="628"/>
        <v>1.8652472974152017E-4</v>
      </c>
      <c r="AH999" s="16">
        <f t="shared" ca="1" si="629"/>
        <v>2.776233428291068E-4</v>
      </c>
      <c r="AI999" s="16">
        <f t="shared" ca="1" si="630"/>
        <v>2.1813371413239874E-3</v>
      </c>
      <c r="AJ999" s="16">
        <f t="shared" ca="1" si="631"/>
        <v>3.4343349939236527E-4</v>
      </c>
      <c r="AK999" s="16">
        <f t="shared" ca="1" si="632"/>
        <v>8.9075842964093206E-5</v>
      </c>
      <c r="AM999" s="16">
        <f t="shared" ca="1" si="633"/>
        <v>2.9889187132869795E-3</v>
      </c>
      <c r="AO999" s="16">
        <f t="shared" ca="1" si="634"/>
        <v>0</v>
      </c>
      <c r="AP999" s="16">
        <f t="shared" ca="1" si="635"/>
        <v>0</v>
      </c>
      <c r="AQ999" s="16">
        <f t="shared" ca="1" si="636"/>
        <v>0</v>
      </c>
      <c r="AR999" s="16">
        <f t="shared" ca="1" si="637"/>
        <v>0</v>
      </c>
      <c r="AS999" s="16">
        <f t="shared" ca="1" si="638"/>
        <v>0</v>
      </c>
    </row>
    <row r="1000" spans="1:45" x14ac:dyDescent="0.25">
      <c r="A1000" s="69">
        <f t="shared" ca="1" si="639"/>
        <v>2448.3970207851971</v>
      </c>
      <c r="B1000" s="69">
        <f t="shared" ca="1" si="640"/>
        <v>2137.5236779046281</v>
      </c>
      <c r="C1000" s="69">
        <f t="shared" ca="1" si="641"/>
        <v>2235.1850341951558</v>
      </c>
      <c r="D1000" s="69">
        <f t="shared" ca="1" si="642"/>
        <v>2906.3310493278696</v>
      </c>
      <c r="E1000" s="69">
        <f t="shared" ca="1" si="643"/>
        <v>1929.0284525334507</v>
      </c>
      <c r="F1000" s="69">
        <f t="shared" ca="1" si="644"/>
        <v>1217.5940658530003</v>
      </c>
      <c r="G1000" s="69">
        <f t="shared" ca="1" si="645"/>
        <v>971.32563809810733</v>
      </c>
      <c r="H1000" s="69">
        <f t="shared" ca="1" si="646"/>
        <v>1191.4086308969397</v>
      </c>
      <c r="I1000" s="69">
        <f t="shared" ca="1" si="647"/>
        <v>1054.5812596563055</v>
      </c>
      <c r="J1000" s="69">
        <f t="shared" ca="1" si="648"/>
        <v>1140.9412518959243</v>
      </c>
      <c r="K1000" s="69">
        <f t="shared" ca="1" si="649"/>
        <v>1172.6204782994346</v>
      </c>
      <c r="L1000" s="69">
        <f t="shared" ca="1" si="650"/>
        <v>957.24869227373802</v>
      </c>
      <c r="M1000" s="69">
        <f t="shared" ca="1" si="651"/>
        <v>998.14428911704056</v>
      </c>
      <c r="N1000" s="69">
        <f t="shared" ca="1" si="652"/>
        <v>571.86992544535156</v>
      </c>
      <c r="O1000" s="69">
        <f t="shared" ca="1" si="653"/>
        <v>633.13339839589628</v>
      </c>
      <c r="P1000" s="69">
        <f t="shared" ca="1" si="654"/>
        <v>718.01742524359258</v>
      </c>
      <c r="Q1000" s="69">
        <f t="shared" ca="1" si="655"/>
        <v>960.96260843229652</v>
      </c>
      <c r="R1000" s="69">
        <f t="shared" ca="1" si="656"/>
        <v>780.60856520067432</v>
      </c>
      <c r="S1000" s="69">
        <f t="shared" ca="1" si="657"/>
        <v>706.01260363678182</v>
      </c>
      <c r="T1000" s="69">
        <f t="shared" ca="1" si="658"/>
        <v>795.18298541366028</v>
      </c>
      <c r="U1000" s="69">
        <f t="shared" ca="1" si="659"/>
        <v>1702.4107625772258</v>
      </c>
      <c r="V1000" s="69">
        <f t="shared" ca="1" si="660"/>
        <v>1912.7024382285842</v>
      </c>
      <c r="W1000" s="69">
        <f t="shared" ca="1" si="661"/>
        <v>1186.1916922453536</v>
      </c>
      <c r="X1000" s="69">
        <f t="shared" ca="1" si="662"/>
        <v>1494.5154956824497</v>
      </c>
      <c r="Y1000" s="69">
        <f t="shared" ca="1" si="663"/>
        <v>1202.4764008395045</v>
      </c>
      <c r="AA1000" s="20">
        <f t="shared" ca="1" si="623"/>
        <v>6.558280272102092E+16</v>
      </c>
      <c r="AB1000" s="20">
        <f t="shared" ca="1" si="624"/>
        <v>1695397151192632.8</v>
      </c>
      <c r="AC1000" s="20">
        <f t="shared" ca="1" si="625"/>
        <v>405665489772337.63</v>
      </c>
      <c r="AD1000" s="20">
        <f t="shared" ca="1" si="626"/>
        <v>302380874451670.56</v>
      </c>
      <c r="AE1000" s="20">
        <f t="shared" ca="1" si="627"/>
        <v>6941344994130863</v>
      </c>
      <c r="AG1000" s="16">
        <f t="shared" ca="1" si="628"/>
        <v>-1.3444585219545498E-4</v>
      </c>
      <c r="AH1000" s="16">
        <f t="shared" ca="1" si="629"/>
        <v>9.8347883897736591E-5</v>
      </c>
      <c r="AI1000" s="16">
        <f t="shared" ca="1" si="630"/>
        <v>-1.4453622888651905E-4</v>
      </c>
      <c r="AJ1000" s="16">
        <f t="shared" ca="1" si="631"/>
        <v>-5.3706500593650257E-4</v>
      </c>
      <c r="AK1000" s="16">
        <f t="shared" ca="1" si="632"/>
        <v>1.8915458101232839E-4</v>
      </c>
      <c r="AM1000" s="16">
        <f t="shared" ca="1" si="633"/>
        <v>-7.1769920312073998E-4</v>
      </c>
      <c r="AO1000" s="16">
        <f t="shared" ca="1" si="634"/>
        <v>-1.3444585219545498E-4</v>
      </c>
      <c r="AP1000" s="16">
        <f t="shared" ca="1" si="635"/>
        <v>0</v>
      </c>
      <c r="AQ1000" s="16">
        <f t="shared" ca="1" si="636"/>
        <v>-1.4453622888651905E-4</v>
      </c>
      <c r="AR1000" s="16">
        <f t="shared" ca="1" si="637"/>
        <v>-5.3706500593650257E-4</v>
      </c>
      <c r="AS1000" s="16">
        <f t="shared" ca="1" si="638"/>
        <v>0</v>
      </c>
    </row>
    <row r="1001" spans="1:45" x14ac:dyDescent="0.25">
      <c r="A1001" s="69">
        <f t="shared" ca="1" si="639"/>
        <v>2448.3942354655228</v>
      </c>
      <c r="B1001" s="69">
        <f t="shared" ca="1" si="640"/>
        <v>2137.5236779046281</v>
      </c>
      <c r="C1001" s="69">
        <f t="shared" ca="1" si="641"/>
        <v>2235.1850341951558</v>
      </c>
      <c r="D1001" s="69">
        <f t="shared" ca="1" si="642"/>
        <v>2905.9436372680134</v>
      </c>
      <c r="E1001" s="69">
        <f t="shared" ca="1" si="643"/>
        <v>1929.0284525334507</v>
      </c>
      <c r="F1001" s="69">
        <f t="shared" ca="1" si="644"/>
        <v>1217.2950796426185</v>
      </c>
      <c r="G1001" s="69">
        <f t="shared" ca="1" si="645"/>
        <v>970.90655847887194</v>
      </c>
      <c r="H1001" s="69">
        <f t="shared" ca="1" si="646"/>
        <v>1191.8221451905847</v>
      </c>
      <c r="I1001" s="69">
        <f t="shared" ca="1" si="647"/>
        <v>1054.8430196220315</v>
      </c>
      <c r="J1001" s="69">
        <f t="shared" ca="1" si="648"/>
        <v>1141.1469546438127</v>
      </c>
      <c r="K1001" s="69">
        <f t="shared" ca="1" si="649"/>
        <v>1172.3266615196674</v>
      </c>
      <c r="L1001" s="69">
        <f t="shared" ca="1" si="650"/>
        <v>957.50734243725299</v>
      </c>
      <c r="M1001" s="69">
        <f t="shared" ca="1" si="651"/>
        <v>997.98050137579867</v>
      </c>
      <c r="N1001" s="69">
        <f t="shared" ca="1" si="652"/>
        <v>571.86992544535156</v>
      </c>
      <c r="O1001" s="69">
        <f t="shared" ca="1" si="653"/>
        <v>633.13339839589628</v>
      </c>
      <c r="P1001" s="69">
        <f t="shared" ca="1" si="654"/>
        <v>718.01742524359258</v>
      </c>
      <c r="Q1001" s="69">
        <f t="shared" ca="1" si="655"/>
        <v>960.99095248951039</v>
      </c>
      <c r="R1001" s="69">
        <f t="shared" ca="1" si="656"/>
        <v>780.62256619037419</v>
      </c>
      <c r="S1001" s="69">
        <f t="shared" ca="1" si="657"/>
        <v>705.74572415172565</v>
      </c>
      <c r="T1001" s="69">
        <f t="shared" ca="1" si="658"/>
        <v>795.01886473320531</v>
      </c>
      <c r="U1001" s="69">
        <f t="shared" ca="1" si="659"/>
        <v>1702.4623884017394</v>
      </c>
      <c r="V1001" s="69">
        <f t="shared" ca="1" si="660"/>
        <v>1912.6139964837951</v>
      </c>
      <c r="W1001" s="69">
        <f t="shared" ca="1" si="661"/>
        <v>1186.3223648117767</v>
      </c>
      <c r="X1001" s="69">
        <f t="shared" ca="1" si="662"/>
        <v>1494.067822493357</v>
      </c>
      <c r="Y1001" s="69">
        <f t="shared" ca="1" si="663"/>
        <v>1202.9508757878293</v>
      </c>
      <c r="AA1001" s="20">
        <f t="shared" ca="1" si="623"/>
        <v>6.557398597792028E+16</v>
      </c>
      <c r="AB1001" s="20">
        <f t="shared" ca="1" si="624"/>
        <v>1695563898114287.8</v>
      </c>
      <c r="AC1001" s="20">
        <f t="shared" ca="1" si="625"/>
        <v>405606860649374.75</v>
      </c>
      <c r="AD1001" s="20">
        <f t="shared" ca="1" si="626"/>
        <v>302218519866923.56</v>
      </c>
      <c r="AE1001" s="20">
        <f t="shared" ca="1" si="627"/>
        <v>6942658105521492</v>
      </c>
    </row>
    <row r="1002" spans="1:45" x14ac:dyDescent="0.25">
      <c r="A1002" s="69">
        <f t="shared" ca="1" si="639"/>
        <v>2448.3942354655228</v>
      </c>
      <c r="B1002" s="69">
        <f t="shared" ca="1" si="640"/>
        <v>2137.2925635793231</v>
      </c>
      <c r="C1002" s="69">
        <f t="shared" ca="1" si="641"/>
        <v>2235.1850341951558</v>
      </c>
      <c r="D1002" s="69">
        <f t="shared" ca="1" si="642"/>
        <v>2906.4045759245473</v>
      </c>
      <c r="E1002" s="69">
        <f t="shared" ca="1" si="643"/>
        <v>1929.1818011763189</v>
      </c>
      <c r="F1002" s="69">
        <f t="shared" ca="1" si="644"/>
        <v>1216.9597092158062</v>
      </c>
      <c r="G1002" s="69">
        <f t="shared" ca="1" si="645"/>
        <v>970.86903827566857</v>
      </c>
      <c r="H1002" s="69">
        <f t="shared" ca="1" si="646"/>
        <v>1191.3287629353431</v>
      </c>
      <c r="I1002" s="69">
        <f t="shared" ca="1" si="647"/>
        <v>1054.8430196220315</v>
      </c>
      <c r="J1002" s="69">
        <f t="shared" ca="1" si="648"/>
        <v>1140.8273028433707</v>
      </c>
      <c r="K1002" s="69">
        <f t="shared" ca="1" si="649"/>
        <v>1172.3266615196674</v>
      </c>
      <c r="L1002" s="69">
        <f t="shared" ca="1" si="650"/>
        <v>957.41112320065508</v>
      </c>
      <c r="M1002" s="69">
        <f t="shared" ca="1" si="651"/>
        <v>997.89540924783626</v>
      </c>
      <c r="N1002" s="69">
        <f t="shared" ca="1" si="652"/>
        <v>571.70240125004159</v>
      </c>
      <c r="O1002" s="69">
        <f t="shared" ca="1" si="653"/>
        <v>633.52672632028862</v>
      </c>
      <c r="P1002" s="69">
        <f t="shared" ca="1" si="654"/>
        <v>717.82738744589153</v>
      </c>
      <c r="Q1002" s="69">
        <f t="shared" ca="1" si="655"/>
        <v>961.33911296193764</v>
      </c>
      <c r="R1002" s="69">
        <f t="shared" ca="1" si="656"/>
        <v>780.97628357020835</v>
      </c>
      <c r="S1002" s="69">
        <f t="shared" ca="1" si="657"/>
        <v>705.59254102601301</v>
      </c>
      <c r="T1002" s="69">
        <f t="shared" ca="1" si="658"/>
        <v>795.33085023592616</v>
      </c>
      <c r="U1002" s="69">
        <f t="shared" ca="1" si="659"/>
        <v>1702.2275327466768</v>
      </c>
      <c r="V1002" s="69">
        <f t="shared" ca="1" si="660"/>
        <v>1912.4773667609315</v>
      </c>
      <c r="W1002" s="69">
        <f t="shared" ca="1" si="661"/>
        <v>1186.3223648117767</v>
      </c>
      <c r="X1002" s="69">
        <f t="shared" ca="1" si="662"/>
        <v>1494.067822493357</v>
      </c>
      <c r="Y1002" s="69">
        <f t="shared" ca="1" si="663"/>
        <v>1202.4613641041256</v>
      </c>
    </row>
  </sheetData>
  <sheetProtection selectLockedCells="1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67"/>
  <sheetViews>
    <sheetView tabSelected="1" zoomScale="80" zoomScaleNormal="80" workbookViewId="0">
      <selection activeCell="L24" sqref="L24"/>
    </sheetView>
  </sheetViews>
  <sheetFormatPr defaultRowHeight="15" x14ac:dyDescent="0.25"/>
  <cols>
    <col min="1" max="1" width="29.28515625" customWidth="1"/>
    <col min="2" max="2" width="17.7109375" style="2" bestFit="1" customWidth="1"/>
    <col min="4" max="4" width="15.140625" bestFit="1" customWidth="1"/>
    <col min="5" max="5" width="14.5703125" bestFit="1" customWidth="1"/>
    <col min="6" max="6" width="11.140625" customWidth="1"/>
    <col min="7" max="7" width="11.85546875" customWidth="1"/>
    <col min="8" max="8" width="14" customWidth="1"/>
    <col min="9" max="9" width="23.140625" customWidth="1"/>
    <col min="10" max="11" width="12.42578125" bestFit="1" customWidth="1"/>
    <col min="12" max="12" width="14.42578125" customWidth="1"/>
    <col min="14" max="14" width="14.28515625" customWidth="1"/>
    <col min="15" max="18" width="14.85546875" bestFit="1" customWidth="1"/>
  </cols>
  <sheetData>
    <row r="1" spans="1:22" ht="15.75" x14ac:dyDescent="0.25">
      <c r="A1" s="3" t="s">
        <v>5</v>
      </c>
      <c r="B1" s="4"/>
    </row>
    <row r="2" spans="1:22" ht="15.75" x14ac:dyDescent="0.25">
      <c r="A2" s="33" t="s">
        <v>11</v>
      </c>
      <c r="B2" s="17">
        <v>0.22262590090635054</v>
      </c>
      <c r="T2" s="35">
        <f ca="1">DATA!AM3*$B$7</f>
        <v>374028.51134335238</v>
      </c>
      <c r="V2" s="35"/>
    </row>
    <row r="3" spans="1:22" ht="15.75" x14ac:dyDescent="0.25">
      <c r="A3" s="33" t="s">
        <v>12</v>
      </c>
      <c r="B3" s="17">
        <v>0.2038163757963008</v>
      </c>
      <c r="N3" s="27" t="s">
        <v>45</v>
      </c>
      <c r="O3" s="27" t="s">
        <v>11</v>
      </c>
      <c r="P3" s="27" t="s">
        <v>12</v>
      </c>
      <c r="Q3" s="27" t="s">
        <v>13</v>
      </c>
      <c r="R3" s="27" t="s">
        <v>14</v>
      </c>
      <c r="T3" s="35">
        <f ca="1">DATA!AM4*$B$7</f>
        <v>-88362.507348650455</v>
      </c>
    </row>
    <row r="4" spans="1:22" ht="15.75" x14ac:dyDescent="0.25">
      <c r="A4" s="33" t="s">
        <v>13</v>
      </c>
      <c r="B4" s="17">
        <v>0.30227005086302949</v>
      </c>
      <c r="N4" s="27">
        <v>0.01</v>
      </c>
      <c r="O4" s="27">
        <v>0.2878</v>
      </c>
      <c r="P4" s="27">
        <v>0.2359</v>
      </c>
      <c r="Q4" s="27">
        <v>0.2394</v>
      </c>
      <c r="R4" s="27">
        <v>0.2369</v>
      </c>
      <c r="T4" s="35">
        <f ca="1">DATA!AM5*$B$7</f>
        <v>41227.413365127781</v>
      </c>
    </row>
    <row r="5" spans="1:22" ht="16.5" thickBot="1" x14ac:dyDescent="0.3">
      <c r="A5" s="34" t="s">
        <v>14</v>
      </c>
      <c r="B5" s="17">
        <v>0.27128770990516365</v>
      </c>
      <c r="N5" s="27">
        <v>0.05</v>
      </c>
      <c r="O5" s="27">
        <v>0.28620000000000001</v>
      </c>
      <c r="P5" s="27">
        <v>0.22500000000000001</v>
      </c>
      <c r="Q5" s="27">
        <v>0.25080000000000002</v>
      </c>
      <c r="R5" s="27">
        <v>0.23799999999999999</v>
      </c>
      <c r="T5" s="35">
        <f ca="1">DATA!AM6*$B$7</f>
        <v>-25687.409632480987</v>
      </c>
    </row>
    <row r="6" spans="1:22" ht="15.75" x14ac:dyDescent="0.25">
      <c r="A6" s="3" t="s">
        <v>0</v>
      </c>
      <c r="B6" s="4"/>
      <c r="N6" s="27">
        <v>0.1</v>
      </c>
      <c r="O6" s="27">
        <v>0.23810000000000001</v>
      </c>
      <c r="P6" s="27">
        <v>0.25130000000000002</v>
      </c>
      <c r="Q6" s="27">
        <v>0.25619999999999998</v>
      </c>
      <c r="R6" s="27">
        <v>0.25440000000000002</v>
      </c>
      <c r="T6" s="35">
        <f ca="1">DATA!AM7*$B$7</f>
        <v>-202784.01971388064</v>
      </c>
    </row>
    <row r="7" spans="1:22" x14ac:dyDescent="0.25">
      <c r="A7" s="33" t="s">
        <v>54</v>
      </c>
      <c r="B7" s="31">
        <v>200000000</v>
      </c>
      <c r="N7" s="27">
        <v>0.15</v>
      </c>
      <c r="O7" s="27">
        <v>0.24079999999999999</v>
      </c>
      <c r="P7" s="27">
        <v>0.25559999999999999</v>
      </c>
      <c r="Q7" s="27">
        <v>0.25119999999999998</v>
      </c>
      <c r="R7" s="27">
        <v>0.25240000000000001</v>
      </c>
      <c r="T7" s="35">
        <f ca="1">DATA!AM8*$B$7</f>
        <v>-16196.952152232412</v>
      </c>
    </row>
    <row r="8" spans="1:22" x14ac:dyDescent="0.25">
      <c r="A8" s="33" t="s">
        <v>74</v>
      </c>
      <c r="B8" s="18">
        <v>0.25</v>
      </c>
      <c r="D8" s="36"/>
      <c r="F8" s="10"/>
      <c r="G8" s="10"/>
      <c r="N8" s="27">
        <v>0.2</v>
      </c>
      <c r="O8" s="27">
        <v>0.2301</v>
      </c>
      <c r="P8" s="27">
        <v>0.25990000000000002</v>
      </c>
      <c r="Q8" s="27">
        <v>0.25419999999999998</v>
      </c>
      <c r="R8" s="27">
        <v>0.25580000000000003</v>
      </c>
      <c r="T8" s="35">
        <f ca="1">DATA!AM9*$B$7</f>
        <v>-162425.16053935114</v>
      </c>
    </row>
    <row r="9" spans="1:22" x14ac:dyDescent="0.25">
      <c r="A9" s="33" t="s">
        <v>48</v>
      </c>
      <c r="B9" s="18">
        <v>0.95</v>
      </c>
      <c r="F9" s="10"/>
      <c r="G9" s="10"/>
      <c r="N9" s="27"/>
      <c r="O9" s="27"/>
      <c r="P9" s="27"/>
      <c r="Q9" s="27"/>
      <c r="R9" s="27"/>
      <c r="T9" s="35">
        <f ca="1">DATA!AM10*$B$7</f>
        <v>-320889.61618721741</v>
      </c>
    </row>
    <row r="10" spans="1:22" ht="15.75" thickBot="1" x14ac:dyDescent="0.3">
      <c r="A10" s="33" t="s">
        <v>73</v>
      </c>
      <c r="B10" s="53">
        <v>220</v>
      </c>
      <c r="F10" s="10"/>
      <c r="G10" s="10"/>
      <c r="N10" s="52"/>
      <c r="O10" s="52"/>
      <c r="P10" s="52"/>
      <c r="Q10" s="52"/>
      <c r="R10" s="52"/>
      <c r="T10" s="35"/>
    </row>
    <row r="11" spans="1:22" ht="17.25" customHeight="1" x14ac:dyDescent="0.25">
      <c r="A11" s="49" t="s">
        <v>9</v>
      </c>
      <c r="B11" s="50" t="s">
        <v>71</v>
      </c>
      <c r="C11" s="14" t="s">
        <v>6</v>
      </c>
      <c r="D11" s="14" t="s">
        <v>72</v>
      </c>
      <c r="E11" s="57" t="s">
        <v>87</v>
      </c>
      <c r="F11" s="57" t="s">
        <v>7</v>
      </c>
      <c r="G11" s="58" t="s">
        <v>44</v>
      </c>
      <c r="H11" s="57" t="s">
        <v>8</v>
      </c>
      <c r="I11" s="58" t="s">
        <v>69</v>
      </c>
      <c r="J11" s="58" t="s">
        <v>75</v>
      </c>
      <c r="K11" s="58" t="s">
        <v>88</v>
      </c>
      <c r="L11" s="54" t="s">
        <v>89</v>
      </c>
      <c r="T11" s="35">
        <f ca="1">DATA!AM11*$B$7</f>
        <v>-149432.56620548619</v>
      </c>
    </row>
    <row r="12" spans="1:22" x14ac:dyDescent="0.25">
      <c r="A12" s="5" t="s">
        <v>15</v>
      </c>
      <c r="B12" s="9">
        <f t="array" aca="1" ref="B12" ca="1">PRODUCT(1+_xlfn.SINGLE(DATA!AG3:AG1000))^(1/$B$10)-1</f>
        <v>1.0594937760455281E-6</v>
      </c>
      <c r="C12" s="9">
        <f ca="1">_xlfn.VAR.S(DATA!AG3:AG1000)</f>
        <v>5.3558444271287294E-8</v>
      </c>
      <c r="D12" s="9">
        <f ca="1">_xlfn.STDEV.S(DATA!AG3:AG1000)*SQRT($B$10)</f>
        <v>3.4326167481504846E-3</v>
      </c>
      <c r="E12" s="9">
        <f ca="1">SQRT(SUMSQ(DATA!AO3:AO1000)/COUNT(DATA!AO3:AO1000))*SQRT(ANALYSIS!B10)</f>
        <v>2.4240093603596722E-3</v>
      </c>
      <c r="F12" s="9">
        <f ca="1">_xlfn.COVARIANCE.S(DATA!AK3:AK1000,DATA!AG3:AG1000)</f>
        <v>5.4162774008394273E-9</v>
      </c>
      <c r="G12" s="9">
        <f ca="1">F12/C12</f>
        <v>0.10112835565955929</v>
      </c>
      <c r="H12" s="9">
        <f ca="1">CORREL(DATA!AG3:AG1000,DATA!AK3:AK1000)</f>
        <v>6.4760654130442408E-2</v>
      </c>
      <c r="I12" s="9">
        <f ca="1">$B$8+G12*(B12-$B$8)</f>
        <v>0.22471801822997359</v>
      </c>
      <c r="J12" s="9">
        <f ca="1">(B12-$B$8)/D12</f>
        <v>-72.830426129256921</v>
      </c>
      <c r="K12" s="9">
        <f ca="1">(B12-$B$8)/G12</f>
        <v>-2.4720953769665344</v>
      </c>
      <c r="L12" s="8">
        <f ca="1">(B12-$B$8)/E12</f>
        <v>-103.13447818911447</v>
      </c>
      <c r="T12" s="35">
        <f ca="1">DATA!AM12*$B$7</f>
        <v>-586.19363011496932</v>
      </c>
    </row>
    <row r="13" spans="1:22" x14ac:dyDescent="0.25">
      <c r="A13" s="5" t="s">
        <v>16</v>
      </c>
      <c r="B13" s="9">
        <f ca="1">PRODUCT(1+DATA!AH3:AH1000)^(1/$B$10)-1</f>
        <v>2.563039198433259E-6</v>
      </c>
      <c r="C13" s="9">
        <f ca="1">_xlfn.VAR.S(DATA!AH3:AH1000)</f>
        <v>2.5098778412458442E-7</v>
      </c>
      <c r="D13" s="9">
        <f ca="1">_xlfn.STDEV.S(DATA!AH3:AH1000)*SQRT($B$10)</f>
        <v>7.43083524964782E-3</v>
      </c>
      <c r="E13" s="9">
        <f ca="1">SQRT(SUMSQ(DATA!AP3:AP1000)/COUNT(DATA!AP3:AP1000))*SQRT(ANALYSIS!B10)</f>
        <v>5.193280914993925E-3</v>
      </c>
      <c r="F13" s="9">
        <f ca="1">_xlfn.COVARIANCE.S(DATA!AK3:AK1000,DATA!AH3:AH1000)</f>
        <v>-1.7701936657102698E-9</v>
      </c>
      <c r="G13" s="9">
        <f ca="1">F13/C13</f>
        <v>-7.0529076619585095E-3</v>
      </c>
      <c r="H13" s="9">
        <f ca="1">CORREL(DATA!AH3:AH1000,DATA!AK3:AK1000)</f>
        <v>-9.7772967039297942E-3</v>
      </c>
      <c r="I13" s="9">
        <f ca="1">$B$8+G13*(B13-$B$8)</f>
        <v>0.25176320883861081</v>
      </c>
      <c r="J13" s="9">
        <f ca="1">(B13-$B$8)/D13</f>
        <v>-33.643248512695806</v>
      </c>
      <c r="K13" s="9">
        <f ca="1">(B13-$B$8)/G13</f>
        <v>35.446010205013835</v>
      </c>
      <c r="L13" s="8">
        <f t="shared" ref="L13:L15" ca="1" si="0">(B13-$B$8)/E13</f>
        <v>-48.138631638241357</v>
      </c>
      <c r="T13" s="35">
        <f ca="1">DATA!AM13*$B$7</f>
        <v>-54332.365243027656</v>
      </c>
    </row>
    <row r="14" spans="1:22" x14ac:dyDescent="0.25">
      <c r="A14" s="5" t="s">
        <v>17</v>
      </c>
      <c r="B14" s="9">
        <f ca="1">PRODUCT(1+DATA!AI3:AI1000)^(1/$B$10)-1</f>
        <v>-1.0573603004271348E-6</v>
      </c>
      <c r="C14" s="9">
        <f ca="1">_xlfn.VAR.S(DATA!AI3:AI1000)</f>
        <v>4.5558758426262563E-7</v>
      </c>
      <c r="D14" s="9">
        <f ca="1">_xlfn.STDEV.S(DATA!AI3:AI1000)*SQRT($B$10)</f>
        <v>1.0011456863902358E-2</v>
      </c>
      <c r="E14" s="9">
        <f ca="1">SQRT(SUMSQ(DATA!AQ3:AQ1000)/COUNT(DATA!AQ3:AQ1000))*SQRT(ANALYSIS!B10)</f>
        <v>6.9278136447562611E-3</v>
      </c>
      <c r="F14" s="9">
        <f ca="1">_xlfn.COVARIANCE.S(DATA!AK3:AK1000,DATA!AI3:AI1000)</f>
        <v>-1.0340402361555771E-8</v>
      </c>
      <c r="G14" s="9">
        <f ca="1">F14/C14</f>
        <v>-2.2696848462830359E-2</v>
      </c>
      <c r="H14" s="9">
        <f ca="1">CORREL(DATA!AI3:AI1000,DATA!AK3:AK1000)</f>
        <v>-4.2391208966008065E-2</v>
      </c>
      <c r="I14" s="9">
        <f ca="1">$B$8+G14*(B14-$B$8)</f>
        <v>0.25567423611445411</v>
      </c>
      <c r="J14" s="9">
        <f ca="1">(B14-$B$8)/D14</f>
        <v>-24.97149623265247</v>
      </c>
      <c r="K14" s="9">
        <f ca="1">(B14-$B$8)/G14</f>
        <v>11.014791668971853</v>
      </c>
      <c r="L14" s="8">
        <f t="shared" ca="1" si="0"/>
        <v>-36.086573655099542</v>
      </c>
      <c r="T14" s="35">
        <f ca="1">DATA!AM14*$B$7</f>
        <v>-58004.246938220196</v>
      </c>
    </row>
    <row r="15" spans="1:22" ht="15.75" thickBot="1" x14ac:dyDescent="0.3">
      <c r="A15" s="6" t="s">
        <v>18</v>
      </c>
      <c r="B15" s="12">
        <f ca="1">PRODUCT(1+DATA!AJ3:AJ1000)^(1/$B$10)-1</f>
        <v>-3.5020921884676426E-7</v>
      </c>
      <c r="C15" s="12">
        <f ca="1">_xlfn.VAR.S(DATA!AJ3:AJ1000)</f>
        <v>4.6185620847804262E-7</v>
      </c>
      <c r="D15" s="12">
        <f ca="1">_xlfn.STDEV.S(DATA!AJ3:AJ1000)*SQRT($B$10)</f>
        <v>1.0080097512681579E-2</v>
      </c>
      <c r="E15" s="12">
        <f ca="1">SQRT(SUMSQ(DATA!AR3:AR1000)/COUNT(DATA!AR3:AR1000))*SQRT(ANALYSIS!B10)</f>
        <v>7.2581478839483723E-3</v>
      </c>
      <c r="F15" s="12">
        <f ca="1">_xlfn.COVARIANCE.S(DATA!AK3:AK1000,DATA!AJ3:AJ1000)</f>
        <v>-1.3502659240100531E-8</v>
      </c>
      <c r="G15" s="12">
        <f ca="1">F15/C15</f>
        <v>-2.9235634364634656E-2</v>
      </c>
      <c r="H15" s="12">
        <f ca="1">SLOPE(DATA!AJ3:AJ1000,DATA!AG3:AG1000)</f>
        <v>-0.13490595357628332</v>
      </c>
      <c r="I15" s="12">
        <f ca="1">$B$8+G15*(B15-$B$8)</f>
        <v>0.25730891882974732</v>
      </c>
      <c r="J15" s="12">
        <f ca="1">(B15-$B$8)/D15</f>
        <v>-24.801382119041822</v>
      </c>
      <c r="K15" s="12">
        <f ca="1">(B15-$B$8)/G15</f>
        <v>8.5512203050273374</v>
      </c>
      <c r="L15" s="7">
        <f t="shared" ca="1" si="0"/>
        <v>-34.444097062571934</v>
      </c>
      <c r="T15" s="35">
        <f ca="1">DATA!AM15*$B$7</f>
        <v>-111305.42986779814</v>
      </c>
    </row>
    <row r="16" spans="1:22" ht="15.75" x14ac:dyDescent="0.25">
      <c r="A16" s="3" t="s">
        <v>46</v>
      </c>
      <c r="B16" s="61">
        <v>1</v>
      </c>
      <c r="C16" s="61">
        <v>2</v>
      </c>
      <c r="D16" s="61">
        <v>3</v>
      </c>
      <c r="E16" s="62">
        <v>4</v>
      </c>
      <c r="F16" s="63">
        <v>5</v>
      </c>
      <c r="G16" s="9"/>
      <c r="T16" s="35">
        <f ca="1">DATA!AM16*$B$7</f>
        <v>34763.884744917435</v>
      </c>
    </row>
    <row r="17" spans="1:20" x14ac:dyDescent="0.25">
      <c r="A17" s="5">
        <v>1</v>
      </c>
      <c r="B17" s="9">
        <f ca="1">CORREL(INDEX(DATA!$AG$3:$AK$3,$A$17):INDEX(DATA!$AG$1000:$AK$1000,$A$17),INDEX(DATA!$AG$3:$AK$3,B16):INDEX(DATA!$AG$1000:$AK$1000,B16))</f>
        <v>1</v>
      </c>
      <c r="C17" s="9">
        <f ca="1">CORREL(INDEX(DATA!$AG$3:$AK$3,$A$17):INDEX(DATA!$AG$1000:$AK$1000,$A$17),INDEX(DATA!$AG$3:$AK$3,C16):INDEX(DATA!$AG$1000:$AK$1000,C16))</f>
        <v>-3.7573046326349724E-2</v>
      </c>
      <c r="D17" s="9">
        <f ca="1">CORREL(INDEX(DATA!$AG$3:$AK$3,$A$17):INDEX(DATA!$AG$1000:$AK$1000,$A$17),INDEX(DATA!$AG$3:$AK$3,D16):INDEX(DATA!$AG$1000:$AK$1000,D16))</f>
        <v>-2.1560812447973778E-2</v>
      </c>
      <c r="E17" s="9">
        <f ca="1">CORREL(INDEX(DATA!$AG$3:$AK$3,$A$17):INDEX(DATA!$AG$1000:$AK$1000,$A$17),INDEX(DATA!$AG$3:$AK$3,E16):INDEX(DATA!$AG$1000:$AK$1000,E16))</f>
        <v>-4.5940074993180244E-2</v>
      </c>
      <c r="F17" s="8">
        <f ca="1">CORREL(INDEX(DATA!$AG$3:$AK$3,$A$17):INDEX(DATA!$AG$1000:$AK$1000,$A$17),INDEX(DATA!$AG$3:$AK$3,F16):INDEX(DATA!$AG$1000:$AK$1000,F16))</f>
        <v>6.4760654130442408E-2</v>
      </c>
      <c r="G17" s="9"/>
      <c r="H17" s="9"/>
      <c r="T17" s="35">
        <f ca="1">DATA!AM17*$B$7</f>
        <v>-48775.774767634975</v>
      </c>
    </row>
    <row r="18" spans="1:20" x14ac:dyDescent="0.25">
      <c r="A18" s="5">
        <v>2</v>
      </c>
      <c r="B18" s="9">
        <f ca="1">CORREL(INDEX(DATA!$AG$3:$AK$3,$A$18):INDEX(DATA!$AG$1000:$AK$1000,$A$18),INDEX(DATA!$AG$3:$AK$3,B16):INDEX(DATA!$AG$1000:$AK$1000,B16))</f>
        <v>-3.7573046326349724E-2</v>
      </c>
      <c r="C18" s="9">
        <f ca="1">CORREL(INDEX(DATA!$AG$3:$AK$3,$A$18):INDEX(DATA!$AG$1000:$AK$1000,$A$18),INDEX(DATA!$AG$3:$AK$3,C16):INDEX(DATA!$AG$1000:$AK$1000,C16))</f>
        <v>0.99999999999999978</v>
      </c>
      <c r="D18" s="9">
        <f ca="1">CORREL(INDEX(DATA!$AG$3:$AK$3,$A$18):INDEX(DATA!$AG$1000:$AK$1000,$A$18),INDEX(DATA!$AG$3:$AK$3,D16):INDEX(DATA!$AG$1000:$AK$1000,D16))</f>
        <v>4.044946698473479E-2</v>
      </c>
      <c r="E18" s="9">
        <f ca="1">CORREL(INDEX(DATA!$AG$3:$AK$3,$A$18):INDEX(DATA!$AG$1000:$AK$1000,$A$18),INDEX(DATA!$AG$3:$AK$3,E16):INDEX(DATA!$AG$1000:$AK$1000,E16))</f>
        <v>-2.0701266916672494E-2</v>
      </c>
      <c r="F18" s="8">
        <f ca="1">CORREL(INDEX(DATA!$AG$3:$AK$3,$A$18):INDEX(DATA!$AG$1000:$AK$1000,$A$18),INDEX(DATA!$AG$3:$AK$3,F16):INDEX(DATA!$AG$1000:$AK$1000,F16))</f>
        <v>-9.7772967039297942E-3</v>
      </c>
      <c r="G18" s="9"/>
      <c r="T18" s="35">
        <f ca="1">DATA!AM18*$B$7</f>
        <v>385423.39614831941</v>
      </c>
    </row>
    <row r="19" spans="1:20" x14ac:dyDescent="0.25">
      <c r="A19" s="5">
        <v>3</v>
      </c>
      <c r="B19" s="9">
        <f ca="1">CORREL(INDEX(DATA!$AG$3:$AK$3,$A$19):INDEX(DATA!$AG$1000:$AK$1000,$A$19),INDEX(DATA!$AG$3:$AK$3,B16):INDEX(DATA!$AG$1000:$AK$1000,B16))</f>
        <v>-2.1560812447973778E-2</v>
      </c>
      <c r="C19" s="9">
        <f ca="1">CORREL(INDEX(DATA!$AG$3:$AK$3,$A$19):INDEX(DATA!$AG$1000:$AK$1000,$A$19),INDEX(DATA!$AG$3:$AK$3,C16):INDEX(DATA!$AG$1000:$AK$1000,C16))</f>
        <v>4.044946698473479E-2</v>
      </c>
      <c r="D19" s="9">
        <f ca="1">CORREL(INDEX(DATA!$AG$3:$AK$3,$A$19):INDEX(DATA!$AG$1000:$AK$1000,$A$19),INDEX(DATA!$AG$3:$AK$3,D16):INDEX(DATA!$AG$1000:$AK$1000,D16))</f>
        <v>1.0000000000000002</v>
      </c>
      <c r="E19" s="9">
        <f ca="1">CORREL(INDEX(DATA!$AG$3:$AK$3,$A$19):INDEX(DATA!$AG$1000:$AK$1000,$A$19),INDEX(DATA!$AG$3:$AK$3,E16):INDEX(DATA!$AG$1000:$AK$1000,E16))</f>
        <v>1.8179643464479249E-2</v>
      </c>
      <c r="F19" s="8">
        <f ca="1">CORREL(INDEX(DATA!$AG$3:$AK$3,$A$19):INDEX(DATA!$AG$1000:$AK$1000,$A$19),INDEX(DATA!$AG$3:$AK$3,F16):INDEX(DATA!$AG$1000:$AK$1000,F16))</f>
        <v>-4.2391208966008065E-2</v>
      </c>
      <c r="G19" s="9"/>
      <c r="T19" s="35">
        <f ca="1">DATA!AM19*$B$7</f>
        <v>-64100.320721787131</v>
      </c>
    </row>
    <row r="20" spans="1:20" x14ac:dyDescent="0.25">
      <c r="A20" s="5">
        <v>4</v>
      </c>
      <c r="B20" s="9">
        <f ca="1">CORREL(INDEX(DATA!$AG$3:$AK$3,$A$20):INDEX(DATA!$AG$1000:$AK$1000,$A$20),INDEX(DATA!$AG$3:$AK$3,B16):INDEX(DATA!$AG$1000:$AK$1000,B16))</f>
        <v>-4.5940074993180244E-2</v>
      </c>
      <c r="C20" s="9">
        <f ca="1">CORREL(INDEX(DATA!$AG$3:$AK$3,$A$20):INDEX(DATA!$AG$1000:$AK$1000,$A$20),INDEX(DATA!$AG$3:$AK$3,C16):INDEX(DATA!$AG$1000:$AK$1000,C16))</f>
        <v>-2.0701266916672494E-2</v>
      </c>
      <c r="D20" s="9">
        <f ca="1">CORREL(INDEX(DATA!$AG$3:$AK$3,$A$20):INDEX(DATA!$AG$1000:$AK$1000,$A$20),INDEX(DATA!$AG$3:$AK$3,D16):INDEX(DATA!$AG$1000:$AK$1000,D16))</f>
        <v>1.8179643464479249E-2</v>
      </c>
      <c r="E20" s="9">
        <f ca="1">CORREL(INDEX(DATA!$AG$3:$AK$3,$A$20):INDEX(DATA!$AG$1000:$AK$1000,$A$20),INDEX(DATA!$AG$3:$AK$3,E16):INDEX(DATA!$AG$1000:$AK$1000,E16))</f>
        <v>1.0000000000000002</v>
      </c>
      <c r="F20" s="8">
        <f ca="1">CORREL(INDEX(DATA!$AG$3:$AK$3,$A$20):INDEX(DATA!$AG$1000:$AK$1000,$A$20),INDEX(DATA!$AG$3:$AK$3,F16):INDEX(DATA!$AG$1000:$AK$1000,F16))</f>
        <v>-5.4978162311606842E-2</v>
      </c>
      <c r="G20" s="9"/>
      <c r="T20" s="35">
        <f ca="1">DATA!AM20*$B$7</f>
        <v>-161692.5227527454</v>
      </c>
    </row>
    <row r="21" spans="1:20" ht="15.75" thickBot="1" x14ac:dyDescent="0.3">
      <c r="A21" s="6">
        <v>5</v>
      </c>
      <c r="B21" s="12">
        <f ca="1">CORREL(INDEX(DATA!$AG$3:$AK$3,$A$21):INDEX(DATA!$AG$1000:$AK$1000,$A$21),INDEX(DATA!$AG$3:$AK$3,B16):INDEX(DATA!$AG$1000:$AK$1000,B16))</f>
        <v>6.4760654130442408E-2</v>
      </c>
      <c r="C21" s="12">
        <f ca="1">CORREL(INDEX(DATA!$AG$3:$AK$3,$A$21):INDEX(DATA!$AG$1000:$AK$1000,$A$21),INDEX(DATA!$AG$3:$AK$3,C16):INDEX(DATA!$AG$1000:$AK$1000,C16))</f>
        <v>-9.7772967039297942E-3</v>
      </c>
      <c r="D21" s="12">
        <f ca="1">CORREL(INDEX(DATA!$AG$3:$AK$3,$A$21):INDEX(DATA!$AG$1000:$AK$1000,$A$21),INDEX(DATA!$AG$3:$AK$3,D16):INDEX(DATA!$AG$1000:$AK$1000,D16))</f>
        <v>-4.2391208966008065E-2</v>
      </c>
      <c r="E21" s="12">
        <f ca="1">CORREL(INDEX(DATA!$AG$3:$AK$3,$A$21):INDEX(DATA!$AG$1000:$AK$1000,$A$21),INDEX(DATA!$AG$3:$AK$3,E16):INDEX(DATA!$AG$1000:$AK$1000,E16))</f>
        <v>-5.4978162311606842E-2</v>
      </c>
      <c r="F21" s="7">
        <f ca="1">CORREL(INDEX(DATA!$AG$3:$AK$3,$A$21):INDEX(DATA!$AG$1000:$AK$1000,$A$21),INDEX(DATA!$AG$3:$AK$3,F16):INDEX(DATA!$AG$1000:$AK$1000,F16))</f>
        <v>0.99999999999999978</v>
      </c>
      <c r="G21" s="9"/>
      <c r="T21" s="35">
        <f ca="1">DATA!AM21*$B$7</f>
        <v>91683.72972140483</v>
      </c>
    </row>
    <row r="22" spans="1:20" ht="15.75" x14ac:dyDescent="0.25">
      <c r="A22" s="3" t="s">
        <v>10</v>
      </c>
      <c r="B22" s="59">
        <v>1</v>
      </c>
      <c r="C22" s="41">
        <v>2</v>
      </c>
      <c r="D22" s="41">
        <v>3</v>
      </c>
      <c r="E22" s="60">
        <v>4</v>
      </c>
      <c r="T22" s="35">
        <f ca="1">DATA!AM22*$B$7</f>
        <v>313065.72738308471</v>
      </c>
    </row>
    <row r="23" spans="1:20" x14ac:dyDescent="0.25">
      <c r="A23" s="5">
        <v>1</v>
      </c>
      <c r="B23" s="9">
        <f ca="1">_xlfn.COVARIANCE.S(INDEX(DATA!$AG$3:$AJ$3,$A$23):INDEX(DATA!$AG$1000:$AJ$1000,$A$23),INDEX(DATA!$AG$3:$AJ$3,B22):INDEX(DATA!$AG$1000:$AJ$1000,B22))</f>
        <v>5.3558444271287241E-8</v>
      </c>
      <c r="C23" s="9">
        <f ca="1">_xlfn.COVARIANCE.S(INDEX(DATA!$AG$3:$AJ$3,$A$23):INDEX(DATA!$AG$1000:$AJ$1000,$A$23),INDEX(DATA!$AG$3:$AJ$3,C22):INDEX(DATA!$AG$1000:$AJ$1000,C22))</f>
        <v>-4.3562889334202347E-9</v>
      </c>
      <c r="D23" s="9">
        <f ca="1">_xlfn.COVARIANCE.S(INDEX(DATA!$AG$3:$AJ$3,$A$23):INDEX(DATA!$AG$1000:$AJ$1000,$A$23),INDEX(DATA!$AG$3:$AJ$3,D22):INDEX(DATA!$AG$1000:$AJ$1000,D22))</f>
        <v>-3.3679453713255263E-9</v>
      </c>
      <c r="E23" s="8">
        <f ca="1">_xlfn.COVARIANCE.S(INDEX(DATA!$AG$3:$AJ$3,$A$23):INDEX(DATA!$AG$1000:$AJ$1000,$A$23),INDEX(DATA!$AG$3:$AJ$3,E22):INDEX(DATA!$AG$1000:$AJ$1000,E22))</f>
        <v>-7.2253529964802334E-9</v>
      </c>
      <c r="T23" s="35">
        <f ca="1">DATA!AM23*$B$7</f>
        <v>-60823.541325056671</v>
      </c>
    </row>
    <row r="24" spans="1:20" x14ac:dyDescent="0.25">
      <c r="A24" s="5">
        <v>2</v>
      </c>
      <c r="B24" s="9">
        <f ca="1">_xlfn.COVARIANCE.S(INDEX(DATA!$AG$3:$AJ$3,$A$24):INDEX(DATA!$AG$1000:$AJ$1000,$A$24),INDEX(DATA!$AG$3:$AJ$3,B22):INDEX(DATA!$AG$1000:$AJ$1000,B22))</f>
        <v>-4.3562889334202347E-9</v>
      </c>
      <c r="C24" s="9">
        <f ca="1">_xlfn.COVARIANCE.S(INDEX(DATA!$AG$3:$AJ$3,$A$24):INDEX(DATA!$AG$1000:$AJ$1000,$A$24),INDEX(DATA!$AG$3:$AJ$3,C22):INDEX(DATA!$AG$1000:$AJ$1000,C22))</f>
        <v>2.50987784124584E-7</v>
      </c>
      <c r="D24" s="9">
        <f ca="1">_xlfn.COVARIANCE.S(INDEX(DATA!$AG$3:$AJ$3,$A$24):INDEX(DATA!$AG$1000:$AJ$1000,$A$24),INDEX(DATA!$AG$3:$AJ$3,D22):INDEX(DATA!$AG$1000:$AJ$1000,D22))</f>
        <v>1.3678076721248511E-8</v>
      </c>
      <c r="E24" s="8">
        <f ca="1">_xlfn.COVARIANCE.S(INDEX(DATA!$AG$3:$AJ$3,$A$24):INDEX(DATA!$AG$1000:$AJ$1000,$A$24),INDEX(DATA!$AG$3:$AJ$3,E22):INDEX(DATA!$AG$1000:$AJ$1000,E22))</f>
        <v>-7.0481738892410624E-9</v>
      </c>
      <c r="T24" s="35">
        <f ca="1">DATA!AM24*$B$7</f>
        <v>-259873.72016252013</v>
      </c>
    </row>
    <row r="25" spans="1:20" x14ac:dyDescent="0.25">
      <c r="A25" s="5">
        <v>3</v>
      </c>
      <c r="B25" s="9">
        <f ca="1">_xlfn.COVARIANCE.S(INDEX(DATA!$AG$3:$AJ$3,$A$25):INDEX(DATA!$AG$1000:$AJ$1000,$A$25),INDEX(DATA!$AG$3:$AJ$3,B22):INDEX(DATA!$AG$1000:$AJ$1000,B22))</f>
        <v>-3.3679453713255263E-9</v>
      </c>
      <c r="C25" s="9">
        <f ca="1">_xlfn.COVARIANCE.S(INDEX(DATA!$AG$3:$AJ$3,$A$25):INDEX(DATA!$AG$1000:$AJ$1000,$A$25),INDEX(DATA!$AG$3:$AJ$3,C22):INDEX(DATA!$AG$1000:$AJ$1000,C22))</f>
        <v>1.3678076721248511E-8</v>
      </c>
      <c r="D25" s="9">
        <f ca="1">_xlfn.COVARIANCE.S(INDEX(DATA!$AG$3:$AJ$3,$A$25):INDEX(DATA!$AG$1000:$AJ$1000,$A$25),INDEX(DATA!$AG$3:$AJ$3,D22):INDEX(DATA!$AG$1000:$AJ$1000,D22))</f>
        <v>4.5558758426262552E-7</v>
      </c>
      <c r="E25" s="8">
        <f ca="1">_xlfn.COVARIANCE.S(INDEX(DATA!$AG$3:$AJ$3,$A$25):INDEX(DATA!$AG$1000:$AJ$1000,$A$25),INDEX(DATA!$AG$3:$AJ$3,E22):INDEX(DATA!$AG$1000:$AJ$1000,E22))</f>
        <v>8.3392058569690741E-9</v>
      </c>
      <c r="T25" s="35">
        <f ca="1">DATA!AM25*$B$7</f>
        <v>1490.2300632231254</v>
      </c>
    </row>
    <row r="26" spans="1:20" ht="15.75" thickBot="1" x14ac:dyDescent="0.3">
      <c r="A26" s="6">
        <v>4</v>
      </c>
      <c r="B26" s="12">
        <f ca="1">_xlfn.COVARIANCE.S(INDEX(DATA!$AG$3:$AJ$3,$A$26):INDEX(DATA!$AG$1000:$AJ$1000,$A$26),INDEX(DATA!$AG$3:$AJ$3,B22):INDEX(DATA!$AG$1000:$AJ$1000,B22))</f>
        <v>-7.2253529964802334E-9</v>
      </c>
      <c r="C26" s="12">
        <f ca="1">_xlfn.COVARIANCE.S(INDEX(DATA!$AG$3:$AJ$3,$A$26):INDEX(DATA!$AG$1000:$AJ$1000,$A$26),INDEX(DATA!$AG$3:$AJ$3,C22):INDEX(DATA!$AG$1000:$AJ$1000,C22))</f>
        <v>-7.0481738892410624E-9</v>
      </c>
      <c r="D26" s="12">
        <f ca="1">_xlfn.COVARIANCE.S(INDEX(DATA!$AG$3:$AJ$3,$A$26):INDEX(DATA!$AG$1000:$AJ$1000,$A$26),INDEX(DATA!$AG$3:$AJ$3,D22):INDEX(DATA!$AG$1000:$AJ$1000,D22))</f>
        <v>8.3392058569690741E-9</v>
      </c>
      <c r="E26" s="7">
        <f ca="1">_xlfn.COVARIANCE.S(INDEX(DATA!$AG$3:$AJ$3,$A$26):INDEX(DATA!$AG$1000:$AJ$1000,$A$26),INDEX(DATA!$AG$3:$AJ$3,E22):INDEX(DATA!$AG$1000:$AJ$1000,E22))</f>
        <v>4.6185620847804294E-7</v>
      </c>
      <c r="T26" s="35">
        <f ca="1">DATA!AM26*$B$7</f>
        <v>-115072.37783464788</v>
      </c>
    </row>
    <row r="27" spans="1:20" ht="15.75" x14ac:dyDescent="0.25">
      <c r="A27" s="3" t="s">
        <v>55</v>
      </c>
      <c r="B27" s="28"/>
      <c r="C27" s="28"/>
      <c r="D27" s="28"/>
      <c r="E27" s="29"/>
      <c r="T27" s="35">
        <f ca="1">DATA!AM27*$B$7</f>
        <v>-91741.856415534174</v>
      </c>
    </row>
    <row r="28" spans="1:20" x14ac:dyDescent="0.25">
      <c r="A28" s="5"/>
      <c r="B28" s="9">
        <f t="array" aca="1" ref="B28:E31" ca="1">MINVERSE(B23:E26)</f>
        <v>18745476.098149337</v>
      </c>
      <c r="C28" s="9">
        <f ca="1"/>
        <v>326948.28079018526</v>
      </c>
      <c r="D28" s="9">
        <f ca="1"/>
        <v>123342.13939220106</v>
      </c>
      <c r="E28" s="8">
        <f ca="1"/>
        <v>296019.61006718554</v>
      </c>
      <c r="O28" s="68" t="s">
        <v>93</v>
      </c>
      <c r="P28" s="68"/>
      <c r="Q28" s="68" t="s">
        <v>90</v>
      </c>
      <c r="R28" s="68"/>
      <c r="T28" s="35">
        <f ca="1">DATA!AM28*$B$7</f>
        <v>192678.8110421866</v>
      </c>
    </row>
    <row r="29" spans="1:20" x14ac:dyDescent="0.25">
      <c r="A29" s="5"/>
      <c r="B29" s="9">
        <f ca="1"/>
        <v>326948.28079018515</v>
      </c>
      <c r="C29" s="9">
        <f ca="1"/>
        <v>3998328.0111238817</v>
      </c>
      <c r="D29" s="9">
        <f ca="1"/>
        <v>-118874.34644629571</v>
      </c>
      <c r="E29" s="8">
        <f ca="1"/>
        <v>68277.842532354785</v>
      </c>
      <c r="N29" s="37"/>
      <c r="O29" s="37" t="s">
        <v>67</v>
      </c>
      <c r="P29" s="37" t="s">
        <v>68</v>
      </c>
      <c r="Q29" s="37" t="s">
        <v>91</v>
      </c>
      <c r="R29" s="37" t="s">
        <v>92</v>
      </c>
      <c r="T29" s="35">
        <f ca="1">DATA!AM29*$B$7</f>
        <v>117077.8560367168</v>
      </c>
    </row>
    <row r="30" spans="1:20" x14ac:dyDescent="0.25">
      <c r="A30" s="5"/>
      <c r="B30" s="9">
        <f ca="1"/>
        <v>123342.13939220108</v>
      </c>
      <c r="C30" s="9">
        <f ca="1"/>
        <v>-118874.34644629572</v>
      </c>
      <c r="D30" s="9">
        <f ca="1"/>
        <v>2200173.439235548</v>
      </c>
      <c r="E30" s="8">
        <f ca="1"/>
        <v>-39610.500981203681</v>
      </c>
      <c r="O30" s="38">
        <f t="array" aca="1" ref="O30" ca="1">SQRT(($B$36*P30^2 - 2*$B$37*P30 +$B$38)/$B$39)</f>
        <v>3.407814701685058E-3</v>
      </c>
      <c r="P30" s="38">
        <v>0</v>
      </c>
      <c r="Q30" s="67">
        <v>0</v>
      </c>
      <c r="R30" s="64">
        <f ca="1">$B$8+$B$42*Q30</f>
        <v>0.25</v>
      </c>
      <c r="T30" s="35">
        <f ca="1">DATA!AM30*$B$7</f>
        <v>316183.26423817553</v>
      </c>
    </row>
    <row r="31" spans="1:20" ht="15.75" thickBot="1" x14ac:dyDescent="0.3">
      <c r="A31" s="5"/>
      <c r="B31" s="9">
        <f ca="1"/>
        <v>296019.61006718554</v>
      </c>
      <c r="C31" s="9">
        <f ca="1"/>
        <v>68277.842532354771</v>
      </c>
      <c r="D31" s="9">
        <f ca="1"/>
        <v>-39610.500981203673</v>
      </c>
      <c r="E31" s="8">
        <f ca="1"/>
        <v>2171564.1838189717</v>
      </c>
      <c r="O31" s="38">
        <f t="shared" ref="O31:O99" ca="1" si="1">SQRT(($B$36*P31^2 - 2*$B$37*P31 +$B$38)/$B$39)</f>
        <v>3.3932958600341799E-3</v>
      </c>
      <c r="P31" s="39">
        <f>P30+0.1%</f>
        <v>1E-3</v>
      </c>
      <c r="Q31" s="64">
        <f>Q30+0.03</f>
        <v>0.03</v>
      </c>
      <c r="R31" s="64">
        <f t="shared" ref="R31:R94" ca="1" si="2">$B$8+$B$42*Q31</f>
        <v>0.10458247919916183</v>
      </c>
      <c r="T31" s="35">
        <f ca="1">DATA!AM31*$B$7</f>
        <v>-333691.20824670984</v>
      </c>
    </row>
    <row r="32" spans="1:20" x14ac:dyDescent="0.25">
      <c r="A32" s="40" t="s">
        <v>56</v>
      </c>
      <c r="B32" s="41">
        <v>1</v>
      </c>
      <c r="C32" s="41">
        <v>1</v>
      </c>
      <c r="D32" s="41">
        <v>1</v>
      </c>
      <c r="E32" s="41">
        <v>1</v>
      </c>
      <c r="F32" s="29"/>
      <c r="O32" s="38">
        <f t="shared" ca="1" si="1"/>
        <v>3.3787772087484256E-3</v>
      </c>
      <c r="P32" s="39">
        <f t="shared" ref="P32:P95" si="3">P31+0.1%</f>
        <v>2E-3</v>
      </c>
      <c r="Q32" s="64">
        <f t="shared" ref="Q32:Q95" si="4">Q31+0.03</f>
        <v>0.06</v>
      </c>
      <c r="R32" s="64">
        <f t="shared" ca="1" si="2"/>
        <v>-4.0835041601676336E-2</v>
      </c>
      <c r="T32" s="35">
        <f ca="1">DATA!AM32*$B$7</f>
        <v>-66105.608148361745</v>
      </c>
    </row>
    <row r="33" spans="1:20" x14ac:dyDescent="0.25">
      <c r="A33" s="42" t="s">
        <v>57</v>
      </c>
      <c r="B33" s="43">
        <f ca="1">I12</f>
        <v>0.22471801822997359</v>
      </c>
      <c r="C33" s="43">
        <f ca="1">I13</f>
        <v>0.25176320883861081</v>
      </c>
      <c r="D33" s="43">
        <f ca="1">I14</f>
        <v>0.25567423611445411</v>
      </c>
      <c r="E33" s="43">
        <f ca="1">I15</f>
        <v>0.25730891882974732</v>
      </c>
      <c r="F33" s="11"/>
      <c r="O33" s="38">
        <f t="shared" ca="1" si="1"/>
        <v>3.3642587502923905E-3</v>
      </c>
      <c r="P33" s="39">
        <f t="shared" si="3"/>
        <v>3.0000000000000001E-3</v>
      </c>
      <c r="Q33" s="64">
        <f t="shared" si="4"/>
        <v>0.09</v>
      </c>
      <c r="R33" s="64">
        <f t="shared" ca="1" si="2"/>
        <v>-0.18625256240251448</v>
      </c>
      <c r="T33" s="35">
        <f ca="1">DATA!AM33*$B$7</f>
        <v>314094.5454356033</v>
      </c>
    </row>
    <row r="34" spans="1:20" x14ac:dyDescent="0.25">
      <c r="A34" s="42" t="s">
        <v>58</v>
      </c>
      <c r="B34" s="9">
        <f t="array" aca="1" ref="B34:E34" ca="1">MMULT(B32:E32,B28:E31)</f>
        <v>19491786.128398906</v>
      </c>
      <c r="C34" s="15">
        <f ca="1"/>
        <v>4274679.7880001264</v>
      </c>
      <c r="D34" s="15">
        <f ca="1"/>
        <v>2165030.7312002494</v>
      </c>
      <c r="E34" s="15">
        <f ca="1"/>
        <v>2496251.1354373083</v>
      </c>
      <c r="F34" s="11"/>
      <c r="O34" s="38">
        <f t="shared" ca="1" si="1"/>
        <v>3.3497404871733636E-3</v>
      </c>
      <c r="P34" s="39">
        <f t="shared" si="3"/>
        <v>4.0000000000000001E-3</v>
      </c>
      <c r="Q34" s="64">
        <f t="shared" si="4"/>
        <v>0.12</v>
      </c>
      <c r="R34" s="64">
        <f t="shared" ca="1" si="2"/>
        <v>-0.33167008320335267</v>
      </c>
      <c r="T34" s="35">
        <f ca="1">DATA!AM34*$B$7</f>
        <v>-173640.11308482784</v>
      </c>
    </row>
    <row r="35" spans="1:20" x14ac:dyDescent="0.25">
      <c r="A35" s="42" t="s">
        <v>59</v>
      </c>
      <c r="B35" s="9">
        <f t="array" aca="1" ref="B35:E35" ca="1">MMULT(B33:E33,B28:E31)</f>
        <v>4402463.6809380762</v>
      </c>
      <c r="C35" s="15">
        <f ca="1"/>
        <v>1067278.4499134829</v>
      </c>
      <c r="D35" s="15">
        <f ca="1"/>
        <v>550124.54243263043</v>
      </c>
      <c r="E35" s="15">
        <f ca="1"/>
        <v>632346.23658741277</v>
      </c>
      <c r="F35" s="11"/>
      <c r="O35" s="38">
        <f t="shared" ca="1" si="1"/>
        <v>3.3352224219422586E-3</v>
      </c>
      <c r="P35" s="39">
        <f t="shared" si="3"/>
        <v>5.0000000000000001E-3</v>
      </c>
      <c r="Q35" s="64">
        <f t="shared" si="4"/>
        <v>0.15</v>
      </c>
      <c r="R35" s="64">
        <f t="shared" ca="1" si="2"/>
        <v>-0.47708760400419081</v>
      </c>
      <c r="T35" s="35">
        <f ca="1">DATA!AM35*$B$7</f>
        <v>-210151.28082832153</v>
      </c>
    </row>
    <row r="36" spans="1:20" x14ac:dyDescent="0.25">
      <c r="A36" s="42" t="s">
        <v>60</v>
      </c>
      <c r="B36" s="15">
        <f t="array" aca="1" ref="B36" ca="1">MMULT(B32:E32,TRANSPOSE(B34:E34))</f>
        <v>28427747.78303659</v>
      </c>
      <c r="C36" s="10"/>
      <c r="D36" s="10"/>
      <c r="E36" s="10"/>
      <c r="F36" s="11"/>
      <c r="O36" s="38">
        <f t="shared" ca="1" si="1"/>
        <v>3.3207045571945629E-3</v>
      </c>
      <c r="P36" s="39">
        <f t="shared" si="3"/>
        <v>6.0000000000000001E-3</v>
      </c>
      <c r="Q36" s="64">
        <f t="shared" si="4"/>
        <v>0.18</v>
      </c>
      <c r="R36" s="64">
        <f t="shared" ca="1" si="2"/>
        <v>-0.62250512480502895</v>
      </c>
      <c r="T36" s="35">
        <f ca="1">DATA!AM36*$B$7</f>
        <v>5857.0122568458401</v>
      </c>
    </row>
    <row r="37" spans="1:20" x14ac:dyDescent="0.25">
      <c r="A37" s="42" t="s">
        <v>61</v>
      </c>
      <c r="B37" s="15">
        <f t="array" aca="1" ref="B37" ca="1">MMULT(B32:E32,TRANSPOSE(B35:E35))</f>
        <v>6652212.9098716024</v>
      </c>
      <c r="C37" s="10"/>
      <c r="D37" s="10"/>
      <c r="E37" s="10"/>
      <c r="F37" s="11"/>
      <c r="O37" s="38">
        <f t="shared" ca="1" si="1"/>
        <v>3.3061868955713176E-3</v>
      </c>
      <c r="P37" s="39">
        <f t="shared" si="3"/>
        <v>7.0000000000000001E-3</v>
      </c>
      <c r="Q37" s="64">
        <f t="shared" si="4"/>
        <v>0.21</v>
      </c>
      <c r="R37" s="64">
        <f t="shared" ca="1" si="2"/>
        <v>-0.7679226456058672</v>
      </c>
      <c r="T37" s="35">
        <f ca="1">DATA!AM37*$B$7</f>
        <v>139061.30488941836</v>
      </c>
    </row>
    <row r="38" spans="1:20" x14ac:dyDescent="0.25">
      <c r="A38" s="42" t="s">
        <v>62</v>
      </c>
      <c r="B38" s="15">
        <f t="array" aca="1" ref="B38" ca="1">MMULT(B33:E33,TRANSPOSE(B35:E35))</f>
        <v>1561375.3596009994</v>
      </c>
      <c r="C38" s="10"/>
      <c r="D38" s="10"/>
      <c r="E38" s="10"/>
      <c r="F38" s="11"/>
      <c r="O38" s="38">
        <f t="shared" ca="1" si="1"/>
        <v>3.2916694397601186E-3</v>
      </c>
      <c r="P38" s="39">
        <f t="shared" si="3"/>
        <v>8.0000000000000002E-3</v>
      </c>
      <c r="Q38" s="64">
        <f t="shared" si="4"/>
        <v>0.24</v>
      </c>
      <c r="R38" s="64">
        <f t="shared" ca="1" si="2"/>
        <v>-0.91334016640670534</v>
      </c>
      <c r="T38" s="35">
        <f ca="1">DATA!AM38*$B$7</f>
        <v>243738.54870120581</v>
      </c>
    </row>
    <row r="39" spans="1:20" x14ac:dyDescent="0.25">
      <c r="A39" s="42" t="s">
        <v>63</v>
      </c>
      <c r="B39" s="15">
        <f ca="1">B36*B38-B37^2</f>
        <v>134448319122.85156</v>
      </c>
      <c r="C39" s="10"/>
      <c r="D39" s="10"/>
      <c r="E39" s="10"/>
      <c r="F39" s="11"/>
      <c r="O39" s="38">
        <f t="shared" ca="1" si="1"/>
        <v>3.2771521924961446E-3</v>
      </c>
      <c r="P39" s="39">
        <f t="shared" si="3"/>
        <v>9.0000000000000011E-3</v>
      </c>
      <c r="Q39" s="64">
        <f t="shared" si="4"/>
        <v>0.27</v>
      </c>
      <c r="R39" s="64">
        <f t="shared" ca="1" si="2"/>
        <v>-1.0587576872075435</v>
      </c>
      <c r="T39" s="35">
        <f ca="1">DATA!AM39*$B$7</f>
        <v>-8423.9278118181974</v>
      </c>
    </row>
    <row r="40" spans="1:20" x14ac:dyDescent="0.25">
      <c r="A40" s="42" t="s">
        <v>94</v>
      </c>
      <c r="B40" s="65">
        <f ca="1">(B38 - B37*B2)/(B37-B36*B2)</f>
        <v>0.24862573491670584</v>
      </c>
      <c r="F40" s="11"/>
      <c r="O40" s="38">
        <f t="shared" ca="1" si="1"/>
        <v>3.2626351565632188E-3</v>
      </c>
      <c r="P40" s="39">
        <f t="shared" si="3"/>
        <v>1.0000000000000002E-2</v>
      </c>
      <c r="Q40" s="64">
        <f t="shared" si="4"/>
        <v>0.30000000000000004</v>
      </c>
      <c r="R40" s="64">
        <f t="shared" ca="1" si="2"/>
        <v>-1.2041752080083818</v>
      </c>
      <c r="T40" s="35"/>
    </row>
    <row r="41" spans="1:20" x14ac:dyDescent="0.25">
      <c r="A41" s="42" t="s">
        <v>95</v>
      </c>
      <c r="B41" s="65">
        <f ca="1">SQRT((B36*B40^2 - 2*B37*B40 + B38)/B39)</f>
        <v>2.8351434044381844E-4</v>
      </c>
      <c r="F41" s="11"/>
      <c r="O41" s="38">
        <f t="shared" ca="1" si="1"/>
        <v>3.2481183347948892E-3</v>
      </c>
      <c r="P41" s="39">
        <f t="shared" si="3"/>
        <v>1.1000000000000003E-2</v>
      </c>
      <c r="Q41" s="64">
        <f t="shared" si="4"/>
        <v>0.33000000000000007</v>
      </c>
      <c r="R41" s="64">
        <f t="shared" ca="1" si="2"/>
        <v>-1.3495927288092202</v>
      </c>
      <c r="T41" s="35"/>
    </row>
    <row r="42" spans="1:20" x14ac:dyDescent="0.25">
      <c r="A42" s="42" t="s">
        <v>96</v>
      </c>
      <c r="B42" s="66">
        <f ca="1">(B40-B8)/B41</f>
        <v>-4.8472506933612722</v>
      </c>
      <c r="F42" s="11"/>
      <c r="O42" s="38">
        <f t="shared" ca="1" si="1"/>
        <v>3.233601730075546E-3</v>
      </c>
      <c r="P42" s="39">
        <f t="shared" si="3"/>
        <v>1.2000000000000004E-2</v>
      </c>
      <c r="Q42" s="64">
        <f t="shared" si="4"/>
        <v>0.3600000000000001</v>
      </c>
      <c r="R42" s="64">
        <f t="shared" ca="1" si="2"/>
        <v>-1.4950102496100586</v>
      </c>
      <c r="T42" s="35"/>
    </row>
    <row r="43" spans="1:20" x14ac:dyDescent="0.25">
      <c r="A43" s="42" t="s">
        <v>97</v>
      </c>
      <c r="B43" s="66">
        <f ca="1">(B37-B36*B40)/B38</f>
        <v>-0.2662119471507759</v>
      </c>
      <c r="F43" s="11"/>
      <c r="O43" s="38">
        <f t="shared" ca="1" si="1"/>
        <v>3.2190853453415644E-3</v>
      </c>
      <c r="P43" s="39">
        <f t="shared" si="3"/>
        <v>1.3000000000000005E-2</v>
      </c>
      <c r="Q43" s="64">
        <f t="shared" si="4"/>
        <v>0.39000000000000012</v>
      </c>
      <c r="R43" s="64">
        <f t="shared" ca="1" si="2"/>
        <v>-1.6404277704108967</v>
      </c>
      <c r="T43" s="35"/>
    </row>
    <row r="44" spans="1:20" x14ac:dyDescent="0.25">
      <c r="A44" s="42" t="s">
        <v>98</v>
      </c>
      <c r="B44" s="66">
        <f ca="1">(B36*B40 - B37)/B39</f>
        <v>3.0915728617835706E-6</v>
      </c>
      <c r="F44" s="11"/>
      <c r="O44" s="38">
        <f t="shared" ca="1" si="1"/>
        <v>3.2045691835824804E-3</v>
      </c>
      <c r="P44" s="39">
        <f t="shared" si="3"/>
        <v>1.4000000000000005E-2</v>
      </c>
      <c r="Q44" s="64">
        <f t="shared" si="4"/>
        <v>0.42000000000000015</v>
      </c>
      <c r="R44" s="64">
        <f t="shared" ca="1" si="2"/>
        <v>-1.7858452912117349</v>
      </c>
      <c r="T44" s="35"/>
    </row>
    <row r="45" spans="1:20" x14ac:dyDescent="0.25">
      <c r="A45" s="42" t="s">
        <v>64</v>
      </c>
      <c r="B45" s="9">
        <f t="array" aca="1" ref="B45:E45" ca="1">B34:E34/B36</f>
        <v>0.68566058335546543</v>
      </c>
      <c r="C45" s="15">
        <f ca="1"/>
        <v>0.15036997727097165</v>
      </c>
      <c r="D45" s="15">
        <f ca="1"/>
        <v>7.6159066406666476E-2</v>
      </c>
      <c r="E45" s="15">
        <f ca="1"/>
        <v>8.7810372966896505E-2</v>
      </c>
      <c r="F45" s="11"/>
      <c r="O45" s="38">
        <f t="shared" ca="1" si="1"/>
        <v>3.1900532478421999E-3</v>
      </c>
      <c r="P45" s="39">
        <f t="shared" si="3"/>
        <v>1.5000000000000006E-2</v>
      </c>
      <c r="Q45" s="64">
        <f t="shared" si="4"/>
        <v>0.45000000000000018</v>
      </c>
      <c r="R45" s="64">
        <f t="shared" ca="1" si="2"/>
        <v>-1.9312628120125734</v>
      </c>
      <c r="T45" s="35">
        <f ca="1">DATA!AM40*$B$7</f>
        <v>-19085.007133934534</v>
      </c>
    </row>
    <row r="46" spans="1:20" x14ac:dyDescent="0.25">
      <c r="A46" s="42" t="s">
        <v>65</v>
      </c>
      <c r="B46" s="44">
        <f ca="1">B37/B36</f>
        <v>0.2340042187176401</v>
      </c>
      <c r="C46" s="44">
        <f t="array" aca="1" ref="C46" ca="1">SUMPRODUCT(B45:E45,B33:E33)</f>
        <v>0.23400421871764004</v>
      </c>
      <c r="D46" s="10"/>
      <c r="E46" s="10"/>
      <c r="F46" s="11"/>
      <c r="O46" s="38">
        <f t="shared" ca="1" si="1"/>
        <v>3.1755375412202366E-3</v>
      </c>
      <c r="P46" s="39">
        <f t="shared" si="3"/>
        <v>1.6000000000000007E-2</v>
      </c>
      <c r="Q46" s="64">
        <f t="shared" si="4"/>
        <v>0.4800000000000002</v>
      </c>
      <c r="R46" s="64">
        <f t="shared" ca="1" si="2"/>
        <v>-2.0766803328134116</v>
      </c>
      <c r="T46" s="35">
        <f ca="1">DATA!AM41*$B$7</f>
        <v>-135602.45897540243</v>
      </c>
    </row>
    <row r="47" spans="1:20" ht="15.75" thickBot="1" x14ac:dyDescent="0.3">
      <c r="A47" s="47" t="s">
        <v>66</v>
      </c>
      <c r="B47" s="48">
        <f ca="1">SQRT(1/B36)</f>
        <v>1.8755505473895016E-4</v>
      </c>
      <c r="C47" s="48">
        <f t="array" aca="1" ref="C47" ca="1">SQRT(MMULT(B45:E45,MMULT(B23:E26,TRANSPOSE(B45:E45))))</f>
        <v>1.8755505473895016E-4</v>
      </c>
      <c r="D47" s="45"/>
      <c r="E47" s="45"/>
      <c r="F47" s="46"/>
      <c r="O47" s="38">
        <f t="shared" ca="1" si="1"/>
        <v>3.1610220668729879E-3</v>
      </c>
      <c r="P47" s="39">
        <f t="shared" si="3"/>
        <v>1.7000000000000008E-2</v>
      </c>
      <c r="Q47" s="64">
        <f t="shared" si="4"/>
        <v>0.51000000000000023</v>
      </c>
      <c r="R47" s="64">
        <f t="shared" ca="1" si="2"/>
        <v>-2.2220978536142502</v>
      </c>
      <c r="T47" s="35">
        <f ca="1">DATA!AM42*$B$7</f>
        <v>38061.231290200696</v>
      </c>
    </row>
    <row r="48" spans="1:20" x14ac:dyDescent="0.25">
      <c r="A48" s="5"/>
      <c r="O48" s="38">
        <f t="shared" ca="1" si="1"/>
        <v>3.1465068280150449E-3</v>
      </c>
      <c r="P48" s="39">
        <f t="shared" si="3"/>
        <v>1.8000000000000009E-2</v>
      </c>
      <c r="Q48" s="64">
        <f t="shared" si="4"/>
        <v>0.54000000000000026</v>
      </c>
      <c r="R48" s="64">
        <f t="shared" ca="1" si="2"/>
        <v>-2.3675153744150883</v>
      </c>
      <c r="T48" s="35">
        <f ca="1">DATA!AM43*$B$7</f>
        <v>90450.506149564404</v>
      </c>
    </row>
    <row r="49" spans="1:20" x14ac:dyDescent="0.25">
      <c r="A49" s="5"/>
      <c r="O49" s="38">
        <f t="shared" ca="1" si="1"/>
        <v>3.1319918279205388E-3</v>
      </c>
      <c r="P49" s="39">
        <f t="shared" si="3"/>
        <v>1.900000000000001E-2</v>
      </c>
      <c r="Q49" s="64">
        <f t="shared" si="4"/>
        <v>0.57000000000000028</v>
      </c>
      <c r="R49" s="64">
        <f t="shared" ca="1" si="2"/>
        <v>-2.5129328952159264</v>
      </c>
      <c r="T49" s="35">
        <f ca="1">DATA!AM44*$B$7</f>
        <v>-84430.239064410809</v>
      </c>
    </row>
    <row r="50" spans="1:20" x14ac:dyDescent="0.25">
      <c r="O50" s="38">
        <f t="shared" ca="1" si="1"/>
        <v>3.1174770699245236E-3</v>
      </c>
      <c r="P50" s="39">
        <f t="shared" si="3"/>
        <v>2.0000000000000011E-2</v>
      </c>
      <c r="Q50" s="64">
        <f t="shared" si="4"/>
        <v>0.60000000000000031</v>
      </c>
      <c r="R50" s="64">
        <f t="shared" ca="1" si="2"/>
        <v>-2.658350416016765</v>
      </c>
      <c r="T50" s="35">
        <f ca="1">DATA!AM45*$B$7</f>
        <v>231743.45700856042</v>
      </c>
    </row>
    <row r="51" spans="1:20" ht="15.75" thickBot="1" x14ac:dyDescent="0.3">
      <c r="O51" s="38">
        <f t="shared" ca="1" si="1"/>
        <v>3.1029625574243978E-3</v>
      </c>
      <c r="P51" s="39">
        <f t="shared" si="3"/>
        <v>2.1000000000000012E-2</v>
      </c>
      <c r="Q51" s="64">
        <f t="shared" si="4"/>
        <v>0.63000000000000034</v>
      </c>
      <c r="R51" s="64">
        <f t="shared" ca="1" si="2"/>
        <v>-2.8037679368176032</v>
      </c>
      <c r="T51" s="35">
        <f ca="1">DATA!AM46*$B$7</f>
        <v>-50489.473743039794</v>
      </c>
    </row>
    <row r="52" spans="1:20" ht="16.5" thickBot="1" x14ac:dyDescent="0.3">
      <c r="A52" s="30" t="s">
        <v>70</v>
      </c>
      <c r="B52" s="51">
        <f ca="1">COUNT(DATA!A3:A1002)</f>
        <v>1000</v>
      </c>
      <c r="O52" s="38">
        <f t="shared" ca="1" si="1"/>
        <v>3.088448293881369E-3</v>
      </c>
      <c r="P52" s="39">
        <f t="shared" si="3"/>
        <v>2.2000000000000013E-2</v>
      </c>
      <c r="Q52" s="64">
        <f t="shared" si="4"/>
        <v>0.66000000000000036</v>
      </c>
      <c r="R52" s="64">
        <f t="shared" ca="1" si="2"/>
        <v>-2.9491854576184413</v>
      </c>
      <c r="T52" s="35">
        <f ca="1">DATA!AM47*$B$7</f>
        <v>288910.34462416638</v>
      </c>
    </row>
    <row r="53" spans="1:20" ht="16.5" thickBot="1" x14ac:dyDescent="0.3">
      <c r="A53" s="30" t="s">
        <v>1</v>
      </c>
      <c r="B53" s="13">
        <f>+SUM(B2:B5)</f>
        <v>1.0000000374708444</v>
      </c>
      <c r="O53" s="38">
        <f t="shared" ca="1" si="1"/>
        <v>3.0739342828219563E-3</v>
      </c>
      <c r="P53" s="39">
        <f t="shared" si="3"/>
        <v>2.3000000000000013E-2</v>
      </c>
      <c r="Q53" s="64">
        <f t="shared" si="4"/>
        <v>0.69000000000000039</v>
      </c>
      <c r="R53" s="64">
        <f t="shared" ca="1" si="2"/>
        <v>-3.0946029784192799</v>
      </c>
      <c r="T53" s="35">
        <f ca="1">DATA!AM48*$B$7</f>
        <v>-175287.51671799173</v>
      </c>
    </row>
    <row r="54" spans="1:20" ht="16.5" thickBot="1" x14ac:dyDescent="0.3">
      <c r="A54" s="30" t="s">
        <v>2</v>
      </c>
      <c r="B54" s="13">
        <f ca="1">SUMPRODUCT(B12:B15,B2:B5)</f>
        <v>3.4364430808605641E-7</v>
      </c>
      <c r="O54" s="38">
        <f t="shared" ca="1" si="1"/>
        <v>3.0594205278395357E-3</v>
      </c>
      <c r="P54" s="39">
        <f t="shared" si="3"/>
        <v>2.4000000000000014E-2</v>
      </c>
      <c r="Q54" s="64">
        <f t="shared" si="4"/>
        <v>0.72000000000000042</v>
      </c>
      <c r="R54" s="64">
        <f t="shared" ca="1" si="2"/>
        <v>-3.240020499220118</v>
      </c>
      <c r="T54" s="35">
        <f ca="1">DATA!AM49*$B$7</f>
        <v>25655.783860222578</v>
      </c>
    </row>
    <row r="55" spans="1:20" ht="16.5" thickBot="1" x14ac:dyDescent="0.3">
      <c r="A55" s="30" t="s">
        <v>3</v>
      </c>
      <c r="B55" s="13">
        <f t="array" aca="1" ref="B55" ca="1">SQRT(MMULT(TRANSPOSE(B2:B5),MMULT(B23:E26,B2:B5)))*SQRT($B$10)</f>
        <v>4.4311398373511916E-3</v>
      </c>
      <c r="O55" s="38">
        <f t="shared" ca="1" si="1"/>
        <v>3.0449070325959328E-3</v>
      </c>
      <c r="P55" s="39">
        <f t="shared" si="3"/>
        <v>2.5000000000000015E-2</v>
      </c>
      <c r="Q55" s="64">
        <f t="shared" si="4"/>
        <v>0.75000000000000044</v>
      </c>
      <c r="R55" s="64">
        <f t="shared" ca="1" si="2"/>
        <v>-3.3854380200209562</v>
      </c>
      <c r="T55" s="35">
        <f ca="1">DATA!AM50*$B$7</f>
        <v>-144285.82089345984</v>
      </c>
    </row>
    <row r="56" spans="1:20" ht="16.5" thickBot="1" x14ac:dyDescent="0.3">
      <c r="A56" s="30" t="s">
        <v>47</v>
      </c>
      <c r="B56" s="13">
        <f t="array" aca="1" ref="B56" ca="1">MMULT(TRANSPOSE(B2:B5),MMULT(B17:E20,B2:B5))</f>
        <v>0.2498831823121089</v>
      </c>
      <c r="O56" s="38">
        <f t="shared" ca="1" si="1"/>
        <v>3.0303938008230556E-3</v>
      </c>
      <c r="P56" s="39">
        <f t="shared" si="3"/>
        <v>2.6000000000000016E-2</v>
      </c>
      <c r="Q56" s="64">
        <f t="shared" si="4"/>
        <v>0.78000000000000047</v>
      </c>
      <c r="R56" s="64">
        <f t="shared" ca="1" si="2"/>
        <v>-3.5308555408217948</v>
      </c>
      <c r="T56" s="35">
        <f ca="1">DATA!AM51*$B$7</f>
        <v>-498334.69415264204</v>
      </c>
    </row>
    <row r="57" spans="1:20" ht="16.5" thickBot="1" x14ac:dyDescent="0.3">
      <c r="A57" s="30" t="s">
        <v>49</v>
      </c>
      <c r="B57" s="13">
        <f>_xlfn.NORM.S.INV(1-B9)</f>
        <v>-1.6448536269514715</v>
      </c>
      <c r="O57" s="38">
        <f t="shared" ca="1" si="1"/>
        <v>3.0158808363245815E-3</v>
      </c>
      <c r="P57" s="39">
        <f t="shared" si="3"/>
        <v>2.7000000000000017E-2</v>
      </c>
      <c r="Q57" s="64">
        <f t="shared" si="4"/>
        <v>0.8100000000000005</v>
      </c>
      <c r="R57" s="64">
        <f t="shared" ca="1" si="2"/>
        <v>-3.6762730616226329</v>
      </c>
      <c r="T57" s="35">
        <f ca="1">DATA!AM52*$B$7</f>
        <v>-10358.051136943348</v>
      </c>
    </row>
    <row r="58" spans="1:20" ht="16.5" thickBot="1" x14ac:dyDescent="0.3">
      <c r="A58" s="30" t="s">
        <v>50</v>
      </c>
      <c r="B58" s="13">
        <f ca="1">-(AVERAGE(DATA!AM3:AM1000)+B57*B55)</f>
        <v>7.2937861365800589E-3</v>
      </c>
      <c r="O58" s="38">
        <f t="shared" ca="1" si="1"/>
        <v>3.001368142977686E-3</v>
      </c>
      <c r="P58" s="39">
        <f t="shared" si="3"/>
        <v>2.8000000000000018E-2</v>
      </c>
      <c r="Q58" s="64">
        <f t="shared" si="4"/>
        <v>0.84000000000000052</v>
      </c>
      <c r="R58" s="64">
        <f t="shared" ca="1" si="2"/>
        <v>-3.8216905824234715</v>
      </c>
      <c r="T58" s="35">
        <f ca="1">DATA!AM53*$B$7</f>
        <v>-17170.475358591237</v>
      </c>
    </row>
    <row r="59" spans="1:20" ht="16.5" thickBot="1" x14ac:dyDescent="0.3">
      <c r="A59" s="30" t="s">
        <v>51</v>
      </c>
      <c r="B59" s="13">
        <f ca="1">-_xlfn.PERCENTILE.EXC(DATA!AM3:AM1000,1-B9)</f>
        <v>1.8890150061538697E-3</v>
      </c>
      <c r="O59" s="38">
        <f t="shared" ca="1" si="1"/>
        <v>2.9868557247348265E-3</v>
      </c>
      <c r="P59" s="39">
        <f t="shared" si="3"/>
        <v>2.9000000000000019E-2</v>
      </c>
      <c r="Q59" s="64">
        <f t="shared" si="4"/>
        <v>0.87000000000000055</v>
      </c>
      <c r="R59" s="64">
        <f t="shared" ca="1" si="2"/>
        <v>-3.9671081032243096</v>
      </c>
      <c r="T59" s="35">
        <f ca="1">DATA!AM54*$B$7</f>
        <v>-22303.572714146685</v>
      </c>
    </row>
    <row r="60" spans="1:20" ht="16.5" thickBot="1" x14ac:dyDescent="0.3">
      <c r="A60" s="30" t="s">
        <v>52</v>
      </c>
      <c r="B60" s="32">
        <f ca="1">$B$7*B58</f>
        <v>1458757.2273160117</v>
      </c>
      <c r="O60" s="38">
        <f t="shared" ca="1" si="1"/>
        <v>2.9723435856255746E-3</v>
      </c>
      <c r="P60" s="39">
        <f t="shared" si="3"/>
        <v>3.000000000000002E-2</v>
      </c>
      <c r="Q60" s="64">
        <f t="shared" si="4"/>
        <v>0.90000000000000058</v>
      </c>
      <c r="R60" s="64">
        <f t="shared" ca="1" si="2"/>
        <v>-4.1125256240251478</v>
      </c>
      <c r="T60" s="35">
        <f ca="1">DATA!AM55*$B$7</f>
        <v>-295479.49614324304</v>
      </c>
    </row>
    <row r="61" spans="1:20" ht="16.5" thickBot="1" x14ac:dyDescent="0.3">
      <c r="A61" s="30" t="s">
        <v>53</v>
      </c>
      <c r="B61" s="32">
        <f ca="1">$B$7*B59</f>
        <v>377803.00123077392</v>
      </c>
      <c r="O61" s="38">
        <f t="shared" ca="1" si="1"/>
        <v>2.9578317297585077E-3</v>
      </c>
      <c r="P61" s="39">
        <f t="shared" si="3"/>
        <v>3.1000000000000021E-2</v>
      </c>
      <c r="Q61" s="64">
        <f t="shared" si="4"/>
        <v>0.9300000000000006</v>
      </c>
      <c r="R61" s="64">
        <f t="shared" ca="1" si="2"/>
        <v>-4.2579431448259859</v>
      </c>
      <c r="T61" s="35">
        <f ca="1">DATA!AM56*$B$7</f>
        <v>-64916.487954602504</v>
      </c>
    </row>
    <row r="62" spans="1:20" ht="16.5" thickBot="1" x14ac:dyDescent="0.3">
      <c r="A62" s="30" t="s">
        <v>4</v>
      </c>
      <c r="B62" s="13">
        <f ca="1">(B54-B8)/B55</f>
        <v>-56.418814465836071</v>
      </c>
      <c r="O62" s="38">
        <f t="shared" ca="1" si="1"/>
        <v>2.9433201613231494E-3</v>
      </c>
      <c r="P62" s="39">
        <f t="shared" si="3"/>
        <v>3.2000000000000021E-2</v>
      </c>
      <c r="Q62" s="64">
        <f t="shared" si="4"/>
        <v>0.96000000000000063</v>
      </c>
      <c r="R62" s="64">
        <f t="shared" ca="1" si="2"/>
        <v>-4.403360665626824</v>
      </c>
      <c r="T62" s="35">
        <f ca="1">DATA!AM57*$B$7</f>
        <v>-52305.9095509162</v>
      </c>
    </row>
    <row r="63" spans="1:20" x14ac:dyDescent="0.25">
      <c r="O63" s="38">
        <f t="shared" ca="1" si="1"/>
        <v>2.928808884591971E-3</v>
      </c>
      <c r="P63" s="39">
        <f t="shared" si="3"/>
        <v>3.3000000000000022E-2</v>
      </c>
      <c r="Q63" s="64">
        <f t="shared" si="4"/>
        <v>0.99000000000000066</v>
      </c>
      <c r="R63" s="64">
        <f t="shared" ca="1" si="2"/>
        <v>-4.5487781864276631</v>
      </c>
      <c r="T63" s="35">
        <f ca="1">DATA!AM58*$B$7</f>
        <v>-277628.79842408089</v>
      </c>
    </row>
    <row r="64" spans="1:20" x14ac:dyDescent="0.25">
      <c r="O64" s="38">
        <f t="shared" ca="1" si="1"/>
        <v>2.9142979039224553E-3</v>
      </c>
      <c r="P64" s="39">
        <f t="shared" si="3"/>
        <v>3.4000000000000023E-2</v>
      </c>
      <c r="Q64" s="64">
        <f t="shared" si="4"/>
        <v>1.0200000000000007</v>
      </c>
      <c r="R64" s="64">
        <f t="shared" ca="1" si="2"/>
        <v>-4.6941957072285012</v>
      </c>
      <c r="T64" s="35">
        <f ca="1">DATA!AM59*$B$7</f>
        <v>-86054.802363527473</v>
      </c>
    </row>
    <row r="65" spans="15:20" x14ac:dyDescent="0.25">
      <c r="O65" s="38">
        <f t="shared" ca="1" si="1"/>
        <v>2.899787223759216E-3</v>
      </c>
      <c r="P65" s="39">
        <f t="shared" si="3"/>
        <v>3.5000000000000024E-2</v>
      </c>
      <c r="Q65" s="64">
        <f t="shared" si="4"/>
        <v>1.0500000000000007</v>
      </c>
      <c r="R65" s="64">
        <f t="shared" ca="1" si="2"/>
        <v>-4.8396132280293394</v>
      </c>
      <c r="T65" s="35">
        <f ca="1">DATA!AM60*$B$7</f>
        <v>150347.40649307997</v>
      </c>
    </row>
    <row r="66" spans="15:20" x14ac:dyDescent="0.25">
      <c r="O66" s="38">
        <f t="shared" ca="1" si="1"/>
        <v>2.885276848636186E-3</v>
      </c>
      <c r="P66" s="39">
        <f t="shared" si="3"/>
        <v>3.6000000000000025E-2</v>
      </c>
      <c r="Q66" s="64">
        <f t="shared" si="4"/>
        <v>1.0800000000000007</v>
      </c>
      <c r="R66" s="64">
        <f t="shared" ca="1" si="2"/>
        <v>-4.9850307488301775</v>
      </c>
      <c r="T66" s="35">
        <f ca="1">DATA!AM61*$B$7</f>
        <v>-114523.35256259788</v>
      </c>
    </row>
    <row r="67" spans="15:20" x14ac:dyDescent="0.25">
      <c r="O67" s="38">
        <f t="shared" ca="1" si="1"/>
        <v>2.8707667831788693E-3</v>
      </c>
      <c r="P67" s="39">
        <f t="shared" si="3"/>
        <v>3.7000000000000026E-2</v>
      </c>
      <c r="Q67" s="64">
        <f t="shared" si="4"/>
        <v>1.1100000000000008</v>
      </c>
      <c r="R67" s="64">
        <f t="shared" ca="1" si="2"/>
        <v>-5.1304482696310156</v>
      </c>
      <c r="T67" s="35">
        <f ca="1">DATA!AM62*$B$7</f>
        <v>23009.170261141433</v>
      </c>
    </row>
    <row r="68" spans="15:20" x14ac:dyDescent="0.25">
      <c r="O68" s="38">
        <f t="shared" ca="1" si="1"/>
        <v>2.8562570321066624E-3</v>
      </c>
      <c r="P68" s="39">
        <f t="shared" si="3"/>
        <v>3.8000000000000027E-2</v>
      </c>
      <c r="Q68" s="64">
        <f t="shared" si="4"/>
        <v>1.1400000000000008</v>
      </c>
      <c r="R68" s="64">
        <f t="shared" ca="1" si="2"/>
        <v>-5.2758657904318538</v>
      </c>
      <c r="T68" s="35">
        <f ca="1">DATA!AM63*$B$7</f>
        <v>354339.71848906466</v>
      </c>
    </row>
    <row r="69" spans="15:20" x14ac:dyDescent="0.25">
      <c r="O69" s="38">
        <f t="shared" ca="1" si="1"/>
        <v>2.8417476002352464E-3</v>
      </c>
      <c r="P69" s="39">
        <f t="shared" si="3"/>
        <v>3.9000000000000028E-2</v>
      </c>
      <c r="Q69" s="64">
        <f t="shared" si="4"/>
        <v>1.1700000000000008</v>
      </c>
      <c r="R69" s="64">
        <f t="shared" ca="1" si="2"/>
        <v>-5.4212833112326928</v>
      </c>
      <c r="T69" s="35">
        <f ca="1">DATA!AM64*$B$7</f>
        <v>-41681.200949242608</v>
      </c>
    </row>
    <row r="70" spans="15:20" x14ac:dyDescent="0.25">
      <c r="O70" s="38">
        <f t="shared" ca="1" si="1"/>
        <v>2.8272384924790512E-3</v>
      </c>
      <c r="P70" s="39">
        <f t="shared" si="3"/>
        <v>4.0000000000000029E-2</v>
      </c>
      <c r="Q70" s="64">
        <f t="shared" si="4"/>
        <v>1.2000000000000008</v>
      </c>
      <c r="R70" s="64">
        <f t="shared" ca="1" si="2"/>
        <v>-5.5667008320335309</v>
      </c>
      <c r="T70" s="35">
        <f ca="1">DATA!AM65*$B$7</f>
        <v>-441100.16863085085</v>
      </c>
    </row>
    <row r="71" spans="15:20" x14ac:dyDescent="0.25">
      <c r="O71" s="38">
        <f t="shared" ca="1" si="1"/>
        <v>2.812729713853798E-3</v>
      </c>
      <c r="P71" s="39">
        <f t="shared" si="3"/>
        <v>4.1000000000000029E-2</v>
      </c>
      <c r="Q71" s="64">
        <f t="shared" si="4"/>
        <v>1.2300000000000009</v>
      </c>
      <c r="R71" s="64">
        <f t="shared" ca="1" si="2"/>
        <v>-5.7121183528343691</v>
      </c>
      <c r="T71" s="35">
        <f ca="1">DATA!AM66*$B$7</f>
        <v>-105753.82232370276</v>
      </c>
    </row>
    <row r="72" spans="15:20" x14ac:dyDescent="0.25">
      <c r="O72" s="38">
        <f t="shared" ca="1" si="1"/>
        <v>2.7982212694791187E-3</v>
      </c>
      <c r="P72" s="39">
        <f t="shared" si="3"/>
        <v>4.200000000000003E-2</v>
      </c>
      <c r="Q72" s="64">
        <f t="shared" si="4"/>
        <v>1.2600000000000009</v>
      </c>
      <c r="R72" s="64">
        <f t="shared" ca="1" si="2"/>
        <v>-5.8575358736352072</v>
      </c>
      <c r="T72" s="35">
        <f ca="1">DATA!AM67*$B$7</f>
        <v>84556.957694858182</v>
      </c>
    </row>
    <row r="73" spans="15:20" x14ac:dyDescent="0.25">
      <c r="O73" s="38">
        <f t="shared" ca="1" si="1"/>
        <v>2.7837131645812594E-3</v>
      </c>
      <c r="P73" s="39">
        <f t="shared" si="3"/>
        <v>4.3000000000000031E-2</v>
      </c>
      <c r="Q73" s="64">
        <f t="shared" si="4"/>
        <v>1.2900000000000009</v>
      </c>
      <c r="R73" s="64">
        <f t="shared" ca="1" si="2"/>
        <v>-6.0029533944360454</v>
      </c>
      <c r="T73" s="35">
        <f ca="1">DATA!AM68*$B$7</f>
        <v>205149.24047617192</v>
      </c>
    </row>
    <row r="74" spans="15:20" x14ac:dyDescent="0.25">
      <c r="O74" s="38">
        <f t="shared" ca="1" si="1"/>
        <v>2.7692054044958642E-3</v>
      </c>
      <c r="P74" s="39">
        <f t="shared" si="3"/>
        <v>4.4000000000000032E-2</v>
      </c>
      <c r="Q74" s="64">
        <f t="shared" si="4"/>
        <v>1.320000000000001</v>
      </c>
      <c r="R74" s="64">
        <f t="shared" ca="1" si="2"/>
        <v>-6.1483709152368844</v>
      </c>
      <c r="T74" s="35">
        <f ca="1">DATA!AM69*$B$7</f>
        <v>-106637.51394388539</v>
      </c>
    </row>
    <row r="75" spans="15:20" x14ac:dyDescent="0.25">
      <c r="O75" s="38">
        <f t="shared" ca="1" si="1"/>
        <v>2.7546979946708513E-3</v>
      </c>
      <c r="P75" s="39">
        <f t="shared" si="3"/>
        <v>4.5000000000000033E-2</v>
      </c>
      <c r="Q75" s="64">
        <f t="shared" si="4"/>
        <v>1.350000000000001</v>
      </c>
      <c r="R75" s="64">
        <f t="shared" ca="1" si="2"/>
        <v>-6.2937884360377225</v>
      </c>
      <c r="T75" s="35">
        <f ca="1">DATA!AM70*$B$7</f>
        <v>-285826.93427361548</v>
      </c>
    </row>
    <row r="76" spans="15:20" x14ac:dyDescent="0.25">
      <c r="O76" s="38">
        <f t="shared" ca="1" si="1"/>
        <v>2.7401909406693779E-3</v>
      </c>
      <c r="P76" s="39">
        <f t="shared" si="3"/>
        <v>4.6000000000000034E-2</v>
      </c>
      <c r="Q76" s="64">
        <f t="shared" si="4"/>
        <v>1.380000000000001</v>
      </c>
      <c r="R76" s="64">
        <f t="shared" ca="1" si="2"/>
        <v>-6.4392059568385607</v>
      </c>
      <c r="T76" s="35">
        <f ca="1">DATA!AM71*$B$7</f>
        <v>75599.353981793916</v>
      </c>
    </row>
    <row r="77" spans="15:20" x14ac:dyDescent="0.25">
      <c r="O77" s="38">
        <f t="shared" ca="1" si="1"/>
        <v>2.7256842481728997E-3</v>
      </c>
      <c r="P77" s="39">
        <f t="shared" si="3"/>
        <v>4.7000000000000035E-2</v>
      </c>
      <c r="Q77" s="64">
        <f t="shared" si="4"/>
        <v>1.410000000000001</v>
      </c>
      <c r="R77" s="64">
        <f t="shared" ca="1" si="2"/>
        <v>-6.5846234776393988</v>
      </c>
      <c r="T77" s="35">
        <f ca="1">DATA!AM72*$B$7</f>
        <v>-158736.22507918064</v>
      </c>
    </row>
    <row r="78" spans="15:20" x14ac:dyDescent="0.25">
      <c r="O78" s="38">
        <f t="shared" ca="1" si="1"/>
        <v>2.7111779229843278E-3</v>
      </c>
      <c r="P78" s="39">
        <f t="shared" si="3"/>
        <v>4.8000000000000036E-2</v>
      </c>
      <c r="Q78" s="64">
        <f t="shared" si="4"/>
        <v>1.4400000000000011</v>
      </c>
      <c r="R78" s="64">
        <f t="shared" ca="1" si="2"/>
        <v>-6.730040998440237</v>
      </c>
      <c r="T78" s="35">
        <f ca="1">DATA!AM73*$B$7</f>
        <v>-97558.096570816691</v>
      </c>
    </row>
    <row r="79" spans="15:20" x14ac:dyDescent="0.25">
      <c r="O79" s="38">
        <f t="shared" ca="1" si="1"/>
        <v>2.6966719710312887E-3</v>
      </c>
      <c r="P79" s="39">
        <f t="shared" si="3"/>
        <v>4.9000000000000037E-2</v>
      </c>
      <c r="Q79" s="64">
        <f t="shared" si="4"/>
        <v>1.4700000000000011</v>
      </c>
      <c r="R79" s="64">
        <f t="shared" ca="1" si="2"/>
        <v>-6.8754585192410751</v>
      </c>
      <c r="T79" s="35">
        <f ca="1">DATA!AM74*$B$7</f>
        <v>-34203.278070632601</v>
      </c>
    </row>
    <row r="80" spans="15:20" x14ac:dyDescent="0.25">
      <c r="O80" s="38">
        <f t="shared" ca="1" si="1"/>
        <v>2.6821663983694886E-3</v>
      </c>
      <c r="P80" s="39">
        <f t="shared" si="3"/>
        <v>5.0000000000000037E-2</v>
      </c>
      <c r="Q80" s="64">
        <f t="shared" si="4"/>
        <v>1.5000000000000011</v>
      </c>
      <c r="R80" s="64">
        <f t="shared" ca="1" si="2"/>
        <v>-7.0208760400419141</v>
      </c>
      <c r="T80" s="35">
        <f ca="1">DATA!AM75*$B$7</f>
        <v>248013.62442504556</v>
      </c>
    </row>
    <row r="81" spans="15:20" x14ac:dyDescent="0.25">
      <c r="O81" s="38">
        <f t="shared" ca="1" si="1"/>
        <v>2.6676612111861853E-3</v>
      </c>
      <c r="P81" s="39">
        <f t="shared" si="3"/>
        <v>5.1000000000000038E-2</v>
      </c>
      <c r="Q81" s="64">
        <f t="shared" si="4"/>
        <v>1.5300000000000011</v>
      </c>
      <c r="R81" s="64">
        <f t="shared" ca="1" si="2"/>
        <v>-7.1662935608427523</v>
      </c>
      <c r="T81" s="35">
        <f ca="1">DATA!AM76*$B$7</f>
        <v>437620.52352489508</v>
      </c>
    </row>
    <row r="82" spans="15:20" x14ac:dyDescent="0.25">
      <c r="O82" s="38">
        <f t="shared" ca="1" si="1"/>
        <v>2.653156415803778E-3</v>
      </c>
      <c r="P82" s="39">
        <f t="shared" si="3"/>
        <v>5.2000000000000039E-2</v>
      </c>
      <c r="Q82" s="64">
        <f t="shared" si="4"/>
        <v>1.5600000000000012</v>
      </c>
      <c r="R82" s="64">
        <f t="shared" ca="1" si="2"/>
        <v>-7.3117110816435904</v>
      </c>
      <c r="T82" s="35">
        <f ca="1">DATA!AM77*$B$7</f>
        <v>555045.23999153858</v>
      </c>
    </row>
    <row r="83" spans="15:20" x14ac:dyDescent="0.25">
      <c r="O83" s="38">
        <f t="shared" ca="1" si="1"/>
        <v>2.6386520186835113E-3</v>
      </c>
      <c r="P83" s="39">
        <f t="shared" si="3"/>
        <v>5.300000000000004E-2</v>
      </c>
      <c r="Q83" s="64">
        <f t="shared" si="4"/>
        <v>1.5900000000000012</v>
      </c>
      <c r="R83" s="64">
        <f t="shared" ca="1" si="2"/>
        <v>-7.4571286024444285</v>
      </c>
      <c r="T83" s="35">
        <f ca="1">DATA!AM78*$B$7</f>
        <v>47340.901875985808</v>
      </c>
    </row>
    <row r="84" spans="15:20" x14ac:dyDescent="0.25">
      <c r="O84" s="38">
        <f t="shared" ca="1" si="1"/>
        <v>2.6241480264293025E-3</v>
      </c>
      <c r="P84" s="39">
        <f t="shared" si="3"/>
        <v>5.4000000000000041E-2</v>
      </c>
      <c r="Q84" s="64">
        <f t="shared" si="4"/>
        <v>1.6200000000000012</v>
      </c>
      <c r="R84" s="64">
        <f t="shared" ca="1" si="2"/>
        <v>-7.6025461232452667</v>
      </c>
      <c r="T84" s="35">
        <f ca="1">DATA!AM79*$B$7</f>
        <v>-233803.28714667397</v>
      </c>
    </row>
    <row r="85" spans="15:20" x14ac:dyDescent="0.25">
      <c r="O85" s="38">
        <f t="shared" ca="1" si="1"/>
        <v>2.6096444457916965E-3</v>
      </c>
      <c r="P85" s="39">
        <f t="shared" si="3"/>
        <v>5.5000000000000042E-2</v>
      </c>
      <c r="Q85" s="64">
        <f t="shared" si="4"/>
        <v>1.6500000000000012</v>
      </c>
      <c r="R85" s="64">
        <f t="shared" ca="1" si="2"/>
        <v>-7.7479636440461048</v>
      </c>
      <c r="T85" s="35">
        <f ca="1">DATA!AM80*$B$7</f>
        <v>-435833.54398392513</v>
      </c>
    </row>
    <row r="86" spans="15:20" x14ac:dyDescent="0.25">
      <c r="O86" s="38">
        <f t="shared" ca="1" si="1"/>
        <v>2.5951412836719531E-3</v>
      </c>
      <c r="P86" s="39">
        <f t="shared" si="3"/>
        <v>5.6000000000000043E-2</v>
      </c>
      <c r="Q86" s="64">
        <f t="shared" si="4"/>
        <v>1.6800000000000013</v>
      </c>
      <c r="R86" s="64">
        <f t="shared" ca="1" si="2"/>
        <v>-7.893381164846943</v>
      </c>
      <c r="T86" s="35">
        <f ca="1">DATA!AM81*$B$7</f>
        <v>-112411.2905758009</v>
      </c>
    </row>
    <row r="87" spans="15:20" x14ac:dyDescent="0.25">
      <c r="O87" s="38">
        <f t="shared" ca="1" si="1"/>
        <v>2.5806385471262706E-3</v>
      </c>
      <c r="P87" s="39">
        <f t="shared" si="3"/>
        <v>5.7000000000000044E-2</v>
      </c>
      <c r="Q87" s="64">
        <f t="shared" si="4"/>
        <v>1.7100000000000013</v>
      </c>
      <c r="R87" s="64">
        <f t="shared" ca="1" si="2"/>
        <v>-8.038798685647782</v>
      </c>
      <c r="T87" s="35">
        <f ca="1">DATA!AM82*$B$7</f>
        <v>-137610.62429197968</v>
      </c>
    </row>
    <row r="88" spans="15:20" x14ac:dyDescent="0.25">
      <c r="O88" s="38">
        <f t="shared" ca="1" si="1"/>
        <v>2.5661362433701527E-3</v>
      </c>
      <c r="P88" s="39">
        <f t="shared" si="3"/>
        <v>5.8000000000000045E-2</v>
      </c>
      <c r="Q88" s="64">
        <f t="shared" si="4"/>
        <v>1.7400000000000013</v>
      </c>
      <c r="R88" s="64">
        <f t="shared" ca="1" si="2"/>
        <v>-8.1842162064486192</v>
      </c>
      <c r="T88" s="35">
        <f ca="1">DATA!AM83*$B$7</f>
        <v>-310723.71507379011</v>
      </c>
    </row>
    <row r="89" spans="15:20" x14ac:dyDescent="0.25">
      <c r="O89" s="38">
        <f t="shared" ca="1" si="1"/>
        <v>2.5516343797829235E-3</v>
      </c>
      <c r="P89" s="39">
        <f t="shared" si="3"/>
        <v>5.9000000000000045E-2</v>
      </c>
      <c r="Q89" s="64">
        <f t="shared" si="4"/>
        <v>1.7700000000000014</v>
      </c>
      <c r="R89" s="64">
        <f t="shared" ca="1" si="2"/>
        <v>-8.3296337272494583</v>
      </c>
      <c r="T89" s="35">
        <f ca="1">DATA!AM84*$B$7</f>
        <v>-253839.45772299217</v>
      </c>
    </row>
    <row r="90" spans="15:20" x14ac:dyDescent="0.25">
      <c r="O90" s="38">
        <f t="shared" ca="1" si="1"/>
        <v>2.5371329639123966E-3</v>
      </c>
      <c r="P90" s="39">
        <f t="shared" si="3"/>
        <v>6.0000000000000046E-2</v>
      </c>
      <c r="Q90" s="64">
        <f t="shared" si="4"/>
        <v>1.8000000000000014</v>
      </c>
      <c r="R90" s="64">
        <f t="shared" ca="1" si="2"/>
        <v>-8.4750512480502973</v>
      </c>
      <c r="T90" s="35">
        <f ca="1">DATA!AM85*$B$7</f>
        <v>79118.02069665819</v>
      </c>
    </row>
    <row r="91" spans="15:20" x14ac:dyDescent="0.25">
      <c r="O91" s="38">
        <f t="shared" ca="1" si="1"/>
        <v>2.522632003479706E-3</v>
      </c>
      <c r="P91" s="39">
        <f t="shared" si="3"/>
        <v>6.1000000000000047E-2</v>
      </c>
      <c r="Q91" s="64">
        <f t="shared" si="4"/>
        <v>1.8300000000000014</v>
      </c>
      <c r="R91" s="64">
        <f t="shared" ca="1" si="2"/>
        <v>-8.6204687688511346</v>
      </c>
      <c r="T91" s="35">
        <f ca="1">DATA!AM86*$B$7</f>
        <v>-107073.66860784974</v>
      </c>
    </row>
    <row r="92" spans="15:20" x14ac:dyDescent="0.25">
      <c r="O92" s="38">
        <f t="shared" ca="1" si="1"/>
        <v>2.5081315063843011E-3</v>
      </c>
      <c r="P92" s="39">
        <f t="shared" si="3"/>
        <v>6.2000000000000048E-2</v>
      </c>
      <c r="Q92" s="64">
        <f t="shared" si="4"/>
        <v>1.8600000000000014</v>
      </c>
      <c r="R92" s="64">
        <f t="shared" ca="1" si="2"/>
        <v>-8.7658862896519736</v>
      </c>
      <c r="T92" s="35">
        <f ca="1">DATA!AM87*$B$7</f>
        <v>75243.335807254363</v>
      </c>
    </row>
    <row r="93" spans="15:20" x14ac:dyDescent="0.25">
      <c r="O93" s="38">
        <f t="shared" ca="1" si="1"/>
        <v>2.4936314807091171E-3</v>
      </c>
      <c r="P93" s="39">
        <f t="shared" si="3"/>
        <v>6.3000000000000042E-2</v>
      </c>
      <c r="Q93" s="64">
        <f t="shared" si="4"/>
        <v>1.8900000000000015</v>
      </c>
      <c r="R93" s="64">
        <f t="shared" ca="1" si="2"/>
        <v>-8.9113038104528108</v>
      </c>
      <c r="T93" s="35">
        <f ca="1">DATA!AM88*$B$7</f>
        <v>-432142.82190749451</v>
      </c>
    </row>
    <row r="94" spans="15:20" x14ac:dyDescent="0.25">
      <c r="O94" s="38">
        <f t="shared" ca="1" si="1"/>
        <v>2.4791319347259272E-3</v>
      </c>
      <c r="P94" s="39">
        <f t="shared" si="3"/>
        <v>6.4000000000000043E-2</v>
      </c>
      <c r="Q94" s="64">
        <f t="shared" si="4"/>
        <v>1.9200000000000015</v>
      </c>
      <c r="R94" s="64">
        <f t="shared" ca="1" si="2"/>
        <v>-9.0567213312536499</v>
      </c>
      <c r="T94" s="35">
        <f ca="1">DATA!AM89*$B$7</f>
        <v>-197091.0955166152</v>
      </c>
    </row>
    <row r="95" spans="15:20" x14ac:dyDescent="0.25">
      <c r="O95" s="38">
        <f t="shared" ca="1" si="1"/>
        <v>2.4646328769008801E-3</v>
      </c>
      <c r="P95" s="39">
        <f t="shared" si="3"/>
        <v>6.5000000000000044E-2</v>
      </c>
      <c r="Q95" s="64">
        <f t="shared" si="4"/>
        <v>1.9500000000000015</v>
      </c>
      <c r="R95" s="64">
        <f t="shared" ref="R95:R158" ca="1" si="5">$B$8+$B$42*Q95</f>
        <v>-9.2021388520544889</v>
      </c>
      <c r="T95" s="35">
        <f ca="1">DATA!AM90*$B$7</f>
        <v>-427230.41944665101</v>
      </c>
    </row>
    <row r="96" spans="15:20" x14ac:dyDescent="0.25">
      <c r="O96" s="38">
        <f t="shared" ca="1" si="1"/>
        <v>2.4501343159002349E-3</v>
      </c>
      <c r="P96" s="39">
        <f t="shared" ref="P96:P159" si="6">P95+0.1%</f>
        <v>6.6000000000000045E-2</v>
      </c>
      <c r="Q96" s="64">
        <f t="shared" ref="Q96:Q159" si="7">Q95+0.03</f>
        <v>1.9800000000000015</v>
      </c>
      <c r="R96" s="64">
        <f t="shared" ca="1" si="5"/>
        <v>-9.3475563728553261</v>
      </c>
      <c r="T96" s="35">
        <f ca="1">DATA!AM91*$B$7</f>
        <v>89292.817484676983</v>
      </c>
    </row>
    <row r="97" spans="15:20" x14ac:dyDescent="0.25">
      <c r="O97" s="38">
        <f t="shared" ca="1" si="1"/>
        <v>2.4356362605963003E-3</v>
      </c>
      <c r="P97" s="39">
        <f t="shared" si="6"/>
        <v>6.7000000000000046E-2</v>
      </c>
      <c r="Q97" s="64">
        <f t="shared" si="7"/>
        <v>2.0100000000000016</v>
      </c>
      <c r="R97" s="64">
        <f t="shared" ca="1" si="5"/>
        <v>-9.4929738936561652</v>
      </c>
      <c r="T97" s="35">
        <f ca="1">DATA!AM92*$B$7</f>
        <v>66440.046166235581</v>
      </c>
    </row>
    <row r="98" spans="15:20" x14ac:dyDescent="0.25">
      <c r="O98" s="38">
        <f t="shared" ca="1" si="1"/>
        <v>2.4211387200735856E-3</v>
      </c>
      <c r="P98" s="39">
        <f t="shared" si="6"/>
        <v>6.8000000000000047E-2</v>
      </c>
      <c r="Q98" s="64">
        <f t="shared" si="7"/>
        <v>2.0400000000000014</v>
      </c>
      <c r="R98" s="64">
        <f t="shared" ca="1" si="5"/>
        <v>-9.6383914144570024</v>
      </c>
      <c r="T98" s="35">
        <f ca="1">DATA!AM93*$B$7</f>
        <v>-49046.939730362392</v>
      </c>
    </row>
    <row r="99" spans="15:20" x14ac:dyDescent="0.25">
      <c r="O99" s="38">
        <f t="shared" ca="1" si="1"/>
        <v>2.4066417036351729E-3</v>
      </c>
      <c r="P99" s="39">
        <f t="shared" si="6"/>
        <v>6.9000000000000047E-2</v>
      </c>
      <c r="Q99" s="64">
        <f t="shared" si="7"/>
        <v>2.0700000000000012</v>
      </c>
      <c r="R99" s="64">
        <f t="shared" ca="1" si="5"/>
        <v>-9.7838089352578397</v>
      </c>
      <c r="T99" s="35">
        <f ca="1">DATA!AM94*$B$7</f>
        <v>-146838.56771003493</v>
      </c>
    </row>
    <row r="100" spans="15:20" x14ac:dyDescent="0.25">
      <c r="O100" s="38">
        <f t="shared" ref="O100:O163" ca="1" si="8">SQRT(($B$36*P100^2 - 2*$B$37*P100 +$B$38)/$B$39)</f>
        <v>2.3921452208093192E-3</v>
      </c>
      <c r="P100" s="39">
        <f t="shared" si="6"/>
        <v>7.0000000000000048E-2</v>
      </c>
      <c r="Q100" s="64">
        <f t="shared" si="7"/>
        <v>2.100000000000001</v>
      </c>
      <c r="R100" s="64">
        <f t="shared" ca="1" si="5"/>
        <v>-9.9292264560586769</v>
      </c>
      <c r="T100" s="35">
        <f ca="1">DATA!AM95*$B$7</f>
        <v>-202869.39048792256</v>
      </c>
    </row>
    <row r="101" spans="15:20" x14ac:dyDescent="0.25">
      <c r="O101" s="38">
        <f t="shared" ca="1" si="8"/>
        <v>2.3776492813563023E-3</v>
      </c>
      <c r="P101" s="39">
        <f t="shared" si="6"/>
        <v>7.1000000000000049E-2</v>
      </c>
      <c r="Q101" s="64">
        <f t="shared" si="7"/>
        <v>2.1300000000000008</v>
      </c>
      <c r="R101" s="64">
        <f t="shared" ca="1" si="5"/>
        <v>-10.074643976859514</v>
      </c>
      <c r="T101" s="35">
        <f ca="1">DATA!AM96*$B$7</f>
        <v>105549.48540600915</v>
      </c>
    </row>
    <row r="102" spans="15:20" x14ac:dyDescent="0.25">
      <c r="O102" s="38">
        <f t="shared" ca="1" si="8"/>
        <v>2.3631538952755124E-3</v>
      </c>
      <c r="P102" s="39">
        <f t="shared" si="6"/>
        <v>7.200000000000005E-2</v>
      </c>
      <c r="Q102" s="64">
        <f t="shared" si="7"/>
        <v>2.1600000000000006</v>
      </c>
      <c r="R102" s="64">
        <f t="shared" ca="1" si="5"/>
        <v>-10.220061497660351</v>
      </c>
      <c r="T102" s="35">
        <f ca="1">DATA!AM97*$B$7</f>
        <v>284272.71704377263</v>
      </c>
    </row>
    <row r="103" spans="15:20" x14ac:dyDescent="0.25">
      <c r="O103" s="38">
        <f t="shared" ca="1" si="8"/>
        <v>2.3486590728128104E-3</v>
      </c>
      <c r="P103" s="39">
        <f t="shared" si="6"/>
        <v>7.3000000000000051E-2</v>
      </c>
      <c r="Q103" s="64">
        <f t="shared" si="7"/>
        <v>2.1900000000000004</v>
      </c>
      <c r="R103" s="64">
        <f t="shared" ca="1" si="5"/>
        <v>-10.365479018461189</v>
      </c>
      <c r="T103" s="35">
        <f ca="1">DATA!AM98*$B$7</f>
        <v>276308.26833105675</v>
      </c>
    </row>
    <row r="104" spans="15:20" x14ac:dyDescent="0.25">
      <c r="O104" s="38">
        <f t="shared" ca="1" si="8"/>
        <v>2.334164824468154E-3</v>
      </c>
      <c r="P104" s="39">
        <f t="shared" si="6"/>
        <v>7.4000000000000052E-2</v>
      </c>
      <c r="Q104" s="64">
        <f t="shared" si="7"/>
        <v>2.2200000000000002</v>
      </c>
      <c r="R104" s="64">
        <f t="shared" ca="1" si="5"/>
        <v>-10.510896539262026</v>
      </c>
      <c r="T104" s="35">
        <f ca="1">DATA!AM99*$B$7</f>
        <v>202538.01769329121</v>
      </c>
    </row>
    <row r="105" spans="15:20" x14ac:dyDescent="0.25">
      <c r="O105" s="38">
        <f t="shared" ca="1" si="8"/>
        <v>2.3196711610035115E-3</v>
      </c>
      <c r="P105" s="39">
        <f t="shared" si="6"/>
        <v>7.5000000000000053E-2</v>
      </c>
      <c r="Q105" s="64">
        <f t="shared" si="7"/>
        <v>2.25</v>
      </c>
      <c r="R105" s="64">
        <f t="shared" ca="1" si="5"/>
        <v>-10.656314060062863</v>
      </c>
      <c r="T105" s="35">
        <f ca="1">DATA!AM100*$B$7</f>
        <v>-527847.98404422496</v>
      </c>
    </row>
    <row r="106" spans="15:20" x14ac:dyDescent="0.25">
      <c r="O106" s="38">
        <f t="shared" ca="1" si="8"/>
        <v>2.305178093451073E-3</v>
      </c>
      <c r="P106" s="39">
        <f t="shared" si="6"/>
        <v>7.6000000000000054E-2</v>
      </c>
      <c r="Q106" s="64">
        <f t="shared" si="7"/>
        <v>2.2799999999999998</v>
      </c>
      <c r="R106" s="64">
        <f t="shared" ca="1" si="5"/>
        <v>-10.8017315808637</v>
      </c>
      <c r="T106" s="35">
        <f ca="1">DATA!AM101*$B$7</f>
        <v>-93520.984585453392</v>
      </c>
    </row>
    <row r="107" spans="15:20" x14ac:dyDescent="0.25">
      <c r="O107" s="38">
        <f t="shared" ca="1" si="8"/>
        <v>2.2906856331217696E-3</v>
      </c>
      <c r="P107" s="39">
        <f t="shared" si="6"/>
        <v>7.7000000000000055E-2</v>
      </c>
      <c r="Q107" s="64">
        <f t="shared" si="7"/>
        <v>2.3099999999999996</v>
      </c>
      <c r="R107" s="64">
        <f t="shared" ca="1" si="5"/>
        <v>-10.947149101664538</v>
      </c>
      <c r="T107" s="35">
        <f ca="1">DATA!AM102*$B$7</f>
        <v>-240259.70411518222</v>
      </c>
    </row>
    <row r="108" spans="15:20" x14ac:dyDescent="0.25">
      <c r="O108" s="38">
        <f t="shared" ca="1" si="8"/>
        <v>2.2761937916141181E-3</v>
      </c>
      <c r="P108" s="39">
        <f t="shared" si="6"/>
        <v>7.8000000000000055E-2</v>
      </c>
      <c r="Q108" s="64">
        <f t="shared" si="7"/>
        <v>2.3399999999999994</v>
      </c>
      <c r="R108" s="64">
        <f t="shared" ca="1" si="5"/>
        <v>-11.092566622465375</v>
      </c>
      <c r="T108" s="35">
        <f ca="1">DATA!AM103*$B$7</f>
        <v>105108.30731176617</v>
      </c>
    </row>
    <row r="109" spans="15:20" x14ac:dyDescent="0.25">
      <c r="O109" s="38">
        <f t="shared" ca="1" si="8"/>
        <v>2.2617025808234028E-3</v>
      </c>
      <c r="P109" s="39">
        <f t="shared" si="6"/>
        <v>7.9000000000000056E-2</v>
      </c>
      <c r="Q109" s="64">
        <f t="shared" si="7"/>
        <v>2.3699999999999992</v>
      </c>
      <c r="R109" s="64">
        <f t="shared" ca="1" si="5"/>
        <v>-11.237984143266212</v>
      </c>
      <c r="T109" s="35">
        <f ca="1">DATA!AM104*$B$7</f>
        <v>-396530.1789627379</v>
      </c>
    </row>
    <row r="110" spans="15:20" x14ac:dyDescent="0.25">
      <c r="O110" s="38">
        <f t="shared" ca="1" si="8"/>
        <v>2.2472120129512132E-3</v>
      </c>
      <c r="P110" s="39">
        <f t="shared" si="6"/>
        <v>8.0000000000000057E-2</v>
      </c>
      <c r="Q110" s="64">
        <f t="shared" si="7"/>
        <v>2.399999999999999</v>
      </c>
      <c r="R110" s="64">
        <f t="shared" ca="1" si="5"/>
        <v>-11.383401664067049</v>
      </c>
      <c r="T110" s="35">
        <f ca="1">DATA!AM105*$B$7</f>
        <v>-20321.403995924975</v>
      </c>
    </row>
    <row r="111" spans="15:20" x14ac:dyDescent="0.25">
      <c r="O111" s="38">
        <f t="shared" ca="1" si="8"/>
        <v>2.232722100515346E-3</v>
      </c>
      <c r="P111" s="39">
        <f t="shared" si="6"/>
        <v>8.1000000000000058E-2</v>
      </c>
      <c r="Q111" s="64">
        <f t="shared" si="7"/>
        <v>2.4299999999999988</v>
      </c>
      <c r="R111" s="64">
        <f t="shared" ca="1" si="5"/>
        <v>-11.528819184867887</v>
      </c>
      <c r="T111" s="35">
        <f ca="1">DATA!AM106*$B$7</f>
        <v>295245.06616437284</v>
      </c>
    </row>
    <row r="112" spans="15:20" x14ac:dyDescent="0.25">
      <c r="O112" s="38">
        <f t="shared" ca="1" si="8"/>
        <v>2.2182328563601001E-3</v>
      </c>
      <c r="P112" s="39">
        <f t="shared" si="6"/>
        <v>8.2000000000000059E-2</v>
      </c>
      <c r="Q112" s="64">
        <f t="shared" si="7"/>
        <v>2.4599999999999986</v>
      </c>
      <c r="R112" s="64">
        <f t="shared" ca="1" si="5"/>
        <v>-11.674236705668722</v>
      </c>
      <c r="T112" s="35">
        <f ca="1">DATA!AM107*$B$7</f>
        <v>48707.36179383433</v>
      </c>
    </row>
    <row r="113" spans="15:20" x14ac:dyDescent="0.25">
      <c r="O113" s="38">
        <f t="shared" ca="1" si="8"/>
        <v>2.2037442936669702E-3</v>
      </c>
      <c r="P113" s="39">
        <f t="shared" si="6"/>
        <v>8.300000000000006E-2</v>
      </c>
      <c r="Q113" s="64">
        <f t="shared" si="7"/>
        <v>2.4899999999999984</v>
      </c>
      <c r="R113" s="64">
        <f t="shared" ca="1" si="5"/>
        <v>-11.819654226469559</v>
      </c>
      <c r="T113" s="35">
        <f ca="1">DATA!AM108*$B$7</f>
        <v>-136719.79798700212</v>
      </c>
    </row>
    <row r="114" spans="15:20" x14ac:dyDescent="0.25">
      <c r="O114" s="38">
        <f t="shared" ca="1" si="8"/>
        <v>2.1892564259657641E-3</v>
      </c>
      <c r="P114" s="39">
        <f t="shared" si="6"/>
        <v>8.4000000000000061E-2</v>
      </c>
      <c r="Q114" s="64">
        <f t="shared" si="7"/>
        <v>2.5199999999999982</v>
      </c>
      <c r="R114" s="64">
        <f t="shared" ca="1" si="5"/>
        <v>-11.965071747270397</v>
      </c>
      <c r="T114" s="35">
        <f ca="1">DATA!AM109*$B$7</f>
        <v>-129262.07413943218</v>
      </c>
    </row>
    <row r="115" spans="15:20" x14ac:dyDescent="0.25">
      <c r="O115" s="38">
        <f t="shared" ca="1" si="8"/>
        <v>2.1747692671461641E-3</v>
      </c>
      <c r="P115" s="39">
        <f t="shared" si="6"/>
        <v>8.5000000000000062E-2</v>
      </c>
      <c r="Q115" s="64">
        <f t="shared" si="7"/>
        <v>2.549999999999998</v>
      </c>
      <c r="R115" s="64">
        <f t="shared" ca="1" si="5"/>
        <v>-12.110489268071234</v>
      </c>
      <c r="T115" s="35">
        <f ca="1">DATA!AM110*$B$7</f>
        <v>26129.728362396974</v>
      </c>
    </row>
    <row r="116" spans="15:20" x14ac:dyDescent="0.25">
      <c r="O116" s="38">
        <f t="shared" ca="1" si="8"/>
        <v>2.1602828314697476E-3</v>
      </c>
      <c r="P116" s="39">
        <f t="shared" si="6"/>
        <v>8.6000000000000063E-2</v>
      </c>
      <c r="Q116" s="64">
        <f t="shared" si="7"/>
        <v>2.5799999999999979</v>
      </c>
      <c r="R116" s="64">
        <f t="shared" ca="1" si="5"/>
        <v>-12.255906788872071</v>
      </c>
      <c r="T116" s="35">
        <f ca="1">DATA!AM111*$B$7</f>
        <v>85956.720656400474</v>
      </c>
    </row>
    <row r="117" spans="15:20" x14ac:dyDescent="0.25">
      <c r="O117" s="38">
        <f t="shared" ca="1" si="8"/>
        <v>2.1457971335824945E-3</v>
      </c>
      <c r="P117" s="39">
        <f t="shared" si="6"/>
        <v>8.7000000000000063E-2</v>
      </c>
      <c r="Q117" s="64">
        <f t="shared" si="7"/>
        <v>2.6099999999999977</v>
      </c>
      <c r="R117" s="64">
        <f t="shared" ca="1" si="5"/>
        <v>-12.401324309672908</v>
      </c>
      <c r="T117" s="35">
        <f ca="1">DATA!AM112*$B$7</f>
        <v>86873.181498107544</v>
      </c>
    </row>
    <row r="118" spans="15:20" x14ac:dyDescent="0.25">
      <c r="O118" s="38">
        <f t="shared" ca="1" si="8"/>
        <v>2.1313121885278008E-3</v>
      </c>
      <c r="P118" s="39">
        <f t="shared" si="6"/>
        <v>8.8000000000000064E-2</v>
      </c>
      <c r="Q118" s="64">
        <f t="shared" si="7"/>
        <v>2.6399999999999975</v>
      </c>
      <c r="R118" s="64">
        <f t="shared" ca="1" si="5"/>
        <v>-12.546741830473746</v>
      </c>
      <c r="T118" s="35">
        <f ca="1">DATA!AM113*$B$7</f>
        <v>55097.267764228025</v>
      </c>
    </row>
    <row r="119" spans="15:20" x14ac:dyDescent="0.25">
      <c r="O119" s="38">
        <f t="shared" ca="1" si="8"/>
        <v>2.1168280117600229E-3</v>
      </c>
      <c r="P119" s="39">
        <f t="shared" si="6"/>
        <v>8.9000000000000065E-2</v>
      </c>
      <c r="Q119" s="64">
        <f t="shared" si="7"/>
        <v>2.6699999999999973</v>
      </c>
      <c r="R119" s="64">
        <f t="shared" ca="1" si="5"/>
        <v>-12.692159351274583</v>
      </c>
      <c r="T119" s="35">
        <f ca="1">DATA!AM114*$B$7</f>
        <v>221173.85154098779</v>
      </c>
    </row>
    <row r="120" spans="15:20" x14ac:dyDescent="0.25">
      <c r="O120" s="38">
        <f t="shared" ca="1" si="8"/>
        <v>2.1023446191585802E-3</v>
      </c>
      <c r="P120" s="39">
        <f t="shared" si="6"/>
        <v>9.0000000000000066E-2</v>
      </c>
      <c r="Q120" s="64">
        <f t="shared" si="7"/>
        <v>2.6999999999999971</v>
      </c>
      <c r="R120" s="64">
        <f t="shared" ca="1" si="5"/>
        <v>-12.83757687207542</v>
      </c>
      <c r="T120" s="35">
        <f ca="1">DATA!AM115*$B$7</f>
        <v>-559661.81268397754</v>
      </c>
    </row>
    <row r="121" spans="15:20" x14ac:dyDescent="0.25">
      <c r="O121" s="38">
        <f t="shared" ca="1" si="8"/>
        <v>2.0878620270426379E-3</v>
      </c>
      <c r="P121" s="39">
        <f t="shared" si="6"/>
        <v>9.1000000000000067E-2</v>
      </c>
      <c r="Q121" s="64">
        <f t="shared" si="7"/>
        <v>2.7299999999999969</v>
      </c>
      <c r="R121" s="64">
        <f t="shared" ca="1" si="5"/>
        <v>-12.982994392876257</v>
      </c>
      <c r="T121" s="35">
        <f ca="1">DATA!AM116*$B$7</f>
        <v>-34085.340134992468</v>
      </c>
    </row>
    <row r="122" spans="15:20" x14ac:dyDescent="0.25">
      <c r="O122" s="38">
        <f t="shared" ca="1" si="8"/>
        <v>2.073380252186406E-3</v>
      </c>
      <c r="P122" s="39">
        <f t="shared" si="6"/>
        <v>9.2000000000000068E-2</v>
      </c>
      <c r="Q122" s="64">
        <f t="shared" si="7"/>
        <v>2.7599999999999967</v>
      </c>
      <c r="R122" s="64">
        <f t="shared" ca="1" si="5"/>
        <v>-13.128411913677095</v>
      </c>
      <c r="T122" s="35">
        <f ca="1">DATA!AM117*$B$7</f>
        <v>-94369.825453210608</v>
      </c>
    </row>
    <row r="123" spans="15:20" x14ac:dyDescent="0.25">
      <c r="O123" s="38">
        <f t="shared" ca="1" si="8"/>
        <v>2.0588993118350759E-3</v>
      </c>
      <c r="P123" s="39">
        <f t="shared" si="6"/>
        <v>9.3000000000000069E-2</v>
      </c>
      <c r="Q123" s="64">
        <f t="shared" si="7"/>
        <v>2.7899999999999965</v>
      </c>
      <c r="R123" s="64">
        <f t="shared" ca="1" si="5"/>
        <v>-13.273829434477932</v>
      </c>
      <c r="T123" s="35">
        <f ca="1">DATA!AM118*$B$7</f>
        <v>398991.40689503722</v>
      </c>
    </row>
    <row r="124" spans="15:20" x14ac:dyDescent="0.25">
      <c r="O124" s="38">
        <f t="shared" ca="1" si="8"/>
        <v>2.0444192237214333E-3</v>
      </c>
      <c r="P124" s="39">
        <f t="shared" si="6"/>
        <v>9.400000000000007E-2</v>
      </c>
      <c r="Q124" s="64">
        <f t="shared" si="7"/>
        <v>2.8199999999999963</v>
      </c>
      <c r="R124" s="64">
        <f t="shared" ca="1" si="5"/>
        <v>-13.419246955278769</v>
      </c>
      <c r="T124" s="35">
        <f ca="1">DATA!AM119*$B$7</f>
        <v>343589.91754357872</v>
      </c>
    </row>
    <row r="125" spans="15:20" x14ac:dyDescent="0.25">
      <c r="O125" s="38">
        <f t="shared" ca="1" si="8"/>
        <v>2.0299400060831752E-3</v>
      </c>
      <c r="P125" s="39">
        <f t="shared" si="6"/>
        <v>9.500000000000007E-2</v>
      </c>
      <c r="Q125" s="64">
        <f t="shared" si="7"/>
        <v>2.8499999999999961</v>
      </c>
      <c r="R125" s="64">
        <f t="shared" ca="1" si="5"/>
        <v>-13.564664476079606</v>
      </c>
      <c r="T125" s="35">
        <f ca="1">DATA!AM120*$B$7</f>
        <v>-249117.06785511694</v>
      </c>
    </row>
    <row r="126" spans="15:20" x14ac:dyDescent="0.25">
      <c r="O126" s="38">
        <f t="shared" ca="1" si="8"/>
        <v>2.01546167768097E-3</v>
      </c>
      <c r="P126" s="39">
        <f t="shared" si="6"/>
        <v>9.6000000000000071E-2</v>
      </c>
      <c r="Q126" s="64">
        <f t="shared" si="7"/>
        <v>2.8799999999999959</v>
      </c>
      <c r="R126" s="64">
        <f t="shared" ca="1" si="5"/>
        <v>-13.710081996880444</v>
      </c>
      <c r="T126" s="35">
        <f ca="1">DATA!AM121*$B$7</f>
        <v>24115.426010746545</v>
      </c>
    </row>
    <row r="127" spans="15:20" x14ac:dyDescent="0.25">
      <c r="O127" s="38">
        <f t="shared" ca="1" si="8"/>
        <v>2.0009842578172948E-3</v>
      </c>
      <c r="P127" s="39">
        <f t="shared" si="6"/>
        <v>9.7000000000000072E-2</v>
      </c>
      <c r="Q127" s="64">
        <f t="shared" si="7"/>
        <v>2.9099999999999957</v>
      </c>
      <c r="R127" s="64">
        <f t="shared" ca="1" si="5"/>
        <v>-13.855499517681281</v>
      </c>
      <c r="T127" s="35">
        <f ca="1">DATA!AM122*$B$7</f>
        <v>139603.19351764515</v>
      </c>
    </row>
    <row r="128" spans="15:20" x14ac:dyDescent="0.25">
      <c r="O128" s="38">
        <f t="shared" ca="1" si="8"/>
        <v>1.986507766356096E-3</v>
      </c>
      <c r="P128" s="39">
        <f t="shared" si="6"/>
        <v>9.8000000000000073E-2</v>
      </c>
      <c r="Q128" s="64">
        <f t="shared" si="7"/>
        <v>2.9399999999999955</v>
      </c>
      <c r="R128" s="64">
        <f t="shared" ca="1" si="5"/>
        <v>-14.000917038482118</v>
      </c>
      <c r="T128" s="35">
        <f ca="1">DATA!AM123*$B$7</f>
        <v>61867.603285132711</v>
      </c>
    </row>
    <row r="129" spans="15:20" x14ac:dyDescent="0.25">
      <c r="O129" s="38">
        <f t="shared" ca="1" si="8"/>
        <v>1.9720322237433033E-3</v>
      </c>
      <c r="P129" s="39">
        <f t="shared" si="6"/>
        <v>9.9000000000000074E-2</v>
      </c>
      <c r="Q129" s="64">
        <f t="shared" si="7"/>
        <v>2.9699999999999953</v>
      </c>
      <c r="R129" s="64">
        <f t="shared" ca="1" si="5"/>
        <v>-14.146334559282955</v>
      </c>
      <c r="T129" s="35">
        <f ca="1">DATA!AM124*$B$7</f>
        <v>476472.06583288958</v>
      </c>
    </row>
    <row r="130" spans="15:20" x14ac:dyDescent="0.25">
      <c r="O130" s="38">
        <f t="shared" ca="1" si="8"/>
        <v>1.9575576510282504E-3</v>
      </c>
      <c r="P130" s="39">
        <f t="shared" si="6"/>
        <v>0.10000000000000007</v>
      </c>
      <c r="Q130" s="64">
        <f t="shared" si="7"/>
        <v>2.9999999999999951</v>
      </c>
      <c r="R130" s="64">
        <f t="shared" ca="1" si="5"/>
        <v>-14.291752080083793</v>
      </c>
      <c r="T130" s="35">
        <f ca="1">DATA!AM125*$B$7</f>
        <v>-24800.547130491148</v>
      </c>
    </row>
    <row r="131" spans="15:20" x14ac:dyDescent="0.25">
      <c r="O131" s="38">
        <f t="shared" ca="1" si="8"/>
        <v>1.9430840698860508E-3</v>
      </c>
      <c r="P131" s="39">
        <f t="shared" si="6"/>
        <v>0.10100000000000008</v>
      </c>
      <c r="Q131" s="64">
        <f t="shared" si="7"/>
        <v>3.0299999999999949</v>
      </c>
      <c r="R131" s="64">
        <f t="shared" ca="1" si="5"/>
        <v>-14.43716960088463</v>
      </c>
      <c r="T131" s="35">
        <f ca="1">DATA!AM126*$B$7</f>
        <v>7102.8515009686571</v>
      </c>
    </row>
    <row r="132" spans="15:20" x14ac:dyDescent="0.25">
      <c r="O132" s="38">
        <f t="shared" ca="1" si="8"/>
        <v>1.9286115026409679E-3</v>
      </c>
      <c r="P132" s="39">
        <f t="shared" si="6"/>
        <v>0.10200000000000008</v>
      </c>
      <c r="Q132" s="64">
        <f t="shared" si="7"/>
        <v>3.0599999999999947</v>
      </c>
      <c r="R132" s="64">
        <f t="shared" ca="1" si="5"/>
        <v>-14.582587121685467</v>
      </c>
      <c r="T132" s="35">
        <f ca="1">DATA!AM127*$B$7</f>
        <v>-517567.29157817329</v>
      </c>
    </row>
    <row r="133" spans="15:20" x14ac:dyDescent="0.25">
      <c r="O133" s="38">
        <f t="shared" ca="1" si="8"/>
        <v>1.9141399722908403E-3</v>
      </c>
      <c r="P133" s="39">
        <f t="shared" si="6"/>
        <v>0.10300000000000008</v>
      </c>
      <c r="Q133" s="64">
        <f t="shared" si="7"/>
        <v>3.0899999999999945</v>
      </c>
      <c r="R133" s="64">
        <f t="shared" ca="1" si="5"/>
        <v>-14.728004642486304</v>
      </c>
      <c r="T133" s="35">
        <f ca="1">DATA!AM128*$B$7</f>
        <v>273245.14182582963</v>
      </c>
    </row>
    <row r="134" spans="15:20" x14ac:dyDescent="0.25">
      <c r="O134" s="38">
        <f t="shared" ca="1" si="8"/>
        <v>1.8996695025326172E-3</v>
      </c>
      <c r="P134" s="39">
        <f t="shared" si="6"/>
        <v>0.10400000000000008</v>
      </c>
      <c r="Q134" s="64">
        <f t="shared" si="7"/>
        <v>3.1199999999999943</v>
      </c>
      <c r="R134" s="64">
        <f t="shared" ca="1" si="5"/>
        <v>-14.873422163287142</v>
      </c>
      <c r="T134" s="35">
        <f ca="1">DATA!AM129*$B$7</f>
        <v>-195727.76194914445</v>
      </c>
    </row>
    <row r="135" spans="15:20" x14ac:dyDescent="0.25">
      <c r="O135" s="38">
        <f t="shared" ca="1" si="8"/>
        <v>1.8852001177890572E-3</v>
      </c>
      <c r="P135" s="39">
        <f t="shared" si="6"/>
        <v>0.10500000000000008</v>
      </c>
      <c r="Q135" s="64">
        <f t="shared" si="7"/>
        <v>3.1499999999999941</v>
      </c>
      <c r="R135" s="64">
        <f t="shared" ca="1" si="5"/>
        <v>-15.018839684087979</v>
      </c>
      <c r="T135" s="35">
        <f ca="1">DATA!AM130*$B$7</f>
        <v>299426.08367305534</v>
      </c>
    </row>
    <row r="136" spans="15:20" x14ac:dyDescent="0.25">
      <c r="O136" s="38">
        <f t="shared" ca="1" si="8"/>
        <v>1.8707318432366633E-3</v>
      </c>
      <c r="P136" s="39">
        <f t="shared" si="6"/>
        <v>0.10600000000000008</v>
      </c>
      <c r="Q136" s="64">
        <f t="shared" si="7"/>
        <v>3.1799999999999939</v>
      </c>
      <c r="R136" s="64">
        <f t="shared" ca="1" si="5"/>
        <v>-15.164257204888816</v>
      </c>
      <c r="T136" s="35">
        <f ca="1">DATA!AM131*$B$7</f>
        <v>334620.15215514501</v>
      </c>
    </row>
    <row r="137" spans="15:20" x14ac:dyDescent="0.25">
      <c r="O137" s="38">
        <f t="shared" ca="1" si="8"/>
        <v>1.8562647048349077E-3</v>
      </c>
      <c r="P137" s="39">
        <f t="shared" si="6"/>
        <v>0.10700000000000008</v>
      </c>
      <c r="Q137" s="64">
        <f t="shared" si="7"/>
        <v>3.2099999999999937</v>
      </c>
      <c r="R137" s="64">
        <f t="shared" ca="1" si="5"/>
        <v>-15.309674725689653</v>
      </c>
      <c r="T137" s="35">
        <f ca="1">DATA!AM132*$B$7</f>
        <v>-106159.18141502733</v>
      </c>
    </row>
    <row r="138" spans="15:20" x14ac:dyDescent="0.25">
      <c r="O138" s="38">
        <f t="shared" ca="1" si="8"/>
        <v>1.8417987293568277E-3</v>
      </c>
      <c r="P138" s="39">
        <f t="shared" si="6"/>
        <v>0.10800000000000008</v>
      </c>
      <c r="Q138" s="64">
        <f t="shared" si="7"/>
        <v>3.2399999999999936</v>
      </c>
      <c r="R138" s="64">
        <f t="shared" ca="1" si="5"/>
        <v>-15.455092246490491</v>
      </c>
      <c r="T138" s="35">
        <f ca="1">DATA!AM133*$B$7</f>
        <v>97733.62531354047</v>
      </c>
    </row>
    <row r="139" spans="15:20" x14ac:dyDescent="0.25">
      <c r="O139" s="38">
        <f t="shared" ca="1" si="8"/>
        <v>1.8273339444210617E-3</v>
      </c>
      <c r="P139" s="39">
        <f t="shared" si="6"/>
        <v>0.10900000000000008</v>
      </c>
      <c r="Q139" s="64">
        <f t="shared" si="7"/>
        <v>3.2699999999999934</v>
      </c>
      <c r="R139" s="64">
        <f t="shared" ca="1" si="5"/>
        <v>-15.600509767291328</v>
      </c>
      <c r="T139" s="35">
        <f ca="1">DATA!AM134*$B$7</f>
        <v>301087.53804748325</v>
      </c>
    </row>
    <row r="140" spans="15:20" x14ac:dyDescent="0.25">
      <c r="O140" s="38">
        <f t="shared" ca="1" si="8"/>
        <v>1.8128703785254096E-3</v>
      </c>
      <c r="P140" s="39">
        <f t="shared" si="6"/>
        <v>0.11000000000000008</v>
      </c>
      <c r="Q140" s="64">
        <f t="shared" si="7"/>
        <v>3.2999999999999932</v>
      </c>
      <c r="R140" s="64">
        <f t="shared" ca="1" si="5"/>
        <v>-15.745927288092165</v>
      </c>
      <c r="T140" s="35">
        <f ca="1">DATA!AM135*$B$7</f>
        <v>212291.64988408762</v>
      </c>
    </row>
    <row r="141" spans="15:20" x14ac:dyDescent="0.25">
      <c r="O141" s="38">
        <f t="shared" ca="1" si="8"/>
        <v>1.7984080610819952E-3</v>
      </c>
      <c r="P141" s="39">
        <f t="shared" si="6"/>
        <v>0.11100000000000008</v>
      </c>
      <c r="Q141" s="64">
        <f t="shared" si="7"/>
        <v>3.329999999999993</v>
      </c>
      <c r="R141" s="64">
        <f t="shared" ca="1" si="5"/>
        <v>-15.891344808893002</v>
      </c>
      <c r="T141" s="35">
        <f ca="1">DATA!AM136*$B$7</f>
        <v>-44403.843634801175</v>
      </c>
    </row>
    <row r="142" spans="15:20" x14ac:dyDescent="0.25">
      <c r="O142" s="38">
        <f t="shared" ca="1" si="8"/>
        <v>1.7839470224541298E-3</v>
      </c>
      <c r="P142" s="39">
        <f t="shared" si="6"/>
        <v>0.11200000000000009</v>
      </c>
      <c r="Q142" s="64">
        <f t="shared" si="7"/>
        <v>3.3599999999999928</v>
      </c>
      <c r="R142" s="64">
        <f t="shared" ca="1" si="5"/>
        <v>-16.03676232969384</v>
      </c>
      <c r="T142" s="35">
        <f ca="1">DATA!AM137*$B$7</f>
        <v>494546.18428001384</v>
      </c>
    </row>
    <row r="143" spans="15:20" x14ac:dyDescent="0.25">
      <c r="O143" s="38">
        <f t="shared" ca="1" si="8"/>
        <v>1.7694872939949652E-3</v>
      </c>
      <c r="P143" s="39">
        <f t="shared" si="6"/>
        <v>0.11300000000000009</v>
      </c>
      <c r="Q143" s="64">
        <f t="shared" si="7"/>
        <v>3.3899999999999926</v>
      </c>
      <c r="R143" s="64">
        <f t="shared" ca="1" si="5"/>
        <v>-16.182179850494677</v>
      </c>
      <c r="T143" s="35">
        <f ca="1">DATA!AM138*$B$7</f>
        <v>-160558.22513421418</v>
      </c>
    </row>
    <row r="144" spans="15:20" x14ac:dyDescent="0.25">
      <c r="O144" s="38">
        <f t="shared" ca="1" si="8"/>
        <v>1.7550289080880425E-3</v>
      </c>
      <c r="P144" s="39">
        <f t="shared" si="6"/>
        <v>0.11400000000000009</v>
      </c>
      <c r="Q144" s="64">
        <f t="shared" si="7"/>
        <v>3.4199999999999924</v>
      </c>
      <c r="R144" s="64">
        <f t="shared" ca="1" si="5"/>
        <v>-16.327597371295514</v>
      </c>
      <c r="T144" s="35">
        <f ca="1">DATA!AM139*$B$7</f>
        <v>-399733.70125798514</v>
      </c>
    </row>
    <row r="145" spans="15:20" x14ac:dyDescent="0.25">
      <c r="O145" s="38">
        <f t="shared" ca="1" si="8"/>
        <v>1.7405718981898461E-3</v>
      </c>
      <c r="P145" s="39">
        <f t="shared" si="6"/>
        <v>0.11500000000000009</v>
      </c>
      <c r="Q145" s="64">
        <f t="shared" si="7"/>
        <v>3.4499999999999922</v>
      </c>
      <c r="R145" s="64">
        <f t="shared" ca="1" si="5"/>
        <v>-16.473014892096352</v>
      </c>
      <c r="T145" s="35">
        <f ca="1">DATA!AM140*$B$7</f>
        <v>-466452.16998948081</v>
      </c>
    </row>
    <row r="146" spans="15:20" x14ac:dyDescent="0.25">
      <c r="O146" s="38">
        <f t="shared" ca="1" si="8"/>
        <v>1.726116298874474E-3</v>
      </c>
      <c r="P146" s="39">
        <f t="shared" si="6"/>
        <v>0.11600000000000009</v>
      </c>
      <c r="Q146" s="64">
        <f t="shared" si="7"/>
        <v>3.479999999999992</v>
      </c>
      <c r="R146" s="64">
        <f t="shared" ca="1" si="5"/>
        <v>-16.618432412897189</v>
      </c>
      <c r="T146" s="35">
        <f ca="1">DATA!AM141*$B$7</f>
        <v>108882.82471885969</v>
      </c>
    </row>
    <row r="147" spans="15:20" x14ac:dyDescent="0.25">
      <c r="O147" s="38">
        <f t="shared" ca="1" si="8"/>
        <v>1.7116621458805579E-3</v>
      </c>
      <c r="P147" s="39">
        <f t="shared" si="6"/>
        <v>0.11700000000000009</v>
      </c>
      <c r="Q147" s="64">
        <f t="shared" si="7"/>
        <v>3.5099999999999918</v>
      </c>
      <c r="R147" s="64">
        <f t="shared" ca="1" si="5"/>
        <v>-16.763849933698026</v>
      </c>
      <c r="T147" s="35">
        <f ca="1">DATA!AM142*$B$7</f>
        <v>303369.77349941735</v>
      </c>
    </row>
    <row r="148" spans="15:20" x14ac:dyDescent="0.25">
      <c r="O148" s="38">
        <f t="shared" ca="1" si="8"/>
        <v>1.6972094761605523E-3</v>
      </c>
      <c r="P148" s="39">
        <f t="shared" si="6"/>
        <v>0.11800000000000009</v>
      </c>
      <c r="Q148" s="64">
        <f t="shared" si="7"/>
        <v>3.5399999999999916</v>
      </c>
      <c r="R148" s="64">
        <f t="shared" ca="1" si="5"/>
        <v>-16.909267454498863</v>
      </c>
      <c r="T148" s="35">
        <f ca="1">DATA!AM143*$B$7</f>
        <v>74828.703645627655</v>
      </c>
    </row>
    <row r="149" spans="15:20" x14ac:dyDescent="0.25">
      <c r="O149" s="38">
        <f t="shared" ca="1" si="8"/>
        <v>1.682758327932543E-3</v>
      </c>
      <c r="P149" s="39">
        <f t="shared" si="6"/>
        <v>0.11900000000000009</v>
      </c>
      <c r="Q149" s="64">
        <f t="shared" si="7"/>
        <v>3.5699999999999914</v>
      </c>
      <c r="R149" s="64">
        <f t="shared" ca="1" si="5"/>
        <v>-17.054684975299701</v>
      </c>
      <c r="T149" s="35">
        <f ca="1">DATA!AM144*$B$7</f>
        <v>147409.28544511492</v>
      </c>
    </row>
    <row r="150" spans="15:20" x14ac:dyDescent="0.25">
      <c r="O150" s="38">
        <f t="shared" ca="1" si="8"/>
        <v>1.6683087407347286E-3</v>
      </c>
      <c r="P150" s="39">
        <f t="shared" si="6"/>
        <v>0.12000000000000009</v>
      </c>
      <c r="Q150" s="64">
        <f t="shared" si="7"/>
        <v>3.5999999999999912</v>
      </c>
      <c r="R150" s="64">
        <f t="shared" ca="1" si="5"/>
        <v>-17.200102496100538</v>
      </c>
      <c r="T150" s="35">
        <f ca="1">DATA!AM145*$B$7</f>
        <v>-425535.37247313111</v>
      </c>
    </row>
    <row r="151" spans="15:20" x14ac:dyDescent="0.25">
      <c r="O151" s="38">
        <f t="shared" ca="1" si="8"/>
        <v>1.6538607554827211E-3</v>
      </c>
      <c r="P151" s="39">
        <f t="shared" si="6"/>
        <v>0.12100000000000009</v>
      </c>
      <c r="Q151" s="64">
        <f t="shared" si="7"/>
        <v>3.629999999999991</v>
      </c>
      <c r="R151" s="64">
        <f t="shared" ca="1" si="5"/>
        <v>-17.345520016901375</v>
      </c>
      <c r="T151" s="35">
        <f ca="1">DATA!AM146*$B$7</f>
        <v>84105.589333136566</v>
      </c>
    </row>
    <row r="152" spans="15:20" x14ac:dyDescent="0.25">
      <c r="O152" s="38">
        <f t="shared" ca="1" si="8"/>
        <v>1.6394144145298571E-3</v>
      </c>
      <c r="P152" s="39">
        <f t="shared" si="6"/>
        <v>0.12200000000000009</v>
      </c>
      <c r="Q152" s="64">
        <f t="shared" si="7"/>
        <v>3.6599999999999908</v>
      </c>
      <c r="R152" s="64">
        <f t="shared" ca="1" si="5"/>
        <v>-17.490937537702212</v>
      </c>
      <c r="T152" s="35">
        <f ca="1">DATA!AM147*$B$7</f>
        <v>309021.29939178872</v>
      </c>
    </row>
    <row r="153" spans="15:20" x14ac:dyDescent="0.25">
      <c r="O153" s="38">
        <f t="shared" ca="1" si="8"/>
        <v>1.6249697617306863E-3</v>
      </c>
      <c r="P153" s="39">
        <f t="shared" si="6"/>
        <v>0.1230000000000001</v>
      </c>
      <c r="Q153" s="64">
        <f t="shared" si="7"/>
        <v>3.6899999999999906</v>
      </c>
      <c r="R153" s="64">
        <f t="shared" ca="1" si="5"/>
        <v>-17.63635505850305</v>
      </c>
      <c r="T153" s="35">
        <f ca="1">DATA!AM148*$B$7</f>
        <v>-263981.08669392002</v>
      </c>
    </row>
    <row r="154" spans="15:20" x14ac:dyDescent="0.25">
      <c r="O154" s="38">
        <f t="shared" ca="1" si="8"/>
        <v>1.6105268425078503E-3</v>
      </c>
      <c r="P154" s="39">
        <f t="shared" si="6"/>
        <v>0.1240000000000001</v>
      </c>
      <c r="Q154" s="64">
        <f t="shared" si="7"/>
        <v>3.7199999999999904</v>
      </c>
      <c r="R154" s="64">
        <f t="shared" ca="1" si="5"/>
        <v>-17.781772579303887</v>
      </c>
      <c r="T154" s="35">
        <f ca="1">DATA!AM149*$B$7</f>
        <v>-426012.81283201114</v>
      </c>
    </row>
    <row r="155" spans="15:20" x14ac:dyDescent="0.25">
      <c r="O155" s="38">
        <f t="shared" ca="1" si="8"/>
        <v>1.596085703922551E-3</v>
      </c>
      <c r="P155" s="39">
        <f t="shared" si="6"/>
        <v>0.12500000000000008</v>
      </c>
      <c r="Q155" s="64">
        <f t="shared" si="7"/>
        <v>3.7499999999999902</v>
      </c>
      <c r="R155" s="64">
        <f t="shared" ca="1" si="5"/>
        <v>-17.927190100104724</v>
      </c>
      <c r="T155" s="35">
        <f ca="1">DATA!AM150*$B$7</f>
        <v>-377510.57481934817</v>
      </c>
    </row>
    <row r="156" spans="15:20" x14ac:dyDescent="0.25">
      <c r="O156" s="38">
        <f t="shared" ca="1" si="8"/>
        <v>1.5816463947488381E-3</v>
      </c>
      <c r="P156" s="39">
        <f t="shared" si="6"/>
        <v>0.12600000000000008</v>
      </c>
      <c r="Q156" s="64">
        <f t="shared" si="7"/>
        <v>3.77999999999999</v>
      </c>
      <c r="R156" s="64">
        <f t="shared" ca="1" si="5"/>
        <v>-18.072607620905561</v>
      </c>
      <c r="T156" s="35">
        <f ca="1">DATA!AM151*$B$7</f>
        <v>137707.51335602376</v>
      </c>
    </row>
    <row r="157" spans="15:20" x14ac:dyDescent="0.25">
      <c r="O157" s="38">
        <f t="shared" ca="1" si="8"/>
        <v>1.5672089655519655E-3</v>
      </c>
      <c r="P157" s="39">
        <f t="shared" si="6"/>
        <v>0.12700000000000009</v>
      </c>
      <c r="Q157" s="64">
        <f t="shared" si="7"/>
        <v>3.8099999999999898</v>
      </c>
      <c r="R157" s="64">
        <f t="shared" ca="1" si="5"/>
        <v>-18.218025141706399</v>
      </c>
      <c r="T157" s="35">
        <f ca="1">DATA!AM152*$B$7</f>
        <v>-102791.62941957726</v>
      </c>
    </row>
    <row r="158" spans="15:20" x14ac:dyDescent="0.25">
      <c r="O158" s="38">
        <f t="shared" ca="1" si="8"/>
        <v>1.5527734687710709E-3</v>
      </c>
      <c r="P158" s="39">
        <f t="shared" si="6"/>
        <v>0.12800000000000009</v>
      </c>
      <c r="Q158" s="64">
        <f t="shared" si="7"/>
        <v>3.8399999999999896</v>
      </c>
      <c r="R158" s="64">
        <f t="shared" ca="1" si="5"/>
        <v>-18.363442662507236</v>
      </c>
      <c r="T158" s="35">
        <f ca="1">DATA!AM153*$B$7</f>
        <v>-293958.67254345951</v>
      </c>
    </row>
    <row r="159" spans="15:20" x14ac:dyDescent="0.25">
      <c r="O159" s="38">
        <f t="shared" ca="1" si="8"/>
        <v>1.5383399588064525E-3</v>
      </c>
      <c r="P159" s="39">
        <f t="shared" si="6"/>
        <v>0.12900000000000009</v>
      </c>
      <c r="Q159" s="64">
        <f t="shared" si="7"/>
        <v>3.8699999999999894</v>
      </c>
      <c r="R159" s="64">
        <f t="shared" ref="R159:R222" ca="1" si="9">$B$8+$B$42*Q159</f>
        <v>-18.508860183308073</v>
      </c>
      <c r="T159" s="35">
        <f ca="1">DATA!AM154*$B$7</f>
        <v>-4743.8243638025679</v>
      </c>
    </row>
    <row r="160" spans="15:20" x14ac:dyDescent="0.25">
      <c r="O160" s="38">
        <f t="shared" ca="1" si="8"/>
        <v>1.5239084921117626E-3</v>
      </c>
      <c r="P160" s="39">
        <f t="shared" ref="P160:P223" si="10">P159+0.1%</f>
        <v>0.13000000000000009</v>
      </c>
      <c r="Q160" s="64">
        <f t="shared" ref="Q160:Q223" si="11">Q159+0.03</f>
        <v>3.8999999999999893</v>
      </c>
      <c r="R160" s="64">
        <f t="shared" ca="1" si="9"/>
        <v>-18.65427770410891</v>
      </c>
      <c r="T160" s="35">
        <f ca="1">DATA!AM155*$B$7</f>
        <v>139473.75288297285</v>
      </c>
    </row>
    <row r="161" spans="15:20" x14ac:dyDescent="0.25">
      <c r="O161" s="38">
        <f t="shared" ca="1" si="8"/>
        <v>1.5094791272914209E-3</v>
      </c>
      <c r="P161" s="39">
        <f t="shared" si="10"/>
        <v>0.13100000000000009</v>
      </c>
      <c r="Q161" s="64">
        <f t="shared" si="11"/>
        <v>3.9299999999999891</v>
      </c>
      <c r="R161" s="64">
        <f t="shared" ca="1" si="9"/>
        <v>-18.799695224909748</v>
      </c>
      <c r="T161" s="35">
        <f ca="1">DATA!AM156*$B$7</f>
        <v>213512.77180125675</v>
      </c>
    </row>
    <row r="162" spans="15:20" x14ac:dyDescent="0.25">
      <c r="O162" s="38">
        <f t="shared" ca="1" si="8"/>
        <v>1.4950519252036043E-3</v>
      </c>
      <c r="P162" s="39">
        <f t="shared" si="10"/>
        <v>0.13200000000000009</v>
      </c>
      <c r="Q162" s="64">
        <f t="shared" si="11"/>
        <v>3.9599999999999889</v>
      </c>
      <c r="R162" s="64">
        <f t="shared" ca="1" si="9"/>
        <v>-18.945112745710585</v>
      </c>
      <c r="T162" s="35">
        <f ca="1">DATA!AM157*$B$7</f>
        <v>63919.514033072119</v>
      </c>
    </row>
    <row r="163" spans="15:20" x14ac:dyDescent="0.25">
      <c r="O163" s="38">
        <f t="shared" ca="1" si="8"/>
        <v>1.4806269490691957E-3</v>
      </c>
      <c r="P163" s="39">
        <f t="shared" si="10"/>
        <v>0.13300000000000009</v>
      </c>
      <c r="Q163" s="64">
        <f t="shared" si="11"/>
        <v>3.9899999999999887</v>
      </c>
      <c r="R163" s="64">
        <f t="shared" ca="1" si="9"/>
        <v>-19.090530266511422</v>
      </c>
      <c r="T163" s="35">
        <f ca="1">DATA!AM158*$B$7</f>
        <v>-147464.30302148979</v>
      </c>
    </row>
    <row r="164" spans="15:20" x14ac:dyDescent="0.25">
      <c r="O164" s="38">
        <f t="shared" ref="O164:O227" ca="1" si="12">SQRT(($B$36*P164^2 - 2*$B$37*P164 +$B$38)/$B$39)</f>
        <v>1.4662042645870732E-3</v>
      </c>
      <c r="P164" s="39">
        <f t="shared" si="10"/>
        <v>0.13400000000000009</v>
      </c>
      <c r="Q164" s="64">
        <f t="shared" si="11"/>
        <v>4.0199999999999889</v>
      </c>
      <c r="R164" s="64">
        <f t="shared" ca="1" si="9"/>
        <v>-19.235947787312259</v>
      </c>
      <c r="T164" s="35">
        <f ca="1">DATA!AM159*$B$7</f>
        <v>-40881.80395546028</v>
      </c>
    </row>
    <row r="165" spans="15:20" x14ac:dyDescent="0.25">
      <c r="O165" s="38">
        <f t="shared" ca="1" si="12"/>
        <v>1.4517839400561988E-3</v>
      </c>
      <c r="P165" s="39">
        <f t="shared" si="10"/>
        <v>0.13500000000000009</v>
      </c>
      <c r="Q165" s="64">
        <f t="shared" si="11"/>
        <v>4.0499999999999892</v>
      </c>
      <c r="R165" s="64">
        <f t="shared" ca="1" si="9"/>
        <v>-19.3813653081131</v>
      </c>
      <c r="T165" s="35">
        <f ca="1">DATA!AM160*$B$7</f>
        <v>-35356.033154768316</v>
      </c>
    </row>
    <row r="166" spans="15:20" x14ac:dyDescent="0.25">
      <c r="O166" s="38">
        <f t="shared" ca="1" si="12"/>
        <v>1.4373660465049583E-3</v>
      </c>
      <c r="P166" s="39">
        <f t="shared" si="10"/>
        <v>0.13600000000000009</v>
      </c>
      <c r="Q166" s="64">
        <f t="shared" si="11"/>
        <v>4.0799999999999894</v>
      </c>
      <c r="R166" s="64">
        <f t="shared" ca="1" si="9"/>
        <v>-19.526782828913941</v>
      </c>
      <c r="T166" s="35">
        <f ca="1">DATA!AM161*$B$7</f>
        <v>122401.75392899933</v>
      </c>
    </row>
    <row r="167" spans="15:20" x14ac:dyDescent="0.25">
      <c r="O167" s="38">
        <f t="shared" ca="1" si="12"/>
        <v>1.4229506578282681E-3</v>
      </c>
      <c r="P167" s="39">
        <f t="shared" si="10"/>
        <v>0.13700000000000009</v>
      </c>
      <c r="Q167" s="64">
        <f t="shared" si="11"/>
        <v>4.1099999999999897</v>
      </c>
      <c r="R167" s="64">
        <f t="shared" ca="1" si="9"/>
        <v>-19.672200349714778</v>
      </c>
      <c r="T167" s="35">
        <f ca="1">DATA!AM162*$B$7</f>
        <v>-105976.51537632082</v>
      </c>
    </row>
    <row r="168" spans="15:20" x14ac:dyDescent="0.25">
      <c r="O168" s="38">
        <f t="shared" ca="1" si="12"/>
        <v>1.4085378509329889E-3</v>
      </c>
      <c r="P168" s="39">
        <f t="shared" si="10"/>
        <v>0.13800000000000009</v>
      </c>
      <c r="Q168" s="64">
        <f t="shared" si="11"/>
        <v>4.1399999999999899</v>
      </c>
      <c r="R168" s="64">
        <f t="shared" ca="1" si="9"/>
        <v>-19.817617870515619</v>
      </c>
      <c r="T168" s="35">
        <f ca="1">DATA!AM163*$B$7</f>
        <v>215007.46023525629</v>
      </c>
    </row>
    <row r="169" spans="15:20" x14ac:dyDescent="0.25">
      <c r="O169" s="38">
        <f t="shared" ca="1" si="12"/>
        <v>1.3941277058922396E-3</v>
      </c>
      <c r="P169" s="39">
        <f t="shared" si="10"/>
        <v>0.1390000000000001</v>
      </c>
      <c r="Q169" s="64">
        <f t="shared" si="11"/>
        <v>4.1699999999999902</v>
      </c>
      <c r="R169" s="64">
        <f t="shared" ca="1" si="9"/>
        <v>-19.963035391316456</v>
      </c>
      <c r="T169" s="35">
        <f ca="1">DATA!AM164*$B$7</f>
        <v>-315915.99426764197</v>
      </c>
    </row>
    <row r="170" spans="15:20" x14ac:dyDescent="0.25">
      <c r="O170" s="38">
        <f t="shared" ca="1" si="12"/>
        <v>1.3797203061092526E-3</v>
      </c>
      <c r="P170" s="39">
        <f t="shared" si="10"/>
        <v>0.1400000000000001</v>
      </c>
      <c r="Q170" s="64">
        <f t="shared" si="11"/>
        <v>4.1999999999999904</v>
      </c>
      <c r="R170" s="64">
        <f t="shared" ca="1" si="9"/>
        <v>-20.108452912117297</v>
      </c>
      <c r="T170" s="35">
        <f ca="1">DATA!AM165*$B$7</f>
        <v>-92449.639856440539</v>
      </c>
    </row>
    <row r="171" spans="15:20" x14ac:dyDescent="0.25">
      <c r="O171" s="38">
        <f t="shared" ca="1" si="12"/>
        <v>1.3653157384914574E-3</v>
      </c>
      <c r="P171" s="39">
        <f t="shared" si="10"/>
        <v>0.1410000000000001</v>
      </c>
      <c r="Q171" s="64">
        <f t="shared" si="11"/>
        <v>4.2299999999999907</v>
      </c>
      <c r="R171" s="64">
        <f t="shared" ca="1" si="9"/>
        <v>-20.253870432918138</v>
      </c>
      <c r="T171" s="35">
        <f ca="1">DATA!AM166*$B$7</f>
        <v>59187.690098238651</v>
      </c>
    </row>
    <row r="172" spans="15:20" x14ac:dyDescent="0.25">
      <c r="O172" s="38">
        <f t="shared" ca="1" si="12"/>
        <v>1.3509140936355469E-3</v>
      </c>
      <c r="P172" s="39">
        <f t="shared" si="10"/>
        <v>0.1420000000000001</v>
      </c>
      <c r="Q172" s="64">
        <f t="shared" si="11"/>
        <v>4.2599999999999909</v>
      </c>
      <c r="R172" s="64">
        <f t="shared" ca="1" si="9"/>
        <v>-20.399287953718975</v>
      </c>
      <c r="T172" s="35">
        <f ca="1">DATA!AM167*$B$7</f>
        <v>213249.31706511066</v>
      </c>
    </row>
    <row r="173" spans="15:20" x14ac:dyDescent="0.25">
      <c r="O173" s="38">
        <f t="shared" ca="1" si="12"/>
        <v>1.3365154660243343E-3</v>
      </c>
      <c r="P173" s="39">
        <f t="shared" si="10"/>
        <v>0.1430000000000001</v>
      </c>
      <c r="Q173" s="64">
        <f t="shared" si="11"/>
        <v>4.2899999999999912</v>
      </c>
      <c r="R173" s="64">
        <f t="shared" ca="1" si="9"/>
        <v>-20.544705474519816</v>
      </c>
      <c r="T173" s="35">
        <f ca="1">DATA!AM168*$B$7</f>
        <v>-54574.417115503464</v>
      </c>
    </row>
    <row r="174" spans="15:20" x14ac:dyDescent="0.25">
      <c r="O174" s="38">
        <f t="shared" ca="1" si="12"/>
        <v>1.3221199542362821E-3</v>
      </c>
      <c r="P174" s="39">
        <f t="shared" si="10"/>
        <v>0.1440000000000001</v>
      </c>
      <c r="Q174" s="64">
        <f t="shared" si="11"/>
        <v>4.3199999999999914</v>
      </c>
      <c r="R174" s="64">
        <f t="shared" ca="1" si="9"/>
        <v>-20.690122995320653</v>
      </c>
      <c r="T174" s="35">
        <f ca="1">DATA!AM169*$B$7</f>
        <v>236325.04927603592</v>
      </c>
    </row>
    <row r="175" spans="15:20" x14ac:dyDescent="0.25">
      <c r="O175" s="38">
        <f t="shared" ca="1" si="12"/>
        <v>1.307727661168667E-3</v>
      </c>
      <c r="P175" s="39">
        <f t="shared" si="10"/>
        <v>0.1450000000000001</v>
      </c>
      <c r="Q175" s="64">
        <f t="shared" si="11"/>
        <v>4.3499999999999917</v>
      </c>
      <c r="R175" s="64">
        <f t="shared" ca="1" si="9"/>
        <v>-20.835540516121494</v>
      </c>
      <c r="T175" s="35">
        <f ca="1">DATA!AM170*$B$7</f>
        <v>-476194.53185211314</v>
      </c>
    </row>
    <row r="176" spans="15:20" x14ac:dyDescent="0.25">
      <c r="O176" s="38">
        <f t="shared" ca="1" si="12"/>
        <v>1.2933386942754032E-3</v>
      </c>
      <c r="P176" s="39">
        <f t="shared" si="10"/>
        <v>0.1460000000000001</v>
      </c>
      <c r="Q176" s="64">
        <f t="shared" si="11"/>
        <v>4.3799999999999919</v>
      </c>
      <c r="R176" s="64">
        <f t="shared" ca="1" si="9"/>
        <v>-20.980958036922335</v>
      </c>
      <c r="T176" s="35">
        <f ca="1">DATA!AM171*$B$7</f>
        <v>-400854.47278146853</v>
      </c>
    </row>
    <row r="177" spans="15:20" x14ac:dyDescent="0.25">
      <c r="O177" s="38">
        <f t="shared" ca="1" si="12"/>
        <v>1.2789531658206862E-3</v>
      </c>
      <c r="P177" s="39">
        <f t="shared" si="10"/>
        <v>0.1470000000000001</v>
      </c>
      <c r="Q177" s="64">
        <f t="shared" si="11"/>
        <v>4.4099999999999921</v>
      </c>
      <c r="R177" s="64">
        <f t="shared" ca="1" si="9"/>
        <v>-21.126375557723172</v>
      </c>
      <c r="T177" s="35">
        <f ca="1">DATA!AM172*$B$7</f>
        <v>-172022.73657710507</v>
      </c>
    </row>
    <row r="178" spans="15:20" x14ac:dyDescent="0.25">
      <c r="O178" s="38">
        <f t="shared" ca="1" si="12"/>
        <v>1.2645711931496451E-3</v>
      </c>
      <c r="P178" s="39">
        <f t="shared" si="10"/>
        <v>0.1480000000000001</v>
      </c>
      <c r="Q178" s="64">
        <f t="shared" si="11"/>
        <v>4.4399999999999924</v>
      </c>
      <c r="R178" s="64">
        <f t="shared" ca="1" si="9"/>
        <v>-21.271793078524013</v>
      </c>
      <c r="T178" s="35">
        <f ca="1">DATA!AM173*$B$7</f>
        <v>168575.92977610542</v>
      </c>
    </row>
    <row r="179" spans="15:20" x14ac:dyDescent="0.25">
      <c r="O179" s="38">
        <f t="shared" ca="1" si="12"/>
        <v>1.2501928989773919E-3</v>
      </c>
      <c r="P179" s="39">
        <f t="shared" si="10"/>
        <v>0.1490000000000001</v>
      </c>
      <c r="Q179" s="64">
        <f t="shared" si="11"/>
        <v>4.4699999999999926</v>
      </c>
      <c r="R179" s="64">
        <f t="shared" ca="1" si="9"/>
        <v>-21.41721059932485</v>
      </c>
      <c r="T179" s="35">
        <f ca="1">DATA!AM174*$B$7</f>
        <v>-490810.87511366152</v>
      </c>
    </row>
    <row r="180" spans="15:20" x14ac:dyDescent="0.25">
      <c r="O180" s="38">
        <f t="shared" ca="1" si="12"/>
        <v>1.2358184116978868E-3</v>
      </c>
      <c r="P180" s="39">
        <f t="shared" si="10"/>
        <v>0.15000000000000011</v>
      </c>
      <c r="Q180" s="64">
        <f t="shared" si="11"/>
        <v>4.4999999999999929</v>
      </c>
      <c r="R180" s="64">
        <f t="shared" ca="1" si="9"/>
        <v>-21.562628120125691</v>
      </c>
      <c r="T180" s="35">
        <f ca="1">DATA!AM175*$B$7</f>
        <v>405998.95767820772</v>
      </c>
    </row>
    <row r="181" spans="15:20" x14ac:dyDescent="0.25">
      <c r="O181" s="38">
        <f t="shared" ca="1" si="12"/>
        <v>1.2214478657142475E-3</v>
      </c>
      <c r="P181" s="39">
        <f t="shared" si="10"/>
        <v>0.15100000000000011</v>
      </c>
      <c r="Q181" s="64">
        <f t="shared" si="11"/>
        <v>4.5299999999999931</v>
      </c>
      <c r="R181" s="64">
        <f t="shared" ca="1" si="9"/>
        <v>-21.708045640926532</v>
      </c>
      <c r="T181" s="35">
        <f ca="1">DATA!AM176*$B$7</f>
        <v>86182.273741987534</v>
      </c>
    </row>
    <row r="182" spans="15:20" x14ac:dyDescent="0.25">
      <c r="O182" s="38">
        <f t="shared" ca="1" si="12"/>
        <v>1.2070814017922362E-3</v>
      </c>
      <c r="P182" s="39">
        <f t="shared" si="10"/>
        <v>0.15200000000000011</v>
      </c>
      <c r="Q182" s="64">
        <f t="shared" si="11"/>
        <v>4.5599999999999934</v>
      </c>
      <c r="R182" s="64">
        <f t="shared" ca="1" si="9"/>
        <v>-21.853463161727369</v>
      </c>
      <c r="T182" s="35">
        <f ca="1">DATA!AM177*$B$7</f>
        <v>258813.61590837059</v>
      </c>
    </row>
    <row r="183" spans="15:20" x14ac:dyDescent="0.25">
      <c r="O183" s="38">
        <f t="shared" ca="1" si="12"/>
        <v>1.1927191674388168E-3</v>
      </c>
      <c r="P183" s="39">
        <f t="shared" si="10"/>
        <v>0.15300000000000011</v>
      </c>
      <c r="Q183" s="64">
        <f t="shared" si="11"/>
        <v>4.5899999999999936</v>
      </c>
      <c r="R183" s="64">
        <f t="shared" ca="1" si="9"/>
        <v>-21.99888068252821</v>
      </c>
      <c r="T183" s="35">
        <f ca="1">DATA!AM178*$B$7</f>
        <v>-104385.31041757049</v>
      </c>
    </row>
    <row r="184" spans="15:20" x14ac:dyDescent="0.25">
      <c r="O184" s="38">
        <f t="shared" ca="1" si="12"/>
        <v>1.1783613173078926E-3</v>
      </c>
      <c r="P184" s="39">
        <f t="shared" si="10"/>
        <v>0.15400000000000011</v>
      </c>
      <c r="Q184" s="64">
        <f t="shared" si="11"/>
        <v>4.6199999999999939</v>
      </c>
      <c r="R184" s="64">
        <f t="shared" ca="1" si="9"/>
        <v>-22.144298203329047</v>
      </c>
      <c r="T184" s="35">
        <f ca="1">DATA!AM179*$B$7</f>
        <v>-56855.494106523896</v>
      </c>
    </row>
    <row r="185" spans="15:20" x14ac:dyDescent="0.25">
      <c r="O185" s="38">
        <f t="shared" ca="1" si="12"/>
        <v>1.1640080136354962E-3</v>
      </c>
      <c r="P185" s="39">
        <f t="shared" si="10"/>
        <v>0.15500000000000011</v>
      </c>
      <c r="Q185" s="64">
        <f t="shared" si="11"/>
        <v>4.6499999999999941</v>
      </c>
      <c r="R185" s="64">
        <f t="shared" ca="1" si="9"/>
        <v>-22.289715724129888</v>
      </c>
      <c r="T185" s="35">
        <f ca="1">DATA!AM180*$B$7</f>
        <v>11324.922460962776</v>
      </c>
    </row>
    <row r="186" spans="15:20" x14ac:dyDescent="0.25">
      <c r="O186" s="38">
        <f t="shared" ca="1" si="12"/>
        <v>1.1496594267069412E-3</v>
      </c>
      <c r="P186" s="39">
        <f t="shared" si="10"/>
        <v>0.15600000000000011</v>
      </c>
      <c r="Q186" s="64">
        <f t="shared" si="11"/>
        <v>4.6799999999999944</v>
      </c>
      <c r="R186" s="64">
        <f t="shared" ca="1" si="9"/>
        <v>-22.435133244930729</v>
      </c>
      <c r="T186" s="35">
        <f ca="1">DATA!AM181*$B$7</f>
        <v>281960.75577232352</v>
      </c>
    </row>
    <row r="187" spans="15:20" x14ac:dyDescent="0.25">
      <c r="O187" s="38">
        <f t="shared" ca="1" si="12"/>
        <v>1.1353157353586807E-3</v>
      </c>
      <c r="P187" s="39">
        <f t="shared" si="10"/>
        <v>0.15700000000000011</v>
      </c>
      <c r="Q187" s="64">
        <f t="shared" si="11"/>
        <v>4.7099999999999946</v>
      </c>
      <c r="R187" s="64">
        <f t="shared" ca="1" si="9"/>
        <v>-22.580550765731566</v>
      </c>
      <c r="T187" s="35">
        <f ca="1">DATA!AM182*$B$7</f>
        <v>-214304.79910488025</v>
      </c>
    </row>
    <row r="188" spans="15:20" x14ac:dyDescent="0.25">
      <c r="O188" s="38">
        <f t="shared" ca="1" si="12"/>
        <v>1.1209771275179192E-3</v>
      </c>
      <c r="P188" s="39">
        <f t="shared" si="10"/>
        <v>0.15800000000000011</v>
      </c>
      <c r="Q188" s="64">
        <f t="shared" si="11"/>
        <v>4.7399999999999949</v>
      </c>
      <c r="R188" s="64">
        <f t="shared" ca="1" si="9"/>
        <v>-22.725968286532407</v>
      </c>
      <c r="T188" s="35">
        <f ca="1">DATA!AM183*$B$7</f>
        <v>-320869.56835911819</v>
      </c>
    </row>
    <row r="189" spans="15:20" x14ac:dyDescent="0.25">
      <c r="O189" s="38">
        <f t="shared" ca="1" si="12"/>
        <v>1.1066438007832718E-3</v>
      </c>
      <c r="P189" s="39">
        <f t="shared" si="10"/>
        <v>0.15900000000000011</v>
      </c>
      <c r="Q189" s="64">
        <f t="shared" si="11"/>
        <v>4.7699999999999951</v>
      </c>
      <c r="R189" s="64">
        <f t="shared" ca="1" si="9"/>
        <v>-22.871385807333244</v>
      </c>
      <c r="T189" s="35">
        <f ca="1">DATA!AM184*$B$7</f>
        <v>120978.55952006862</v>
      </c>
    </row>
    <row r="190" spans="15:20" x14ac:dyDescent="0.25">
      <c r="O190" s="38">
        <f t="shared" ca="1" si="12"/>
        <v>1.09231596305015E-3</v>
      </c>
      <c r="P190" s="39">
        <f t="shared" si="10"/>
        <v>0.16000000000000011</v>
      </c>
      <c r="Q190" s="64">
        <f t="shared" si="11"/>
        <v>4.7999999999999954</v>
      </c>
      <c r="R190" s="64">
        <f t="shared" ca="1" si="9"/>
        <v>-23.016803328134085</v>
      </c>
      <c r="T190" s="35">
        <f ca="1">DATA!AM185*$B$7</f>
        <v>-18213.262525140784</v>
      </c>
    </row>
    <row r="191" spans="15:20" x14ac:dyDescent="0.25">
      <c r="O191" s="38">
        <f t="shared" ca="1" si="12"/>
        <v>1.0779938331849238E-3</v>
      </c>
      <c r="P191" s="39">
        <f t="shared" si="10"/>
        <v>0.16100000000000012</v>
      </c>
      <c r="Q191" s="64">
        <f t="shared" si="11"/>
        <v>4.8299999999999956</v>
      </c>
      <c r="R191" s="64">
        <f t="shared" ca="1" si="9"/>
        <v>-23.162220848934922</v>
      </c>
      <c r="T191" s="35">
        <f ca="1">DATA!AM186*$B$7</f>
        <v>454808.2840558982</v>
      </c>
    </row>
    <row r="192" spans="15:20" x14ac:dyDescent="0.25">
      <c r="O192" s="38">
        <f t="shared" ca="1" si="12"/>
        <v>1.0636776417522773E-3</v>
      </c>
      <c r="P192" s="39">
        <f t="shared" si="10"/>
        <v>0.16200000000000012</v>
      </c>
      <c r="Q192" s="64">
        <f t="shared" si="11"/>
        <v>4.8599999999999959</v>
      </c>
      <c r="R192" s="64">
        <f t="shared" ca="1" si="9"/>
        <v>-23.307638369735763</v>
      </c>
      <c r="T192" s="35">
        <f ca="1">DATA!AM187*$B$7</f>
        <v>-236553.35242028011</v>
      </c>
    </row>
    <row r="193" spans="15:20" x14ac:dyDescent="0.25">
      <c r="O193" s="38">
        <f t="shared" ca="1" si="12"/>
        <v>1.0493676318007257E-3</v>
      </c>
      <c r="P193" s="39">
        <f t="shared" si="10"/>
        <v>0.16300000000000012</v>
      </c>
      <c r="Q193" s="64">
        <f t="shared" si="11"/>
        <v>4.8899999999999961</v>
      </c>
      <c r="R193" s="64">
        <f t="shared" ca="1" si="9"/>
        <v>-23.453055890536604</v>
      </c>
      <c r="T193" s="35">
        <f ca="1">DATA!AM188*$B$7</f>
        <v>-36472.246696793889</v>
      </c>
    </row>
    <row r="194" spans="15:20" x14ac:dyDescent="0.25">
      <c r="O194" s="38">
        <f t="shared" ca="1" si="12"/>
        <v>1.0350640597116924E-3</v>
      </c>
      <c r="P194" s="39">
        <f t="shared" si="10"/>
        <v>0.16400000000000012</v>
      </c>
      <c r="Q194" s="64">
        <f t="shared" si="11"/>
        <v>4.9199999999999964</v>
      </c>
      <c r="R194" s="64">
        <f t="shared" ca="1" si="9"/>
        <v>-23.598473411337441</v>
      </c>
      <c r="T194" s="35">
        <f ca="1">DATA!AM189*$B$7</f>
        <v>227021.26865235725</v>
      </c>
    </row>
    <row r="195" spans="15:20" x14ac:dyDescent="0.25">
      <c r="O195" s="38">
        <f t="shared" ca="1" si="12"/>
        <v>1.0207671961182205E-3</v>
      </c>
      <c r="P195" s="39">
        <f t="shared" si="10"/>
        <v>0.16500000000000012</v>
      </c>
      <c r="Q195" s="64">
        <f t="shared" si="11"/>
        <v>4.9499999999999966</v>
      </c>
      <c r="R195" s="64">
        <f t="shared" ca="1" si="9"/>
        <v>-23.743890932138282</v>
      </c>
      <c r="T195" s="35">
        <f ca="1">DATA!AM190*$B$7</f>
        <v>-18537.620572740892</v>
      </c>
    </row>
    <row r="196" spans="15:20" x14ac:dyDescent="0.25">
      <c r="O196" s="38">
        <f t="shared" ca="1" si="12"/>
        <v>1.0064773268999513E-3</v>
      </c>
      <c r="P196" s="39">
        <f t="shared" si="10"/>
        <v>0.16600000000000012</v>
      </c>
      <c r="Q196" s="64">
        <f t="shared" si="11"/>
        <v>4.9799999999999969</v>
      </c>
      <c r="R196" s="64">
        <f t="shared" ca="1" si="9"/>
        <v>-23.889308452939119</v>
      </c>
      <c r="T196" s="35">
        <f ca="1">DATA!AM191*$B$7</f>
        <v>228470.13322020281</v>
      </c>
    </row>
    <row r="197" spans="15:20" x14ac:dyDescent="0.25">
      <c r="O197" s="38">
        <f t="shared" ca="1" si="12"/>
        <v>9.9219475426183491E-4</v>
      </c>
      <c r="P197" s="39">
        <f t="shared" si="10"/>
        <v>0.16700000000000012</v>
      </c>
      <c r="Q197" s="64">
        <f t="shared" si="11"/>
        <v>5.0099999999999971</v>
      </c>
      <c r="R197" s="64">
        <f t="shared" ca="1" si="9"/>
        <v>-24.03472597373996</v>
      </c>
      <c r="T197" s="35">
        <f ca="1">DATA!AM192*$B$7</f>
        <v>157726.77765871663</v>
      </c>
    </row>
    <row r="198" spans="15:20" x14ac:dyDescent="0.25">
      <c r="O198" s="38">
        <f t="shared" ca="1" si="12"/>
        <v>9.7791979790479242E-4</v>
      </c>
      <c r="P198" s="39">
        <f t="shared" si="10"/>
        <v>0.16800000000000012</v>
      </c>
      <c r="Q198" s="64">
        <f t="shared" si="11"/>
        <v>5.0399999999999974</v>
      </c>
      <c r="R198" s="64">
        <f t="shared" ca="1" si="9"/>
        <v>-24.1801434945408</v>
      </c>
      <c r="T198" s="35">
        <f ca="1">DATA!AM193*$B$7</f>
        <v>-156161.64199961492</v>
      </c>
    </row>
    <row r="199" spans="15:20" x14ac:dyDescent="0.25">
      <c r="O199" s="38">
        <f t="shared" ca="1" si="12"/>
        <v>9.6365279629750857E-4</v>
      </c>
      <c r="P199" s="39">
        <f t="shared" si="10"/>
        <v>0.16900000000000012</v>
      </c>
      <c r="Q199" s="64">
        <f t="shared" si="11"/>
        <v>5.0699999999999976</v>
      </c>
      <c r="R199" s="64">
        <f t="shared" ca="1" si="9"/>
        <v>-24.325561015341638</v>
      </c>
      <c r="T199" s="35">
        <f ca="1">DATA!AM194*$B$7</f>
        <v>-192037.64696258973</v>
      </c>
    </row>
    <row r="200" spans="15:20" x14ac:dyDescent="0.25">
      <c r="O200" s="38">
        <f t="shared" ca="1" si="12"/>
        <v>9.4939410805960033E-4</v>
      </c>
      <c r="P200" s="39">
        <f t="shared" si="10"/>
        <v>0.17000000000000012</v>
      </c>
      <c r="Q200" s="64">
        <f t="shared" si="11"/>
        <v>5.0999999999999979</v>
      </c>
      <c r="R200" s="64">
        <f t="shared" ca="1" si="9"/>
        <v>-24.470978536142479</v>
      </c>
      <c r="T200" s="35">
        <f ca="1">DATA!AM195*$B$7</f>
        <v>-78007.125915796772</v>
      </c>
    </row>
    <row r="201" spans="15:20" x14ac:dyDescent="0.25">
      <c r="O201" s="38">
        <f t="shared" ca="1" si="12"/>
        <v>9.3514411346752927E-4</v>
      </c>
      <c r="P201" s="39">
        <f t="shared" si="10"/>
        <v>0.17100000000000012</v>
      </c>
      <c r="Q201" s="64">
        <f t="shared" si="11"/>
        <v>5.1299999999999981</v>
      </c>
      <c r="R201" s="64">
        <f t="shared" ca="1" si="9"/>
        <v>-24.616396056943316</v>
      </c>
      <c r="T201" s="35">
        <f ca="1">DATA!AM196*$B$7</f>
        <v>335310.2515882802</v>
      </c>
    </row>
    <row r="202" spans="15:20" x14ac:dyDescent="0.25">
      <c r="O202" s="38">
        <f t="shared" ca="1" si="12"/>
        <v>9.209032160960648E-4</v>
      </c>
      <c r="P202" s="39">
        <f t="shared" si="10"/>
        <v>0.17200000000000013</v>
      </c>
      <c r="Q202" s="64">
        <f t="shared" si="11"/>
        <v>5.1599999999999984</v>
      </c>
      <c r="R202" s="64">
        <f t="shared" ca="1" si="9"/>
        <v>-24.761813577744157</v>
      </c>
      <c r="T202" s="35">
        <f ca="1">DATA!AM197*$B$7</f>
        <v>6639.6440044517676</v>
      </c>
    </row>
    <row r="203" spans="15:20" x14ac:dyDescent="0.25">
      <c r="O203" s="38">
        <f t="shared" ca="1" si="12"/>
        <v>9.0667184460949829E-4</v>
      </c>
      <c r="P203" s="39">
        <f t="shared" si="10"/>
        <v>0.17300000000000013</v>
      </c>
      <c r="Q203" s="64">
        <f t="shared" si="11"/>
        <v>5.1899999999999986</v>
      </c>
      <c r="R203" s="64">
        <f t="shared" ca="1" si="9"/>
        <v>-24.907231098544997</v>
      </c>
      <c r="T203" s="35">
        <f ca="1">DATA!AM198*$B$7</f>
        <v>128534.21815554303</v>
      </c>
    </row>
    <row r="204" spans="15:20" x14ac:dyDescent="0.25">
      <c r="O204" s="38">
        <f t="shared" ca="1" si="12"/>
        <v>8.924504547186484E-4</v>
      </c>
      <c r="P204" s="39">
        <f t="shared" si="10"/>
        <v>0.17400000000000013</v>
      </c>
      <c r="Q204" s="64">
        <f t="shared" si="11"/>
        <v>5.2199999999999989</v>
      </c>
      <c r="R204" s="64">
        <f t="shared" ca="1" si="9"/>
        <v>-25.052648619345835</v>
      </c>
      <c r="T204" s="35">
        <f ca="1">DATA!AM199*$B$7</f>
        <v>285406.56072819582</v>
      </c>
    </row>
    <row r="205" spans="15:20" x14ac:dyDescent="0.25">
      <c r="O205" s="38">
        <f t="shared" ca="1" si="12"/>
        <v>8.7823953132153436E-4</v>
      </c>
      <c r="P205" s="39">
        <f t="shared" si="10"/>
        <v>0.17500000000000013</v>
      </c>
      <c r="Q205" s="64">
        <f t="shared" si="11"/>
        <v>5.2499999999999991</v>
      </c>
      <c r="R205" s="64">
        <f t="shared" ca="1" si="9"/>
        <v>-25.198066140146675</v>
      </c>
      <c r="T205" s="35">
        <f ca="1">DATA!AM200*$B$7</f>
        <v>37259.212578738086</v>
      </c>
    </row>
    <row r="206" spans="15:20" x14ac:dyDescent="0.25">
      <c r="O206" s="38">
        <f t="shared" ca="1" si="12"/>
        <v>8.6403959084791057E-4</v>
      </c>
      <c r="P206" s="39">
        <f t="shared" si="10"/>
        <v>0.17600000000000013</v>
      </c>
      <c r="Q206" s="64">
        <f t="shared" si="11"/>
        <v>5.2799999999999994</v>
      </c>
      <c r="R206" s="64">
        <f t="shared" ca="1" si="9"/>
        <v>-25.343483660947513</v>
      </c>
      <c r="T206" s="35">
        <f ca="1">DATA!AM201*$B$7</f>
        <v>-156311.79924043472</v>
      </c>
    </row>
    <row r="207" spans="15:20" x14ac:dyDescent="0.25">
      <c r="O207" s="38">
        <f t="shared" ca="1" si="12"/>
        <v>8.4985118383032118E-4</v>
      </c>
      <c r="P207" s="39">
        <f t="shared" si="10"/>
        <v>0.17700000000000013</v>
      </c>
      <c r="Q207" s="64">
        <f t="shared" si="11"/>
        <v>5.31</v>
      </c>
      <c r="R207" s="64">
        <f t="shared" ca="1" si="9"/>
        <v>-25.488901181748354</v>
      </c>
      <c r="T207" s="35">
        <f ca="1">DATA!AM202*$B$7</f>
        <v>-281800.56790357456</v>
      </c>
    </row>
    <row r="208" spans="15:20" x14ac:dyDescent="0.25">
      <c r="O208" s="38">
        <f t="shared" ca="1" si="12"/>
        <v>8.3567489772721191E-4</v>
      </c>
      <c r="P208" s="39">
        <f t="shared" si="10"/>
        <v>0.17800000000000013</v>
      </c>
      <c r="Q208" s="64">
        <f t="shared" si="11"/>
        <v>5.34</v>
      </c>
      <c r="R208" s="64">
        <f t="shared" ca="1" si="9"/>
        <v>-25.634318702549194</v>
      </c>
      <c r="T208" s="35">
        <f ca="1">DATA!AM203*$B$7</f>
        <v>-285282.13907865429</v>
      </c>
    </row>
    <row r="209" spans="15:20" x14ac:dyDescent="0.25">
      <c r="O209" s="38">
        <f t="shared" ca="1" si="12"/>
        <v>8.2151136002698655E-4</v>
      </c>
      <c r="P209" s="39">
        <f t="shared" si="10"/>
        <v>0.17900000000000013</v>
      </c>
      <c r="Q209" s="64">
        <f t="shared" si="11"/>
        <v>5.37</v>
      </c>
      <c r="R209" s="64">
        <f t="shared" ca="1" si="9"/>
        <v>-25.779736223350032</v>
      </c>
      <c r="T209" s="35">
        <f ca="1">DATA!AM204*$B$7</f>
        <v>-200797.6078335768</v>
      </c>
    </row>
    <row r="210" spans="15:20" x14ac:dyDescent="0.25">
      <c r="O210" s="38">
        <f t="shared" ca="1" si="12"/>
        <v>8.073612416655897E-4</v>
      </c>
      <c r="P210" s="39">
        <f t="shared" si="10"/>
        <v>0.18000000000000013</v>
      </c>
      <c r="Q210" s="64">
        <f t="shared" si="11"/>
        <v>5.4</v>
      </c>
      <c r="R210" s="64">
        <f t="shared" ca="1" si="9"/>
        <v>-25.925153744150872</v>
      </c>
      <c r="T210" s="35">
        <f ca="1">DATA!AM205*$B$7</f>
        <v>-70969.632583464525</v>
      </c>
    </row>
    <row r="211" spans="15:20" x14ac:dyDescent="0.25">
      <c r="O211" s="38">
        <f t="shared" ca="1" si="12"/>
        <v>7.9322526079458368E-4</v>
      </c>
      <c r="P211" s="39">
        <f t="shared" si="10"/>
        <v>0.18100000000000013</v>
      </c>
      <c r="Q211" s="64">
        <f t="shared" si="11"/>
        <v>5.4300000000000006</v>
      </c>
      <c r="R211" s="64">
        <f t="shared" ca="1" si="9"/>
        <v>-26.07057126495171</v>
      </c>
      <c r="T211" s="35">
        <f ca="1">DATA!AM206*$B$7</f>
        <v>-223286.95582437777</v>
      </c>
    </row>
    <row r="212" spans="15:20" x14ac:dyDescent="0.25">
      <c r="O212" s="38">
        <f t="shared" ca="1" si="12"/>
        <v>7.7910418694156582E-4</v>
      </c>
      <c r="P212" s="39">
        <f t="shared" si="10"/>
        <v>0.18200000000000013</v>
      </c>
      <c r="Q212" s="64">
        <f t="shared" si="11"/>
        <v>5.4600000000000009</v>
      </c>
      <c r="R212" s="64">
        <f t="shared" ca="1" si="9"/>
        <v>-26.21598878575255</v>
      </c>
      <c r="T212" s="35">
        <f ca="1">DATA!AM207*$B$7</f>
        <v>44177.858341301013</v>
      </c>
    </row>
    <row r="213" spans="15:20" x14ac:dyDescent="0.25">
      <c r="O213" s="38">
        <f t="shared" ca="1" si="12"/>
        <v>7.6499884561059112E-4</v>
      </c>
      <c r="P213" s="39">
        <f t="shared" si="10"/>
        <v>0.18300000000000013</v>
      </c>
      <c r="Q213" s="64">
        <f t="shared" si="11"/>
        <v>5.4900000000000011</v>
      </c>
      <c r="R213" s="64">
        <f t="shared" ca="1" si="9"/>
        <v>-26.361406306553391</v>
      </c>
      <c r="T213" s="35">
        <f ca="1">DATA!AM208*$B$7</f>
        <v>-372585.12366099254</v>
      </c>
    </row>
    <row r="214" spans="15:20" x14ac:dyDescent="0.25">
      <c r="O214" s="38">
        <f t="shared" ca="1" si="12"/>
        <v>7.5091012337669919E-4</v>
      </c>
      <c r="P214" s="39">
        <f t="shared" si="10"/>
        <v>0.18400000000000014</v>
      </c>
      <c r="Q214" s="64">
        <f t="shared" si="11"/>
        <v>5.5200000000000014</v>
      </c>
      <c r="R214" s="64">
        <f t="shared" ca="1" si="9"/>
        <v>-26.506823827354228</v>
      </c>
      <c r="T214" s="35">
        <f ca="1">DATA!AM209*$B$7</f>
        <v>339259.26956454152</v>
      </c>
    </row>
    <row r="215" spans="15:20" x14ac:dyDescent="0.25">
      <c r="O215" s="38">
        <f t="shared" ca="1" si="12"/>
        <v>7.3683897353634471E-4</v>
      </c>
      <c r="P215" s="39">
        <f t="shared" si="10"/>
        <v>0.18500000000000014</v>
      </c>
      <c r="Q215" s="64">
        <f t="shared" si="11"/>
        <v>5.5500000000000016</v>
      </c>
      <c r="R215" s="64">
        <f t="shared" ca="1" si="9"/>
        <v>-26.652241348155069</v>
      </c>
      <c r="T215" s="35">
        <f ca="1">DATA!AM210*$B$7</f>
        <v>246983.85569986023</v>
      </c>
    </row>
    <row r="216" spans="15:20" x14ac:dyDescent="0.25">
      <c r="O216" s="38">
        <f t="shared" ca="1" si="12"/>
        <v>7.2278642238423122E-4</v>
      </c>
      <c r="P216" s="39">
        <f t="shared" si="10"/>
        <v>0.18600000000000014</v>
      </c>
      <c r="Q216" s="64">
        <f t="shared" si="11"/>
        <v>5.5800000000000018</v>
      </c>
      <c r="R216" s="64">
        <f t="shared" ca="1" si="9"/>
        <v>-26.797658868955907</v>
      </c>
      <c r="T216" s="35">
        <f ca="1">DATA!AM211*$B$7</f>
        <v>-284891.56546513643</v>
      </c>
    </row>
    <row r="217" spans="15:20" x14ac:dyDescent="0.25">
      <c r="O217" s="38">
        <f t="shared" ca="1" si="12"/>
        <v>7.0875357619719175E-4</v>
      </c>
      <c r="P217" s="39">
        <f t="shared" si="10"/>
        <v>0.18700000000000014</v>
      </c>
      <c r="Q217" s="64">
        <f t="shared" si="11"/>
        <v>5.6100000000000021</v>
      </c>
      <c r="R217" s="64">
        <f t="shared" ca="1" si="9"/>
        <v>-26.943076389756747</v>
      </c>
      <c r="T217" s="35">
        <f ca="1">DATA!AM212*$B$7</f>
        <v>415664.24224695959</v>
      </c>
    </row>
    <row r="218" spans="15:20" x14ac:dyDescent="0.25">
      <c r="O218" s="38">
        <f t="shared" ca="1" si="12"/>
        <v>6.9474162901760701E-4</v>
      </c>
      <c r="P218" s="39">
        <f t="shared" si="10"/>
        <v>0.18800000000000014</v>
      </c>
      <c r="Q218" s="64">
        <f t="shared" si="11"/>
        <v>5.6400000000000023</v>
      </c>
      <c r="R218" s="64">
        <f t="shared" ca="1" si="9"/>
        <v>-27.088493910557588</v>
      </c>
      <c r="T218" s="35">
        <f ca="1">DATA!AM213*$B$7</f>
        <v>226437.20358820938</v>
      </c>
    </row>
    <row r="219" spans="15:20" x14ac:dyDescent="0.25">
      <c r="O219" s="38">
        <f t="shared" ca="1" si="12"/>
        <v>6.8075187134240052E-4</v>
      </c>
      <c r="P219" s="39">
        <f t="shared" si="10"/>
        <v>0.18900000000000014</v>
      </c>
      <c r="Q219" s="64">
        <f t="shared" si="11"/>
        <v>5.6700000000000026</v>
      </c>
      <c r="R219" s="64">
        <f t="shared" ca="1" si="9"/>
        <v>-27.233911431358425</v>
      </c>
      <c r="T219" s="35">
        <f ca="1">DATA!AM214*$B$7</f>
        <v>353274.92976181593</v>
      </c>
    </row>
    <row r="220" spans="15:20" x14ac:dyDescent="0.25">
      <c r="O220" s="38">
        <f t="shared" ca="1" si="12"/>
        <v>6.6678569983971562E-4</v>
      </c>
      <c r="P220" s="39">
        <f t="shared" si="10"/>
        <v>0.19000000000000014</v>
      </c>
      <c r="Q220" s="64">
        <f t="shared" si="11"/>
        <v>5.7000000000000028</v>
      </c>
      <c r="R220" s="64">
        <f t="shared" ca="1" si="9"/>
        <v>-27.379328952159266</v>
      </c>
      <c r="T220" s="35">
        <f ca="1">DATA!AM215*$B$7</f>
        <v>-194915.34149257047</v>
      </c>
    </row>
    <row r="221" spans="15:20" x14ac:dyDescent="0.25">
      <c r="O221" s="38">
        <f t="shared" ca="1" si="12"/>
        <v>6.5284462823378506E-4</v>
      </c>
      <c r="P221" s="39">
        <f t="shared" si="10"/>
        <v>0.19100000000000014</v>
      </c>
      <c r="Q221" s="64">
        <f t="shared" si="11"/>
        <v>5.7300000000000031</v>
      </c>
      <c r="R221" s="64">
        <f t="shared" ca="1" si="9"/>
        <v>-27.524746472960103</v>
      </c>
      <c r="T221" s="35">
        <f ca="1">DATA!AM216*$B$7</f>
        <v>58823.768466104782</v>
      </c>
    </row>
    <row r="222" spans="15:20" x14ac:dyDescent="0.25">
      <c r="O222" s="38">
        <f t="shared" ca="1" si="12"/>
        <v>6.389302995202966E-4</v>
      </c>
      <c r="P222" s="39">
        <f t="shared" si="10"/>
        <v>0.19200000000000014</v>
      </c>
      <c r="Q222" s="64">
        <f t="shared" si="11"/>
        <v>5.7600000000000033</v>
      </c>
      <c r="R222" s="64">
        <f t="shared" ca="1" si="9"/>
        <v>-27.670163993760944</v>
      </c>
      <c r="T222" s="35">
        <f ca="1">DATA!AM217*$B$7</f>
        <v>33785.636454533756</v>
      </c>
    </row>
    <row r="223" spans="15:20" x14ac:dyDescent="0.25">
      <c r="O223" s="38">
        <f t="shared" ca="1" si="12"/>
        <v>6.2504449969973596E-4</v>
      </c>
      <c r="P223" s="39">
        <f t="shared" si="10"/>
        <v>0.19300000000000014</v>
      </c>
      <c r="Q223" s="64">
        <f t="shared" si="11"/>
        <v>5.7900000000000036</v>
      </c>
      <c r="R223" s="64">
        <f t="shared" ref="R223:R286" ca="1" si="13">$B$8+$B$42*Q223</f>
        <v>-27.815581514561785</v>
      </c>
      <c r="T223" s="35">
        <f ca="1">DATA!AM218*$B$7</f>
        <v>65812.505434333507</v>
      </c>
    </row>
    <row r="224" spans="15:20" x14ac:dyDescent="0.25">
      <c r="O224" s="38">
        <f t="shared" ca="1" si="12"/>
        <v>6.1118917324598141E-4</v>
      </c>
      <c r="P224" s="39">
        <f t="shared" ref="P224:P287" si="14">P223+0.1%</f>
        <v>0.19400000000000014</v>
      </c>
      <c r="Q224" s="64">
        <f t="shared" ref="Q224:Q287" si="15">Q223+0.03</f>
        <v>5.8200000000000038</v>
      </c>
      <c r="R224" s="64">
        <f t="shared" ca="1" si="13"/>
        <v>-27.960999035362622</v>
      </c>
      <c r="T224" s="35">
        <f ca="1">DATA!AM219*$B$7</f>
        <v>194885.68315032756</v>
      </c>
    </row>
    <row r="225" spans="15:20" x14ac:dyDescent="0.25">
      <c r="O225" s="38">
        <f t="shared" ca="1" si="12"/>
        <v>5.9736644056201927E-4</v>
      </c>
      <c r="P225" s="39">
        <f t="shared" si="14"/>
        <v>0.19500000000000015</v>
      </c>
      <c r="Q225" s="64">
        <f t="shared" si="15"/>
        <v>5.8500000000000041</v>
      </c>
      <c r="R225" s="64">
        <f t="shared" ca="1" si="13"/>
        <v>-28.106416556163463</v>
      </c>
      <c r="T225" s="35">
        <f ca="1">DATA!AM220*$B$7</f>
        <v>74683.217941656025</v>
      </c>
    </row>
    <row r="226" spans="15:20" x14ac:dyDescent="0.25">
      <c r="O226" s="38">
        <f t="shared" ca="1" si="12"/>
        <v>5.835786177155358E-4</v>
      </c>
      <c r="P226" s="39">
        <f t="shared" si="14"/>
        <v>0.19600000000000015</v>
      </c>
      <c r="Q226" s="64">
        <f t="shared" si="15"/>
        <v>5.8800000000000043</v>
      </c>
      <c r="R226" s="64">
        <f t="shared" ca="1" si="13"/>
        <v>-28.2518340769643</v>
      </c>
      <c r="T226" s="35">
        <f ca="1">DATA!AM221*$B$7</f>
        <v>306459.33340204414</v>
      </c>
    </row>
    <row r="227" spans="15:20" x14ac:dyDescent="0.25">
      <c r="O227" s="38">
        <f t="shared" ca="1" si="12"/>
        <v>5.6982823879502074E-4</v>
      </c>
      <c r="P227" s="39">
        <f t="shared" si="14"/>
        <v>0.19700000000000015</v>
      </c>
      <c r="Q227" s="64">
        <f t="shared" si="15"/>
        <v>5.9100000000000046</v>
      </c>
      <c r="R227" s="64">
        <f t="shared" ca="1" si="13"/>
        <v>-28.397251597765141</v>
      </c>
      <c r="T227" s="35">
        <f ca="1">DATA!AM222*$B$7</f>
        <v>-120008.01530799815</v>
      </c>
    </row>
    <row r="228" spans="15:20" x14ac:dyDescent="0.25">
      <c r="O228" s="38">
        <f t="shared" ref="O228:O291" ca="1" si="16">SQRT(($B$36*P228^2 - 2*$B$37*P228 +$B$38)/$B$39)</f>
        <v>5.5611808128319619E-4</v>
      </c>
      <c r="P228" s="39">
        <f t="shared" si="14"/>
        <v>0.19800000000000015</v>
      </c>
      <c r="Q228" s="64">
        <f t="shared" si="15"/>
        <v>5.9400000000000048</v>
      </c>
      <c r="R228" s="64">
        <f t="shared" ca="1" si="13"/>
        <v>-28.542669118565982</v>
      </c>
      <c r="T228" s="35">
        <f ca="1">DATA!AM223*$B$7</f>
        <v>-45584.275462452904</v>
      </c>
    </row>
    <row r="229" spans="15:20" x14ac:dyDescent="0.25">
      <c r="O229" s="38">
        <f t="shared" ca="1" si="16"/>
        <v>5.4245119491101626E-4</v>
      </c>
      <c r="P229" s="39">
        <f t="shared" si="14"/>
        <v>0.19900000000000015</v>
      </c>
      <c r="Q229" s="64">
        <f t="shared" si="15"/>
        <v>5.9700000000000051</v>
      </c>
      <c r="R229" s="64">
        <f t="shared" ca="1" si="13"/>
        <v>-28.688086639366819</v>
      </c>
      <c r="T229" s="35">
        <f ca="1">DATA!AM224*$B$7</f>
        <v>-34571.242694834982</v>
      </c>
    </row>
    <row r="230" spans="15:20" x14ac:dyDescent="0.25">
      <c r="O230" s="38">
        <f t="shared" ca="1" si="16"/>
        <v>5.2883093453303884E-4</v>
      </c>
      <c r="P230" s="39">
        <f t="shared" si="14"/>
        <v>0.20000000000000015</v>
      </c>
      <c r="Q230" s="64">
        <f t="shared" si="15"/>
        <v>6.0000000000000053</v>
      </c>
      <c r="R230" s="64">
        <f t="shared" ca="1" si="13"/>
        <v>-28.83350416016766</v>
      </c>
      <c r="T230" s="35">
        <f ca="1">DATA!AM225*$B$7</f>
        <v>2665.2792716620861</v>
      </c>
    </row>
    <row r="231" spans="15:20" x14ac:dyDescent="0.25">
      <c r="O231" s="38">
        <f t="shared" ca="1" si="16"/>
        <v>5.1526099765672234E-4</v>
      </c>
      <c r="P231" s="39">
        <f t="shared" si="14"/>
        <v>0.20100000000000015</v>
      </c>
      <c r="Q231" s="64">
        <f t="shared" si="15"/>
        <v>6.0300000000000056</v>
      </c>
      <c r="R231" s="64">
        <f t="shared" ca="1" si="13"/>
        <v>-28.978921680968497</v>
      </c>
      <c r="T231" s="35">
        <f ca="1">DATA!AM226*$B$7</f>
        <v>118674.3048229994</v>
      </c>
    </row>
    <row r="232" spans="15:20" x14ac:dyDescent="0.25">
      <c r="O232" s="38">
        <f t="shared" ca="1" si="16"/>
        <v>5.0174546736540273E-4</v>
      </c>
      <c r="P232" s="39">
        <f t="shared" si="14"/>
        <v>0.20200000000000015</v>
      </c>
      <c r="Q232" s="64">
        <f t="shared" si="15"/>
        <v>6.0600000000000058</v>
      </c>
      <c r="R232" s="64">
        <f t="shared" ca="1" si="13"/>
        <v>-29.124339201769338</v>
      </c>
      <c r="T232" s="35">
        <f ca="1">DATA!AM227*$B$7</f>
        <v>-108901.56822256159</v>
      </c>
    </row>
    <row r="233" spans="15:20" x14ac:dyDescent="0.25">
      <c r="O233" s="38">
        <f t="shared" ca="1" si="16"/>
        <v>4.8828886150071649E-4</v>
      </c>
      <c r="P233" s="39">
        <f t="shared" si="14"/>
        <v>0.20300000000000015</v>
      </c>
      <c r="Q233" s="64">
        <f t="shared" si="15"/>
        <v>6.0900000000000061</v>
      </c>
      <c r="R233" s="64">
        <f t="shared" ca="1" si="13"/>
        <v>-29.269756722570179</v>
      </c>
      <c r="T233" s="35">
        <f ca="1">DATA!AM228*$B$7</f>
        <v>134895.67763157349</v>
      </c>
    </row>
    <row r="234" spans="15:20" x14ac:dyDescent="0.25">
      <c r="O234" s="38">
        <f t="shared" ca="1" si="16"/>
        <v>4.7489618911718246E-4</v>
      </c>
      <c r="P234" s="39">
        <f t="shared" si="14"/>
        <v>0.20400000000000015</v>
      </c>
      <c r="Q234" s="64">
        <f t="shared" si="15"/>
        <v>6.1200000000000063</v>
      </c>
      <c r="R234" s="64">
        <f t="shared" ca="1" si="13"/>
        <v>-29.415174243371016</v>
      </c>
      <c r="T234" s="35">
        <f ca="1">DATA!AM229*$B$7</f>
        <v>-30164.810199136886</v>
      </c>
    </row>
    <row r="235" spans="15:20" x14ac:dyDescent="0.25">
      <c r="O235" s="38">
        <f t="shared" ca="1" si="16"/>
        <v>4.6157301539278699E-4</v>
      </c>
      <c r="P235" s="39">
        <f t="shared" si="14"/>
        <v>0.20500000000000015</v>
      </c>
      <c r="Q235" s="64">
        <f t="shared" si="15"/>
        <v>6.1500000000000066</v>
      </c>
      <c r="R235" s="64">
        <f t="shared" ca="1" si="13"/>
        <v>-29.560591764171857</v>
      </c>
      <c r="T235" s="35">
        <f ca="1">DATA!AM230*$B$7</f>
        <v>109273.06359979912</v>
      </c>
    </row>
    <row r="236" spans="15:20" x14ac:dyDescent="0.25">
      <c r="O236" s="38">
        <f t="shared" ca="1" si="16"/>
        <v>4.483255363772805E-4</v>
      </c>
      <c r="P236" s="39">
        <f t="shared" si="14"/>
        <v>0.20600000000000016</v>
      </c>
      <c r="Q236" s="64">
        <f t="shared" si="15"/>
        <v>6.1800000000000068</v>
      </c>
      <c r="R236" s="64">
        <f t="shared" ca="1" si="13"/>
        <v>-29.706009284972694</v>
      </c>
      <c r="T236" s="35">
        <f ca="1">DATA!AM231*$B$7</f>
        <v>187216.23607692393</v>
      </c>
    </row>
    <row r="237" spans="15:20" x14ac:dyDescent="0.25">
      <c r="O237" s="38">
        <f t="shared" ca="1" si="16"/>
        <v>4.351606651865182E-4</v>
      </c>
      <c r="P237" s="39">
        <f t="shared" si="14"/>
        <v>0.20700000000000016</v>
      </c>
      <c r="Q237" s="64">
        <f t="shared" si="15"/>
        <v>6.2100000000000071</v>
      </c>
      <c r="R237" s="64">
        <f t="shared" ca="1" si="13"/>
        <v>-29.851426805773535</v>
      </c>
      <c r="T237" s="35">
        <f ca="1">DATA!AM232*$B$7</f>
        <v>-223565.61108014482</v>
      </c>
    </row>
    <row r="238" spans="15:20" x14ac:dyDescent="0.25">
      <c r="O238" s="38">
        <f t="shared" ca="1" si="16"/>
        <v>4.2208613150823292E-4</v>
      </c>
      <c r="P238" s="39">
        <f t="shared" si="14"/>
        <v>0.20800000000000016</v>
      </c>
      <c r="Q238" s="64">
        <f t="shared" si="15"/>
        <v>6.2400000000000073</v>
      </c>
      <c r="R238" s="64">
        <f t="shared" ca="1" si="13"/>
        <v>-29.996844326574376</v>
      </c>
      <c r="T238" s="35">
        <f ca="1">DATA!AM233*$B$7</f>
        <v>-29036.957951856548</v>
      </c>
    </row>
    <row r="239" spans="15:20" x14ac:dyDescent="0.25">
      <c r="O239" s="38">
        <f t="shared" ca="1" si="16"/>
        <v>4.091105965701814E-4</v>
      </c>
      <c r="P239" s="39">
        <f t="shared" si="14"/>
        <v>0.20900000000000016</v>
      </c>
      <c r="Q239" s="64">
        <f t="shared" si="15"/>
        <v>6.2700000000000076</v>
      </c>
      <c r="R239" s="64">
        <f t="shared" ca="1" si="13"/>
        <v>-30.142261847375213</v>
      </c>
      <c r="T239" s="35">
        <f ca="1">DATA!AM234*$B$7</f>
        <v>-11390.110999615403</v>
      </c>
    </row>
    <row r="240" spans="15:20" x14ac:dyDescent="0.25">
      <c r="O240" s="38">
        <f t="shared" ca="1" si="16"/>
        <v>3.9624378603184623E-4</v>
      </c>
      <c r="P240" s="39">
        <f t="shared" si="14"/>
        <v>0.21000000000000016</v>
      </c>
      <c r="Q240" s="64">
        <f t="shared" si="15"/>
        <v>6.3000000000000078</v>
      </c>
      <c r="R240" s="64">
        <f t="shared" ca="1" si="13"/>
        <v>-30.287679368176054</v>
      </c>
      <c r="T240" s="35">
        <f ca="1">DATA!AM235*$B$7</f>
        <v>-189027.35725229658</v>
      </c>
    </row>
    <row r="241" spans="15:20" x14ac:dyDescent="0.25">
      <c r="O241" s="38">
        <f t="shared" ca="1" si="16"/>
        <v>3.834966435838829E-4</v>
      </c>
      <c r="P241" s="39">
        <f t="shared" si="14"/>
        <v>0.21100000000000016</v>
      </c>
      <c r="Q241" s="64">
        <f t="shared" si="15"/>
        <v>6.3300000000000081</v>
      </c>
      <c r="R241" s="64">
        <f t="shared" ca="1" si="13"/>
        <v>-30.433096888976891</v>
      </c>
      <c r="T241" s="35">
        <f ca="1">DATA!AM236*$B$7</f>
        <v>-43108.953360250678</v>
      </c>
    </row>
    <row r="242" spans="15:20" x14ac:dyDescent="0.25">
      <c r="O242" s="38">
        <f t="shared" ca="1" si="16"/>
        <v>3.7088150835512112E-4</v>
      </c>
      <c r="P242" s="39">
        <f t="shared" si="14"/>
        <v>0.21200000000000016</v>
      </c>
      <c r="Q242" s="64">
        <f t="shared" si="15"/>
        <v>6.3600000000000083</v>
      </c>
      <c r="R242" s="64">
        <f t="shared" ca="1" si="13"/>
        <v>-30.578514409777732</v>
      </c>
      <c r="T242" s="35">
        <f ca="1">DATA!AM237*$B$7</f>
        <v>41774.132478954474</v>
      </c>
    </row>
    <row r="243" spans="15:20" x14ac:dyDescent="0.25">
      <c r="O243" s="38">
        <f t="shared" ca="1" si="16"/>
        <v>3.5841231949788627E-4</v>
      </c>
      <c r="P243" s="39">
        <f t="shared" si="14"/>
        <v>0.21300000000000016</v>
      </c>
      <c r="Q243" s="64">
        <f t="shared" si="15"/>
        <v>6.3900000000000086</v>
      </c>
      <c r="R243" s="64">
        <f t="shared" ca="1" si="13"/>
        <v>-30.723931930578573</v>
      </c>
      <c r="T243" s="35">
        <f ca="1">DATA!AM238*$B$7</f>
        <v>24090.689358487471</v>
      </c>
    </row>
    <row r="244" spans="15:20" x14ac:dyDescent="0.25">
      <c r="O244" s="38">
        <f t="shared" ca="1" si="16"/>
        <v>3.4610485148918446E-4</v>
      </c>
      <c r="P244" s="39">
        <f t="shared" si="14"/>
        <v>0.21400000000000016</v>
      </c>
      <c r="Q244" s="64">
        <f t="shared" si="15"/>
        <v>6.4200000000000088</v>
      </c>
      <c r="R244" s="64">
        <f t="shared" ca="1" si="13"/>
        <v>-30.86934945137941</v>
      </c>
      <c r="T244" s="35">
        <f ca="1">DATA!AM239*$B$7</f>
        <v>-47095.066436388232</v>
      </c>
    </row>
    <row r="245" spans="15:20" x14ac:dyDescent="0.25">
      <c r="O245" s="38">
        <f t="shared" ca="1" si="16"/>
        <v>3.3397698365196261E-4</v>
      </c>
      <c r="P245" s="39">
        <f t="shared" si="14"/>
        <v>0.21500000000000016</v>
      </c>
      <c r="Q245" s="64">
        <f t="shared" si="15"/>
        <v>6.4500000000000091</v>
      </c>
      <c r="R245" s="64">
        <f t="shared" ca="1" si="13"/>
        <v>-31.014766972180251</v>
      </c>
      <c r="T245" s="35">
        <f ca="1">DATA!AM240*$B$7</f>
        <v>-222403.61060613932</v>
      </c>
    </row>
    <row r="246" spans="15:20" x14ac:dyDescent="0.25">
      <c r="O246" s="38">
        <f t="shared" ca="1" si="16"/>
        <v>3.220490070200288E-4</v>
      </c>
      <c r="P246" s="39">
        <f t="shared" si="14"/>
        <v>0.21600000000000016</v>
      </c>
      <c r="Q246" s="64">
        <f t="shared" si="15"/>
        <v>6.4800000000000093</v>
      </c>
      <c r="R246" s="64">
        <f t="shared" ca="1" si="13"/>
        <v>-31.160184492981088</v>
      </c>
      <c r="T246" s="35">
        <f ca="1">DATA!AM241*$B$7</f>
        <v>-116159.04294421578</v>
      </c>
    </row>
    <row r="247" spans="15:20" x14ac:dyDescent="0.25">
      <c r="O247" s="38">
        <f t="shared" ca="1" si="16"/>
        <v>3.1034397072333373E-4</v>
      </c>
      <c r="P247" s="39">
        <f t="shared" si="14"/>
        <v>0.21700000000000016</v>
      </c>
      <c r="Q247" s="64">
        <f t="shared" si="15"/>
        <v>6.5100000000000096</v>
      </c>
      <c r="R247" s="64">
        <f t="shared" ca="1" si="13"/>
        <v>-31.305602013781929</v>
      </c>
      <c r="T247" s="35">
        <f ca="1">DATA!AM242*$B$7</f>
        <v>169280.57157352637</v>
      </c>
    </row>
    <row r="248" spans="15:20" x14ac:dyDescent="0.25">
      <c r="O248" s="38">
        <f t="shared" ca="1" si="16"/>
        <v>2.9888806823705455E-4</v>
      </c>
      <c r="P248" s="39">
        <f t="shared" si="14"/>
        <v>0.21800000000000017</v>
      </c>
      <c r="Q248" s="64">
        <f t="shared" si="15"/>
        <v>6.5400000000000098</v>
      </c>
      <c r="R248" s="64">
        <f t="shared" ca="1" si="13"/>
        <v>-31.45101953458277</v>
      </c>
      <c r="T248" s="35">
        <f ca="1">DATA!AM243*$B$7</f>
        <v>-283071.84015027958</v>
      </c>
    </row>
    <row r="249" spans="15:20" x14ac:dyDescent="0.25">
      <c r="O249" s="38">
        <f t="shared" ca="1" si="16"/>
        <v>2.8771106067206818E-4</v>
      </c>
      <c r="P249" s="39">
        <f t="shared" si="14"/>
        <v>0.21900000000000017</v>
      </c>
      <c r="Q249" s="64">
        <f t="shared" si="15"/>
        <v>6.5700000000000101</v>
      </c>
      <c r="R249" s="64">
        <f t="shared" ca="1" si="13"/>
        <v>-31.596437055383607</v>
      </c>
      <c r="T249" s="35">
        <f ca="1">DATA!AM244*$B$7</f>
        <v>1875.4745767753654</v>
      </c>
    </row>
    <row r="250" spans="15:20" x14ac:dyDescent="0.25">
      <c r="O250" s="38">
        <f t="shared" ca="1" si="16"/>
        <v>2.7684672918426725E-4</v>
      </c>
      <c r="P250" s="39">
        <f t="shared" si="14"/>
        <v>0.22000000000000017</v>
      </c>
      <c r="Q250" s="64">
        <f t="shared" si="15"/>
        <v>6.6000000000000103</v>
      </c>
      <c r="R250" s="64">
        <f t="shared" ca="1" si="13"/>
        <v>-31.741854576184448</v>
      </c>
      <c r="T250" s="35">
        <f ca="1">DATA!AM245*$B$7</f>
        <v>-130590.98812537872</v>
      </c>
    </row>
    <row r="251" spans="15:20" x14ac:dyDescent="0.25">
      <c r="O251" s="38">
        <f t="shared" ca="1" si="16"/>
        <v>2.6633334078823026E-4</v>
      </c>
      <c r="P251" s="39">
        <f t="shared" si="14"/>
        <v>0.22100000000000017</v>
      </c>
      <c r="Q251" s="64">
        <f t="shared" si="15"/>
        <v>6.6300000000000106</v>
      </c>
      <c r="R251" s="64">
        <f t="shared" ca="1" si="13"/>
        <v>-31.887272096985285</v>
      </c>
      <c r="T251" s="35">
        <f ca="1">DATA!AM246*$B$7</f>
        <v>99425.058197019345</v>
      </c>
    </row>
    <row r="252" spans="15:20" x14ac:dyDescent="0.25">
      <c r="O252" s="38">
        <f t="shared" ca="1" si="16"/>
        <v>2.5621410050821367E-4</v>
      </c>
      <c r="P252" s="39">
        <f t="shared" si="14"/>
        <v>0.22200000000000017</v>
      </c>
      <c r="Q252" s="64">
        <f t="shared" si="15"/>
        <v>6.6600000000000108</v>
      </c>
      <c r="R252" s="64">
        <f t="shared" ca="1" si="13"/>
        <v>-32.032689617786126</v>
      </c>
      <c r="T252" s="35">
        <f ca="1">DATA!AM247*$B$7</f>
        <v>10848.075856350497</v>
      </c>
    </row>
    <row r="253" spans="15:20" x14ac:dyDescent="0.25">
      <c r="O253" s="38">
        <f t="shared" ca="1" si="16"/>
        <v>2.4653754706221754E-4</v>
      </c>
      <c r="P253" s="39">
        <f t="shared" si="14"/>
        <v>0.22300000000000017</v>
      </c>
      <c r="Q253" s="64">
        <f t="shared" si="15"/>
        <v>6.690000000000011</v>
      </c>
      <c r="R253" s="64">
        <f t="shared" ca="1" si="13"/>
        <v>-32.178107138586967</v>
      </c>
      <c r="T253" s="35">
        <f ca="1">DATA!AM248*$B$7</f>
        <v>-218281.78623237525</v>
      </c>
    </row>
    <row r="254" spans="15:20" x14ac:dyDescent="0.25">
      <c r="O254" s="38">
        <f t="shared" ca="1" si="16"/>
        <v>2.3735782871456867E-4</v>
      </c>
      <c r="P254" s="39">
        <f t="shared" si="14"/>
        <v>0.22400000000000017</v>
      </c>
      <c r="Q254" s="64">
        <f t="shared" si="15"/>
        <v>6.7200000000000113</v>
      </c>
      <c r="R254" s="64">
        <f t="shared" ca="1" si="13"/>
        <v>-32.323524659387807</v>
      </c>
      <c r="T254" s="35">
        <f ca="1">DATA!AM249*$B$7</f>
        <v>-32034.682976247899</v>
      </c>
    </row>
    <row r="255" spans="15:20" x14ac:dyDescent="0.25">
      <c r="O255" s="38">
        <f t="shared" ca="1" si="16"/>
        <v>2.2873477112399438E-4</v>
      </c>
      <c r="P255" s="39">
        <f t="shared" si="14"/>
        <v>0.22500000000000017</v>
      </c>
      <c r="Q255" s="64">
        <f t="shared" si="15"/>
        <v>6.7500000000000115</v>
      </c>
      <c r="R255" s="64">
        <f t="shared" ca="1" si="13"/>
        <v>-32.468942180188641</v>
      </c>
      <c r="T255" s="35">
        <f ca="1">DATA!AM250*$B$7</f>
        <v>-171712.59418133556</v>
      </c>
    </row>
    <row r="256" spans="15:20" x14ac:dyDescent="0.25">
      <c r="O256" s="38">
        <f t="shared" ca="1" si="16"/>
        <v>2.2073362253769417E-4</v>
      </c>
      <c r="P256" s="39">
        <f t="shared" si="14"/>
        <v>0.22600000000000017</v>
      </c>
      <c r="Q256" s="64">
        <f t="shared" si="15"/>
        <v>6.7800000000000118</v>
      </c>
      <c r="R256" s="64">
        <f t="shared" ca="1" si="13"/>
        <v>-32.614359700989482</v>
      </c>
      <c r="T256" s="35">
        <f ca="1">DATA!AM251*$B$7</f>
        <v>73563.965085234595</v>
      </c>
    </row>
    <row r="257" spans="15:20" x14ac:dyDescent="0.25">
      <c r="O257" s="38">
        <f t="shared" ca="1" si="16"/>
        <v>2.1342433939101825E-4</v>
      </c>
      <c r="P257" s="39">
        <f t="shared" si="14"/>
        <v>0.22700000000000017</v>
      </c>
      <c r="Q257" s="64">
        <f t="shared" si="15"/>
        <v>6.810000000000012</v>
      </c>
      <c r="R257" s="64">
        <f t="shared" ca="1" si="13"/>
        <v>-32.759777221790323</v>
      </c>
      <c r="T257" s="35">
        <f ca="1">DATA!AM252*$B$7</f>
        <v>319623.42867398856</v>
      </c>
    </row>
    <row r="258" spans="15:20" x14ac:dyDescent="0.25">
      <c r="O258" s="38">
        <f t="shared" ca="1" si="16"/>
        <v>2.0688026754330012E-4</v>
      </c>
      <c r="P258" s="39">
        <f t="shared" si="14"/>
        <v>0.22800000000000017</v>
      </c>
      <c r="Q258" s="64">
        <f t="shared" si="15"/>
        <v>6.8400000000000123</v>
      </c>
      <c r="R258" s="64">
        <f t="shared" ca="1" si="13"/>
        <v>-32.905194742591164</v>
      </c>
      <c r="T258" s="35">
        <f ca="1">DATA!AM253*$B$7</f>
        <v>98918.975336681586</v>
      </c>
    </row>
    <row r="259" spans="15:20" x14ac:dyDescent="0.25">
      <c r="O259" s="38">
        <f t="shared" ca="1" si="16"/>
        <v>2.0117609570099147E-4</v>
      </c>
      <c r="P259" s="39">
        <f t="shared" si="14"/>
        <v>0.22900000000000018</v>
      </c>
      <c r="Q259" s="64">
        <f t="shared" si="15"/>
        <v>6.8700000000000125</v>
      </c>
      <c r="R259" s="64">
        <f t="shared" ca="1" si="13"/>
        <v>-33.050612263392004</v>
      </c>
      <c r="T259" s="35">
        <f ca="1">DATA!AM254*$B$7</f>
        <v>-44864.239028943091</v>
      </c>
    </row>
    <row r="260" spans="15:20" x14ac:dyDescent="0.25">
      <c r="O260" s="38">
        <f t="shared" ca="1" si="16"/>
        <v>1.9638502435934512E-4</v>
      </c>
      <c r="P260" s="39">
        <f t="shared" si="14"/>
        <v>0.23000000000000018</v>
      </c>
      <c r="Q260" s="64">
        <f t="shared" si="15"/>
        <v>6.9000000000000128</v>
      </c>
      <c r="R260" s="64">
        <f t="shared" ca="1" si="13"/>
        <v>-33.196029784192838</v>
      </c>
      <c r="T260" s="35">
        <f ca="1">DATA!AM255*$B$7</f>
        <v>73124.47341727496</v>
      </c>
    </row>
    <row r="261" spans="15:20" x14ac:dyDescent="0.25">
      <c r="O261" s="38">
        <f t="shared" ca="1" si="16"/>
        <v>1.9257521655746709E-4</v>
      </c>
      <c r="P261" s="39">
        <f t="shared" si="14"/>
        <v>0.23100000000000018</v>
      </c>
      <c r="Q261" s="64">
        <f t="shared" si="15"/>
        <v>6.930000000000013</v>
      </c>
      <c r="R261" s="64">
        <f t="shared" ca="1" si="13"/>
        <v>-33.341447304993679</v>
      </c>
      <c r="T261" s="35">
        <f ca="1">DATA!AM256*$B$7</f>
        <v>292189.53031295142</v>
      </c>
    </row>
    <row r="262" spans="15:20" x14ac:dyDescent="0.25">
      <c r="O262" s="38">
        <f t="shared" ca="1" si="16"/>
        <v>1.898057696702184E-4</v>
      </c>
      <c r="P262" s="39">
        <f t="shared" si="14"/>
        <v>0.23200000000000018</v>
      </c>
      <c r="Q262" s="64">
        <f t="shared" si="15"/>
        <v>6.9600000000000133</v>
      </c>
      <c r="R262" s="64">
        <f t="shared" ca="1" si="13"/>
        <v>-33.48686482579452</v>
      </c>
      <c r="T262" s="35">
        <f ca="1">DATA!AM257*$B$7</f>
        <v>-72200.446385837407</v>
      </c>
    </row>
    <row r="263" spans="15:20" x14ac:dyDescent="0.25">
      <c r="O263" s="38">
        <f t="shared" ca="1" si="16"/>
        <v>1.8812263632128832E-4</v>
      </c>
      <c r="P263" s="39">
        <f t="shared" si="14"/>
        <v>0.23300000000000018</v>
      </c>
      <c r="Q263" s="64">
        <f t="shared" si="15"/>
        <v>6.9900000000000135</v>
      </c>
      <c r="R263" s="64">
        <f t="shared" ca="1" si="13"/>
        <v>-33.63228234659536</v>
      </c>
      <c r="T263" s="35">
        <f ca="1">DATA!AM258*$B$7</f>
        <v>13465.199490062754</v>
      </c>
    </row>
    <row r="264" spans="15:20" x14ac:dyDescent="0.25">
      <c r="O264" s="38">
        <f t="shared" ca="1" si="16"/>
        <v>1.8755506477098884E-4</v>
      </c>
      <c r="P264" s="39">
        <f t="shared" si="14"/>
        <v>0.23400000000000018</v>
      </c>
      <c r="Q264" s="64">
        <f t="shared" si="15"/>
        <v>7.0200000000000138</v>
      </c>
      <c r="R264" s="64">
        <f t="shared" ca="1" si="13"/>
        <v>-33.777699867396201</v>
      </c>
      <c r="T264" s="35">
        <f ca="1">DATA!AM259*$B$7</f>
        <v>-98613.190974882178</v>
      </c>
    </row>
    <row r="265" spans="15:20" x14ac:dyDescent="0.25">
      <c r="O265" s="38">
        <f t="shared" ca="1" si="16"/>
        <v>1.8811315284808042E-4</v>
      </c>
      <c r="P265" s="39">
        <f t="shared" si="14"/>
        <v>0.23500000000000018</v>
      </c>
      <c r="Q265" s="64">
        <f t="shared" si="15"/>
        <v>7.050000000000014</v>
      </c>
      <c r="R265" s="64">
        <f t="shared" ca="1" si="13"/>
        <v>-33.923117388197035</v>
      </c>
      <c r="T265" s="35">
        <f ca="1">DATA!AM260*$B$7</f>
        <v>91281.147463088753</v>
      </c>
    </row>
    <row r="266" spans="15:20" x14ac:dyDescent="0.25">
      <c r="O266" s="38">
        <f t="shared" ca="1" si="16"/>
        <v>1.8978697045912062E-4</v>
      </c>
      <c r="P266" s="39">
        <f t="shared" si="14"/>
        <v>0.23600000000000018</v>
      </c>
      <c r="Q266" s="64">
        <f t="shared" si="15"/>
        <v>7.0800000000000143</v>
      </c>
      <c r="R266" s="64">
        <f t="shared" ca="1" si="13"/>
        <v>-34.068534908997876</v>
      </c>
      <c r="T266" s="35">
        <f ca="1">DATA!AM261*$B$7</f>
        <v>118787.16912453686</v>
      </c>
    </row>
    <row r="267" spans="15:20" x14ac:dyDescent="0.25">
      <c r="O267" s="38">
        <f t="shared" ca="1" si="16"/>
        <v>1.9254742264199757E-4</v>
      </c>
      <c r="P267" s="39">
        <f t="shared" si="14"/>
        <v>0.23700000000000018</v>
      </c>
      <c r="Q267" s="64">
        <f t="shared" si="15"/>
        <v>7.1100000000000145</v>
      </c>
      <c r="R267" s="64">
        <f t="shared" ca="1" si="13"/>
        <v>-34.213952429798717</v>
      </c>
      <c r="T267" s="35">
        <f ca="1">DATA!AM262*$B$7</f>
        <v>36168.71918910071</v>
      </c>
    </row>
    <row r="268" spans="15:20" x14ac:dyDescent="0.25">
      <c r="O268" s="38">
        <f t="shared" ca="1" si="16"/>
        <v>1.9634868398975746E-4</v>
      </c>
      <c r="P268" s="39">
        <f t="shared" si="14"/>
        <v>0.23800000000000018</v>
      </c>
      <c r="Q268" s="64">
        <f t="shared" si="15"/>
        <v>7.1400000000000148</v>
      </c>
      <c r="R268" s="64">
        <f t="shared" ca="1" si="13"/>
        <v>-34.359369950599557</v>
      </c>
      <c r="T268" s="35">
        <f ca="1">DATA!AM263*$B$7</f>
        <v>186639.08874113153</v>
      </c>
    </row>
    <row r="269" spans="15:20" x14ac:dyDescent="0.25">
      <c r="O269" s="38">
        <f t="shared" ca="1" si="16"/>
        <v>2.0113175127602873E-4</v>
      </c>
      <c r="P269" s="39">
        <f t="shared" si="14"/>
        <v>0.23900000000000018</v>
      </c>
      <c r="Q269" s="64">
        <f t="shared" si="15"/>
        <v>7.170000000000015</v>
      </c>
      <c r="R269" s="64">
        <f t="shared" ca="1" si="13"/>
        <v>-34.504787471400398</v>
      </c>
      <c r="T269" s="35">
        <f ca="1">DATA!AM264*$B$7</f>
        <v>275972.06078111642</v>
      </c>
    </row>
    <row r="270" spans="15:20" x14ac:dyDescent="0.25">
      <c r="O270" s="38">
        <f t="shared" ca="1" si="16"/>
        <v>2.068285206798705E-4</v>
      </c>
      <c r="P270" s="39">
        <f t="shared" si="14"/>
        <v>0.24000000000000019</v>
      </c>
      <c r="Q270" s="64">
        <f t="shared" si="15"/>
        <v>7.2000000000000153</v>
      </c>
      <c r="R270" s="64">
        <f t="shared" ca="1" si="13"/>
        <v>-34.650204992201232</v>
      </c>
      <c r="T270" s="35">
        <f ca="1">DATA!AM265*$B$7</f>
        <v>-307106.36028189136</v>
      </c>
    </row>
    <row r="271" spans="15:20" x14ac:dyDescent="0.25">
      <c r="O271" s="38">
        <f t="shared" ca="1" si="16"/>
        <v>2.1336581846749091E-4</v>
      </c>
      <c r="P271" s="39">
        <f t="shared" si="14"/>
        <v>0.24100000000000019</v>
      </c>
      <c r="Q271" s="64">
        <f t="shared" si="15"/>
        <v>7.2300000000000155</v>
      </c>
      <c r="R271" s="64">
        <f t="shared" ca="1" si="13"/>
        <v>-34.795622513002073</v>
      </c>
      <c r="T271" s="35">
        <f ca="1">DATA!AM266*$B$7</f>
        <v>-216734.76705015011</v>
      </c>
    </row>
    <row r="272" spans="15:20" x14ac:dyDescent="0.25">
      <c r="O272" s="38">
        <f t="shared" ca="1" si="16"/>
        <v>2.2066895554743269E-4</v>
      </c>
      <c r="P272" s="39">
        <f t="shared" si="14"/>
        <v>0.24200000000000019</v>
      </c>
      <c r="Q272" s="64">
        <f t="shared" si="15"/>
        <v>7.2600000000000158</v>
      </c>
      <c r="R272" s="64">
        <f t="shared" ca="1" si="13"/>
        <v>-34.941040033802913</v>
      </c>
      <c r="T272" s="35">
        <f ca="1">DATA!AM267*$B$7</f>
        <v>-132282.8539929681</v>
      </c>
    </row>
    <row r="273" spans="15:20" x14ac:dyDescent="0.25">
      <c r="O273" s="38">
        <f t="shared" ca="1" si="16"/>
        <v>2.2866456507929082E-4</v>
      </c>
      <c r="P273" s="39">
        <f t="shared" si="14"/>
        <v>0.24300000000000019</v>
      </c>
      <c r="Q273" s="64">
        <f t="shared" si="15"/>
        <v>7.290000000000016</v>
      </c>
      <c r="R273" s="64">
        <f t="shared" ca="1" si="13"/>
        <v>-35.086457554603754</v>
      </c>
      <c r="T273" s="35">
        <f ca="1">DATA!AM268*$B$7</f>
        <v>-83513.284265842565</v>
      </c>
    </row>
    <row r="274" spans="15:20" x14ac:dyDescent="0.25">
      <c r="O274" s="38">
        <f t="shared" ca="1" si="16"/>
        <v>2.3728265556467298E-4</v>
      </c>
      <c r="P274" s="39">
        <f t="shared" si="14"/>
        <v>0.24400000000000019</v>
      </c>
      <c r="Q274" s="64">
        <f t="shared" si="15"/>
        <v>7.3200000000000163</v>
      </c>
      <c r="R274" s="64">
        <f t="shared" ca="1" si="13"/>
        <v>-35.231875075404595</v>
      </c>
      <c r="T274" s="35">
        <f ca="1">DATA!AM269*$B$7</f>
        <v>-243865.14328030756</v>
      </c>
    </row>
    <row r="275" spans="15:20" x14ac:dyDescent="0.25">
      <c r="O275" s="38">
        <f t="shared" ca="1" si="16"/>
        <v>2.4645793529354531E-4</v>
      </c>
      <c r="P275" s="39">
        <f t="shared" si="14"/>
        <v>0.24500000000000019</v>
      </c>
      <c r="Q275" s="64">
        <f t="shared" si="15"/>
        <v>7.3500000000000165</v>
      </c>
      <c r="R275" s="64">
        <f t="shared" ca="1" si="13"/>
        <v>-35.377292596205429</v>
      </c>
      <c r="T275" s="35">
        <f ca="1">DATA!AM270*$B$7</f>
        <v>-30477.820735176407</v>
      </c>
    </row>
    <row r="276" spans="15:20" x14ac:dyDescent="0.25">
      <c r="O276" s="38">
        <f t="shared" ca="1" si="16"/>
        <v>2.5613053124316732E-4</v>
      </c>
      <c r="P276" s="39">
        <f t="shared" si="14"/>
        <v>0.24600000000000019</v>
      </c>
      <c r="Q276" s="64">
        <f t="shared" si="15"/>
        <v>7.3800000000000168</v>
      </c>
      <c r="R276" s="64">
        <f t="shared" ca="1" si="13"/>
        <v>-35.52271011700627</v>
      </c>
      <c r="T276" s="35">
        <f ca="1">DATA!AM271*$B$7</f>
        <v>-49150.573260077988</v>
      </c>
    </row>
    <row r="277" spans="15:20" x14ac:dyDescent="0.25">
      <c r="O277" s="38">
        <f t="shared" ca="1" si="16"/>
        <v>2.6624624716429477E-4</v>
      </c>
      <c r="P277" s="39">
        <f t="shared" si="14"/>
        <v>0.24700000000000019</v>
      </c>
      <c r="Q277" s="64">
        <f t="shared" si="15"/>
        <v>7.410000000000017</v>
      </c>
      <c r="R277" s="64">
        <f t="shared" ca="1" si="13"/>
        <v>-35.66812763780711</v>
      </c>
      <c r="T277" s="35">
        <f ca="1">DATA!AM272*$B$7</f>
        <v>122878.84577536763</v>
      </c>
    </row>
    <row r="278" spans="15:20" x14ac:dyDescent="0.25">
      <c r="O278" s="38">
        <f t="shared" ca="1" si="16"/>
        <v>2.767564979393406E-4</v>
      </c>
      <c r="P278" s="39">
        <f t="shared" si="14"/>
        <v>0.24800000000000019</v>
      </c>
      <c r="Q278" s="64">
        <f t="shared" si="15"/>
        <v>7.4400000000000173</v>
      </c>
      <c r="R278" s="64">
        <f t="shared" ca="1" si="13"/>
        <v>-35.813545158607951</v>
      </c>
      <c r="T278" s="35">
        <f ca="1">DATA!AM273*$B$7</f>
        <v>-184767.92550052036</v>
      </c>
    </row>
    <row r="279" spans="15:20" x14ac:dyDescent="0.25">
      <c r="O279" s="38">
        <f t="shared" ca="1" si="16"/>
        <v>2.8761803507888647E-4</v>
      </c>
      <c r="P279" s="39">
        <f t="shared" si="14"/>
        <v>0.24900000000000019</v>
      </c>
      <c r="Q279" s="64">
        <f t="shared" si="15"/>
        <v>7.4700000000000175</v>
      </c>
      <c r="R279" s="64">
        <f t="shared" ca="1" si="13"/>
        <v>-35.958962679408792</v>
      </c>
      <c r="T279" s="35">
        <f ca="1">DATA!AM274*$B$7</f>
        <v>-117892.98638578708</v>
      </c>
    </row>
    <row r="280" spans="15:20" x14ac:dyDescent="0.25">
      <c r="O280" s="38">
        <f t="shared" ca="1" si="16"/>
        <v>2.9879255175128288E-4</v>
      </c>
      <c r="P280" s="39">
        <f t="shared" si="14"/>
        <v>0.25000000000000017</v>
      </c>
      <c r="Q280" s="64">
        <f t="shared" si="15"/>
        <v>7.5000000000000178</v>
      </c>
      <c r="R280" s="64">
        <f t="shared" ca="1" si="13"/>
        <v>-36.104380200209626</v>
      </c>
      <c r="T280" s="35">
        <f ca="1">DATA!AM275*$B$7</f>
        <v>-19661.246094553022</v>
      </c>
    </row>
    <row r="281" spans="15:20" x14ac:dyDescent="0.25">
      <c r="O281" s="38">
        <f t="shared" ca="1" si="16"/>
        <v>3.1024623090356089E-4</v>
      </c>
      <c r="P281" s="39">
        <f t="shared" si="14"/>
        <v>0.25100000000000017</v>
      </c>
      <c r="Q281" s="64">
        <f t="shared" si="15"/>
        <v>7.530000000000018</v>
      </c>
      <c r="R281" s="64">
        <f t="shared" ca="1" si="13"/>
        <v>-36.249797721010466</v>
      </c>
      <c r="T281" s="35">
        <f ca="1">DATA!AM276*$B$7</f>
        <v>16062.936154298817</v>
      </c>
    </row>
    <row r="282" spans="15:20" x14ac:dyDescent="0.25">
      <c r="O282" s="38">
        <f t="shared" ca="1" si="16"/>
        <v>3.2194927943093551E-4</v>
      </c>
      <c r="P282" s="39">
        <f t="shared" si="14"/>
        <v>0.25200000000000017</v>
      </c>
      <c r="Q282" s="64">
        <f t="shared" si="15"/>
        <v>7.5600000000000183</v>
      </c>
      <c r="R282" s="64">
        <f t="shared" ca="1" si="13"/>
        <v>-36.395215241811307</v>
      </c>
      <c r="T282" s="35">
        <f ca="1">DATA!AM277*$B$7</f>
        <v>170891.93159298622</v>
      </c>
    </row>
    <row r="283" spans="15:20" x14ac:dyDescent="0.25">
      <c r="O283" s="38">
        <f t="shared" ca="1" si="16"/>
        <v>3.3387547557546873E-4</v>
      </c>
      <c r="P283" s="39">
        <f t="shared" si="14"/>
        <v>0.25300000000000017</v>
      </c>
      <c r="Q283" s="64">
        <f t="shared" si="15"/>
        <v>7.5900000000000185</v>
      </c>
      <c r="R283" s="64">
        <f t="shared" ca="1" si="13"/>
        <v>-36.540632762612148</v>
      </c>
      <c r="T283" s="35">
        <f ca="1">DATA!AM278*$B$7</f>
        <v>205082.60312572416</v>
      </c>
    </row>
    <row r="284" spans="15:20" x14ac:dyDescent="0.25">
      <c r="O284" s="38">
        <f t="shared" ca="1" si="16"/>
        <v>3.4600174534792137E-4</v>
      </c>
      <c r="P284" s="39">
        <f t="shared" si="14"/>
        <v>0.25400000000000017</v>
      </c>
      <c r="Q284" s="64">
        <f t="shared" si="15"/>
        <v>7.6200000000000188</v>
      </c>
      <c r="R284" s="64">
        <f t="shared" ca="1" si="13"/>
        <v>-36.686050283412982</v>
      </c>
      <c r="T284" s="35">
        <f ca="1">DATA!AM279*$B$7</f>
        <v>56988.120147684793</v>
      </c>
    </row>
    <row r="285" spans="15:20" x14ac:dyDescent="0.25">
      <c r="O285" s="38">
        <f t="shared" ca="1" si="16"/>
        <v>3.5830777594867016E-4</v>
      </c>
      <c r="P285" s="39">
        <f t="shared" si="14"/>
        <v>0.25500000000000017</v>
      </c>
      <c r="Q285" s="64">
        <f t="shared" si="15"/>
        <v>7.650000000000019</v>
      </c>
      <c r="R285" s="64">
        <f t="shared" ca="1" si="13"/>
        <v>-36.831467804213823</v>
      </c>
      <c r="T285" s="35">
        <f ca="1">DATA!AM280*$B$7</f>
        <v>-18330.886543102944</v>
      </c>
    </row>
    <row r="286" spans="15:20" x14ac:dyDescent="0.25">
      <c r="O286" s="38">
        <f t="shared" ca="1" si="16"/>
        <v>3.7077566904420258E-4</v>
      </c>
      <c r="P286" s="39">
        <f t="shared" si="14"/>
        <v>0.25600000000000017</v>
      </c>
      <c r="Q286" s="64">
        <f t="shared" si="15"/>
        <v>7.6800000000000193</v>
      </c>
      <c r="R286" s="64">
        <f t="shared" ca="1" si="13"/>
        <v>-36.976885325014663</v>
      </c>
      <c r="T286" s="35">
        <f ca="1">DATA!AM281*$B$7</f>
        <v>-176312.41599785397</v>
      </c>
    </row>
    <row r="287" spans="15:20" x14ac:dyDescent="0.25">
      <c r="O287" s="38">
        <f t="shared" ca="1" si="16"/>
        <v>3.8338963357592245E-4</v>
      </c>
      <c r="P287" s="39">
        <f t="shared" si="14"/>
        <v>0.25700000000000017</v>
      </c>
      <c r="Q287" s="64">
        <f t="shared" si="15"/>
        <v>7.7100000000000195</v>
      </c>
      <c r="R287" s="64">
        <f t="shared" ref="R287:R350" ca="1" si="17">$B$8+$B$42*Q287</f>
        <v>-37.122302845815504</v>
      </c>
      <c r="T287" s="35">
        <f ca="1">DATA!AM282*$B$7</f>
        <v>456204.50934020663</v>
      </c>
    </row>
    <row r="288" spans="15:20" x14ac:dyDescent="0.25">
      <c r="O288" s="38">
        <f t="shared" ca="1" si="16"/>
        <v>3.9613571593609143E-4</v>
      </c>
      <c r="P288" s="39">
        <f t="shared" ref="P288:P351" si="18">P287+0.1%</f>
        <v>0.25800000000000017</v>
      </c>
      <c r="Q288" s="64">
        <f t="shared" ref="Q288:Q351" si="19">Q287+0.03</f>
        <v>7.7400000000000198</v>
      </c>
      <c r="R288" s="64">
        <f t="shared" ca="1" si="17"/>
        <v>-37.267720366616345</v>
      </c>
      <c r="T288" s="35">
        <f ca="1">DATA!AM283*$B$7</f>
        <v>-116694.84273288716</v>
      </c>
    </row>
    <row r="289" spans="15:20" x14ac:dyDescent="0.25">
      <c r="O289" s="38">
        <f t="shared" ca="1" si="16"/>
        <v>4.0900156439227682E-4</v>
      </c>
      <c r="P289" s="39">
        <f t="shared" si="18"/>
        <v>0.25900000000000017</v>
      </c>
      <c r="Q289" s="64">
        <f t="shared" si="19"/>
        <v>7.77000000000002</v>
      </c>
      <c r="R289" s="64">
        <f t="shared" ca="1" si="17"/>
        <v>-37.413137887417179</v>
      </c>
      <c r="T289" s="35">
        <f ca="1">DATA!AM284*$B$7</f>
        <v>-92014.156612975843</v>
      </c>
    </row>
    <row r="290" spans="15:20" x14ac:dyDescent="0.25">
      <c r="O290" s="38">
        <f t="shared" ca="1" si="16"/>
        <v>4.2197622425781161E-4</v>
      </c>
      <c r="P290" s="39">
        <f t="shared" si="18"/>
        <v>0.26000000000000018</v>
      </c>
      <c r="Q290" s="64">
        <f t="shared" si="19"/>
        <v>7.8000000000000203</v>
      </c>
      <c r="R290" s="64">
        <f t="shared" ca="1" si="17"/>
        <v>-37.55855540821802</v>
      </c>
      <c r="T290" s="35">
        <f ca="1">DATA!AM285*$B$7</f>
        <v>75310.826646262212</v>
      </c>
    </row>
    <row r="291" spans="15:20" x14ac:dyDescent="0.25">
      <c r="O291" s="38">
        <f t="shared" ca="1" si="16"/>
        <v>4.3504996026989834E-4</v>
      </c>
      <c r="P291" s="39">
        <f t="shared" si="18"/>
        <v>0.26100000000000018</v>
      </c>
      <c r="Q291" s="64">
        <f t="shared" si="19"/>
        <v>7.8300000000000205</v>
      </c>
      <c r="R291" s="64">
        <f t="shared" ca="1" si="17"/>
        <v>-37.70397292901886</v>
      </c>
      <c r="T291" s="35">
        <f ca="1">DATA!AM286*$B$7</f>
        <v>173257.14526759795</v>
      </c>
    </row>
    <row r="292" spans="15:20" x14ac:dyDescent="0.25">
      <c r="O292" s="38">
        <f t="shared" ref="O292:O355" ca="1" si="20">SQRT(($B$36*P292^2 - 2*$B$37*P292 +$B$38)/$B$39)</f>
        <v>4.4821410280268623E-4</v>
      </c>
      <c r="P292" s="39">
        <f t="shared" si="18"/>
        <v>0.26200000000000018</v>
      </c>
      <c r="Q292" s="64">
        <f t="shared" si="19"/>
        <v>7.8600000000000207</v>
      </c>
      <c r="R292" s="64">
        <f t="shared" ca="1" si="17"/>
        <v>-37.849390449819701</v>
      </c>
      <c r="T292" s="35">
        <f ca="1">DATA!AM287*$B$7</f>
        <v>310476.14534378488</v>
      </c>
    </row>
    <row r="293" spans="15:20" x14ac:dyDescent="0.25">
      <c r="O293" s="38">
        <f t="shared" ca="1" si="20"/>
        <v>4.6146091481294953E-4</v>
      </c>
      <c r="P293" s="39">
        <f t="shared" si="18"/>
        <v>0.26300000000000018</v>
      </c>
      <c r="Q293" s="64">
        <f t="shared" si="19"/>
        <v>7.890000000000021</v>
      </c>
      <c r="R293" s="64">
        <f t="shared" ca="1" si="17"/>
        <v>-37.994807970620542</v>
      </c>
      <c r="T293" s="35">
        <f ca="1">DATA!AM288*$B$7</f>
        <v>278301.36769150832</v>
      </c>
    </row>
    <row r="294" spans="15:20" x14ac:dyDescent="0.25">
      <c r="O294" s="38">
        <f t="shared" ca="1" si="20"/>
        <v>4.7478347673145216E-4</v>
      </c>
      <c r="P294" s="39">
        <f t="shared" si="18"/>
        <v>0.26400000000000018</v>
      </c>
      <c r="Q294" s="64">
        <f t="shared" si="19"/>
        <v>7.9200000000000212</v>
      </c>
      <c r="R294" s="64">
        <f t="shared" ca="1" si="17"/>
        <v>-38.140225491421376</v>
      </c>
      <c r="T294" s="35">
        <f ca="1">DATA!AM289*$B$7</f>
        <v>90071.205789545158</v>
      </c>
    </row>
    <row r="295" spans="15:20" x14ac:dyDescent="0.25">
      <c r="O295" s="38">
        <f t="shared" ca="1" si="20"/>
        <v>4.8817558683615631E-4</v>
      </c>
      <c r="P295" s="39">
        <f t="shared" si="18"/>
        <v>0.26500000000000018</v>
      </c>
      <c r="Q295" s="64">
        <f t="shared" si="19"/>
        <v>7.9500000000000215</v>
      </c>
      <c r="R295" s="64">
        <f t="shared" ca="1" si="17"/>
        <v>-38.285643012222216</v>
      </c>
      <c r="T295" s="35">
        <f ca="1">DATA!AM290*$B$7</f>
        <v>-466753.54762634303</v>
      </c>
    </row>
    <row r="296" spans="15:20" x14ac:dyDescent="0.25">
      <c r="O296" s="38">
        <f t="shared" ca="1" si="20"/>
        <v>5.0163167495370165E-4</v>
      </c>
      <c r="P296" s="39">
        <f t="shared" si="18"/>
        <v>0.26600000000000018</v>
      </c>
      <c r="Q296" s="64">
        <f t="shared" si="19"/>
        <v>7.9800000000000217</v>
      </c>
      <c r="R296" s="64">
        <f t="shared" ca="1" si="17"/>
        <v>-38.431060533023057</v>
      </c>
      <c r="T296" s="35">
        <f ca="1">DATA!AM291*$B$7</f>
        <v>-171765.96516188059</v>
      </c>
    </row>
    <row r="297" spans="15:20" x14ac:dyDescent="0.25">
      <c r="O297" s="38">
        <f t="shared" ca="1" si="20"/>
        <v>5.1514672762166102E-4</v>
      </c>
      <c r="P297" s="39">
        <f t="shared" si="18"/>
        <v>0.26700000000000018</v>
      </c>
      <c r="Q297" s="64">
        <f t="shared" si="19"/>
        <v>8.0100000000000211</v>
      </c>
      <c r="R297" s="64">
        <f t="shared" ca="1" si="17"/>
        <v>-38.576478053823891</v>
      </c>
      <c r="T297" s="35">
        <f ca="1">DATA!AM292*$B$7</f>
        <v>124919.02365927173</v>
      </c>
    </row>
    <row r="298" spans="15:20" x14ac:dyDescent="0.25">
      <c r="O298" s="38">
        <f t="shared" ca="1" si="20"/>
        <v>5.287162231009774E-4</v>
      </c>
      <c r="P298" s="39">
        <f t="shared" si="18"/>
        <v>0.26800000000000018</v>
      </c>
      <c r="Q298" s="64">
        <f t="shared" si="19"/>
        <v>8.0400000000000205</v>
      </c>
      <c r="R298" s="64">
        <f t="shared" ca="1" si="17"/>
        <v>-38.721895574624725</v>
      </c>
      <c r="T298" s="35">
        <f ca="1">DATA!AM293*$B$7</f>
        <v>26370.753927860198</v>
      </c>
    </row>
    <row r="299" spans="15:20" x14ac:dyDescent="0.25">
      <c r="O299" s="38">
        <f t="shared" ca="1" si="20"/>
        <v>5.4233607485528574E-4</v>
      </c>
      <c r="P299" s="39">
        <f t="shared" si="18"/>
        <v>0.26900000000000018</v>
      </c>
      <c r="Q299" s="64">
        <f t="shared" si="19"/>
        <v>8.0700000000000198</v>
      </c>
      <c r="R299" s="64">
        <f t="shared" ca="1" si="17"/>
        <v>-38.867313095425565</v>
      </c>
      <c r="T299" s="35">
        <f ca="1">DATA!AM294*$B$7</f>
        <v>301670.38291513344</v>
      </c>
    </row>
    <row r="300" spans="15:20" x14ac:dyDescent="0.25">
      <c r="O300" s="38">
        <f t="shared" ca="1" si="20"/>
        <v>5.5600258231156409E-4</v>
      </c>
      <c r="P300" s="39">
        <f t="shared" si="18"/>
        <v>0.27000000000000018</v>
      </c>
      <c r="Q300" s="64">
        <f t="shared" si="19"/>
        <v>8.1000000000000192</v>
      </c>
      <c r="R300" s="64">
        <f t="shared" ca="1" si="17"/>
        <v>-39.012730616226399</v>
      </c>
      <c r="T300" s="35">
        <f ca="1">DATA!AM295*$B$7</f>
        <v>-288918.42211112619</v>
      </c>
    </row>
    <row r="301" spans="15:20" x14ac:dyDescent="0.25">
      <c r="O301" s="38">
        <f t="shared" ca="1" si="20"/>
        <v>5.6971238788816158E-4</v>
      </c>
      <c r="P301" s="39">
        <f t="shared" si="18"/>
        <v>0.27100000000000019</v>
      </c>
      <c r="Q301" s="64">
        <f t="shared" si="19"/>
        <v>8.1300000000000185</v>
      </c>
      <c r="R301" s="64">
        <f t="shared" ca="1" si="17"/>
        <v>-39.158148137027233</v>
      </c>
      <c r="T301" s="35">
        <f ca="1">DATA!AM296*$B$7</f>
        <v>-292280.06441849377</v>
      </c>
    </row>
    <row r="302" spans="15:20" x14ac:dyDescent="0.25">
      <c r="O302" s="38">
        <f t="shared" ca="1" si="20"/>
        <v>5.8346243942326457E-4</v>
      </c>
      <c r="P302" s="39">
        <f t="shared" si="18"/>
        <v>0.27200000000000019</v>
      </c>
      <c r="Q302" s="64">
        <f t="shared" si="19"/>
        <v>8.1600000000000179</v>
      </c>
      <c r="R302" s="64">
        <f t="shared" ca="1" si="17"/>
        <v>-39.303565657828067</v>
      </c>
      <c r="T302" s="35">
        <f ca="1">DATA!AM297*$B$7</f>
        <v>-428215.64257502678</v>
      </c>
    </row>
    <row r="303" spans="15:20" x14ac:dyDescent="0.25">
      <c r="O303" s="38">
        <f t="shared" ca="1" si="20"/>
        <v>5.9724995726301734E-4</v>
      </c>
      <c r="P303" s="39">
        <f t="shared" si="18"/>
        <v>0.27300000000000019</v>
      </c>
      <c r="Q303" s="64">
        <f t="shared" si="19"/>
        <v>8.1900000000000173</v>
      </c>
      <c r="R303" s="64">
        <f t="shared" ca="1" si="17"/>
        <v>-39.4489831786289</v>
      </c>
      <c r="T303" s="35">
        <f ca="1">DATA!AM298*$B$7</f>
        <v>-332845.42508567189</v>
      </c>
    </row>
    <row r="304" spans="15:20" x14ac:dyDescent="0.25">
      <c r="O304" s="38">
        <f t="shared" ca="1" si="20"/>
        <v>6.1107240537601004E-4</v>
      </c>
      <c r="P304" s="39">
        <f t="shared" si="18"/>
        <v>0.27400000000000019</v>
      </c>
      <c r="Q304" s="64">
        <f t="shared" si="19"/>
        <v>8.2200000000000166</v>
      </c>
      <c r="R304" s="64">
        <f t="shared" ca="1" si="17"/>
        <v>-39.594400699429741</v>
      </c>
      <c r="T304" s="35">
        <f ca="1">DATA!AM299*$B$7</f>
        <v>168037.09235718817</v>
      </c>
    </row>
    <row r="305" spans="15:20" x14ac:dyDescent="0.25">
      <c r="O305" s="38">
        <f t="shared" ca="1" si="20"/>
        <v>6.2492746595247349E-4</v>
      </c>
      <c r="P305" s="39">
        <f t="shared" si="18"/>
        <v>0.27500000000000019</v>
      </c>
      <c r="Q305" s="64">
        <f t="shared" si="19"/>
        <v>8.250000000000016</v>
      </c>
      <c r="R305" s="64">
        <f t="shared" ca="1" si="17"/>
        <v>-39.739818220230575</v>
      </c>
      <c r="T305" s="35">
        <f ca="1">DATA!AM300*$B$7</f>
        <v>-20587.096044034915</v>
      </c>
    </row>
    <row r="306" spans="15:20" x14ac:dyDescent="0.25">
      <c r="O306" s="38">
        <f t="shared" ca="1" si="20"/>
        <v>6.3881301702450801E-4</v>
      </c>
      <c r="P306" s="39">
        <f t="shared" si="18"/>
        <v>0.27600000000000019</v>
      </c>
      <c r="Q306" s="64">
        <f t="shared" si="19"/>
        <v>8.2800000000000153</v>
      </c>
      <c r="R306" s="64">
        <f t="shared" ca="1" si="17"/>
        <v>-39.885235741031408</v>
      </c>
      <c r="T306" s="35">
        <f ca="1">DATA!AM301*$B$7</f>
        <v>97984.457722527033</v>
      </c>
    </row>
    <row r="307" spans="15:20" x14ac:dyDescent="0.25">
      <c r="O307" s="38">
        <f t="shared" ca="1" si="20"/>
        <v>6.5272711270985162E-4</v>
      </c>
      <c r="P307" s="39">
        <f t="shared" si="18"/>
        <v>0.27700000000000019</v>
      </c>
      <c r="Q307" s="64">
        <f t="shared" si="19"/>
        <v>8.3100000000000147</v>
      </c>
      <c r="R307" s="64">
        <f t="shared" ca="1" si="17"/>
        <v>-40.030653261832242</v>
      </c>
      <c r="T307" s="35">
        <f ca="1">DATA!AM302*$B$7</f>
        <v>-94752.8719133181</v>
      </c>
    </row>
    <row r="308" spans="15:20" x14ac:dyDescent="0.25">
      <c r="O308" s="38">
        <f t="shared" ca="1" si="20"/>
        <v>6.6666796573822639E-4</v>
      </c>
      <c r="P308" s="39">
        <f t="shared" si="18"/>
        <v>0.27800000000000019</v>
      </c>
      <c r="Q308" s="64">
        <f t="shared" si="19"/>
        <v>8.3400000000000141</v>
      </c>
      <c r="R308" s="64">
        <f t="shared" ca="1" si="17"/>
        <v>-40.176070782633076</v>
      </c>
      <c r="T308" s="35">
        <f ca="1">DATA!AM303*$B$7</f>
        <v>-76034.36026145042</v>
      </c>
    </row>
    <row r="309" spans="15:20" x14ac:dyDescent="0.25">
      <c r="O309" s="38">
        <f t="shared" ca="1" si="20"/>
        <v>6.8063393196707257E-4</v>
      </c>
      <c r="P309" s="39">
        <f t="shared" si="18"/>
        <v>0.27900000000000019</v>
      </c>
      <c r="Q309" s="64">
        <f t="shared" si="19"/>
        <v>8.3700000000000134</v>
      </c>
      <c r="R309" s="64">
        <f t="shared" ca="1" si="17"/>
        <v>-40.321488303433917</v>
      </c>
      <c r="T309" s="35">
        <f ca="1">DATA!AM304*$B$7</f>
        <v>701279.10827818466</v>
      </c>
    </row>
    <row r="310" spans="15:20" x14ac:dyDescent="0.25">
      <c r="O310" s="38">
        <f t="shared" ca="1" si="20"/>
        <v>6.9462349663453732E-4</v>
      </c>
      <c r="P310" s="39">
        <f t="shared" si="18"/>
        <v>0.28000000000000019</v>
      </c>
      <c r="Q310" s="64">
        <f t="shared" si="19"/>
        <v>8.4000000000000128</v>
      </c>
      <c r="R310" s="64">
        <f t="shared" ca="1" si="17"/>
        <v>-40.46690582423475</v>
      </c>
      <c r="T310" s="35">
        <f ca="1">DATA!AM305*$B$7</f>
        <v>145021.60461481524</v>
      </c>
    </row>
    <row r="311" spans="15:20" x14ac:dyDescent="0.25">
      <c r="O311" s="38">
        <f t="shared" ca="1" si="20"/>
        <v>7.0863526213210334E-4</v>
      </c>
      <c r="P311" s="39">
        <f t="shared" si="18"/>
        <v>0.28100000000000019</v>
      </c>
      <c r="Q311" s="64">
        <f t="shared" si="19"/>
        <v>8.4300000000000122</v>
      </c>
      <c r="R311" s="64">
        <f t="shared" ca="1" si="17"/>
        <v>-40.612323345035584</v>
      </c>
      <c r="T311" s="35">
        <f ca="1">DATA!AM306*$B$7</f>
        <v>-166480.23881634141</v>
      </c>
    </row>
    <row r="312" spans="15:20" x14ac:dyDescent="0.25">
      <c r="O312" s="38">
        <f t="shared" ca="1" si="20"/>
        <v>7.2266793710921799E-4</v>
      </c>
      <c r="P312" s="39">
        <f t="shared" si="18"/>
        <v>0.28200000000000019</v>
      </c>
      <c r="Q312" s="64">
        <f t="shared" si="19"/>
        <v>8.4600000000000115</v>
      </c>
      <c r="R312" s="64">
        <f t="shared" ca="1" si="17"/>
        <v>-40.757740865836418</v>
      </c>
      <c r="T312" s="35">
        <f ca="1">DATA!AM307*$B$7</f>
        <v>-107979.90532818413</v>
      </c>
    </row>
    <row r="313" spans="15:20" x14ac:dyDescent="0.25">
      <c r="O313" s="38">
        <f t="shared" ca="1" si="20"/>
        <v>7.3672032674737856E-4</v>
      </c>
      <c r="P313" s="39">
        <f t="shared" si="18"/>
        <v>0.2830000000000002</v>
      </c>
      <c r="Q313" s="64">
        <f t="shared" si="19"/>
        <v>8.4900000000000109</v>
      </c>
      <c r="R313" s="64">
        <f t="shared" ca="1" si="17"/>
        <v>-40.903158386637251</v>
      </c>
      <c r="T313" s="35">
        <f ca="1">DATA!AM308*$B$7</f>
        <v>-139505.46617750352</v>
      </c>
    </row>
    <row r="314" spans="15:20" x14ac:dyDescent="0.25">
      <c r="O314" s="38">
        <f t="shared" ca="1" si="20"/>
        <v>7.5079132406298467E-4</v>
      </c>
      <c r="P314" s="39">
        <f t="shared" si="18"/>
        <v>0.2840000000000002</v>
      </c>
      <c r="Q314" s="64">
        <f t="shared" si="19"/>
        <v>8.5200000000000102</v>
      </c>
      <c r="R314" s="64">
        <f t="shared" ca="1" si="17"/>
        <v>-41.048575907438092</v>
      </c>
      <c r="T314" s="35">
        <f ca="1">DATA!AM309*$B$7</f>
        <v>-127282.40819419692</v>
      </c>
    </row>
    <row r="315" spans="15:20" x14ac:dyDescent="0.25">
      <c r="O315" s="38">
        <f t="shared" ca="1" si="20"/>
        <v>7.6487990211676529E-4</v>
      </c>
      <c r="P315" s="39">
        <f t="shared" si="18"/>
        <v>0.2850000000000002</v>
      </c>
      <c r="Q315" s="64">
        <f t="shared" si="19"/>
        <v>8.5500000000000096</v>
      </c>
      <c r="R315" s="64">
        <f t="shared" ca="1" si="17"/>
        <v>-41.193993428238926</v>
      </c>
      <c r="T315" s="35">
        <f ca="1">DATA!AM310*$B$7</f>
        <v>-103174.82040843625</v>
      </c>
    </row>
    <row r="316" spans="15:20" x14ac:dyDescent="0.25">
      <c r="O316" s="38">
        <f t="shared" ca="1" si="20"/>
        <v>7.7898510702353332E-4</v>
      </c>
      <c r="P316" s="39">
        <f t="shared" si="18"/>
        <v>0.2860000000000002</v>
      </c>
      <c r="Q316" s="64">
        <f t="shared" si="19"/>
        <v>8.580000000000009</v>
      </c>
      <c r="R316" s="64">
        <f t="shared" ca="1" si="17"/>
        <v>-41.33941094903976</v>
      </c>
      <c r="T316" s="35">
        <f ca="1">DATA!AM311*$B$7</f>
        <v>-198660.94077932503</v>
      </c>
    </row>
    <row r="317" spans="15:20" x14ac:dyDescent="0.25">
      <c r="O317" s="38">
        <f t="shared" ca="1" si="20"/>
        <v>7.9310605166976007E-4</v>
      </c>
      <c r="P317" s="39">
        <f t="shared" si="18"/>
        <v>0.2870000000000002</v>
      </c>
      <c r="Q317" s="64">
        <f t="shared" si="19"/>
        <v>8.6100000000000083</v>
      </c>
      <c r="R317" s="64">
        <f t="shared" ca="1" si="17"/>
        <v>-41.484828469840593</v>
      </c>
      <c r="T317" s="35">
        <f ca="1">DATA!AM312*$B$7</f>
        <v>4053.764330742837</v>
      </c>
    </row>
    <row r="318" spans="15:20" x14ac:dyDescent="0.25">
      <c r="O318" s="38">
        <f t="shared" ca="1" si="20"/>
        <v>8.0724191005815415E-4</v>
      </c>
      <c r="P318" s="39">
        <f t="shared" si="18"/>
        <v>0.2880000000000002</v>
      </c>
      <c r="Q318" s="64">
        <f t="shared" si="19"/>
        <v>8.6400000000000077</v>
      </c>
      <c r="R318" s="64">
        <f t="shared" ca="1" si="17"/>
        <v>-41.630245990641427</v>
      </c>
      <c r="T318" s="35">
        <f ca="1">DATA!AM313*$B$7</f>
        <v>-134757.68783985308</v>
      </c>
    </row>
    <row r="319" spans="15:20" x14ac:dyDescent="0.25">
      <c r="O319" s="38">
        <f t="shared" ca="1" si="20"/>
        <v>8.2139191220872065E-4</v>
      </c>
      <c r="P319" s="39">
        <f t="shared" si="18"/>
        <v>0.2890000000000002</v>
      </c>
      <c r="Q319" s="64">
        <f t="shared" si="19"/>
        <v>8.670000000000007</v>
      </c>
      <c r="R319" s="64">
        <f t="shared" ca="1" si="17"/>
        <v>-41.775663511442268</v>
      </c>
      <c r="T319" s="35">
        <f ca="1">DATA!AM314*$B$7</f>
        <v>-197796.55596410212</v>
      </c>
    </row>
    <row r="320" spans="15:20" x14ac:dyDescent="0.25">
      <c r="O320" s="38">
        <f t="shared" ca="1" si="20"/>
        <v>8.3555533955439922E-4</v>
      </c>
      <c r="P320" s="39">
        <f t="shared" si="18"/>
        <v>0.2900000000000002</v>
      </c>
      <c r="Q320" s="64">
        <f t="shared" si="19"/>
        <v>8.7000000000000064</v>
      </c>
      <c r="R320" s="64">
        <f t="shared" ca="1" si="17"/>
        <v>-41.921081032243102</v>
      </c>
      <c r="T320" s="35">
        <f ca="1">DATA!AM315*$B$7</f>
        <v>-68996.83310193161</v>
      </c>
    </row>
    <row r="321" spans="15:20" x14ac:dyDescent="0.25">
      <c r="O321" s="38">
        <f t="shared" ca="1" si="20"/>
        <v>8.4973152077715312E-4</v>
      </c>
      <c r="P321" s="39">
        <f t="shared" si="18"/>
        <v>0.2910000000000002</v>
      </c>
      <c r="Q321" s="64">
        <f t="shared" si="19"/>
        <v>8.7300000000000058</v>
      </c>
      <c r="R321" s="64">
        <f t="shared" ca="1" si="17"/>
        <v>-42.066498553043935</v>
      </c>
      <c r="T321" s="35">
        <f ca="1">DATA!AM316*$B$7</f>
        <v>221770.96519729032</v>
      </c>
    </row>
    <row r="322" spans="15:20" x14ac:dyDescent="0.25">
      <c r="O322" s="38">
        <f t="shared" ca="1" si="20"/>
        <v>8.6391982803675125E-4</v>
      </c>
      <c r="P322" s="39">
        <f t="shared" si="18"/>
        <v>0.2920000000000002</v>
      </c>
      <c r="Q322" s="64">
        <f t="shared" si="19"/>
        <v>8.7600000000000051</v>
      </c>
      <c r="R322" s="64">
        <f t="shared" ca="1" si="17"/>
        <v>-42.211916073844769</v>
      </c>
      <c r="T322" s="35">
        <f ca="1">DATA!AM317*$B$7</f>
        <v>146046.92648100562</v>
      </c>
    </row>
    <row r="323" spans="15:20" x14ac:dyDescent="0.25">
      <c r="O323" s="38">
        <f t="shared" ca="1" si="20"/>
        <v>8.7811967355040145E-4</v>
      </c>
      <c r="P323" s="39">
        <f t="shared" si="18"/>
        <v>0.2930000000000002</v>
      </c>
      <c r="Q323" s="64">
        <f t="shared" si="19"/>
        <v>8.7900000000000045</v>
      </c>
      <c r="R323" s="64">
        <f t="shared" ca="1" si="17"/>
        <v>-42.357333594645603</v>
      </c>
      <c r="T323" s="35">
        <f ca="1">DATA!AM318*$B$7</f>
        <v>80039.021745618506</v>
      </c>
    </row>
    <row r="324" spans="15:20" x14ac:dyDescent="0.25">
      <c r="O324" s="38">
        <f t="shared" ca="1" si="20"/>
        <v>8.9233050648618675E-4</v>
      </c>
      <c r="P324" s="39">
        <f t="shared" si="18"/>
        <v>0.29400000000000021</v>
      </c>
      <c r="Q324" s="64">
        <f t="shared" si="19"/>
        <v>8.8200000000000038</v>
      </c>
      <c r="R324" s="64">
        <f t="shared" ca="1" si="17"/>
        <v>-42.502751115446436</v>
      </c>
      <c r="T324" s="35">
        <f ca="1">DATA!AM319*$B$7</f>
        <v>-220667.15603964153</v>
      </c>
    </row>
    <row r="325" spans="15:20" x14ac:dyDescent="0.25">
      <c r="O325" s="38">
        <f t="shared" ca="1" si="20"/>
        <v>9.0655181013769566E-4</v>
      </c>
      <c r="P325" s="39">
        <f t="shared" si="18"/>
        <v>0.29500000000000021</v>
      </c>
      <c r="Q325" s="64">
        <f t="shared" si="19"/>
        <v>8.8500000000000032</v>
      </c>
      <c r="R325" s="64">
        <f t="shared" ca="1" si="17"/>
        <v>-42.648168636247277</v>
      </c>
      <c r="T325" s="35">
        <f ca="1">DATA!AM320*$B$7</f>
        <v>-159648.59590469991</v>
      </c>
    </row>
    <row r="326" spans="15:20" x14ac:dyDescent="0.25">
      <c r="O326" s="38">
        <f t="shared" ca="1" si="20"/>
        <v>9.207830993509772E-4</v>
      </c>
      <c r="P326" s="39">
        <f t="shared" si="18"/>
        <v>0.29600000000000021</v>
      </c>
      <c r="Q326" s="64">
        <f t="shared" si="19"/>
        <v>8.8800000000000026</v>
      </c>
      <c r="R326" s="64">
        <f t="shared" ca="1" si="17"/>
        <v>-42.793586157048111</v>
      </c>
      <c r="T326" s="35">
        <f ca="1">DATA!AM321*$B$7</f>
        <v>-102388.76281714019</v>
      </c>
    </row>
    <row r="327" spans="15:20" x14ac:dyDescent="0.25">
      <c r="O327" s="38">
        <f t="shared" ca="1" si="20"/>
        <v>9.3502391817817184E-4</v>
      </c>
      <c r="P327" s="39">
        <f t="shared" si="18"/>
        <v>0.29700000000000021</v>
      </c>
      <c r="Q327" s="64">
        <f t="shared" si="19"/>
        <v>8.9100000000000019</v>
      </c>
      <c r="R327" s="64">
        <f t="shared" ca="1" si="17"/>
        <v>-42.939003677848945</v>
      </c>
      <c r="T327" s="35">
        <f ca="1">DATA!AM322*$B$7</f>
        <v>313669.46336418018</v>
      </c>
    </row>
    <row r="328" spans="15:20" x14ac:dyDescent="0.25">
      <c r="O328" s="38">
        <f t="shared" ca="1" si="20"/>
        <v>9.4927383773521707E-4</v>
      </c>
      <c r="P328" s="39">
        <f t="shared" si="18"/>
        <v>0.29800000000000021</v>
      </c>
      <c r="Q328" s="64">
        <f t="shared" si="19"/>
        <v>8.9400000000000013</v>
      </c>
      <c r="R328" s="64">
        <f t="shared" ca="1" si="17"/>
        <v>-43.084421198649778</v>
      </c>
      <c r="T328" s="35">
        <f ca="1">DATA!AM323*$B$7</f>
        <v>-8886.1119200212233</v>
      </c>
    </row>
    <row r="329" spans="15:20" x14ac:dyDescent="0.25">
      <c r="O329" s="38">
        <f t="shared" ca="1" si="20"/>
        <v>9.6353245424336592E-4</v>
      </c>
      <c r="P329" s="39">
        <f t="shared" si="18"/>
        <v>0.29900000000000021</v>
      </c>
      <c r="Q329" s="64">
        <f t="shared" si="19"/>
        <v>8.9700000000000006</v>
      </c>
      <c r="R329" s="64">
        <f t="shared" ca="1" si="17"/>
        <v>-43.229838719450612</v>
      </c>
      <c r="T329" s="35">
        <f ca="1">DATA!AM324*$B$7</f>
        <v>259996.87428663738</v>
      </c>
    </row>
    <row r="330" spans="15:20" x14ac:dyDescent="0.25">
      <c r="O330" s="38">
        <f t="shared" ca="1" si="20"/>
        <v>9.7779938723664499E-4</v>
      </c>
      <c r="P330" s="39">
        <f t="shared" si="18"/>
        <v>0.30000000000000021</v>
      </c>
      <c r="Q330" s="64">
        <f t="shared" si="19"/>
        <v>9</v>
      </c>
      <c r="R330" s="64">
        <f t="shared" ca="1" si="17"/>
        <v>-43.375256240251453</v>
      </c>
      <c r="T330" s="35">
        <f ca="1">DATA!AM325*$B$7</f>
        <v>-52759.588866942642</v>
      </c>
    </row>
    <row r="331" spans="15:20" x14ac:dyDescent="0.25">
      <c r="O331" s="38">
        <f t="shared" ca="1" si="20"/>
        <v>9.9207427791919039E-4</v>
      </c>
      <c r="P331" s="39">
        <f t="shared" si="18"/>
        <v>0.30100000000000021</v>
      </c>
      <c r="Q331" s="64">
        <f t="shared" si="19"/>
        <v>9.0299999999999994</v>
      </c>
      <c r="R331" s="64">
        <f t="shared" ca="1" si="17"/>
        <v>-43.520673761052286</v>
      </c>
      <c r="T331" s="35">
        <f ca="1">DATA!AM326*$B$7</f>
        <v>31494.295548546252</v>
      </c>
    </row>
    <row r="332" spans="15:20" x14ac:dyDescent="0.25">
      <c r="O332" s="38">
        <f t="shared" ca="1" si="20"/>
        <v>1.0063567876582465E-3</v>
      </c>
      <c r="P332" s="39">
        <f t="shared" si="18"/>
        <v>0.30200000000000021</v>
      </c>
      <c r="Q332" s="64">
        <f t="shared" si="19"/>
        <v>9.0599999999999987</v>
      </c>
      <c r="R332" s="64">
        <f t="shared" ca="1" si="17"/>
        <v>-43.66609128185312</v>
      </c>
      <c r="T332" s="35">
        <f ca="1">DATA!AM327*$B$7</f>
        <v>174300.11714464138</v>
      </c>
    </row>
    <row r="333" spans="15:20" x14ac:dyDescent="0.25">
      <c r="O333" s="38">
        <f t="shared" ca="1" si="20"/>
        <v>1.0206465966000088E-3</v>
      </c>
      <c r="P333" s="39">
        <f t="shared" si="18"/>
        <v>0.30300000000000021</v>
      </c>
      <c r="Q333" s="64">
        <f t="shared" si="19"/>
        <v>9.0899999999999981</v>
      </c>
      <c r="R333" s="64">
        <f t="shared" ca="1" si="17"/>
        <v>-43.811508802653954</v>
      </c>
      <c r="T333" s="35">
        <f ca="1">DATA!AM328*$B$7</f>
        <v>-383359.10304786882</v>
      </c>
    </row>
    <row r="334" spans="15:20" x14ac:dyDescent="0.25">
      <c r="O334" s="38">
        <f t="shared" ca="1" si="20"/>
        <v>1.0349434023969382E-3</v>
      </c>
      <c r="P334" s="39">
        <f t="shared" si="18"/>
        <v>0.30400000000000021</v>
      </c>
      <c r="Q334" s="64">
        <f t="shared" si="19"/>
        <v>9.1199999999999974</v>
      </c>
      <c r="R334" s="64">
        <f t="shared" ca="1" si="17"/>
        <v>-43.956926323454788</v>
      </c>
      <c r="T334" s="35">
        <f ca="1">DATA!AM329*$B$7</f>
        <v>210928.35752754743</v>
      </c>
    </row>
    <row r="335" spans="15:20" x14ac:dyDescent="0.25">
      <c r="O335" s="38">
        <f t="shared" ca="1" si="20"/>
        <v>1.0492469190362841E-3</v>
      </c>
      <c r="P335" s="39">
        <f t="shared" si="18"/>
        <v>0.30500000000000022</v>
      </c>
      <c r="Q335" s="64">
        <f t="shared" si="19"/>
        <v>9.1499999999999968</v>
      </c>
      <c r="R335" s="64">
        <f t="shared" ca="1" si="17"/>
        <v>-44.102343844255628</v>
      </c>
      <c r="T335" s="35">
        <f ca="1">DATA!AM330*$B$7</f>
        <v>-93767.801710301253</v>
      </c>
    </row>
    <row r="336" spans="15:20" x14ac:dyDescent="0.25">
      <c r="O336" s="38">
        <f t="shared" ca="1" si="20"/>
        <v>1.0635568757606394E-3</v>
      </c>
      <c r="P336" s="39">
        <f t="shared" si="18"/>
        <v>0.30600000000000022</v>
      </c>
      <c r="Q336" s="64">
        <f t="shared" si="19"/>
        <v>9.1799999999999962</v>
      </c>
      <c r="R336" s="64">
        <f t="shared" ca="1" si="17"/>
        <v>-44.247761365056462</v>
      </c>
      <c r="T336" s="35">
        <f ca="1">DATA!AM331*$B$7</f>
        <v>51459.616583856223</v>
      </c>
    </row>
    <row r="337" spans="15:20" x14ac:dyDescent="0.25">
      <c r="O337" s="38">
        <f t="shared" ca="1" si="20"/>
        <v>1.0778730160722768E-3</v>
      </c>
      <c r="P337" s="39">
        <f t="shared" si="18"/>
        <v>0.30700000000000022</v>
      </c>
      <c r="Q337" s="64">
        <f t="shared" si="19"/>
        <v>9.2099999999999955</v>
      </c>
      <c r="R337" s="64">
        <f t="shared" ca="1" si="17"/>
        <v>-44.393178885857296</v>
      </c>
      <c r="T337" s="35">
        <f ca="1">DATA!AM332*$B$7</f>
        <v>-9609.979837287452</v>
      </c>
    </row>
    <row r="338" spans="15:20" x14ac:dyDescent="0.25">
      <c r="O338" s="38">
        <f t="shared" ca="1" si="20"/>
        <v>1.0921950968138287E-3</v>
      </c>
      <c r="P338" s="39">
        <f t="shared" si="18"/>
        <v>0.30800000000000022</v>
      </c>
      <c r="Q338" s="64">
        <f t="shared" si="19"/>
        <v>9.2399999999999949</v>
      </c>
      <c r="R338" s="64">
        <f t="shared" ca="1" si="17"/>
        <v>-44.538596406658129</v>
      </c>
      <c r="T338" s="35">
        <f ca="1">DATA!AM333*$B$7</f>
        <v>-43158.939373311507</v>
      </c>
    </row>
    <row r="339" spans="15:20" x14ac:dyDescent="0.25">
      <c r="O339" s="38">
        <f t="shared" ca="1" si="20"/>
        <v>1.1065228873186541E-3</v>
      </c>
      <c r="P339" s="39">
        <f t="shared" si="18"/>
        <v>0.30900000000000022</v>
      </c>
      <c r="Q339" s="64">
        <f t="shared" si="19"/>
        <v>9.2699999999999942</v>
      </c>
      <c r="R339" s="64">
        <f t="shared" ca="1" si="17"/>
        <v>-44.684013927458963</v>
      </c>
      <c r="T339" s="35">
        <f ca="1">DATA!AM334*$B$7</f>
        <v>-96301.109930824881</v>
      </c>
    </row>
    <row r="340" spans="15:20" x14ac:dyDescent="0.25">
      <c r="O340" s="38">
        <f t="shared" ca="1" si="20"/>
        <v>1.1208561686247977E-3</v>
      </c>
      <c r="P340" s="39">
        <f t="shared" si="18"/>
        <v>0.31000000000000022</v>
      </c>
      <c r="Q340" s="64">
        <f t="shared" si="19"/>
        <v>9.2999999999999936</v>
      </c>
      <c r="R340" s="64">
        <f t="shared" ca="1" si="17"/>
        <v>-44.829431448259804</v>
      </c>
      <c r="T340" s="35">
        <f ca="1">DATA!AM335*$B$7</f>
        <v>84920.986307868079</v>
      </c>
    </row>
    <row r="341" spans="15:20" x14ac:dyDescent="0.25">
      <c r="O341" s="38">
        <f t="shared" ca="1" si="20"/>
        <v>1.1351947327471754E-3</v>
      </c>
      <c r="P341" s="39">
        <f t="shared" si="18"/>
        <v>0.31100000000000022</v>
      </c>
      <c r="Q341" s="64">
        <f t="shared" si="19"/>
        <v>9.329999999999993</v>
      </c>
      <c r="R341" s="64">
        <f t="shared" ca="1" si="17"/>
        <v>-44.974848969060638</v>
      </c>
      <c r="T341" s="35">
        <f ca="1">DATA!AM336*$B$7</f>
        <v>120102.81360439118</v>
      </c>
    </row>
    <row r="342" spans="15:20" x14ac:dyDescent="0.25">
      <c r="O342" s="38">
        <f t="shared" ca="1" si="20"/>
        <v>1.1495383820029738E-3</v>
      </c>
      <c r="P342" s="39">
        <f t="shared" si="18"/>
        <v>0.31200000000000022</v>
      </c>
      <c r="Q342" s="64">
        <f t="shared" si="19"/>
        <v>9.3599999999999923</v>
      </c>
      <c r="R342" s="64">
        <f t="shared" ca="1" si="17"/>
        <v>-45.120266489861471</v>
      </c>
      <c r="T342" s="35">
        <f ca="1">DATA!AM337*$B$7</f>
        <v>395406.94362288091</v>
      </c>
    </row>
    <row r="343" spans="15:20" x14ac:dyDescent="0.25">
      <c r="O343" s="38">
        <f t="shared" ca="1" si="20"/>
        <v>1.1638869283858762E-3</v>
      </c>
      <c r="P343" s="39">
        <f t="shared" si="18"/>
        <v>0.31300000000000022</v>
      </c>
      <c r="Q343" s="64">
        <f t="shared" si="19"/>
        <v>9.3899999999999917</v>
      </c>
      <c r="R343" s="64">
        <f t="shared" ca="1" si="17"/>
        <v>-45.265684010662305</v>
      </c>
      <c r="T343" s="35">
        <f ca="1">DATA!AM338*$B$7</f>
        <v>88429.798797740485</v>
      </c>
    </row>
    <row r="344" spans="15:20" x14ac:dyDescent="0.25">
      <c r="O344" s="38">
        <f t="shared" ca="1" si="20"/>
        <v>1.1782401929850389E-3</v>
      </c>
      <c r="P344" s="39">
        <f t="shared" si="18"/>
        <v>0.31400000000000022</v>
      </c>
      <c r="Q344" s="64">
        <f t="shared" si="19"/>
        <v>9.419999999999991</v>
      </c>
      <c r="R344" s="64">
        <f t="shared" ca="1" si="17"/>
        <v>-45.411101531463139</v>
      </c>
      <c r="T344" s="35">
        <f ca="1">DATA!AM339*$B$7</f>
        <v>8726.3404534925685</v>
      </c>
    </row>
    <row r="345" spans="15:20" x14ac:dyDescent="0.25">
      <c r="O345" s="38">
        <f t="shared" ca="1" si="20"/>
        <v>1.1925980054451489E-3</v>
      </c>
      <c r="P345" s="39">
        <f t="shared" si="18"/>
        <v>0.31500000000000022</v>
      </c>
      <c r="Q345" s="64">
        <f t="shared" si="19"/>
        <v>9.4499999999999904</v>
      </c>
      <c r="R345" s="64">
        <f t="shared" ca="1" si="17"/>
        <v>-45.55651905226398</v>
      </c>
      <c r="T345" s="35">
        <f ca="1">DATA!AM340*$B$7</f>
        <v>-180286.61100177048</v>
      </c>
    </row>
    <row r="346" spans="15:20" x14ac:dyDescent="0.25">
      <c r="O346" s="38">
        <f t="shared" ca="1" si="20"/>
        <v>1.2069602034642582E-3</v>
      </c>
      <c r="P346" s="39">
        <f t="shared" si="18"/>
        <v>0.31600000000000023</v>
      </c>
      <c r="Q346" s="64">
        <f t="shared" si="19"/>
        <v>9.4799999999999898</v>
      </c>
      <c r="R346" s="64">
        <f t="shared" ca="1" si="17"/>
        <v>-45.701936573064813</v>
      </c>
      <c r="T346" s="35">
        <f ca="1">DATA!AM341*$B$7</f>
        <v>59618.003522804596</v>
      </c>
    </row>
    <row r="347" spans="15:20" x14ac:dyDescent="0.25">
      <c r="O347" s="38">
        <f t="shared" ca="1" si="20"/>
        <v>1.2213266323263584E-3</v>
      </c>
      <c r="P347" s="39">
        <f t="shared" si="18"/>
        <v>0.31700000000000023</v>
      </c>
      <c r="Q347" s="64">
        <f t="shared" si="19"/>
        <v>9.5099999999999891</v>
      </c>
      <c r="R347" s="64">
        <f t="shared" ca="1" si="17"/>
        <v>-45.847354093865647</v>
      </c>
      <c r="T347" s="35">
        <f ca="1">DATA!AM342*$B$7</f>
        <v>-15033.181020348446</v>
      </c>
    </row>
    <row r="348" spans="15:20" x14ac:dyDescent="0.25">
      <c r="O348" s="38">
        <f t="shared" ca="1" si="20"/>
        <v>1.2356971444659117E-3</v>
      </c>
      <c r="P348" s="39">
        <f t="shared" si="18"/>
        <v>0.31800000000000023</v>
      </c>
      <c r="Q348" s="64">
        <f t="shared" si="19"/>
        <v>9.5399999999999885</v>
      </c>
      <c r="R348" s="64">
        <f t="shared" ca="1" si="17"/>
        <v>-45.992771614666481</v>
      </c>
      <c r="T348" s="35">
        <f ca="1">DATA!AM343*$B$7</f>
        <v>40776.121568510687</v>
      </c>
    </row>
    <row r="349" spans="15:20" x14ac:dyDescent="0.25">
      <c r="O349" s="38">
        <f t="shared" ca="1" si="20"/>
        <v>1.250071599061904E-3</v>
      </c>
      <c r="P349" s="39">
        <f t="shared" si="18"/>
        <v>0.31900000000000023</v>
      </c>
      <c r="Q349" s="64">
        <f t="shared" si="19"/>
        <v>9.5699999999999878</v>
      </c>
      <c r="R349" s="64">
        <f t="shared" ca="1" si="17"/>
        <v>-46.138189135467314</v>
      </c>
      <c r="T349" s="35">
        <f ca="1">DATA!AM344*$B$7</f>
        <v>368560.37921675306</v>
      </c>
    </row>
    <row r="350" spans="15:20" x14ac:dyDescent="0.25">
      <c r="O350" s="38">
        <f t="shared" ca="1" si="20"/>
        <v>1.2644498616590462E-3</v>
      </c>
      <c r="P350" s="39">
        <f t="shared" si="18"/>
        <v>0.32000000000000023</v>
      </c>
      <c r="Q350" s="64">
        <f t="shared" si="19"/>
        <v>9.5999999999999872</v>
      </c>
      <c r="R350" s="64">
        <f t="shared" ca="1" si="17"/>
        <v>-46.283606656268148</v>
      </c>
      <c r="T350" s="35">
        <f ca="1">DATA!AM345*$B$7</f>
        <v>159089.1068402633</v>
      </c>
    </row>
    <row r="351" spans="15:20" x14ac:dyDescent="0.25">
      <c r="O351" s="38">
        <f t="shared" ca="1" si="20"/>
        <v>1.2788318038140865E-3</v>
      </c>
      <c r="P351" s="39">
        <f t="shared" si="18"/>
        <v>0.32100000000000023</v>
      </c>
      <c r="Q351" s="64">
        <f t="shared" si="19"/>
        <v>9.6299999999999866</v>
      </c>
      <c r="R351" s="64">
        <f t="shared" ref="R351:R414" ca="1" si="21">$B$8+$B$42*Q351</f>
        <v>-46.429024177068989</v>
      </c>
      <c r="T351" s="35">
        <f ca="1">DATA!AM346*$B$7</f>
        <v>-279770.88183430023</v>
      </c>
    </row>
    <row r="352" spans="15:20" x14ac:dyDescent="0.25">
      <c r="O352" s="38">
        <f t="shared" ca="1" si="20"/>
        <v>1.293217302765324E-3</v>
      </c>
      <c r="P352" s="39">
        <f t="shared" ref="P352:P415" si="22">P351+0.1%</f>
        <v>0.32200000000000023</v>
      </c>
      <c r="Q352" s="64">
        <f t="shared" ref="Q352:Q415" si="23">Q351+0.03</f>
        <v>9.6599999999999859</v>
      </c>
      <c r="R352" s="64">
        <f t="shared" ca="1" si="21"/>
        <v>-46.574441697869823</v>
      </c>
      <c r="T352" s="35">
        <f ca="1">DATA!AM347*$B$7</f>
        <v>-80266.320213692248</v>
      </c>
    </row>
    <row r="353" spans="15:20" x14ac:dyDescent="0.25">
      <c r="O353" s="38">
        <f t="shared" ca="1" si="20"/>
        <v>1.3076062411235476E-3</v>
      </c>
      <c r="P353" s="39">
        <f t="shared" si="22"/>
        <v>0.32300000000000023</v>
      </c>
      <c r="Q353" s="64">
        <f t="shared" si="23"/>
        <v>9.6899999999999853</v>
      </c>
      <c r="R353" s="64">
        <f t="shared" ca="1" si="21"/>
        <v>-46.719859218670656</v>
      </c>
      <c r="T353" s="35">
        <f ca="1">DATA!AM348*$B$7</f>
        <v>-109581.62338626149</v>
      </c>
    </row>
    <row r="354" spans="15:20" x14ac:dyDescent="0.25">
      <c r="O354" s="38">
        <f t="shared" ca="1" si="20"/>
        <v>1.3219985065828581E-3</v>
      </c>
      <c r="P354" s="39">
        <f t="shared" si="22"/>
        <v>0.32400000000000023</v>
      </c>
      <c r="Q354" s="64">
        <f t="shared" si="23"/>
        <v>9.7199999999999847</v>
      </c>
      <c r="R354" s="64">
        <f t="shared" ca="1" si="21"/>
        <v>-46.86527673947149</v>
      </c>
      <c r="T354" s="35">
        <f ca="1">DATA!AM349*$B$7</f>
        <v>-165516.07787402309</v>
      </c>
    </row>
    <row r="355" spans="15:20" x14ac:dyDescent="0.25">
      <c r="O355" s="38">
        <f t="shared" ca="1" si="20"/>
        <v>1.3363939916498321E-3</v>
      </c>
      <c r="P355" s="39">
        <f t="shared" si="22"/>
        <v>0.32500000000000023</v>
      </c>
      <c r="Q355" s="64">
        <f t="shared" si="23"/>
        <v>9.749999999999984</v>
      </c>
      <c r="R355" s="64">
        <f t="shared" ca="1" si="21"/>
        <v>-47.010694260272324</v>
      </c>
      <c r="T355" s="35">
        <f ca="1">DATA!AM350*$B$7</f>
        <v>-71990.006954747354</v>
      </c>
    </row>
    <row r="356" spans="15:20" x14ac:dyDescent="0.25">
      <c r="O356" s="38">
        <f t="shared" ref="O356:O419" ca="1" si="24">SQRT(($B$36*P356^2 - 2*$B$37*P356 +$B$38)/$B$39)</f>
        <v>1.3507925933897687E-3</v>
      </c>
      <c r="P356" s="39">
        <f t="shared" si="22"/>
        <v>0.32600000000000023</v>
      </c>
      <c r="Q356" s="64">
        <f t="shared" si="23"/>
        <v>9.7799999999999834</v>
      </c>
      <c r="R356" s="64">
        <f t="shared" ca="1" si="21"/>
        <v>-47.156111781073164</v>
      </c>
      <c r="T356" s="35">
        <f ca="1">DATA!AM351*$B$7</f>
        <v>-430403.10400326678</v>
      </c>
    </row>
    <row r="357" spans="15:20" x14ac:dyDescent="0.25">
      <c r="O357" s="38">
        <f t="shared" ca="1" si="24"/>
        <v>1.3651942131887129E-3</v>
      </c>
      <c r="P357" s="39">
        <f t="shared" si="22"/>
        <v>0.32700000000000023</v>
      </c>
      <c r="Q357" s="64">
        <f t="shared" si="23"/>
        <v>9.8099999999999827</v>
      </c>
      <c r="R357" s="64">
        <f t="shared" ca="1" si="21"/>
        <v>-47.301529301873998</v>
      </c>
      <c r="T357" s="35">
        <f ca="1">DATA!AM352*$B$7</f>
        <v>-231086.64351148295</v>
      </c>
    </row>
    <row r="358" spans="15:20" x14ac:dyDescent="0.25">
      <c r="O358" s="38">
        <f t="shared" ca="1" si="24"/>
        <v>1.3795987565301932E-3</v>
      </c>
      <c r="P358" s="39">
        <f t="shared" si="22"/>
        <v>0.32800000000000024</v>
      </c>
      <c r="Q358" s="64">
        <f t="shared" si="23"/>
        <v>9.8399999999999821</v>
      </c>
      <c r="R358" s="64">
        <f t="shared" ca="1" si="21"/>
        <v>-47.446946822674832</v>
      </c>
      <c r="T358" s="35">
        <f ca="1">DATA!AM353*$B$7</f>
        <v>-122936.28293151838</v>
      </c>
    </row>
    <row r="359" spans="15:20" x14ac:dyDescent="0.25">
      <c r="O359" s="38">
        <f t="shared" ca="1" si="24"/>
        <v>1.3940061327855694E-3</v>
      </c>
      <c r="P359" s="39">
        <f t="shared" si="22"/>
        <v>0.32900000000000024</v>
      </c>
      <c r="Q359" s="64">
        <f t="shared" si="23"/>
        <v>9.8699999999999815</v>
      </c>
      <c r="R359" s="64">
        <f t="shared" ca="1" si="21"/>
        <v>-47.592364343475666</v>
      </c>
      <c r="T359" s="35">
        <f ca="1">DATA!AM354*$B$7</f>
        <v>539152.17116981768</v>
      </c>
    </row>
    <row r="360" spans="15:20" x14ac:dyDescent="0.25">
      <c r="O360" s="38">
        <f t="shared" ca="1" si="24"/>
        <v>1.4084162550170726E-3</v>
      </c>
      <c r="P360" s="39">
        <f t="shared" si="22"/>
        <v>0.33000000000000024</v>
      </c>
      <c r="Q360" s="64">
        <f t="shared" si="23"/>
        <v>9.8999999999999808</v>
      </c>
      <c r="R360" s="64">
        <f t="shared" ca="1" si="21"/>
        <v>-47.737781864276499</v>
      </c>
      <c r="T360" s="35">
        <f ca="1">DATA!AM355*$B$7</f>
        <v>164742.25724438747</v>
      </c>
    </row>
    <row r="361" spans="15:20" x14ac:dyDescent="0.25">
      <c r="O361" s="38">
        <f t="shared" ca="1" si="24"/>
        <v>1.4228290397926486E-3</v>
      </c>
      <c r="P361" s="39">
        <f t="shared" si="22"/>
        <v>0.33100000000000024</v>
      </c>
      <c r="Q361" s="64">
        <f t="shared" si="23"/>
        <v>9.9299999999999802</v>
      </c>
      <c r="R361" s="64">
        <f t="shared" ca="1" si="21"/>
        <v>-47.88319938507734</v>
      </c>
      <c r="T361" s="35">
        <f ca="1">DATA!AM356*$B$7</f>
        <v>-430070.26049332664</v>
      </c>
    </row>
    <row r="362" spans="15:20" x14ac:dyDescent="0.25">
      <c r="O362" s="38">
        <f t="shared" ca="1" si="24"/>
        <v>1.4372444070117761E-3</v>
      </c>
      <c r="P362" s="39">
        <f t="shared" si="22"/>
        <v>0.33200000000000024</v>
      </c>
      <c r="Q362" s="64">
        <f t="shared" si="23"/>
        <v>9.9599999999999795</v>
      </c>
      <c r="R362" s="64">
        <f t="shared" ca="1" si="21"/>
        <v>-48.028616905878174</v>
      </c>
      <c r="T362" s="35">
        <f ca="1">DATA!AM357*$B$7</f>
        <v>118630.48659341731</v>
      </c>
    </row>
    <row r="363" spans="15:20" x14ac:dyDescent="0.25">
      <c r="O363" s="38">
        <f t="shared" ca="1" si="24"/>
        <v>1.451662279741542E-3</v>
      </c>
      <c r="P363" s="39">
        <f t="shared" si="22"/>
        <v>0.33300000000000024</v>
      </c>
      <c r="Q363" s="64">
        <f t="shared" si="23"/>
        <v>9.9899999999999789</v>
      </c>
      <c r="R363" s="64">
        <f t="shared" ca="1" si="21"/>
        <v>-48.174034426679007</v>
      </c>
      <c r="T363" s="35">
        <f ca="1">DATA!AM358*$B$7</f>
        <v>-402057.41344567243</v>
      </c>
    </row>
    <row r="364" spans="15:20" x14ac:dyDescent="0.25">
      <c r="O364" s="38">
        <f t="shared" ca="1" si="24"/>
        <v>1.4660825840622361E-3</v>
      </c>
      <c r="P364" s="39">
        <f t="shared" si="22"/>
        <v>0.33400000000000024</v>
      </c>
      <c r="Q364" s="64">
        <f t="shared" si="23"/>
        <v>10.019999999999978</v>
      </c>
      <c r="R364" s="64">
        <f t="shared" ca="1" si="21"/>
        <v>-48.319451947479841</v>
      </c>
      <c r="T364" s="35">
        <f ca="1">DATA!AM359*$B$7</f>
        <v>157552.27228415568</v>
      </c>
    </row>
    <row r="365" spans="15:20" x14ac:dyDescent="0.25">
      <c r="O365" s="38">
        <f t="shared" ca="1" si="24"/>
        <v>1.4805052489218731E-3</v>
      </c>
      <c r="P365" s="39">
        <f t="shared" si="22"/>
        <v>0.33500000000000024</v>
      </c>
      <c r="Q365" s="64">
        <f t="shared" si="23"/>
        <v>10.049999999999978</v>
      </c>
      <c r="R365" s="64">
        <f t="shared" ca="1" si="21"/>
        <v>-48.464869468280675</v>
      </c>
      <c r="T365" s="35">
        <f ca="1">DATA!AM360*$B$7</f>
        <v>161498.52877480283</v>
      </c>
    </row>
    <row r="366" spans="15:20" x14ac:dyDescent="0.25">
      <c r="O366" s="38">
        <f t="shared" ca="1" si="24"/>
        <v>1.4949302059990084E-3</v>
      </c>
      <c r="P366" s="39">
        <f t="shared" si="22"/>
        <v>0.33600000000000024</v>
      </c>
      <c r="Q366" s="64">
        <f t="shared" si="23"/>
        <v>10.079999999999977</v>
      </c>
      <c r="R366" s="64">
        <f t="shared" ca="1" si="21"/>
        <v>-48.610286989081516</v>
      </c>
      <c r="T366" s="35">
        <f ca="1">DATA!AM361*$B$7</f>
        <v>-324683.13683115353</v>
      </c>
    </row>
    <row r="367" spans="15:20" x14ac:dyDescent="0.25">
      <c r="O367" s="38">
        <f t="shared" ca="1" si="24"/>
        <v>1.5093573895733482E-3</v>
      </c>
      <c r="P367" s="39">
        <f t="shared" si="22"/>
        <v>0.33700000000000024</v>
      </c>
      <c r="Q367" s="64">
        <f t="shared" si="23"/>
        <v>10.109999999999976</v>
      </c>
      <c r="R367" s="64">
        <f t="shared" ca="1" si="21"/>
        <v>-48.755704509882349</v>
      </c>
      <c r="T367" s="35">
        <f ca="1">DATA!AM362*$B$7</f>
        <v>-75550.82234480053</v>
      </c>
    </row>
    <row r="368" spans="15:20" x14ac:dyDescent="0.25">
      <c r="O368" s="38">
        <f t="shared" ca="1" si="24"/>
        <v>1.5237867364035955E-3</v>
      </c>
      <c r="P368" s="39">
        <f t="shared" si="22"/>
        <v>0.33800000000000024</v>
      </c>
      <c r="Q368" s="64">
        <f t="shared" si="23"/>
        <v>10.139999999999976</v>
      </c>
      <c r="R368" s="64">
        <f t="shared" ca="1" si="21"/>
        <v>-48.901122030683183</v>
      </c>
      <c r="T368" s="35">
        <f ca="1">DATA!AM363*$B$7</f>
        <v>322044.38850927429</v>
      </c>
    </row>
    <row r="369" spans="15:20" x14ac:dyDescent="0.25">
      <c r="O369" s="38">
        <f t="shared" ca="1" si="24"/>
        <v>1.5382181856121006E-3</v>
      </c>
      <c r="P369" s="39">
        <f t="shared" si="22"/>
        <v>0.33900000000000025</v>
      </c>
      <c r="Q369" s="64">
        <f t="shared" si="23"/>
        <v>10.169999999999975</v>
      </c>
      <c r="R369" s="64">
        <f t="shared" ca="1" si="21"/>
        <v>-49.046539551484017</v>
      </c>
      <c r="T369" s="35">
        <f ca="1">DATA!AM364*$B$7</f>
        <v>255737.90653624735</v>
      </c>
    </row>
    <row r="370" spans="15:20" x14ac:dyDescent="0.25">
      <c r="O370" s="38">
        <f t="shared" ca="1" si="24"/>
        <v>1.5526516785758697E-3</v>
      </c>
      <c r="P370" s="39">
        <f t="shared" si="22"/>
        <v>0.34000000000000025</v>
      </c>
      <c r="Q370" s="64">
        <f t="shared" si="23"/>
        <v>10.199999999999974</v>
      </c>
      <c r="R370" s="64">
        <f t="shared" ca="1" si="21"/>
        <v>-49.19195707228485</v>
      </c>
      <c r="T370" s="35">
        <f ca="1">DATA!AM365*$B$7</f>
        <v>-283290.8859942967</v>
      </c>
    </row>
    <row r="371" spans="15:20" x14ac:dyDescent="0.25">
      <c r="O371" s="38">
        <f t="shared" ca="1" si="24"/>
        <v>1.5670871588235147E-3</v>
      </c>
      <c r="P371" s="39">
        <f t="shared" si="22"/>
        <v>0.34100000000000025</v>
      </c>
      <c r="Q371" s="64">
        <f t="shared" si="23"/>
        <v>10.229999999999974</v>
      </c>
      <c r="R371" s="64">
        <f t="shared" ca="1" si="21"/>
        <v>-49.337374593085691</v>
      </c>
      <c r="T371" s="35">
        <f ca="1">DATA!AM366*$B$7</f>
        <v>-325545.26591567305</v>
      </c>
    </row>
    <row r="372" spans="15:20" x14ac:dyDescent="0.25">
      <c r="O372" s="38">
        <f t="shared" ca="1" si="24"/>
        <v>1.5815245719378067E-3</v>
      </c>
      <c r="P372" s="39">
        <f t="shared" si="22"/>
        <v>0.34200000000000025</v>
      </c>
      <c r="Q372" s="64">
        <f t="shared" si="23"/>
        <v>10.259999999999973</v>
      </c>
      <c r="R372" s="64">
        <f t="shared" ca="1" si="21"/>
        <v>-49.482792113886525</v>
      </c>
      <c r="T372" s="35">
        <f ca="1">DATA!AM367*$B$7</f>
        <v>-77605.532300839055</v>
      </c>
    </row>
    <row r="373" spans="15:20" x14ac:dyDescent="0.25">
      <c r="O373" s="38">
        <f t="shared" ca="1" si="24"/>
        <v>1.5959638654634333E-3</v>
      </c>
      <c r="P373" s="39">
        <f t="shared" si="22"/>
        <v>0.34300000000000025</v>
      </c>
      <c r="Q373" s="64">
        <f t="shared" si="23"/>
        <v>10.289999999999973</v>
      </c>
      <c r="R373" s="64">
        <f t="shared" ca="1" si="21"/>
        <v>-49.628209634687359</v>
      </c>
      <c r="T373" s="35">
        <f ca="1">DATA!AM368*$B$7</f>
        <v>-71240.096074047935</v>
      </c>
    </row>
    <row r="374" spans="15:20" x14ac:dyDescent="0.25">
      <c r="O374" s="38">
        <f t="shared" ca="1" si="24"/>
        <v>1.6104049888196836E-3</v>
      </c>
      <c r="P374" s="39">
        <f t="shared" si="22"/>
        <v>0.34400000000000025</v>
      </c>
      <c r="Q374" s="64">
        <f t="shared" si="23"/>
        <v>10.319999999999972</v>
      </c>
      <c r="R374" s="64">
        <f t="shared" ca="1" si="21"/>
        <v>-49.773627155488192</v>
      </c>
      <c r="T374" s="35">
        <f ca="1">DATA!AM369*$B$7</f>
        <v>305631.53025692009</v>
      </c>
    </row>
    <row r="375" spans="15:20" x14ac:dyDescent="0.25">
      <c r="O375" s="38">
        <f t="shared" ca="1" si="24"/>
        <v>1.6248478932177225E-3</v>
      </c>
      <c r="P375" s="39">
        <f t="shared" si="22"/>
        <v>0.34500000000000025</v>
      </c>
      <c r="Q375" s="64">
        <f t="shared" si="23"/>
        <v>10.349999999999971</v>
      </c>
      <c r="R375" s="64">
        <f t="shared" ca="1" si="21"/>
        <v>-49.919044676289026</v>
      </c>
      <c r="T375" s="35">
        <f ca="1">DATA!AM370*$B$7</f>
        <v>-229682.44842946366</v>
      </c>
    </row>
    <row r="376" spans="15:20" x14ac:dyDescent="0.25">
      <c r="O376" s="38">
        <f t="shared" ca="1" si="24"/>
        <v>1.6392925315822169E-3</v>
      </c>
      <c r="P376" s="39">
        <f t="shared" si="22"/>
        <v>0.34600000000000025</v>
      </c>
      <c r="Q376" s="64">
        <f t="shared" si="23"/>
        <v>10.379999999999971</v>
      </c>
      <c r="R376" s="64">
        <f t="shared" ca="1" si="21"/>
        <v>-50.06446219708986</v>
      </c>
      <c r="T376" s="35">
        <f ca="1">DATA!AM371*$B$7</f>
        <v>-291286.85050029523</v>
      </c>
    </row>
    <row r="377" spans="15:20" x14ac:dyDescent="0.25">
      <c r="O377" s="38">
        <f t="shared" ca="1" si="24"/>
        <v>1.6537388584769988E-3</v>
      </c>
      <c r="P377" s="39">
        <f t="shared" si="22"/>
        <v>0.34700000000000025</v>
      </c>
      <c r="Q377" s="64">
        <f t="shared" si="23"/>
        <v>10.40999999999997</v>
      </c>
      <c r="R377" s="64">
        <f t="shared" ca="1" si="21"/>
        <v>-50.209879717890701</v>
      </c>
      <c r="T377" s="35">
        <f ca="1">DATA!AM372*$B$7</f>
        <v>-231362.26921560048</v>
      </c>
    </row>
    <row r="378" spans="15:20" x14ac:dyDescent="0.25">
      <c r="O378" s="38">
        <f t="shared" ca="1" si="24"/>
        <v>1.668186830034575E-3</v>
      </c>
      <c r="P378" s="39">
        <f t="shared" si="22"/>
        <v>0.34800000000000025</v>
      </c>
      <c r="Q378" s="64">
        <f t="shared" si="23"/>
        <v>10.439999999999969</v>
      </c>
      <c r="R378" s="64">
        <f t="shared" ca="1" si="21"/>
        <v>-50.355297238691534</v>
      </c>
      <c r="T378" s="35">
        <f ca="1">DATA!AM373*$B$7</f>
        <v>-117080.17977561452</v>
      </c>
    </row>
    <row r="379" spans="15:20" x14ac:dyDescent="0.25">
      <c r="O379" s="38">
        <f t="shared" ca="1" si="24"/>
        <v>1.6826364038892087E-3</v>
      </c>
      <c r="P379" s="39">
        <f t="shared" si="22"/>
        <v>0.34900000000000025</v>
      </c>
      <c r="Q379" s="64">
        <f t="shared" si="23"/>
        <v>10.469999999999969</v>
      </c>
      <c r="R379" s="64">
        <f t="shared" ca="1" si="21"/>
        <v>-50.500714759492368</v>
      </c>
      <c r="T379" s="35">
        <f ca="1">DATA!AM374*$B$7</f>
        <v>73863.261287784495</v>
      </c>
    </row>
    <row r="380" spans="15:20" x14ac:dyDescent="0.25">
      <c r="O380" s="38">
        <f t="shared" ca="1" si="24"/>
        <v>1.6970875391134159E-3</v>
      </c>
      <c r="P380" s="39">
        <f t="shared" si="22"/>
        <v>0.35000000000000026</v>
      </c>
      <c r="Q380" s="64">
        <f t="shared" si="23"/>
        <v>10.499999999999968</v>
      </c>
      <c r="R380" s="64">
        <f t="shared" ca="1" si="21"/>
        <v>-50.646132280293202</v>
      </c>
      <c r="T380" s="35">
        <f ca="1">DATA!AM375*$B$7</f>
        <v>111717.51168959909</v>
      </c>
    </row>
    <row r="381" spans="15:20" x14ac:dyDescent="0.25">
      <c r="O381" s="38">
        <f t="shared" ca="1" si="24"/>
        <v>1.7115401961576193E-3</v>
      </c>
      <c r="P381" s="39">
        <f t="shared" si="22"/>
        <v>0.35100000000000026</v>
      </c>
      <c r="Q381" s="64">
        <f t="shared" si="23"/>
        <v>10.529999999999967</v>
      </c>
      <c r="R381" s="64">
        <f t="shared" ca="1" si="21"/>
        <v>-50.791549801094035</v>
      </c>
      <c r="T381" s="35">
        <f ca="1">DATA!AM376*$B$7</f>
        <v>371717.14614984975</v>
      </c>
    </row>
    <row r="382" spans="15:20" x14ac:dyDescent="0.25">
      <c r="O382" s="38">
        <f t="shared" ca="1" si="24"/>
        <v>1.7259943367928261E-3</v>
      </c>
      <c r="P382" s="39">
        <f t="shared" si="22"/>
        <v>0.35200000000000026</v>
      </c>
      <c r="Q382" s="64">
        <f t="shared" si="23"/>
        <v>10.559999999999967</v>
      </c>
      <c r="R382" s="64">
        <f t="shared" ca="1" si="21"/>
        <v>-50.936967321894876</v>
      </c>
      <c r="T382" s="35">
        <f ca="1">DATA!AM377*$B$7</f>
        <v>-198133.78441609544</v>
      </c>
    </row>
    <row r="383" spans="15:20" x14ac:dyDescent="0.25">
      <c r="O383" s="38">
        <f t="shared" ca="1" si="24"/>
        <v>1.7404499240561259E-3</v>
      </c>
      <c r="P383" s="39">
        <f t="shared" si="22"/>
        <v>0.35300000000000026</v>
      </c>
      <c r="Q383" s="64">
        <f t="shared" si="23"/>
        <v>10.589999999999966</v>
      </c>
      <c r="R383" s="64">
        <f t="shared" ca="1" si="21"/>
        <v>-51.08238484269571</v>
      </c>
      <c r="T383" s="35">
        <f ca="1">DATA!AM378*$B$7</f>
        <v>-229254.06113027703</v>
      </c>
    </row>
    <row r="384" spans="15:20" x14ac:dyDescent="0.25">
      <c r="O384" s="38">
        <f t="shared" ca="1" si="24"/>
        <v>1.7549069221988521E-3</v>
      </c>
      <c r="P384" s="39">
        <f t="shared" si="22"/>
        <v>0.35400000000000026</v>
      </c>
      <c r="Q384" s="64">
        <f t="shared" si="23"/>
        <v>10.619999999999965</v>
      </c>
      <c r="R384" s="64">
        <f t="shared" ca="1" si="21"/>
        <v>-51.227802363496544</v>
      </c>
      <c r="T384" s="35">
        <f ca="1">DATA!AM379*$B$7</f>
        <v>-215399.05164230341</v>
      </c>
    </row>
    <row r="385" spans="15:20" x14ac:dyDescent="0.25">
      <c r="O385" s="38">
        <f t="shared" ca="1" si="24"/>
        <v>1.7693652966372837E-3</v>
      </c>
      <c r="P385" s="39">
        <f t="shared" si="22"/>
        <v>0.35500000000000026</v>
      </c>
      <c r="Q385" s="64">
        <f t="shared" si="23"/>
        <v>10.649999999999965</v>
      </c>
      <c r="R385" s="64">
        <f t="shared" ca="1" si="21"/>
        <v>-51.373219884297377</v>
      </c>
      <c r="T385" s="35">
        <f ca="1">DATA!AM380*$B$7</f>
        <v>133139.54161958216</v>
      </c>
    </row>
    <row r="386" spans="15:20" x14ac:dyDescent="0.25">
      <c r="O386" s="38">
        <f t="shared" ca="1" si="24"/>
        <v>1.7838250139056914E-3</v>
      </c>
      <c r="P386" s="39">
        <f t="shared" si="22"/>
        <v>0.35600000000000026</v>
      </c>
      <c r="Q386" s="64">
        <f t="shared" si="23"/>
        <v>10.679999999999964</v>
      </c>
      <c r="R386" s="64">
        <f t="shared" ca="1" si="21"/>
        <v>-51.518637405098211</v>
      </c>
      <c r="T386" s="35">
        <f ca="1">DATA!AM381*$B$7</f>
        <v>148103.8315076142</v>
      </c>
    </row>
    <row r="387" spans="15:20" x14ac:dyDescent="0.25">
      <c r="O387" s="38">
        <f t="shared" ca="1" si="24"/>
        <v>1.7982860416116682E-3</v>
      </c>
      <c r="P387" s="39">
        <f t="shared" si="22"/>
        <v>0.35700000000000026</v>
      </c>
      <c r="Q387" s="64">
        <f t="shared" si="23"/>
        <v>10.709999999999964</v>
      </c>
      <c r="R387" s="64">
        <f t="shared" ca="1" si="21"/>
        <v>-51.664054925899052</v>
      </c>
      <c r="T387" s="35">
        <f ca="1">DATA!AM382*$B$7</f>
        <v>258959.6808871066</v>
      </c>
    </row>
    <row r="388" spans="15:20" x14ac:dyDescent="0.25">
      <c r="O388" s="38">
        <f t="shared" ca="1" si="24"/>
        <v>1.8127483483935376E-3</v>
      </c>
      <c r="P388" s="39">
        <f t="shared" si="22"/>
        <v>0.35800000000000026</v>
      </c>
      <c r="Q388" s="64">
        <f t="shared" si="23"/>
        <v>10.739999999999963</v>
      </c>
      <c r="R388" s="64">
        <f t="shared" ca="1" si="21"/>
        <v>-51.809472446699885</v>
      </c>
      <c r="T388" s="35">
        <f ca="1">DATA!AM383*$B$7</f>
        <v>-74277.987866411422</v>
      </c>
    </row>
    <row r="389" spans="15:20" x14ac:dyDescent="0.25">
      <c r="O389" s="38">
        <f t="shared" ca="1" si="24"/>
        <v>1.8272119038798005E-3</v>
      </c>
      <c r="P389" s="39">
        <f t="shared" si="22"/>
        <v>0.35900000000000026</v>
      </c>
      <c r="Q389" s="64">
        <f t="shared" si="23"/>
        <v>10.769999999999962</v>
      </c>
      <c r="R389" s="64">
        <f t="shared" ca="1" si="21"/>
        <v>-51.954889967500719</v>
      </c>
      <c r="T389" s="35">
        <f ca="1">DATA!AM384*$B$7</f>
        <v>77430.47794579764</v>
      </c>
    </row>
    <row r="390" spans="15:20" x14ac:dyDescent="0.25">
      <c r="O390" s="38">
        <f t="shared" ca="1" si="24"/>
        <v>1.8416766786504633E-3</v>
      </c>
      <c r="P390" s="39">
        <f t="shared" si="22"/>
        <v>0.36000000000000026</v>
      </c>
      <c r="Q390" s="64">
        <f t="shared" si="23"/>
        <v>10.799999999999962</v>
      </c>
      <c r="R390" s="64">
        <f t="shared" ca="1" si="21"/>
        <v>-52.100307488301553</v>
      </c>
      <c r="T390" s="35">
        <f ca="1">DATA!AM385*$B$7</f>
        <v>39032.687166418647</v>
      </c>
    </row>
    <row r="391" spans="15:20" x14ac:dyDescent="0.25">
      <c r="O391" s="38">
        <f t="shared" ca="1" si="24"/>
        <v>1.856142644200164E-3</v>
      </c>
      <c r="P391" s="39">
        <f t="shared" si="22"/>
        <v>0.36100000000000027</v>
      </c>
      <c r="Q391" s="64">
        <f t="shared" si="23"/>
        <v>10.829999999999961</v>
      </c>
      <c r="R391" s="64">
        <f t="shared" ca="1" si="21"/>
        <v>-52.245725009102387</v>
      </c>
      <c r="T391" s="35">
        <f ca="1">DATA!AM386*$B$7</f>
        <v>529703.78947498742</v>
      </c>
    </row>
    <row r="392" spans="15:20" x14ac:dyDescent="0.25">
      <c r="O392" s="38">
        <f t="shared" ca="1" si="24"/>
        <v>1.8706097729029886E-3</v>
      </c>
      <c r="P392" s="39">
        <f t="shared" si="22"/>
        <v>0.36200000000000027</v>
      </c>
      <c r="Q392" s="64">
        <f t="shared" si="23"/>
        <v>10.85999999999996</v>
      </c>
      <c r="R392" s="64">
        <f t="shared" ca="1" si="21"/>
        <v>-52.391142529903227</v>
      </c>
      <c r="T392" s="35">
        <f ca="1">DATA!AM387*$B$7</f>
        <v>215683.52852974308</v>
      </c>
    </row>
    <row r="393" spans="15:20" x14ac:dyDescent="0.25">
      <c r="O393" s="38">
        <f t="shared" ca="1" si="24"/>
        <v>1.8850780379788983E-3</v>
      </c>
      <c r="P393" s="39">
        <f t="shared" si="22"/>
        <v>0.36300000000000027</v>
      </c>
      <c r="Q393" s="64">
        <f t="shared" si="23"/>
        <v>10.88999999999996</v>
      </c>
      <c r="R393" s="64">
        <f t="shared" ca="1" si="21"/>
        <v>-52.536560050704061</v>
      </c>
      <c r="T393" s="35">
        <f ca="1">DATA!AM388*$B$7</f>
        <v>-128316.25051117082</v>
      </c>
    </row>
    <row r="394" spans="15:20" x14ac:dyDescent="0.25">
      <c r="O394" s="38">
        <f t="shared" ca="1" si="24"/>
        <v>1.8995474134616888E-3</v>
      </c>
      <c r="P394" s="39">
        <f t="shared" si="22"/>
        <v>0.36400000000000027</v>
      </c>
      <c r="Q394" s="64">
        <f t="shared" si="23"/>
        <v>10.919999999999959</v>
      </c>
      <c r="R394" s="64">
        <f t="shared" ca="1" si="21"/>
        <v>-52.681977571504895</v>
      </c>
      <c r="T394" s="35">
        <f ca="1">DATA!AM389*$B$7</f>
        <v>-83470.903772390797</v>
      </c>
    </row>
    <row r="395" spans="15:20" x14ac:dyDescent="0.25">
      <c r="O395" s="38">
        <f t="shared" ca="1" si="24"/>
        <v>1.914017874168374E-3</v>
      </c>
      <c r="P395" s="39">
        <f t="shared" si="22"/>
        <v>0.36500000000000027</v>
      </c>
      <c r="Q395" s="64">
        <f t="shared" si="23"/>
        <v>10.949999999999958</v>
      </c>
      <c r="R395" s="64">
        <f t="shared" ca="1" si="21"/>
        <v>-52.827395092305728</v>
      </c>
      <c r="T395" s="35">
        <f ca="1">DATA!AM390*$B$7</f>
        <v>146135.74794068545</v>
      </c>
    </row>
    <row r="396" spans="15:20" x14ac:dyDescent="0.25">
      <c r="O396" s="38">
        <f t="shared" ca="1" si="24"/>
        <v>1.928489395669956E-3</v>
      </c>
      <c r="P396" s="39">
        <f t="shared" si="22"/>
        <v>0.36600000000000027</v>
      </c>
      <c r="Q396" s="64">
        <f t="shared" si="23"/>
        <v>10.979999999999958</v>
      </c>
      <c r="R396" s="64">
        <f t="shared" ca="1" si="21"/>
        <v>-52.972812613106562</v>
      </c>
      <c r="T396" s="35">
        <f ca="1">DATA!AM391*$B$7</f>
        <v>-174146.06577085669</v>
      </c>
    </row>
    <row r="397" spans="15:20" x14ac:dyDescent="0.25">
      <c r="O397" s="38">
        <f t="shared" ca="1" si="24"/>
        <v>1.9429619542634727E-3</v>
      </c>
      <c r="P397" s="39">
        <f t="shared" si="22"/>
        <v>0.36700000000000027</v>
      </c>
      <c r="Q397" s="64">
        <f t="shared" si="23"/>
        <v>11.009999999999957</v>
      </c>
      <c r="R397" s="64">
        <f t="shared" ca="1" si="21"/>
        <v>-53.118230133907403</v>
      </c>
      <c r="T397" s="35">
        <f ca="1">DATA!AM392*$B$7</f>
        <v>287528.43084959022</v>
      </c>
    </row>
    <row r="398" spans="15:20" x14ac:dyDescent="0.25">
      <c r="O398" s="38">
        <f t="shared" ca="1" si="24"/>
        <v>1.957435526945296E-3</v>
      </c>
      <c r="P398" s="39">
        <f t="shared" si="22"/>
        <v>0.36800000000000027</v>
      </c>
      <c r="Q398" s="64">
        <f t="shared" si="23"/>
        <v>11.039999999999957</v>
      </c>
      <c r="R398" s="64">
        <f t="shared" ca="1" si="21"/>
        <v>-53.263647654708237</v>
      </c>
      <c r="T398" s="35">
        <f ca="1">DATA!AM393*$B$7</f>
        <v>-180263.84362013004</v>
      </c>
    </row>
    <row r="399" spans="15:20" x14ac:dyDescent="0.25">
      <c r="O399" s="38">
        <f t="shared" ca="1" si="24"/>
        <v>1.9719100913855817E-3</v>
      </c>
      <c r="P399" s="39">
        <f t="shared" si="22"/>
        <v>0.36900000000000027</v>
      </c>
      <c r="Q399" s="64">
        <f t="shared" si="23"/>
        <v>11.069999999999956</v>
      </c>
      <c r="R399" s="64">
        <f t="shared" ca="1" si="21"/>
        <v>-53.40906517550907</v>
      </c>
      <c r="T399" s="35">
        <f ca="1">DATA!AM394*$B$7</f>
        <v>-242356.41034703993</v>
      </c>
    </row>
    <row r="400" spans="15:20" x14ac:dyDescent="0.25">
      <c r="O400" s="38">
        <f t="shared" ca="1" si="24"/>
        <v>1.9863856259038416E-3</v>
      </c>
      <c r="P400" s="39">
        <f t="shared" si="22"/>
        <v>0.37000000000000027</v>
      </c>
      <c r="Q400" s="64">
        <f t="shared" si="23"/>
        <v>11.099999999999955</v>
      </c>
      <c r="R400" s="64">
        <f t="shared" ca="1" si="21"/>
        <v>-53.554482696309904</v>
      </c>
      <c r="T400" s="35">
        <f ca="1">DATA!AM395*$B$7</f>
        <v>227227.33022278704</v>
      </c>
    </row>
    <row r="401" spans="15:20" x14ac:dyDescent="0.25">
      <c r="O401" s="38">
        <f t="shared" ca="1" si="24"/>
        <v>2.000862109445555E-3</v>
      </c>
      <c r="P401" s="39">
        <f t="shared" si="22"/>
        <v>0.37100000000000027</v>
      </c>
      <c r="Q401" s="64">
        <f t="shared" si="23"/>
        <v>11.129999999999955</v>
      </c>
      <c r="R401" s="64">
        <f t="shared" ca="1" si="21"/>
        <v>-53.699900217110738</v>
      </c>
      <c r="T401" s="35">
        <f ca="1">DATA!AM396*$B$7</f>
        <v>-402515.29921084136</v>
      </c>
    </row>
    <row r="402" spans="15:20" x14ac:dyDescent="0.25">
      <c r="O402" s="38">
        <f t="shared" ca="1" si="24"/>
        <v>2.0153395215597907E-3</v>
      </c>
      <c r="P402" s="39">
        <f t="shared" si="22"/>
        <v>0.37200000000000027</v>
      </c>
      <c r="Q402" s="64">
        <f t="shared" si="23"/>
        <v>11.159999999999954</v>
      </c>
      <c r="R402" s="64">
        <f t="shared" ca="1" si="21"/>
        <v>-53.845317737911571</v>
      </c>
      <c r="T402" s="35">
        <f ca="1">DATA!AM397*$B$7</f>
        <v>-267986.08422072243</v>
      </c>
    </row>
    <row r="403" spans="15:20" x14ac:dyDescent="0.25">
      <c r="O403" s="38">
        <f t="shared" ca="1" si="24"/>
        <v>2.0298178423777801E-3</v>
      </c>
      <c r="P403" s="39">
        <f t="shared" si="22"/>
        <v>0.37300000000000028</v>
      </c>
      <c r="Q403" s="64">
        <f t="shared" si="23"/>
        <v>11.189999999999953</v>
      </c>
      <c r="R403" s="64">
        <f t="shared" ca="1" si="21"/>
        <v>-53.990735258712412</v>
      </c>
      <c r="T403" s="35">
        <f ca="1">DATA!AM398*$B$7</f>
        <v>74442.565727062203</v>
      </c>
    </row>
    <row r="404" spans="15:20" x14ac:dyDescent="0.25">
      <c r="O404" s="38">
        <f t="shared" ca="1" si="24"/>
        <v>2.0442970525923927E-3</v>
      </c>
      <c r="P404" s="39">
        <f t="shared" si="22"/>
        <v>0.37400000000000028</v>
      </c>
      <c r="Q404" s="64">
        <f t="shared" si="23"/>
        <v>11.219999999999953</v>
      </c>
      <c r="R404" s="64">
        <f t="shared" ca="1" si="21"/>
        <v>-54.136152779513246</v>
      </c>
      <c r="T404" s="35">
        <f ca="1">DATA!AM399*$B$7</f>
        <v>6016.3981304896733</v>
      </c>
    </row>
    <row r="405" spans="15:20" x14ac:dyDescent="0.25">
      <c r="O405" s="38">
        <f t="shared" ca="1" si="24"/>
        <v>2.0587771334384716E-3</v>
      </c>
      <c r="P405" s="39">
        <f t="shared" si="22"/>
        <v>0.37500000000000028</v>
      </c>
      <c r="Q405" s="64">
        <f t="shared" si="23"/>
        <v>11.249999999999952</v>
      </c>
      <c r="R405" s="64">
        <f t="shared" ca="1" si="21"/>
        <v>-54.28157030031408</v>
      </c>
      <c r="T405" s="35">
        <f ca="1">DATA!AM400*$B$7</f>
        <v>-440971.12843721057</v>
      </c>
    </row>
    <row r="406" spans="15:20" x14ac:dyDescent="0.25">
      <c r="O406" s="38">
        <f t="shared" ca="1" si="24"/>
        <v>2.0732580666739751E-3</v>
      </c>
      <c r="P406" s="39">
        <f t="shared" si="22"/>
        <v>0.37600000000000028</v>
      </c>
      <c r="Q406" s="64">
        <f t="shared" si="23"/>
        <v>11.279999999999951</v>
      </c>
      <c r="R406" s="64">
        <f t="shared" ca="1" si="21"/>
        <v>-54.426987821114913</v>
      </c>
      <c r="T406" s="35">
        <f ca="1">DATA!AM401*$B$7</f>
        <v>-471170.18289390742</v>
      </c>
    </row>
    <row r="407" spans="15:20" x14ac:dyDescent="0.25">
      <c r="O407" s="38">
        <f t="shared" ca="1" si="24"/>
        <v>2.0877398345619381E-3</v>
      </c>
      <c r="P407" s="39">
        <f t="shared" si="22"/>
        <v>0.37700000000000028</v>
      </c>
      <c r="Q407" s="64">
        <f t="shared" si="23"/>
        <v>11.309999999999951</v>
      </c>
      <c r="R407" s="64">
        <f t="shared" ca="1" si="21"/>
        <v>-54.572405341915747</v>
      </c>
      <c r="T407" s="35">
        <f ca="1">DATA!AM402*$B$7</f>
        <v>-141514.52376281511</v>
      </c>
    </row>
    <row r="408" spans="15:20" x14ac:dyDescent="0.25">
      <c r="O408" s="38">
        <f t="shared" ca="1" si="24"/>
        <v>2.102222419853124E-3</v>
      </c>
      <c r="P408" s="39">
        <f t="shared" si="22"/>
        <v>0.37800000000000028</v>
      </c>
      <c r="Q408" s="64">
        <f t="shared" si="23"/>
        <v>11.33999999999995</v>
      </c>
      <c r="R408" s="64">
        <f t="shared" ca="1" si="21"/>
        <v>-54.717822862716588</v>
      </c>
      <c r="T408" s="35">
        <f ca="1">DATA!AM403*$B$7</f>
        <v>217337.72315226588</v>
      </c>
    </row>
    <row r="409" spans="15:20" x14ac:dyDescent="0.25">
      <c r="O409" s="38">
        <f t="shared" ca="1" si="24"/>
        <v>2.1167058057694169E-3</v>
      </c>
      <c r="P409" s="39">
        <f t="shared" si="22"/>
        <v>0.37900000000000028</v>
      </c>
      <c r="Q409" s="64">
        <f t="shared" si="23"/>
        <v>11.369999999999949</v>
      </c>
      <c r="R409" s="64">
        <f t="shared" ca="1" si="21"/>
        <v>-54.863240383517422</v>
      </c>
      <c r="T409" s="35">
        <f ca="1">DATA!AM404*$B$7</f>
        <v>21965.251110179444</v>
      </c>
    </row>
    <row r="410" spans="15:20" x14ac:dyDescent="0.25">
      <c r="O410" s="38">
        <f t="shared" ca="1" si="24"/>
        <v>2.1311899759878768E-3</v>
      </c>
      <c r="P410" s="39">
        <f t="shared" si="22"/>
        <v>0.38000000000000028</v>
      </c>
      <c r="Q410" s="64">
        <f t="shared" si="23"/>
        <v>11.399999999999949</v>
      </c>
      <c r="R410" s="64">
        <f t="shared" ca="1" si="21"/>
        <v>-55.008657904318255</v>
      </c>
      <c r="T410" s="35">
        <f ca="1">DATA!AM405*$B$7</f>
        <v>-412279.12132867059</v>
      </c>
    </row>
    <row r="411" spans="15:20" x14ac:dyDescent="0.25">
      <c r="O411" s="38">
        <f t="shared" ca="1" si="24"/>
        <v>2.1456749146254329E-3</v>
      </c>
      <c r="P411" s="39">
        <f t="shared" si="22"/>
        <v>0.38100000000000028</v>
      </c>
      <c r="Q411" s="64">
        <f t="shared" si="23"/>
        <v>11.429999999999948</v>
      </c>
      <c r="R411" s="64">
        <f t="shared" ca="1" si="21"/>
        <v>-55.154075425119089</v>
      </c>
      <c r="T411" s="35">
        <f ca="1">DATA!AM406*$B$7</f>
        <v>-120770.94385704986</v>
      </c>
    </row>
    <row r="412" spans="15:20" x14ac:dyDescent="0.25">
      <c r="O412" s="38">
        <f t="shared" ca="1" si="24"/>
        <v>2.1601606062242066E-3</v>
      </c>
      <c r="P412" s="39">
        <f t="shared" si="22"/>
        <v>0.38200000000000028</v>
      </c>
      <c r="Q412" s="64">
        <f t="shared" si="23"/>
        <v>11.459999999999948</v>
      </c>
      <c r="R412" s="64">
        <f t="shared" ca="1" si="21"/>
        <v>-55.299492945919923</v>
      </c>
      <c r="T412" s="35">
        <f ca="1">DATA!AM407*$B$7</f>
        <v>-3120.0518060737104</v>
      </c>
    </row>
    <row r="413" spans="15:20" x14ac:dyDescent="0.25">
      <c r="O413" s="38">
        <f t="shared" ca="1" si="24"/>
        <v>2.1746470357373892E-3</v>
      </c>
      <c r="P413" s="39">
        <f t="shared" si="22"/>
        <v>0.38300000000000028</v>
      </c>
      <c r="Q413" s="64">
        <f t="shared" si="23"/>
        <v>11.489999999999947</v>
      </c>
      <c r="R413" s="64">
        <f t="shared" ca="1" si="21"/>
        <v>-55.444910466720764</v>
      </c>
      <c r="T413" s="35">
        <f ca="1">DATA!AM408*$B$7</f>
        <v>-376698.4749486022</v>
      </c>
    </row>
    <row r="414" spans="15:20" x14ac:dyDescent="0.25">
      <c r="O414" s="38">
        <f t="shared" ca="1" si="24"/>
        <v>2.1891341885157071E-3</v>
      </c>
      <c r="P414" s="39">
        <f t="shared" si="22"/>
        <v>0.38400000000000029</v>
      </c>
      <c r="Q414" s="64">
        <f t="shared" si="23"/>
        <v>11.519999999999946</v>
      </c>
      <c r="R414" s="64">
        <f t="shared" ca="1" si="21"/>
        <v>-55.590327987521597</v>
      </c>
      <c r="T414" s="35">
        <f ca="1">DATA!AM409*$B$7</f>
        <v>66605.105044111042</v>
      </c>
    </row>
    <row r="415" spans="15:20" x14ac:dyDescent="0.25">
      <c r="O415" s="38">
        <f t="shared" ca="1" si="24"/>
        <v>2.2036220502943864E-3</v>
      </c>
      <c r="P415" s="39">
        <f t="shared" si="22"/>
        <v>0.38500000000000029</v>
      </c>
      <c r="Q415" s="64">
        <f t="shared" si="23"/>
        <v>11.549999999999946</v>
      </c>
      <c r="R415" s="64">
        <f t="shared" ref="R415:R478" ca="1" si="25">$B$8+$B$42*Q415</f>
        <v>-55.735745508322431</v>
      </c>
      <c r="T415" s="35">
        <f ca="1">DATA!AM410*$B$7</f>
        <v>-47996.239831696577</v>
      </c>
    </row>
    <row r="416" spans="15:20" x14ac:dyDescent="0.25">
      <c r="O416" s="38">
        <f t="shared" ca="1" si="24"/>
        <v>2.2181106071806605E-3</v>
      </c>
      <c r="P416" s="39">
        <f t="shared" ref="P416:P479" si="26">P415+0.1%</f>
        <v>0.38600000000000029</v>
      </c>
      <c r="Q416" s="64">
        <f t="shared" ref="Q416:Q479" si="27">Q415+0.03</f>
        <v>11.579999999999945</v>
      </c>
      <c r="R416" s="64">
        <f t="shared" ca="1" si="25"/>
        <v>-55.881163029123265</v>
      </c>
      <c r="T416" s="35">
        <f ca="1">DATA!AM411*$B$7</f>
        <v>-303177.70692164305</v>
      </c>
    </row>
    <row r="417" spans="15:20" x14ac:dyDescent="0.25">
      <c r="O417" s="38">
        <f t="shared" ca="1" si="24"/>
        <v>2.2325998456417368E-3</v>
      </c>
      <c r="P417" s="39">
        <f t="shared" si="26"/>
        <v>0.38700000000000029</v>
      </c>
      <c r="Q417" s="64">
        <f t="shared" si="27"/>
        <v>11.609999999999944</v>
      </c>
      <c r="R417" s="64">
        <f t="shared" ca="1" si="25"/>
        <v>-56.026580549924098</v>
      </c>
      <c r="T417" s="35">
        <f ca="1">DATA!AM412*$B$7</f>
        <v>-201890.95168882047</v>
      </c>
    </row>
    <row r="418" spans="15:20" x14ac:dyDescent="0.25">
      <c r="O418" s="38">
        <f t="shared" ca="1" si="24"/>
        <v>2.2470897524932243E-3</v>
      </c>
      <c r="P418" s="39">
        <f t="shared" si="26"/>
        <v>0.38800000000000029</v>
      </c>
      <c r="Q418" s="64">
        <f t="shared" si="27"/>
        <v>11.639999999999944</v>
      </c>
      <c r="R418" s="64">
        <f t="shared" ca="1" si="25"/>
        <v>-56.171998070724939</v>
      </c>
      <c r="T418" s="35">
        <f ca="1">DATA!AM413*$B$7</f>
        <v>92788.318743336087</v>
      </c>
    </row>
    <row r="419" spans="15:20" x14ac:dyDescent="0.25">
      <c r="O419" s="38">
        <f t="shared" ca="1" si="24"/>
        <v>2.2615803148880289E-3</v>
      </c>
      <c r="P419" s="39">
        <f t="shared" si="26"/>
        <v>0.38900000000000029</v>
      </c>
      <c r="Q419" s="64">
        <f t="shared" si="27"/>
        <v>11.669999999999943</v>
      </c>
      <c r="R419" s="64">
        <f t="shared" ca="1" si="25"/>
        <v>-56.317415591525773</v>
      </c>
      <c r="T419" s="35">
        <f ca="1">DATA!AM414*$B$7</f>
        <v>-455296.36725153093</v>
      </c>
    </row>
    <row r="420" spans="15:20" x14ac:dyDescent="0.25">
      <c r="O420" s="38">
        <f t="shared" ref="O420:O483" ca="1" si="28">SQRT(($B$36*P420^2 - 2*$B$37*P420 +$B$38)/$B$39)</f>
        <v>2.276071520305639E-3</v>
      </c>
      <c r="P420" s="39">
        <f t="shared" si="26"/>
        <v>0.39000000000000029</v>
      </c>
      <c r="Q420" s="64">
        <f t="shared" si="27"/>
        <v>11.699999999999942</v>
      </c>
      <c r="R420" s="64">
        <f t="shared" ca="1" si="25"/>
        <v>-56.462833112326607</v>
      </c>
      <c r="T420" s="35">
        <f ca="1">DATA!AM415*$B$7</f>
        <v>22215.868620560836</v>
      </c>
    </row>
    <row r="421" spans="15:20" x14ac:dyDescent="0.25">
      <c r="O421" s="38">
        <f t="shared" ca="1" si="28"/>
        <v>2.2905633565418401E-3</v>
      </c>
      <c r="P421" s="39">
        <f t="shared" si="26"/>
        <v>0.39100000000000029</v>
      </c>
      <c r="Q421" s="64">
        <f t="shared" si="27"/>
        <v>11.729999999999942</v>
      </c>
      <c r="R421" s="64">
        <f t="shared" ca="1" si="25"/>
        <v>-56.60825063312744</v>
      </c>
      <c r="T421" s="35">
        <f ca="1">DATA!AM416*$B$7</f>
        <v>2483.4835427232379</v>
      </c>
    </row>
    <row r="422" spans="15:20" x14ac:dyDescent="0.25">
      <c r="O422" s="38">
        <f t="shared" ca="1" si="28"/>
        <v>2.3050558116988031E-3</v>
      </c>
      <c r="P422" s="39">
        <f t="shared" si="26"/>
        <v>0.39200000000000029</v>
      </c>
      <c r="Q422" s="64">
        <f t="shared" si="27"/>
        <v>11.759999999999941</v>
      </c>
      <c r="R422" s="64">
        <f t="shared" ca="1" si="25"/>
        <v>-56.753668153928274</v>
      </c>
      <c r="T422" s="35">
        <f ca="1">DATA!AM417*$B$7</f>
        <v>-3210.2085898846626</v>
      </c>
    </row>
    <row r="423" spans="15:20" x14ac:dyDescent="0.25">
      <c r="O423" s="38">
        <f t="shared" ca="1" si="28"/>
        <v>2.3195488741755512E-3</v>
      </c>
      <c r="P423" s="39">
        <f t="shared" si="26"/>
        <v>0.39300000000000029</v>
      </c>
      <c r="Q423" s="64">
        <f t="shared" si="27"/>
        <v>11.789999999999941</v>
      </c>
      <c r="R423" s="64">
        <f t="shared" ca="1" si="25"/>
        <v>-56.899085674729115</v>
      </c>
      <c r="T423" s="35">
        <f ca="1">DATA!AM418*$B$7</f>
        <v>-335627.46542807494</v>
      </c>
    </row>
    <row r="424" spans="15:20" x14ac:dyDescent="0.25">
      <c r="O424" s="38">
        <f t="shared" ca="1" si="28"/>
        <v>2.334042532658758E-3</v>
      </c>
      <c r="P424" s="39">
        <f t="shared" si="26"/>
        <v>0.39400000000000029</v>
      </c>
      <c r="Q424" s="64">
        <f t="shared" si="27"/>
        <v>11.81999999999994</v>
      </c>
      <c r="R424" s="64">
        <f t="shared" ca="1" si="25"/>
        <v>-57.044503195529948</v>
      </c>
      <c r="T424" s="35">
        <f ca="1">DATA!AM419*$B$7</f>
        <v>-87349.209790679684</v>
      </c>
    </row>
    <row r="425" spans="15:20" x14ac:dyDescent="0.25">
      <c r="O425" s="38">
        <f t="shared" ca="1" si="28"/>
        <v>2.3485367761139193E-3</v>
      </c>
      <c r="P425" s="39">
        <f t="shared" si="26"/>
        <v>0.3950000000000003</v>
      </c>
      <c r="Q425" s="64">
        <f t="shared" si="27"/>
        <v>11.849999999999939</v>
      </c>
      <c r="R425" s="64">
        <f t="shared" ca="1" si="25"/>
        <v>-57.189920716330782</v>
      </c>
      <c r="T425" s="35">
        <f ca="1">DATA!AM420*$B$7</f>
        <v>-290346.07420746662</v>
      </c>
    </row>
    <row r="426" spans="15:20" x14ac:dyDescent="0.25">
      <c r="O426" s="38">
        <f t="shared" ca="1" si="28"/>
        <v>2.3630315937768231E-3</v>
      </c>
      <c r="P426" s="39">
        <f t="shared" si="26"/>
        <v>0.3960000000000003</v>
      </c>
      <c r="Q426" s="64">
        <f t="shared" si="27"/>
        <v>11.879999999999939</v>
      </c>
      <c r="R426" s="64">
        <f t="shared" ca="1" si="25"/>
        <v>-57.335338237131616</v>
      </c>
      <c r="T426" s="35">
        <f ca="1">DATA!AM421*$B$7</f>
        <v>45379.267279624524</v>
      </c>
    </row>
    <row r="427" spans="15:20" x14ac:dyDescent="0.25">
      <c r="O427" s="38">
        <f t="shared" ca="1" si="28"/>
        <v>2.3775269751453334E-3</v>
      </c>
      <c r="P427" s="39">
        <f t="shared" si="26"/>
        <v>0.3970000000000003</v>
      </c>
      <c r="Q427" s="64">
        <f t="shared" si="27"/>
        <v>11.909999999999938</v>
      </c>
      <c r="R427" s="64">
        <f t="shared" ca="1" si="25"/>
        <v>-57.48075575793245</v>
      </c>
      <c r="T427" s="35">
        <f ca="1">DATA!AM422*$B$7</f>
        <v>150023.34709932675</v>
      </c>
    </row>
    <row r="428" spans="15:20" x14ac:dyDescent="0.25">
      <c r="O428" s="38">
        <f t="shared" ca="1" si="28"/>
        <v>2.3920229099714781E-3</v>
      </c>
      <c r="P428" s="39">
        <f t="shared" si="26"/>
        <v>0.3980000000000003</v>
      </c>
      <c r="Q428" s="64">
        <f t="shared" si="27"/>
        <v>11.939999999999937</v>
      </c>
      <c r="R428" s="64">
        <f t="shared" ca="1" si="25"/>
        <v>-57.626173278733283</v>
      </c>
      <c r="T428" s="35">
        <f ca="1">DATA!AM423*$B$7</f>
        <v>145798.49025854931</v>
      </c>
    </row>
    <row r="429" spans="15:20" x14ac:dyDescent="0.25">
      <c r="O429" s="38">
        <f t="shared" ca="1" si="28"/>
        <v>2.4065193882538169E-3</v>
      </c>
      <c r="P429" s="39">
        <f t="shared" si="26"/>
        <v>0.3990000000000003</v>
      </c>
      <c r="Q429" s="64">
        <f t="shared" si="27"/>
        <v>11.969999999999937</v>
      </c>
      <c r="R429" s="64">
        <f t="shared" ca="1" si="25"/>
        <v>-57.771590799534124</v>
      </c>
      <c r="T429" s="35">
        <f ca="1">DATA!AM424*$B$7</f>
        <v>-7945.6741277856472</v>
      </c>
    </row>
    <row r="430" spans="15:20" x14ac:dyDescent="0.25">
      <c r="O430" s="38">
        <f t="shared" ca="1" si="28"/>
        <v>2.4210164002300889E-3</v>
      </c>
      <c r="P430" s="39">
        <f t="shared" si="26"/>
        <v>0.4000000000000003</v>
      </c>
      <c r="Q430" s="64">
        <f t="shared" si="27"/>
        <v>11.999999999999936</v>
      </c>
      <c r="R430" s="64">
        <f t="shared" ca="1" si="25"/>
        <v>-57.917008320334958</v>
      </c>
      <c r="T430" s="35">
        <f ca="1">DATA!AM425*$B$7</f>
        <v>288053.04760426545</v>
      </c>
    </row>
    <row r="431" spans="15:20" x14ac:dyDescent="0.25">
      <c r="O431" s="38">
        <f t="shared" ca="1" si="28"/>
        <v>2.4355139363701028E-3</v>
      </c>
      <c r="P431" s="39">
        <f t="shared" si="26"/>
        <v>0.4010000000000003</v>
      </c>
      <c r="Q431" s="64">
        <f t="shared" si="27"/>
        <v>12.029999999999935</v>
      </c>
      <c r="R431" s="64">
        <f t="shared" ca="1" si="25"/>
        <v>-58.062425841135791</v>
      </c>
      <c r="T431" s="35">
        <f ca="1">DATA!AM426*$B$7</f>
        <v>-199876.21088045664</v>
      </c>
    </row>
    <row r="432" spans="15:20" x14ac:dyDescent="0.25">
      <c r="O432" s="38">
        <f t="shared" ca="1" si="28"/>
        <v>2.4500119873689095E-3</v>
      </c>
      <c r="P432" s="39">
        <f t="shared" si="26"/>
        <v>0.4020000000000003</v>
      </c>
      <c r="Q432" s="64">
        <f t="shared" si="27"/>
        <v>12.059999999999935</v>
      </c>
      <c r="R432" s="64">
        <f t="shared" ca="1" si="25"/>
        <v>-58.207843361936625</v>
      </c>
      <c r="T432" s="35">
        <f ca="1">DATA!AM427*$B$7</f>
        <v>317608.96076713363</v>
      </c>
    </row>
    <row r="433" spans="15:20" x14ac:dyDescent="0.25">
      <c r="O433" s="38">
        <f t="shared" ca="1" si="28"/>
        <v>2.4645105441401796E-3</v>
      </c>
      <c r="P433" s="39">
        <f t="shared" si="26"/>
        <v>0.4030000000000003</v>
      </c>
      <c r="Q433" s="64">
        <f t="shared" si="27"/>
        <v>12.089999999999934</v>
      </c>
      <c r="R433" s="64">
        <f t="shared" ca="1" si="25"/>
        <v>-58.353260882737459</v>
      </c>
      <c r="T433" s="35">
        <f ca="1">DATA!AM428*$B$7</f>
        <v>-615195.49894455669</v>
      </c>
    </row>
    <row r="434" spans="15:20" x14ac:dyDescent="0.25">
      <c r="O434" s="38">
        <f t="shared" ca="1" si="28"/>
        <v>2.4790095978098402E-3</v>
      </c>
      <c r="P434" s="39">
        <f t="shared" si="26"/>
        <v>0.4040000000000003</v>
      </c>
      <c r="Q434" s="64">
        <f t="shared" si="27"/>
        <v>12.119999999999933</v>
      </c>
      <c r="R434" s="64">
        <f t="shared" ca="1" si="25"/>
        <v>-58.4986784035383</v>
      </c>
      <c r="T434" s="35">
        <f ca="1">DATA!AM429*$B$7</f>
        <v>128446.57949911409</v>
      </c>
    </row>
    <row r="435" spans="15:20" x14ac:dyDescent="0.25">
      <c r="O435" s="38">
        <f t="shared" ca="1" si="28"/>
        <v>2.4935091397099195E-3</v>
      </c>
      <c r="P435" s="39">
        <f t="shared" si="26"/>
        <v>0.4050000000000003</v>
      </c>
      <c r="Q435" s="64">
        <f t="shared" si="27"/>
        <v>12.149999999999933</v>
      </c>
      <c r="R435" s="64">
        <f t="shared" ca="1" si="25"/>
        <v>-58.644095924339133</v>
      </c>
      <c r="T435" s="35">
        <f ca="1">DATA!AM430*$B$7</f>
        <v>-14292.097480968077</v>
      </c>
    </row>
    <row r="436" spans="15:20" x14ac:dyDescent="0.25">
      <c r="O436" s="38">
        <f t="shared" ca="1" si="28"/>
        <v>2.5080091613726039E-3</v>
      </c>
      <c r="P436" s="39">
        <f t="shared" si="26"/>
        <v>0.40600000000000031</v>
      </c>
      <c r="Q436" s="64">
        <f t="shared" si="27"/>
        <v>12.179999999999932</v>
      </c>
      <c r="R436" s="64">
        <f t="shared" ca="1" si="25"/>
        <v>-58.789513445139967</v>
      </c>
      <c r="T436" s="35">
        <f ca="1">DATA!AM431*$B$7</f>
        <v>352037.48256665713</v>
      </c>
    </row>
    <row r="437" spans="15:20" x14ac:dyDescent="0.25">
      <c r="O437" s="38">
        <f t="shared" ca="1" si="28"/>
        <v>2.5225096545245049E-3</v>
      </c>
      <c r="P437" s="39">
        <f t="shared" si="26"/>
        <v>0.40700000000000031</v>
      </c>
      <c r="Q437" s="64">
        <f t="shared" si="27"/>
        <v>12.209999999999932</v>
      </c>
      <c r="R437" s="64">
        <f t="shared" ca="1" si="25"/>
        <v>-58.934930965940801</v>
      </c>
      <c r="T437" s="35">
        <f ca="1">DATA!AM432*$B$7</f>
        <v>-80939.812016942567</v>
      </c>
    </row>
    <row r="438" spans="15:20" x14ac:dyDescent="0.25">
      <c r="O438" s="38">
        <f t="shared" ca="1" si="28"/>
        <v>2.5370106110811168E-3</v>
      </c>
      <c r="P438" s="39">
        <f t="shared" si="26"/>
        <v>0.40800000000000031</v>
      </c>
      <c r="Q438" s="64">
        <f t="shared" si="27"/>
        <v>12.239999999999931</v>
      </c>
      <c r="R438" s="64">
        <f t="shared" ca="1" si="25"/>
        <v>-59.080348486741634</v>
      </c>
      <c r="T438" s="35">
        <f ca="1">DATA!AM433*$B$7</f>
        <v>87458.806560087789</v>
      </c>
    </row>
    <row r="439" spans="15:20" x14ac:dyDescent="0.25">
      <c r="O439" s="38">
        <f t="shared" ca="1" si="28"/>
        <v>2.5515120231414615E-3</v>
      </c>
      <c r="P439" s="39">
        <f t="shared" si="26"/>
        <v>0.40900000000000031</v>
      </c>
      <c r="Q439" s="64">
        <f t="shared" si="27"/>
        <v>12.26999999999993</v>
      </c>
      <c r="R439" s="64">
        <f t="shared" ca="1" si="25"/>
        <v>-59.225766007542475</v>
      </c>
      <c r="T439" s="35">
        <f ca="1">DATA!AM434*$B$7</f>
        <v>197535.01782329526</v>
      </c>
    </row>
    <row r="440" spans="15:20" x14ac:dyDescent="0.25">
      <c r="O440" s="38">
        <f t="shared" ca="1" si="28"/>
        <v>2.5660138829829231E-3</v>
      </c>
      <c r="P440" s="39">
        <f t="shared" si="26"/>
        <v>0.41000000000000031</v>
      </c>
      <c r="Q440" s="64">
        <f t="shared" si="27"/>
        <v>12.29999999999993</v>
      </c>
      <c r="R440" s="64">
        <f t="shared" ca="1" si="25"/>
        <v>-59.371183528343309</v>
      </c>
      <c r="T440" s="35">
        <f ca="1">DATA!AM435*$B$7</f>
        <v>-179941.25406867618</v>
      </c>
    </row>
    <row r="441" spans="15:20" x14ac:dyDescent="0.25">
      <c r="O441" s="38">
        <f t="shared" ca="1" si="28"/>
        <v>2.5805161830562496E-3</v>
      </c>
      <c r="P441" s="39">
        <f t="shared" si="26"/>
        <v>0.41100000000000031</v>
      </c>
      <c r="Q441" s="64">
        <f t="shared" si="27"/>
        <v>12.329999999999929</v>
      </c>
      <c r="R441" s="64">
        <f t="shared" ca="1" si="25"/>
        <v>-59.516601049144143</v>
      </c>
      <c r="T441" s="35">
        <f ca="1">DATA!AM436*$B$7</f>
        <v>52923.676400341399</v>
      </c>
    </row>
    <row r="442" spans="15:20" x14ac:dyDescent="0.25">
      <c r="O442" s="38">
        <f t="shared" ca="1" si="28"/>
        <v>2.5950189159807077E-3</v>
      </c>
      <c r="P442" s="39">
        <f t="shared" si="26"/>
        <v>0.41200000000000031</v>
      </c>
      <c r="Q442" s="64">
        <f t="shared" si="27"/>
        <v>12.359999999999928</v>
      </c>
      <c r="R442" s="64">
        <f t="shared" ca="1" si="25"/>
        <v>-59.662018569944976</v>
      </c>
      <c r="T442" s="35">
        <f ca="1">DATA!AM437*$B$7</f>
        <v>-136022.45720327683</v>
      </c>
    </row>
    <row r="443" spans="15:20" x14ac:dyDescent="0.25">
      <c r="O443" s="38">
        <f t="shared" ca="1" si="28"/>
        <v>2.6095220745394336E-3</v>
      </c>
      <c r="P443" s="39">
        <f t="shared" si="26"/>
        <v>0.41300000000000031</v>
      </c>
      <c r="Q443" s="64">
        <f t="shared" si="27"/>
        <v>12.389999999999928</v>
      </c>
      <c r="R443" s="64">
        <f t="shared" ca="1" si="25"/>
        <v>-59.80743609074581</v>
      </c>
      <c r="T443" s="35">
        <f ca="1">DATA!AM438*$B$7</f>
        <v>-38209.01543936145</v>
      </c>
    </row>
    <row r="444" spans="15:20" x14ac:dyDescent="0.25">
      <c r="O444" s="38">
        <f t="shared" ca="1" si="28"/>
        <v>2.6240256516749075E-3</v>
      </c>
      <c r="P444" s="39">
        <f t="shared" si="26"/>
        <v>0.41400000000000031</v>
      </c>
      <c r="Q444" s="64">
        <f t="shared" si="27"/>
        <v>12.419999999999927</v>
      </c>
      <c r="R444" s="64">
        <f t="shared" ca="1" si="25"/>
        <v>-59.952853611546651</v>
      </c>
      <c r="T444" s="35">
        <f ca="1">DATA!AM439*$B$7</f>
        <v>-141605.93567416261</v>
      </c>
    </row>
    <row r="445" spans="15:20" x14ac:dyDescent="0.25">
      <c r="O445" s="38">
        <f t="shared" ca="1" si="28"/>
        <v>2.6385296404845748E-3</v>
      </c>
      <c r="P445" s="39">
        <f t="shared" si="26"/>
        <v>0.41500000000000031</v>
      </c>
      <c r="Q445" s="64">
        <f t="shared" si="27"/>
        <v>12.449999999999926</v>
      </c>
      <c r="R445" s="64">
        <f t="shared" ca="1" si="25"/>
        <v>-60.098271132347485</v>
      </c>
      <c r="T445" s="35">
        <f ca="1">DATA!AM440*$B$7</f>
        <v>-295141.00728168187</v>
      </c>
    </row>
    <row r="446" spans="15:20" x14ac:dyDescent="0.25">
      <c r="O446" s="38">
        <f t="shared" ca="1" si="28"/>
        <v>2.6530340342166389E-3</v>
      </c>
      <c r="P446" s="39">
        <f t="shared" si="26"/>
        <v>0.41600000000000031</v>
      </c>
      <c r="Q446" s="64">
        <f t="shared" si="27"/>
        <v>12.479999999999926</v>
      </c>
      <c r="R446" s="64">
        <f t="shared" ca="1" si="25"/>
        <v>-60.243688653148318</v>
      </c>
      <c r="T446" s="35">
        <f ca="1">DATA!AM441*$B$7</f>
        <v>45111.537556942756</v>
      </c>
    </row>
    <row r="447" spans="15:20" x14ac:dyDescent="0.25">
      <c r="O447" s="38">
        <f t="shared" ca="1" si="28"/>
        <v>2.6675388262659603E-3</v>
      </c>
      <c r="P447" s="39">
        <f t="shared" si="26"/>
        <v>0.41700000000000031</v>
      </c>
      <c r="Q447" s="64">
        <f t="shared" si="27"/>
        <v>12.509999999999925</v>
      </c>
      <c r="R447" s="64">
        <f t="shared" ca="1" si="25"/>
        <v>-60.389106173949152</v>
      </c>
      <c r="T447" s="35">
        <f ca="1">DATA!AM442*$B$7</f>
        <v>444353.85660776199</v>
      </c>
    </row>
    <row r="448" spans="15:20" x14ac:dyDescent="0.25">
      <c r="O448" s="38">
        <f t="shared" ca="1" si="28"/>
        <v>2.6820440101701093E-3</v>
      </c>
      <c r="P448" s="39">
        <f t="shared" si="26"/>
        <v>0.41800000000000032</v>
      </c>
      <c r="Q448" s="64">
        <f t="shared" si="27"/>
        <v>12.539999999999925</v>
      </c>
      <c r="R448" s="64">
        <f t="shared" ca="1" si="25"/>
        <v>-60.534523694749986</v>
      </c>
      <c r="T448" s="35">
        <f ca="1">DATA!AM443*$B$7</f>
        <v>-39159.762411103577</v>
      </c>
    </row>
    <row r="449" spans="15:20" x14ac:dyDescent="0.25">
      <c r="O449" s="38">
        <f t="shared" ca="1" si="28"/>
        <v>2.6965495796055284E-3</v>
      </c>
      <c r="P449" s="39">
        <f t="shared" si="26"/>
        <v>0.41900000000000032</v>
      </c>
      <c r="Q449" s="64">
        <f t="shared" si="27"/>
        <v>12.569999999999924</v>
      </c>
      <c r="R449" s="64">
        <f t="shared" ca="1" si="25"/>
        <v>-60.679941215550826</v>
      </c>
      <c r="T449" s="35">
        <f ca="1">DATA!AM444*$B$7</f>
        <v>-118744.90179391959</v>
      </c>
    </row>
    <row r="450" spans="15:20" x14ac:dyDescent="0.25">
      <c r="O450" s="38">
        <f t="shared" ca="1" si="28"/>
        <v>2.7110555283838375E-3</v>
      </c>
      <c r="P450" s="39">
        <f t="shared" si="26"/>
        <v>0.42000000000000032</v>
      </c>
      <c r="Q450" s="64">
        <f t="shared" si="27"/>
        <v>12.599999999999923</v>
      </c>
      <c r="R450" s="64">
        <f t="shared" ca="1" si="25"/>
        <v>-60.82535873635166</v>
      </c>
      <c r="T450" s="35">
        <f ca="1">DATA!AM445*$B$7</f>
        <v>-339434.75578580383</v>
      </c>
    </row>
    <row r="451" spans="15:20" x14ac:dyDescent="0.25">
      <c r="O451" s="38">
        <f t="shared" ca="1" si="28"/>
        <v>2.7255618504482318E-3</v>
      </c>
      <c r="P451" s="39">
        <f t="shared" si="26"/>
        <v>0.42100000000000032</v>
      </c>
      <c r="Q451" s="64">
        <f t="shared" si="27"/>
        <v>12.629999999999923</v>
      </c>
      <c r="R451" s="64">
        <f t="shared" ca="1" si="25"/>
        <v>-60.970776257152494</v>
      </c>
      <c r="T451" s="35">
        <f ca="1">DATA!AM446*$B$7</f>
        <v>-80982.811648819727</v>
      </c>
    </row>
    <row r="452" spans="15:20" x14ac:dyDescent="0.25">
      <c r="O452" s="38">
        <f t="shared" ca="1" si="28"/>
        <v>2.7400685398700207E-3</v>
      </c>
      <c r="P452" s="39">
        <f t="shared" si="26"/>
        <v>0.42200000000000032</v>
      </c>
      <c r="Q452" s="64">
        <f t="shared" si="27"/>
        <v>12.659999999999922</v>
      </c>
      <c r="R452" s="64">
        <f t="shared" ca="1" si="25"/>
        <v>-61.116193777953328</v>
      </c>
      <c r="T452" s="35">
        <f ca="1">DATA!AM447*$B$7</f>
        <v>184121.63505686738</v>
      </c>
    </row>
    <row r="453" spans="15:20" x14ac:dyDescent="0.25">
      <c r="O453" s="38">
        <f t="shared" ca="1" si="28"/>
        <v>2.7545755908452547E-3</v>
      </c>
      <c r="P453" s="39">
        <f t="shared" si="26"/>
        <v>0.42300000000000032</v>
      </c>
      <c r="Q453" s="64">
        <f t="shared" si="27"/>
        <v>12.689999999999921</v>
      </c>
      <c r="R453" s="64">
        <f t="shared" ca="1" si="25"/>
        <v>-61.261611298754161</v>
      </c>
      <c r="T453" s="35">
        <f ca="1">DATA!AM448*$B$7</f>
        <v>451381.12923995557</v>
      </c>
    </row>
    <row r="454" spans="15:20" x14ac:dyDescent="0.25">
      <c r="O454" s="38">
        <f t="shared" ca="1" si="28"/>
        <v>2.7690829976914633E-3</v>
      </c>
      <c r="P454" s="39">
        <f t="shared" si="26"/>
        <v>0.42400000000000032</v>
      </c>
      <c r="Q454" s="64">
        <f t="shared" si="27"/>
        <v>12.719999999999921</v>
      </c>
      <c r="R454" s="64">
        <f t="shared" ca="1" si="25"/>
        <v>-61.407028819554995</v>
      </c>
      <c r="T454" s="35">
        <f ca="1">DATA!AM449*$B$7</f>
        <v>29646.518724523114</v>
      </c>
    </row>
    <row r="455" spans="15:20" x14ac:dyDescent="0.25">
      <c r="O455" s="38">
        <f t="shared" ca="1" si="28"/>
        <v>2.7835907548445101E-3</v>
      </c>
      <c r="P455" s="39">
        <f t="shared" si="26"/>
        <v>0.42500000000000032</v>
      </c>
      <c r="Q455" s="64">
        <f t="shared" si="27"/>
        <v>12.74999999999992</v>
      </c>
      <c r="R455" s="64">
        <f t="shared" ca="1" si="25"/>
        <v>-61.552446340355836</v>
      </c>
      <c r="T455" s="35">
        <f ca="1">DATA!AM450*$B$7</f>
        <v>5271.5370046683456</v>
      </c>
    </row>
    <row r="456" spans="15:20" x14ac:dyDescent="0.25">
      <c r="O456" s="38">
        <f t="shared" ca="1" si="28"/>
        <v>2.7980988568555121E-3</v>
      </c>
      <c r="P456" s="39">
        <f t="shared" si="26"/>
        <v>0.42600000000000032</v>
      </c>
      <c r="Q456" s="64">
        <f t="shared" si="27"/>
        <v>12.779999999999919</v>
      </c>
      <c r="R456" s="64">
        <f t="shared" ca="1" si="25"/>
        <v>-61.697863861156669</v>
      </c>
      <c r="T456" s="35">
        <f ca="1">DATA!AM451*$B$7</f>
        <v>204827.71989501661</v>
      </c>
    </row>
    <row r="457" spans="15:20" x14ac:dyDescent="0.25">
      <c r="O457" s="38">
        <f t="shared" ca="1" si="28"/>
        <v>2.8126072983878903E-3</v>
      </c>
      <c r="P457" s="39">
        <f t="shared" si="26"/>
        <v>0.42700000000000032</v>
      </c>
      <c r="Q457" s="64">
        <f t="shared" si="27"/>
        <v>12.809999999999919</v>
      </c>
      <c r="R457" s="64">
        <f t="shared" ca="1" si="25"/>
        <v>-61.843281381957503</v>
      </c>
      <c r="T457" s="35">
        <f ca="1">DATA!AM452*$B$7</f>
        <v>-96337.012847652761</v>
      </c>
    </row>
    <row r="458" spans="15:20" x14ac:dyDescent="0.25">
      <c r="O458" s="38">
        <f t="shared" ca="1" si="28"/>
        <v>2.8271160742144906E-3</v>
      </c>
      <c r="P458" s="39">
        <f t="shared" si="26"/>
        <v>0.42800000000000032</v>
      </c>
      <c r="Q458" s="64">
        <f t="shared" si="27"/>
        <v>12.839999999999918</v>
      </c>
      <c r="R458" s="64">
        <f t="shared" ca="1" si="25"/>
        <v>-61.988698902758337</v>
      </c>
      <c r="T458" s="35">
        <f ca="1">DATA!AM453*$B$7</f>
        <v>-14720.83864609428</v>
      </c>
    </row>
    <row r="459" spans="15:20" x14ac:dyDescent="0.25">
      <c r="O459" s="38">
        <f t="shared" ca="1" si="28"/>
        <v>2.8416251792147918E-3</v>
      </c>
      <c r="P459" s="39">
        <f t="shared" si="26"/>
        <v>0.42900000000000033</v>
      </c>
      <c r="Q459" s="64">
        <f t="shared" si="27"/>
        <v>12.869999999999918</v>
      </c>
      <c r="R459" s="64">
        <f t="shared" ca="1" si="25"/>
        <v>-62.134116423559171</v>
      </c>
      <c r="T459" s="35">
        <f ca="1">DATA!AM454*$B$7</f>
        <v>52131.446864873629</v>
      </c>
    </row>
    <row r="460" spans="15:20" x14ac:dyDescent="0.25">
      <c r="O460" s="38">
        <f t="shared" ca="1" si="28"/>
        <v>2.8561346083722048E-3</v>
      </c>
      <c r="P460" s="39">
        <f t="shared" si="26"/>
        <v>0.43000000000000033</v>
      </c>
      <c r="Q460" s="64">
        <f t="shared" si="27"/>
        <v>12.899999999999917</v>
      </c>
      <c r="R460" s="64">
        <f t="shared" ca="1" si="25"/>
        <v>-62.279533944360011</v>
      </c>
      <c r="T460" s="35">
        <f ca="1">DATA!AM455*$B$7</f>
        <v>237477.63049827894</v>
      </c>
    </row>
    <row r="461" spans="15:20" x14ac:dyDescent="0.25">
      <c r="O461" s="38">
        <f t="shared" ca="1" si="28"/>
        <v>2.870644356771456E-3</v>
      </c>
      <c r="P461" s="39">
        <f t="shared" si="26"/>
        <v>0.43100000000000033</v>
      </c>
      <c r="Q461" s="64">
        <f t="shared" si="27"/>
        <v>12.929999999999916</v>
      </c>
      <c r="R461" s="64">
        <f t="shared" ca="1" si="25"/>
        <v>-62.424951465160845</v>
      </c>
      <c r="T461" s="35">
        <f ca="1">DATA!AM456*$B$7</f>
        <v>-48812.235965578555</v>
      </c>
    </row>
    <row r="462" spans="15:20" x14ac:dyDescent="0.25">
      <c r="O462" s="38">
        <f t="shared" ca="1" si="28"/>
        <v>2.8851544195960446E-3</v>
      </c>
      <c r="P462" s="39">
        <f t="shared" si="26"/>
        <v>0.43200000000000033</v>
      </c>
      <c r="Q462" s="64">
        <f t="shared" si="27"/>
        <v>12.959999999999916</v>
      </c>
      <c r="R462" s="64">
        <f t="shared" ca="1" si="25"/>
        <v>-62.570368985961679</v>
      </c>
      <c r="T462" s="35">
        <f ca="1">DATA!AM457*$B$7</f>
        <v>61156.014465005755</v>
      </c>
    </row>
    <row r="463" spans="15:20" x14ac:dyDescent="0.25">
      <c r="O463" s="38">
        <f t="shared" ca="1" si="28"/>
        <v>2.8996647921257696E-3</v>
      </c>
      <c r="P463" s="39">
        <f t="shared" si="26"/>
        <v>0.43300000000000033</v>
      </c>
      <c r="Q463" s="64">
        <f t="shared" si="27"/>
        <v>12.989999999999915</v>
      </c>
      <c r="R463" s="64">
        <f t="shared" ca="1" si="25"/>
        <v>-62.715786506762512</v>
      </c>
      <c r="T463" s="35">
        <f ca="1">DATA!AM458*$B$7</f>
        <v>-152074.76516663664</v>
      </c>
    </row>
    <row r="464" spans="15:20" x14ac:dyDescent="0.25">
      <c r="O464" s="38">
        <f t="shared" ca="1" si="28"/>
        <v>2.9141754697343445E-3</v>
      </c>
      <c r="P464" s="39">
        <f t="shared" si="26"/>
        <v>0.43400000000000033</v>
      </c>
      <c r="Q464" s="64">
        <f t="shared" si="27"/>
        <v>13.019999999999914</v>
      </c>
      <c r="R464" s="64">
        <f t="shared" ca="1" si="25"/>
        <v>-62.861204027563346</v>
      </c>
      <c r="T464" s="35">
        <f ca="1">DATA!AM459*$B$7</f>
        <v>112947.69884570806</v>
      </c>
    </row>
    <row r="465" spans="15:20" x14ac:dyDescent="0.25">
      <c r="O465" s="38">
        <f t="shared" ca="1" si="28"/>
        <v>2.9286864478870744E-3</v>
      </c>
      <c r="P465" s="39">
        <f t="shared" si="26"/>
        <v>0.43500000000000033</v>
      </c>
      <c r="Q465" s="64">
        <f t="shared" si="27"/>
        <v>13.049999999999914</v>
      </c>
      <c r="R465" s="64">
        <f t="shared" ca="1" si="25"/>
        <v>-63.006621548364187</v>
      </c>
      <c r="T465" s="35">
        <f ca="1">DATA!AM460*$B$7</f>
        <v>409662.65410214348</v>
      </c>
    </row>
    <row r="466" spans="15:20" x14ac:dyDescent="0.25">
      <c r="O466" s="38">
        <f t="shared" ca="1" si="28"/>
        <v>2.9431977221386005E-3</v>
      </c>
      <c r="P466" s="39">
        <f t="shared" si="26"/>
        <v>0.43600000000000033</v>
      </c>
      <c r="Q466" s="64">
        <f t="shared" si="27"/>
        <v>13.079999999999913</v>
      </c>
      <c r="R466" s="64">
        <f t="shared" ca="1" si="25"/>
        <v>-63.152039069165021</v>
      </c>
      <c r="T466" s="35">
        <f ca="1">DATA!AM461*$B$7</f>
        <v>337961.17345619015</v>
      </c>
    </row>
    <row r="467" spans="15:20" x14ac:dyDescent="0.25">
      <c r="O467" s="38">
        <f t="shared" ca="1" si="28"/>
        <v>2.9577092881307131E-3</v>
      </c>
      <c r="P467" s="39">
        <f t="shared" si="26"/>
        <v>0.43700000000000033</v>
      </c>
      <c r="Q467" s="64">
        <f t="shared" si="27"/>
        <v>13.109999999999912</v>
      </c>
      <c r="R467" s="64">
        <f t="shared" ca="1" si="25"/>
        <v>-63.297456589965854</v>
      </c>
      <c r="T467" s="35">
        <f ca="1">DATA!AM462*$B$7</f>
        <v>-10031.750607301232</v>
      </c>
    </row>
    <row r="468" spans="15:20" x14ac:dyDescent="0.25">
      <c r="O468" s="38">
        <f t="shared" ca="1" si="28"/>
        <v>2.9722211415902353E-3</v>
      </c>
      <c r="P468" s="39">
        <f t="shared" si="26"/>
        <v>0.43800000000000033</v>
      </c>
      <c r="Q468" s="64">
        <f t="shared" si="27"/>
        <v>13.139999999999912</v>
      </c>
      <c r="R468" s="64">
        <f t="shared" ca="1" si="25"/>
        <v>-63.442874110766688</v>
      </c>
      <c r="T468" s="35">
        <f ca="1">DATA!AM463*$B$7</f>
        <v>75541.239836351582</v>
      </c>
    </row>
    <row r="469" spans="15:20" x14ac:dyDescent="0.25">
      <c r="O469" s="38">
        <f t="shared" ca="1" si="28"/>
        <v>2.9867332783269484E-3</v>
      </c>
      <c r="P469" s="39">
        <f t="shared" si="26"/>
        <v>0.43900000000000033</v>
      </c>
      <c r="Q469" s="64">
        <f t="shared" si="27"/>
        <v>13.169999999999911</v>
      </c>
      <c r="R469" s="64">
        <f t="shared" ca="1" si="25"/>
        <v>-63.588291631567522</v>
      </c>
      <c r="T469" s="35">
        <f ca="1">DATA!AM464*$B$7</f>
        <v>299590.13020591746</v>
      </c>
    </row>
    <row r="470" spans="15:20" x14ac:dyDescent="0.25">
      <c r="O470" s="38">
        <f t="shared" ca="1" si="28"/>
        <v>3.0012456942316028E-3</v>
      </c>
      <c r="P470" s="39">
        <f t="shared" si="26"/>
        <v>0.44000000000000034</v>
      </c>
      <c r="Q470" s="64">
        <f t="shared" si="27"/>
        <v>13.19999999999991</v>
      </c>
      <c r="R470" s="64">
        <f t="shared" ca="1" si="25"/>
        <v>-63.733709152368363</v>
      </c>
      <c r="T470" s="35">
        <f ca="1">DATA!AM465*$B$7</f>
        <v>342370.34551670827</v>
      </c>
    </row>
    <row r="471" spans="15:20" x14ac:dyDescent="0.25">
      <c r="O471" s="38">
        <f t="shared" ca="1" si="28"/>
        <v>3.0157583852739658E-3</v>
      </c>
      <c r="P471" s="39">
        <f t="shared" si="26"/>
        <v>0.44100000000000034</v>
      </c>
      <c r="Q471" s="64">
        <f t="shared" si="27"/>
        <v>13.22999999999991</v>
      </c>
      <c r="R471" s="64">
        <f t="shared" ca="1" si="25"/>
        <v>-63.879126673169196</v>
      </c>
      <c r="T471" s="35">
        <f ca="1">DATA!AM466*$B$7</f>
        <v>-535709.99220215506</v>
      </c>
    </row>
    <row r="472" spans="15:20" x14ac:dyDescent="0.25">
      <c r="O472" s="38">
        <f t="shared" ca="1" si="28"/>
        <v>3.0302713475009384E-3</v>
      </c>
      <c r="P472" s="39">
        <f t="shared" si="26"/>
        <v>0.44200000000000034</v>
      </c>
      <c r="Q472" s="64">
        <f t="shared" si="27"/>
        <v>13.259999999999909</v>
      </c>
      <c r="R472" s="64">
        <f t="shared" ca="1" si="25"/>
        <v>-64.02454419397003</v>
      </c>
      <c r="T472" s="35">
        <f ca="1">DATA!AM467*$B$7</f>
        <v>-294594.47946476174</v>
      </c>
    </row>
    <row r="473" spans="15:20" x14ac:dyDescent="0.25">
      <c r="O473" s="38">
        <f t="shared" ca="1" si="28"/>
        <v>3.04478457703472E-3</v>
      </c>
      <c r="P473" s="39">
        <f t="shared" si="26"/>
        <v>0.44300000000000034</v>
      </c>
      <c r="Q473" s="64">
        <f t="shared" si="27"/>
        <v>13.289999999999909</v>
      </c>
      <c r="R473" s="64">
        <f t="shared" ca="1" si="25"/>
        <v>-64.169961714770864</v>
      </c>
      <c r="T473" s="35">
        <f ca="1">DATA!AM468*$B$7</f>
        <v>35329.342674938474</v>
      </c>
    </row>
    <row r="474" spans="15:20" x14ac:dyDescent="0.25">
      <c r="O474" s="38">
        <f t="shared" ca="1" si="28"/>
        <v>3.0592980700710169E-3</v>
      </c>
      <c r="P474" s="39">
        <f t="shared" si="26"/>
        <v>0.44400000000000034</v>
      </c>
      <c r="Q474" s="64">
        <f t="shared" si="27"/>
        <v>13.319999999999908</v>
      </c>
      <c r="R474" s="64">
        <f t="shared" ca="1" si="25"/>
        <v>-64.315379235571697</v>
      </c>
      <c r="T474" s="35">
        <f ca="1">DATA!AM469*$B$7</f>
        <v>130125.56329437238</v>
      </c>
    </row>
    <row r="475" spans="15:20" x14ac:dyDescent="0.25">
      <c r="O475" s="38">
        <f t="shared" ca="1" si="28"/>
        <v>3.0738118228773228E-3</v>
      </c>
      <c r="P475" s="39">
        <f t="shared" si="26"/>
        <v>0.44500000000000034</v>
      </c>
      <c r="Q475" s="64">
        <f t="shared" si="27"/>
        <v>13.349999999999907</v>
      </c>
      <c r="R475" s="64">
        <f t="shared" ca="1" si="25"/>
        <v>-64.460796756372531</v>
      </c>
      <c r="T475" s="35">
        <f ca="1">DATA!AM470*$B$7</f>
        <v>45043.370579470618</v>
      </c>
    </row>
    <row r="476" spans="15:20" x14ac:dyDescent="0.25">
      <c r="O476" s="38">
        <f t="shared" ca="1" si="28"/>
        <v>3.088325831791229E-3</v>
      </c>
      <c r="P476" s="39">
        <f t="shared" si="26"/>
        <v>0.44600000000000034</v>
      </c>
      <c r="Q476" s="64">
        <f t="shared" si="27"/>
        <v>13.379999999999907</v>
      </c>
      <c r="R476" s="64">
        <f t="shared" ca="1" si="25"/>
        <v>-64.606214277173365</v>
      </c>
      <c r="T476" s="35">
        <f ca="1">DATA!AM471*$B$7</f>
        <v>-98065.284179024457</v>
      </c>
    </row>
    <row r="477" spans="15:20" x14ac:dyDescent="0.25">
      <c r="O477" s="38">
        <f t="shared" ca="1" si="28"/>
        <v>3.1028400932187885E-3</v>
      </c>
      <c r="P477" s="39">
        <f t="shared" si="26"/>
        <v>0.44700000000000034</v>
      </c>
      <c r="Q477" s="64">
        <f t="shared" si="27"/>
        <v>13.409999999999906</v>
      </c>
      <c r="R477" s="64">
        <f t="shared" ca="1" si="25"/>
        <v>-64.751631797974198</v>
      </c>
      <c r="T477" s="35">
        <f ca="1">DATA!AM472*$B$7</f>
        <v>-797.40577796082482</v>
      </c>
    </row>
    <row r="478" spans="15:20" x14ac:dyDescent="0.25">
      <c r="O478" s="38">
        <f t="shared" ca="1" si="28"/>
        <v>3.1173546036329242E-3</v>
      </c>
      <c r="P478" s="39">
        <f t="shared" si="26"/>
        <v>0.44800000000000034</v>
      </c>
      <c r="Q478" s="64">
        <f t="shared" si="27"/>
        <v>13.439999999999905</v>
      </c>
      <c r="R478" s="64">
        <f t="shared" ca="1" si="25"/>
        <v>-64.897049318775046</v>
      </c>
      <c r="T478" s="35">
        <f ca="1">DATA!AM473*$B$7</f>
        <v>-348680.24831044849</v>
      </c>
    </row>
    <row r="479" spans="15:20" x14ac:dyDescent="0.25">
      <c r="O479" s="38">
        <f t="shared" ca="1" si="28"/>
        <v>3.1318693595718838E-3</v>
      </c>
      <c r="P479" s="39">
        <f t="shared" si="26"/>
        <v>0.44900000000000034</v>
      </c>
      <c r="Q479" s="64">
        <f t="shared" si="27"/>
        <v>13.469999999999905</v>
      </c>
      <c r="R479" s="64">
        <f t="shared" ref="R479:R542" ca="1" si="29">$B$8+$B$42*Q479</f>
        <v>-65.04246683957588</v>
      </c>
      <c r="T479" s="35">
        <f ca="1">DATA!AM474*$B$7</f>
        <v>2061.6599151219734</v>
      </c>
    </row>
    <row r="480" spans="15:20" x14ac:dyDescent="0.25">
      <c r="O480" s="38">
        <f t="shared" ca="1" si="28"/>
        <v>3.1463843576377379E-3</v>
      </c>
      <c r="P480" s="39">
        <f t="shared" ref="P480:P543" si="30">P479+0.1%</f>
        <v>0.45000000000000034</v>
      </c>
      <c r="Q480" s="64">
        <f t="shared" ref="Q480:Q543" si="31">Q479+0.03</f>
        <v>13.499999999999904</v>
      </c>
      <c r="R480" s="64">
        <f t="shared" ca="1" si="29"/>
        <v>-65.187884360376714</v>
      </c>
      <c r="T480" s="35">
        <f ca="1">DATA!AM475*$B$7</f>
        <v>199056.33429224437</v>
      </c>
    </row>
    <row r="481" spans="15:20" x14ac:dyDescent="0.25">
      <c r="O481" s="38">
        <f t="shared" ca="1" si="28"/>
        <v>3.1608995944949108E-3</v>
      </c>
      <c r="P481" s="39">
        <f t="shared" si="30"/>
        <v>0.45100000000000035</v>
      </c>
      <c r="Q481" s="64">
        <f t="shared" si="31"/>
        <v>13.529999999999903</v>
      </c>
      <c r="R481" s="64">
        <f t="shared" ca="1" si="29"/>
        <v>-65.333301881177547</v>
      </c>
      <c r="T481" s="35">
        <f ca="1">DATA!AM476*$B$7</f>
        <v>-65974.603388307252</v>
      </c>
    </row>
    <row r="482" spans="15:20" x14ac:dyDescent="0.25">
      <c r="O482" s="38">
        <f t="shared" ca="1" si="28"/>
        <v>3.1754150668687631E-3</v>
      </c>
      <c r="P482" s="39">
        <f t="shared" si="30"/>
        <v>0.45200000000000035</v>
      </c>
      <c r="Q482" s="64">
        <f t="shared" si="31"/>
        <v>13.559999999999903</v>
      </c>
      <c r="R482" s="64">
        <f t="shared" ca="1" si="29"/>
        <v>-65.478719401978381</v>
      </c>
      <c r="T482" s="35">
        <f ca="1">DATA!AM477*$B$7</f>
        <v>83952.477159524264</v>
      </c>
    </row>
    <row r="483" spans="15:20" x14ac:dyDescent="0.25">
      <c r="O483" s="38">
        <f t="shared" ca="1" si="28"/>
        <v>3.1899307715442075E-3</v>
      </c>
      <c r="P483" s="39">
        <f t="shared" si="30"/>
        <v>0.45300000000000035</v>
      </c>
      <c r="Q483" s="64">
        <f t="shared" si="31"/>
        <v>13.589999999999902</v>
      </c>
      <c r="R483" s="64">
        <f t="shared" ca="1" si="29"/>
        <v>-65.624136922779215</v>
      </c>
      <c r="T483" s="35">
        <f ca="1">DATA!AM478*$B$7</f>
        <v>130758.07851243371</v>
      </c>
    </row>
    <row r="484" spans="15:20" x14ac:dyDescent="0.25">
      <c r="O484" s="38">
        <f t="shared" ref="O484:O547" ca="1" si="32">SQRT(($B$36*P484^2 - 2*$B$37*P484 +$B$38)/$B$39)</f>
        <v>3.2044467053643625E-3</v>
      </c>
      <c r="P484" s="39">
        <f t="shared" si="30"/>
        <v>0.45400000000000035</v>
      </c>
      <c r="Q484" s="64">
        <f t="shared" si="31"/>
        <v>13.619999999999902</v>
      </c>
      <c r="R484" s="64">
        <f t="shared" ca="1" si="29"/>
        <v>-65.769554443580049</v>
      </c>
      <c r="T484" s="35">
        <f ca="1">DATA!AM479*$B$7</f>
        <v>-430780.65641702514</v>
      </c>
    </row>
    <row r="485" spans="15:20" x14ac:dyDescent="0.25">
      <c r="O485" s="38">
        <f t="shared" ca="1" si="32"/>
        <v>3.2189628652292365E-3</v>
      </c>
      <c r="P485" s="39">
        <f t="shared" si="30"/>
        <v>0.45500000000000035</v>
      </c>
      <c r="Q485" s="64">
        <f t="shared" si="31"/>
        <v>13.649999999999901</v>
      </c>
      <c r="R485" s="64">
        <f t="shared" ca="1" si="29"/>
        <v>-65.914971964380882</v>
      </c>
      <c r="T485" s="35">
        <f ca="1">DATA!AM480*$B$7</f>
        <v>-27007.658596466801</v>
      </c>
    </row>
    <row r="486" spans="15:20" x14ac:dyDescent="0.25">
      <c r="O486" s="38">
        <f t="shared" ca="1" si="32"/>
        <v>3.2334792480944639E-3</v>
      </c>
      <c r="P486" s="39">
        <f t="shared" si="30"/>
        <v>0.45600000000000035</v>
      </c>
      <c r="Q486" s="64">
        <f t="shared" si="31"/>
        <v>13.6799999999999</v>
      </c>
      <c r="R486" s="64">
        <f t="shared" ca="1" si="29"/>
        <v>-66.060389485181716</v>
      </c>
      <c r="T486" s="35">
        <f ca="1">DATA!AM481*$B$7</f>
        <v>-300155.20952326246</v>
      </c>
    </row>
    <row r="487" spans="15:20" x14ac:dyDescent="0.25">
      <c r="O487" s="38">
        <f t="shared" ca="1" si="32"/>
        <v>3.2479958509700523E-3</v>
      </c>
      <c r="P487" s="39">
        <f t="shared" si="30"/>
        <v>0.45700000000000035</v>
      </c>
      <c r="Q487" s="64">
        <f t="shared" si="31"/>
        <v>13.7099999999999</v>
      </c>
      <c r="R487" s="64">
        <f t="shared" ca="1" si="29"/>
        <v>-66.20580700598255</v>
      </c>
      <c r="T487" s="35">
        <f ca="1">DATA!AM482*$B$7</f>
        <v>121527.73087061067</v>
      </c>
    </row>
    <row r="488" spans="15:20" x14ac:dyDescent="0.25">
      <c r="O488" s="38">
        <f t="shared" ca="1" si="32"/>
        <v>3.2625126709191822E-3</v>
      </c>
      <c r="P488" s="39">
        <f t="shared" si="30"/>
        <v>0.45800000000000035</v>
      </c>
      <c r="Q488" s="64">
        <f t="shared" si="31"/>
        <v>13.739999999999899</v>
      </c>
      <c r="R488" s="64">
        <f t="shared" ca="1" si="29"/>
        <v>-66.351224526783398</v>
      </c>
      <c r="T488" s="35">
        <f ca="1">DATA!AM483*$B$7</f>
        <v>-14831.744279708342</v>
      </c>
    </row>
    <row r="489" spans="15:20" x14ac:dyDescent="0.25">
      <c r="O489" s="38">
        <f t="shared" ca="1" si="32"/>
        <v>3.2770297050570317E-3</v>
      </c>
      <c r="P489" s="39">
        <f t="shared" si="30"/>
        <v>0.45900000000000035</v>
      </c>
      <c r="Q489" s="64">
        <f t="shared" si="31"/>
        <v>13.769999999999898</v>
      </c>
      <c r="R489" s="64">
        <f t="shared" ca="1" si="29"/>
        <v>-66.496642047584231</v>
      </c>
      <c r="T489" s="35">
        <f ca="1">DATA!AM484*$B$7</f>
        <v>146576.11380483161</v>
      </c>
    </row>
    <row r="490" spans="15:20" x14ac:dyDescent="0.25">
      <c r="O490" s="38">
        <f t="shared" ca="1" si="32"/>
        <v>3.2915469505496293E-3</v>
      </c>
      <c r="P490" s="39">
        <f t="shared" si="30"/>
        <v>0.46000000000000035</v>
      </c>
      <c r="Q490" s="64">
        <f t="shared" si="31"/>
        <v>13.799999999999898</v>
      </c>
      <c r="R490" s="64">
        <f t="shared" ca="1" si="29"/>
        <v>-66.642059568385065</v>
      </c>
      <c r="T490" s="35">
        <f ca="1">DATA!AM485*$B$7</f>
        <v>104561.645178729</v>
      </c>
    </row>
    <row r="491" spans="15:20" x14ac:dyDescent="0.25">
      <c r="O491" s="38">
        <f t="shared" ca="1" si="32"/>
        <v>3.306064404612734E-3</v>
      </c>
      <c r="P491" s="39">
        <f t="shared" si="30"/>
        <v>0.46100000000000035</v>
      </c>
      <c r="Q491" s="64">
        <f t="shared" si="31"/>
        <v>13.829999999999897</v>
      </c>
      <c r="R491" s="64">
        <f t="shared" ca="1" si="29"/>
        <v>-66.787477089185899</v>
      </c>
      <c r="T491" s="35">
        <f ca="1">DATA!AM486*$B$7</f>
        <v>228444.46719244338</v>
      </c>
    </row>
    <row r="492" spans="15:20" x14ac:dyDescent="0.25">
      <c r="O492" s="38">
        <f t="shared" ca="1" si="32"/>
        <v>3.3205820645107612E-3</v>
      </c>
      <c r="P492" s="39">
        <f t="shared" si="30"/>
        <v>0.46200000000000035</v>
      </c>
      <c r="Q492" s="64">
        <f t="shared" si="31"/>
        <v>13.859999999999896</v>
      </c>
      <c r="R492" s="64">
        <f t="shared" ca="1" si="29"/>
        <v>-66.932894609986732</v>
      </c>
      <c r="T492" s="35">
        <f ca="1">DATA!AM487*$B$7</f>
        <v>-215640.63134781766</v>
      </c>
    </row>
    <row r="493" spans="15:20" x14ac:dyDescent="0.25">
      <c r="O493" s="38">
        <f t="shared" ca="1" si="32"/>
        <v>3.3350999275557195E-3</v>
      </c>
      <c r="P493" s="39">
        <f t="shared" si="30"/>
        <v>0.46300000000000036</v>
      </c>
      <c r="Q493" s="64">
        <f t="shared" si="31"/>
        <v>13.889999999999896</v>
      </c>
      <c r="R493" s="64">
        <f t="shared" ca="1" si="29"/>
        <v>-67.078312130787566</v>
      </c>
      <c r="T493" s="35">
        <f ca="1">DATA!AM488*$B$7</f>
        <v>252610.06277902875</v>
      </c>
    </row>
    <row r="494" spans="15:20" x14ac:dyDescent="0.25">
      <c r="O494" s="38">
        <f t="shared" ca="1" si="32"/>
        <v>3.3496179911061789E-3</v>
      </c>
      <c r="P494" s="39">
        <f t="shared" si="30"/>
        <v>0.46400000000000036</v>
      </c>
      <c r="Q494" s="64">
        <f t="shared" si="31"/>
        <v>13.919999999999895</v>
      </c>
      <c r="R494" s="64">
        <f t="shared" ca="1" si="29"/>
        <v>-67.2237296515884</v>
      </c>
      <c r="T494" s="35">
        <f ca="1">DATA!AM489*$B$7</f>
        <v>121990.97949043679</v>
      </c>
    </row>
    <row r="495" spans="15:20" x14ac:dyDescent="0.25">
      <c r="O495" s="38">
        <f t="shared" ca="1" si="32"/>
        <v>3.3641362525662741E-3</v>
      </c>
      <c r="P495" s="39">
        <f t="shared" si="30"/>
        <v>0.46500000000000036</v>
      </c>
      <c r="Q495" s="64">
        <f t="shared" si="31"/>
        <v>13.949999999999894</v>
      </c>
      <c r="R495" s="64">
        <f t="shared" ca="1" si="29"/>
        <v>-67.369147172389233</v>
      </c>
      <c r="T495" s="35">
        <f ca="1">DATA!AM490*$B$7</f>
        <v>158313.17781949497</v>
      </c>
    </row>
    <row r="496" spans="15:20" x14ac:dyDescent="0.25">
      <c r="O496" s="38">
        <f t="shared" ca="1" si="32"/>
        <v>3.3786547093847142E-3</v>
      </c>
      <c r="P496" s="39">
        <f t="shared" si="30"/>
        <v>0.46600000000000036</v>
      </c>
      <c r="Q496" s="64">
        <f t="shared" si="31"/>
        <v>13.979999999999894</v>
      </c>
      <c r="R496" s="64">
        <f t="shared" ca="1" si="29"/>
        <v>-67.514564693190067</v>
      </c>
      <c r="T496" s="35">
        <f ca="1">DATA!AM491*$B$7</f>
        <v>99183.455408586116</v>
      </c>
    </row>
    <row r="497" spans="15:20" x14ac:dyDescent="0.25">
      <c r="O497" s="38">
        <f t="shared" ca="1" si="32"/>
        <v>3.3931733590538498E-3</v>
      </c>
      <c r="P497" s="39">
        <f t="shared" si="30"/>
        <v>0.46700000000000036</v>
      </c>
      <c r="Q497" s="64">
        <f t="shared" si="31"/>
        <v>14.009999999999893</v>
      </c>
      <c r="R497" s="64">
        <f t="shared" ca="1" si="29"/>
        <v>-67.659982213990901</v>
      </c>
      <c r="T497" s="35">
        <f ca="1">DATA!AM492*$B$7</f>
        <v>-101587.16602198052</v>
      </c>
    </row>
    <row r="498" spans="15:20" x14ac:dyDescent="0.25">
      <c r="O498" s="38">
        <f t="shared" ca="1" si="32"/>
        <v>3.4076921991087264E-3</v>
      </c>
      <c r="P498" s="39">
        <f t="shared" si="30"/>
        <v>0.46800000000000036</v>
      </c>
      <c r="Q498" s="64">
        <f t="shared" si="31"/>
        <v>14.039999999999893</v>
      </c>
      <c r="R498" s="64">
        <f t="shared" ca="1" si="29"/>
        <v>-67.805399734791735</v>
      </c>
      <c r="T498" s="35">
        <f ca="1">DATA!AM493*$B$7</f>
        <v>125325.55462209941</v>
      </c>
    </row>
    <row r="499" spans="15:20" x14ac:dyDescent="0.25">
      <c r="O499" s="38">
        <f t="shared" ca="1" si="32"/>
        <v>3.4222112271261955E-3</v>
      </c>
      <c r="P499" s="39">
        <f t="shared" si="30"/>
        <v>0.46900000000000036</v>
      </c>
      <c r="Q499" s="64">
        <f t="shared" si="31"/>
        <v>14.069999999999892</v>
      </c>
      <c r="R499" s="64">
        <f t="shared" ca="1" si="29"/>
        <v>-67.950817255592582</v>
      </c>
      <c r="T499" s="35">
        <f ca="1">DATA!AM494*$B$7</f>
        <v>-40237.305245722411</v>
      </c>
    </row>
    <row r="500" spans="15:20" x14ac:dyDescent="0.25">
      <c r="O500" s="38">
        <f t="shared" ca="1" si="32"/>
        <v>3.4367304407240166E-3</v>
      </c>
      <c r="P500" s="39">
        <f t="shared" si="30"/>
        <v>0.47000000000000036</v>
      </c>
      <c r="Q500" s="64">
        <f t="shared" si="31"/>
        <v>14.099999999999891</v>
      </c>
      <c r="R500" s="64">
        <f t="shared" ca="1" si="29"/>
        <v>-68.096234776393416</v>
      </c>
      <c r="T500" s="35">
        <f ca="1">DATA!AM495*$B$7</f>
        <v>30538.363558586698</v>
      </c>
    </row>
    <row r="501" spans="15:20" x14ac:dyDescent="0.25">
      <c r="O501" s="38">
        <f t="shared" ca="1" si="32"/>
        <v>3.4512498375600148E-3</v>
      </c>
      <c r="P501" s="39">
        <f t="shared" si="30"/>
        <v>0.47100000000000036</v>
      </c>
      <c r="Q501" s="64">
        <f t="shared" si="31"/>
        <v>14.129999999999891</v>
      </c>
      <c r="R501" s="64">
        <f t="shared" ca="1" si="29"/>
        <v>-68.24165229719425</v>
      </c>
      <c r="T501" s="35">
        <f ca="1">DATA!AM496*$B$7</f>
        <v>26579.72277169631</v>
      </c>
    </row>
    <row r="502" spans="15:20" x14ac:dyDescent="0.25">
      <c r="O502" s="38">
        <f t="shared" ca="1" si="32"/>
        <v>3.4657694153312287E-3</v>
      </c>
      <c r="P502" s="39">
        <f t="shared" si="30"/>
        <v>0.47200000000000036</v>
      </c>
      <c r="Q502" s="64">
        <f t="shared" si="31"/>
        <v>14.15999999999989</v>
      </c>
      <c r="R502" s="64">
        <f t="shared" ca="1" si="29"/>
        <v>-68.387069817995084</v>
      </c>
      <c r="T502" s="35">
        <f ca="1">DATA!AM497*$B$7</f>
        <v>40630.312278386642</v>
      </c>
    </row>
    <row r="503" spans="15:20" x14ac:dyDescent="0.25">
      <c r="O503" s="38">
        <f t="shared" ca="1" si="32"/>
        <v>3.4802891717731054E-3</v>
      </c>
      <c r="P503" s="39">
        <f t="shared" si="30"/>
        <v>0.47300000000000036</v>
      </c>
      <c r="Q503" s="64">
        <f t="shared" si="31"/>
        <v>14.189999999999889</v>
      </c>
      <c r="R503" s="64">
        <f t="shared" ca="1" si="29"/>
        <v>-68.532487338795917</v>
      </c>
      <c r="T503" s="35">
        <f ca="1">DATA!AM498*$B$7</f>
        <v>171989.13746695666</v>
      </c>
    </row>
    <row r="504" spans="15:20" x14ac:dyDescent="0.25">
      <c r="O504" s="38">
        <f t="shared" ca="1" si="32"/>
        <v>3.4948091046586947E-3</v>
      </c>
      <c r="P504" s="39">
        <f t="shared" si="30"/>
        <v>0.47400000000000037</v>
      </c>
      <c r="Q504" s="64">
        <f t="shared" si="31"/>
        <v>14.219999999999889</v>
      </c>
      <c r="R504" s="64">
        <f t="shared" ca="1" si="29"/>
        <v>-68.677904859596751</v>
      </c>
      <c r="T504" s="35">
        <f ca="1">DATA!AM499*$B$7</f>
        <v>185437.47911124353</v>
      </c>
    </row>
    <row r="505" spans="15:20" x14ac:dyDescent="0.25">
      <c r="O505" s="38">
        <f t="shared" ca="1" si="32"/>
        <v>3.5093292117978742E-3</v>
      </c>
      <c r="P505" s="39">
        <f t="shared" si="30"/>
        <v>0.47500000000000037</v>
      </c>
      <c r="Q505" s="64">
        <f t="shared" si="31"/>
        <v>14.249999999999888</v>
      </c>
      <c r="R505" s="64">
        <f t="shared" ca="1" si="29"/>
        <v>-68.823322380397585</v>
      </c>
      <c r="T505" s="35">
        <f ca="1">DATA!AM500*$B$7</f>
        <v>-116533.7244150045</v>
      </c>
    </row>
    <row r="506" spans="15:20" x14ac:dyDescent="0.25">
      <c r="O506" s="38">
        <f t="shared" ca="1" si="32"/>
        <v>3.523849491036598E-3</v>
      </c>
      <c r="P506" s="39">
        <f t="shared" si="30"/>
        <v>0.47600000000000037</v>
      </c>
      <c r="Q506" s="64">
        <f t="shared" si="31"/>
        <v>14.279999999999887</v>
      </c>
      <c r="R506" s="64">
        <f t="shared" ca="1" si="29"/>
        <v>-68.968739901198418</v>
      </c>
      <c r="T506" s="35">
        <f ca="1">DATA!AM501*$B$7</f>
        <v>243649.06431126365</v>
      </c>
    </row>
    <row r="507" spans="15:20" x14ac:dyDescent="0.25">
      <c r="O507" s="38">
        <f t="shared" ca="1" si="32"/>
        <v>3.5383699402561485E-3</v>
      </c>
      <c r="P507" s="39">
        <f t="shared" si="30"/>
        <v>0.47700000000000037</v>
      </c>
      <c r="Q507" s="64">
        <f t="shared" si="31"/>
        <v>14.309999999999887</v>
      </c>
      <c r="R507" s="64">
        <f t="shared" ca="1" si="29"/>
        <v>-69.114157421999252</v>
      </c>
      <c r="T507" s="35">
        <f ca="1">DATA!AM502*$B$7</f>
        <v>-256618.54657734267</v>
      </c>
    </row>
    <row r="508" spans="15:20" x14ac:dyDescent="0.25">
      <c r="O508" s="38">
        <f t="shared" ca="1" si="32"/>
        <v>3.5528905573724255E-3</v>
      </c>
      <c r="P508" s="39">
        <f t="shared" si="30"/>
        <v>0.47800000000000037</v>
      </c>
      <c r="Q508" s="64">
        <f t="shared" si="31"/>
        <v>14.339999999999886</v>
      </c>
      <c r="R508" s="64">
        <f t="shared" ca="1" si="29"/>
        <v>-69.259574942800086</v>
      </c>
      <c r="T508" s="35">
        <f ca="1">DATA!AM503*$B$7</f>
        <v>-220126.95883542323</v>
      </c>
    </row>
    <row r="509" spans="15:20" x14ac:dyDescent="0.25">
      <c r="O509" s="38">
        <f t="shared" ca="1" si="32"/>
        <v>3.5674113403352282E-3</v>
      </c>
      <c r="P509" s="39">
        <f t="shared" si="30"/>
        <v>0.47900000000000037</v>
      </c>
      <c r="Q509" s="64">
        <f t="shared" si="31"/>
        <v>14.369999999999886</v>
      </c>
      <c r="R509" s="64">
        <f t="shared" ca="1" si="29"/>
        <v>-69.404992463600934</v>
      </c>
      <c r="T509" s="35">
        <f ca="1">DATA!AM504*$B$7</f>
        <v>642193.93042857083</v>
      </c>
    </row>
    <row r="510" spans="15:20" x14ac:dyDescent="0.25">
      <c r="O510" s="38">
        <f t="shared" ca="1" si="32"/>
        <v>3.5819322871275829E-3</v>
      </c>
      <c r="P510" s="39">
        <f t="shared" si="30"/>
        <v>0.48000000000000037</v>
      </c>
      <c r="Q510" s="64">
        <f t="shared" si="31"/>
        <v>14.399999999999885</v>
      </c>
      <c r="R510" s="64">
        <f t="shared" ca="1" si="29"/>
        <v>-69.550409984401767</v>
      </c>
      <c r="T510" s="35">
        <f ca="1">DATA!AM505*$B$7</f>
        <v>-86185.480345168078</v>
      </c>
    </row>
    <row r="511" spans="15:20" x14ac:dyDescent="0.25">
      <c r="O511" s="38">
        <f t="shared" ca="1" si="32"/>
        <v>3.5964533957650708E-3</v>
      </c>
      <c r="P511" s="39">
        <f t="shared" si="30"/>
        <v>0.48100000000000037</v>
      </c>
      <c r="Q511" s="64">
        <f t="shared" si="31"/>
        <v>14.429999999999884</v>
      </c>
      <c r="R511" s="64">
        <f t="shared" ca="1" si="29"/>
        <v>-69.695827505202601</v>
      </c>
      <c r="T511" s="35">
        <f ca="1">DATA!AM506*$B$7</f>
        <v>236689.51806606239</v>
      </c>
    </row>
    <row r="512" spans="15:20" x14ac:dyDescent="0.25">
      <c r="O512" s="38">
        <f t="shared" ca="1" si="32"/>
        <v>3.6109746642951678E-3</v>
      </c>
      <c r="P512" s="39">
        <f t="shared" si="30"/>
        <v>0.48200000000000037</v>
      </c>
      <c r="Q512" s="64">
        <f t="shared" si="31"/>
        <v>14.459999999999884</v>
      </c>
      <c r="R512" s="64">
        <f t="shared" ca="1" si="29"/>
        <v>-69.841245026003435</v>
      </c>
      <c r="T512" s="35">
        <f ca="1">DATA!AM507*$B$7</f>
        <v>97809.558156761355</v>
      </c>
    </row>
    <row r="513" spans="15:20" x14ac:dyDescent="0.25">
      <c r="O513" s="38">
        <f t="shared" ca="1" si="32"/>
        <v>3.62549609079661E-3</v>
      </c>
      <c r="P513" s="39">
        <f t="shared" si="30"/>
        <v>0.48300000000000037</v>
      </c>
      <c r="Q513" s="64">
        <f t="shared" si="31"/>
        <v>14.489999999999883</v>
      </c>
      <c r="R513" s="64">
        <f t="shared" ca="1" si="29"/>
        <v>-69.986662546804268</v>
      </c>
      <c r="T513" s="35">
        <f ca="1">DATA!AM508*$B$7</f>
        <v>33037.195162022203</v>
      </c>
    </row>
    <row r="514" spans="15:20" x14ac:dyDescent="0.25">
      <c r="O514" s="38">
        <f t="shared" ca="1" si="32"/>
        <v>3.6400176733787726E-3</v>
      </c>
      <c r="P514" s="39">
        <f t="shared" si="30"/>
        <v>0.48400000000000037</v>
      </c>
      <c r="Q514" s="64">
        <f t="shared" si="31"/>
        <v>14.519999999999882</v>
      </c>
      <c r="R514" s="64">
        <f t="shared" ca="1" si="29"/>
        <v>-70.132080067605102</v>
      </c>
      <c r="T514" s="35">
        <f ca="1">DATA!AM509*$B$7</f>
        <v>-278659.09520386026</v>
      </c>
    </row>
    <row r="515" spans="15:20" x14ac:dyDescent="0.25">
      <c r="O515" s="38">
        <f t="shared" ca="1" si="32"/>
        <v>3.6545394101810615E-3</v>
      </c>
      <c r="P515" s="39">
        <f t="shared" si="30"/>
        <v>0.48500000000000038</v>
      </c>
      <c r="Q515" s="64">
        <f t="shared" si="31"/>
        <v>14.549999999999882</v>
      </c>
      <c r="R515" s="64">
        <f t="shared" ca="1" si="29"/>
        <v>-70.277497588405936</v>
      </c>
      <c r="T515" s="35">
        <f ca="1">DATA!AM510*$B$7</f>
        <v>296403.10990536143</v>
      </c>
    </row>
    <row r="516" spans="15:20" x14ac:dyDescent="0.25">
      <c r="O516" s="38">
        <f t="shared" ca="1" si="32"/>
        <v>3.6690612993723185E-3</v>
      </c>
      <c r="P516" s="39">
        <f t="shared" si="30"/>
        <v>0.48600000000000038</v>
      </c>
      <c r="Q516" s="64">
        <f t="shared" si="31"/>
        <v>14.579999999999881</v>
      </c>
      <c r="R516" s="64">
        <f t="shared" ca="1" si="29"/>
        <v>-70.42291510920677</v>
      </c>
      <c r="T516" s="35">
        <f ca="1">DATA!AM511*$B$7</f>
        <v>-233568.40356600159</v>
      </c>
    </row>
    <row r="517" spans="15:20" x14ac:dyDescent="0.25">
      <c r="O517" s="38">
        <f t="shared" ca="1" si="32"/>
        <v>3.6835833391502424E-3</v>
      </c>
      <c r="P517" s="39">
        <f t="shared" si="30"/>
        <v>0.48700000000000038</v>
      </c>
      <c r="Q517" s="64">
        <f t="shared" si="31"/>
        <v>14.60999999999988</v>
      </c>
      <c r="R517" s="64">
        <f t="shared" ca="1" si="29"/>
        <v>-70.568332630007603</v>
      </c>
      <c r="T517" s="35">
        <f ca="1">DATA!AM512*$B$7</f>
        <v>-39941.944775278098</v>
      </c>
    </row>
    <row r="518" spans="15:20" x14ac:dyDescent="0.25">
      <c r="O518" s="38">
        <f t="shared" ca="1" si="32"/>
        <v>3.6981055277408212E-3</v>
      </c>
      <c r="P518" s="39">
        <f t="shared" si="30"/>
        <v>0.48800000000000038</v>
      </c>
      <c r="Q518" s="64">
        <f t="shared" si="31"/>
        <v>14.63999999999988</v>
      </c>
      <c r="R518" s="64">
        <f t="shared" ca="1" si="29"/>
        <v>-70.713750150808437</v>
      </c>
      <c r="T518" s="35">
        <f ca="1">DATA!AM513*$B$7</f>
        <v>122434.90242306021</v>
      </c>
    </row>
    <row r="519" spans="15:20" x14ac:dyDescent="0.25">
      <c r="O519" s="38">
        <f t="shared" ca="1" si="32"/>
        <v>3.7126278633977847E-3</v>
      </c>
      <c r="P519" s="39">
        <f t="shared" si="30"/>
        <v>0.48900000000000038</v>
      </c>
      <c r="Q519" s="64">
        <f t="shared" si="31"/>
        <v>14.669999999999879</v>
      </c>
      <c r="R519" s="64">
        <f t="shared" ca="1" si="29"/>
        <v>-70.859167671609285</v>
      </c>
      <c r="T519" s="35">
        <f ca="1">DATA!AM514*$B$7</f>
        <v>170142.74753214998</v>
      </c>
    </row>
    <row r="520" spans="15:20" x14ac:dyDescent="0.25">
      <c r="O520" s="38">
        <f t="shared" ca="1" si="32"/>
        <v>3.7271503444020614E-3</v>
      </c>
      <c r="P520" s="39">
        <f t="shared" si="30"/>
        <v>0.49000000000000038</v>
      </c>
      <c r="Q520" s="64">
        <f t="shared" si="31"/>
        <v>14.699999999999878</v>
      </c>
      <c r="R520" s="64">
        <f t="shared" ca="1" si="29"/>
        <v>-71.004585192410119</v>
      </c>
      <c r="T520" s="35">
        <f ca="1">DATA!AM515*$B$7</f>
        <v>-135099.84323535211</v>
      </c>
    </row>
    <row r="521" spans="15:20" x14ac:dyDescent="0.25">
      <c r="O521" s="38">
        <f t="shared" ca="1" si="32"/>
        <v>3.7416729690612481E-3</v>
      </c>
      <c r="P521" s="39">
        <f t="shared" si="30"/>
        <v>0.49100000000000038</v>
      </c>
      <c r="Q521" s="64">
        <f t="shared" si="31"/>
        <v>14.729999999999878</v>
      </c>
      <c r="R521" s="64">
        <f t="shared" ca="1" si="29"/>
        <v>-71.150002713210952</v>
      </c>
      <c r="T521" s="35">
        <f ca="1">DATA!AM516*$B$7</f>
        <v>264527.64133500058</v>
      </c>
    </row>
    <row r="522" spans="15:20" x14ac:dyDescent="0.25">
      <c r="O522" s="38">
        <f t="shared" ca="1" si="32"/>
        <v>3.7561957357091025E-3</v>
      </c>
      <c r="P522" s="39">
        <f t="shared" si="30"/>
        <v>0.49200000000000038</v>
      </c>
      <c r="Q522" s="64">
        <f t="shared" si="31"/>
        <v>14.759999999999877</v>
      </c>
      <c r="R522" s="64">
        <f t="shared" ca="1" si="29"/>
        <v>-71.295420234011786</v>
      </c>
      <c r="T522" s="35">
        <f ca="1">DATA!AM517*$B$7</f>
        <v>77886.234635294153</v>
      </c>
    </row>
    <row r="523" spans="15:20" x14ac:dyDescent="0.25">
      <c r="O523" s="38">
        <f t="shared" ca="1" si="32"/>
        <v>3.7707186427050339E-3</v>
      </c>
      <c r="P523" s="39">
        <f t="shared" si="30"/>
        <v>0.49300000000000038</v>
      </c>
      <c r="Q523" s="64">
        <f t="shared" si="31"/>
        <v>14.789999999999877</v>
      </c>
      <c r="R523" s="64">
        <f t="shared" ca="1" si="29"/>
        <v>-71.44083775481262</v>
      </c>
      <c r="T523" s="35">
        <f ca="1">DATA!AM518*$B$7</f>
        <v>88027.76526058084</v>
      </c>
    </row>
    <row r="524" spans="15:20" x14ac:dyDescent="0.25">
      <c r="O524" s="38">
        <f t="shared" ca="1" si="32"/>
        <v>3.7852416884336126E-3</v>
      </c>
      <c r="P524" s="39">
        <f t="shared" si="30"/>
        <v>0.49400000000000038</v>
      </c>
      <c r="Q524" s="64">
        <f t="shared" si="31"/>
        <v>14.819999999999876</v>
      </c>
      <c r="R524" s="64">
        <f t="shared" ca="1" si="29"/>
        <v>-71.586255275613453</v>
      </c>
      <c r="T524" s="35">
        <f ca="1">DATA!AM519*$B$7</f>
        <v>284283.84802294098</v>
      </c>
    </row>
    <row r="525" spans="15:20" x14ac:dyDescent="0.25">
      <c r="O525" s="38">
        <f t="shared" ca="1" si="32"/>
        <v>3.7997648713040937E-3</v>
      </c>
      <c r="P525" s="39">
        <f t="shared" si="30"/>
        <v>0.49500000000000038</v>
      </c>
      <c r="Q525" s="64">
        <f t="shared" si="31"/>
        <v>14.849999999999875</v>
      </c>
      <c r="R525" s="64">
        <f t="shared" ca="1" si="29"/>
        <v>-71.731672796414287</v>
      </c>
      <c r="T525" s="35">
        <f ca="1">DATA!AM520*$B$7</f>
        <v>-82555.098471056161</v>
      </c>
    </row>
    <row r="526" spans="15:20" x14ac:dyDescent="0.25">
      <c r="O526" s="38">
        <f t="shared" ca="1" si="32"/>
        <v>3.8142881897499435E-3</v>
      </c>
      <c r="P526" s="39">
        <f t="shared" si="30"/>
        <v>0.49600000000000039</v>
      </c>
      <c r="Q526" s="64">
        <f t="shared" si="31"/>
        <v>14.879999999999875</v>
      </c>
      <c r="R526" s="64">
        <f t="shared" ca="1" si="29"/>
        <v>-71.877090317215121</v>
      </c>
      <c r="T526" s="35">
        <f ca="1">DATA!AM521*$B$7</f>
        <v>150336.17682623069</v>
      </c>
    </row>
    <row r="527" spans="15:20" x14ac:dyDescent="0.25">
      <c r="O527" s="38">
        <f t="shared" ca="1" si="32"/>
        <v>3.8288116422283826E-3</v>
      </c>
      <c r="P527" s="39">
        <f t="shared" si="30"/>
        <v>0.49700000000000039</v>
      </c>
      <c r="Q527" s="64">
        <f t="shared" si="31"/>
        <v>14.909999999999874</v>
      </c>
      <c r="R527" s="64">
        <f t="shared" ca="1" si="29"/>
        <v>-72.022507838015954</v>
      </c>
      <c r="T527" s="35">
        <f ca="1">DATA!AM522*$B$7</f>
        <v>34752.898474654641</v>
      </c>
    </row>
    <row r="528" spans="15:20" x14ac:dyDescent="0.25">
      <c r="O528" s="38">
        <f t="shared" ca="1" si="32"/>
        <v>3.8433352272199354E-3</v>
      </c>
      <c r="P528" s="39">
        <f t="shared" si="30"/>
        <v>0.49800000000000039</v>
      </c>
      <c r="Q528" s="64">
        <f t="shared" si="31"/>
        <v>14.939999999999873</v>
      </c>
      <c r="R528" s="64">
        <f t="shared" ca="1" si="29"/>
        <v>-72.167925358816788</v>
      </c>
      <c r="T528" s="35">
        <f ca="1">DATA!AM523*$B$7</f>
        <v>68764.146877325024</v>
      </c>
    </row>
    <row r="529" spans="15:20" x14ac:dyDescent="0.25">
      <c r="O529" s="38">
        <f t="shared" ca="1" si="32"/>
        <v>3.857858943227997E-3</v>
      </c>
      <c r="P529" s="39">
        <f t="shared" si="30"/>
        <v>0.49900000000000039</v>
      </c>
      <c r="Q529" s="64">
        <f t="shared" si="31"/>
        <v>14.969999999999873</v>
      </c>
      <c r="R529" s="64">
        <f t="shared" ca="1" si="29"/>
        <v>-72.313342879617622</v>
      </c>
      <c r="T529" s="35">
        <f ca="1">DATA!AM524*$B$7</f>
        <v>-8333.2383441568691</v>
      </c>
    </row>
    <row r="530" spans="15:20" x14ac:dyDescent="0.25">
      <c r="O530" s="38">
        <f t="shared" ca="1" si="32"/>
        <v>3.8723827887783991E-3</v>
      </c>
      <c r="P530" s="39">
        <f t="shared" si="30"/>
        <v>0.50000000000000033</v>
      </c>
      <c r="Q530" s="64">
        <f t="shared" si="31"/>
        <v>14.999999999999872</v>
      </c>
      <c r="R530" s="64">
        <f t="shared" ca="1" si="29"/>
        <v>-72.45876040041847</v>
      </c>
      <c r="T530" s="35">
        <f ca="1">DATA!AM525*$B$7</f>
        <v>60238.311008830526</v>
      </c>
    </row>
    <row r="531" spans="15:20" x14ac:dyDescent="0.25">
      <c r="O531" s="38">
        <f t="shared" ca="1" si="32"/>
        <v>3.8869067624189959E-3</v>
      </c>
      <c r="P531" s="39">
        <f t="shared" si="30"/>
        <v>0.50100000000000033</v>
      </c>
      <c r="Q531" s="64">
        <f t="shared" si="31"/>
        <v>15.029999999999871</v>
      </c>
      <c r="R531" s="64">
        <f t="shared" ca="1" si="29"/>
        <v>-72.604177921219303</v>
      </c>
      <c r="T531" s="35">
        <f ca="1">DATA!AM526*$B$7</f>
        <v>-136098.10791325249</v>
      </c>
    </row>
    <row r="532" spans="15:20" x14ac:dyDescent="0.25">
      <c r="O532" s="38">
        <f t="shared" ca="1" si="32"/>
        <v>3.9014308627192541E-3</v>
      </c>
      <c r="P532" s="39">
        <f t="shared" si="30"/>
        <v>0.50200000000000033</v>
      </c>
      <c r="Q532" s="64">
        <f t="shared" si="31"/>
        <v>15.059999999999871</v>
      </c>
      <c r="R532" s="64">
        <f t="shared" ca="1" si="29"/>
        <v>-72.749595442020137</v>
      </c>
      <c r="T532" s="35">
        <f ca="1">DATA!AM527*$B$7</f>
        <v>-57287.646476288632</v>
      </c>
    </row>
    <row r="533" spans="15:20" x14ac:dyDescent="0.25">
      <c r="O533" s="38">
        <f t="shared" ca="1" si="32"/>
        <v>3.9159550882698442E-3</v>
      </c>
      <c r="P533" s="39">
        <f t="shared" si="30"/>
        <v>0.50300000000000034</v>
      </c>
      <c r="Q533" s="64">
        <f t="shared" si="31"/>
        <v>15.08999999999987</v>
      </c>
      <c r="R533" s="64">
        <f t="shared" ca="1" si="29"/>
        <v>-72.895012962820971</v>
      </c>
      <c r="T533" s="35">
        <f ca="1">DATA!AM528*$B$7</f>
        <v>-131632.91523235384</v>
      </c>
    </row>
    <row r="534" spans="15:20" x14ac:dyDescent="0.25">
      <c r="O534" s="38">
        <f t="shared" ca="1" si="32"/>
        <v>3.9304794376822634E-3</v>
      </c>
      <c r="P534" s="39">
        <f t="shared" si="30"/>
        <v>0.50400000000000034</v>
      </c>
      <c r="Q534" s="64">
        <f t="shared" si="31"/>
        <v>15.11999999999987</v>
      </c>
      <c r="R534" s="64">
        <f t="shared" ca="1" si="29"/>
        <v>-73.040430483621805</v>
      </c>
      <c r="T534" s="35">
        <f ca="1">DATA!AM529*$B$7</f>
        <v>-75483.429005318918</v>
      </c>
    </row>
    <row r="535" spans="15:20" x14ac:dyDescent="0.25">
      <c r="O535" s="38">
        <f t="shared" ca="1" si="32"/>
        <v>3.9450039095884418E-3</v>
      </c>
      <c r="P535" s="39">
        <f t="shared" si="30"/>
        <v>0.50500000000000034</v>
      </c>
      <c r="Q535" s="64">
        <f t="shared" si="31"/>
        <v>15.149999999999869</v>
      </c>
      <c r="R535" s="64">
        <f t="shared" ca="1" si="29"/>
        <v>-73.185848004422638</v>
      </c>
      <c r="T535" s="35">
        <f ca="1">DATA!AM530*$B$7</f>
        <v>459077.41405390168</v>
      </c>
    </row>
    <row r="536" spans="15:20" x14ac:dyDescent="0.25">
      <c r="O536" s="38">
        <f t="shared" ca="1" si="32"/>
        <v>3.9595285026403724E-3</v>
      </c>
      <c r="P536" s="39">
        <f t="shared" si="30"/>
        <v>0.50600000000000034</v>
      </c>
      <c r="Q536" s="64">
        <f t="shared" si="31"/>
        <v>15.179999999999868</v>
      </c>
      <c r="R536" s="64">
        <f t="shared" ca="1" si="29"/>
        <v>-73.331265525223472</v>
      </c>
      <c r="T536" s="35">
        <f ca="1">DATA!AM531*$B$7</f>
        <v>-196594.10816227234</v>
      </c>
    </row>
    <row r="537" spans="15:20" x14ac:dyDescent="0.25">
      <c r="O537" s="38">
        <f t="shared" ca="1" si="32"/>
        <v>3.9740532155097472E-3</v>
      </c>
      <c r="P537" s="39">
        <f t="shared" si="30"/>
        <v>0.50700000000000034</v>
      </c>
      <c r="Q537" s="64">
        <f t="shared" si="31"/>
        <v>15.209999999999868</v>
      </c>
      <c r="R537" s="64">
        <f t="shared" ca="1" si="29"/>
        <v>-73.476683046024306</v>
      </c>
      <c r="T537" s="35">
        <f ca="1">DATA!AM532*$B$7</f>
        <v>77483.628937862755</v>
      </c>
    </row>
    <row r="538" spans="15:20" x14ac:dyDescent="0.25">
      <c r="O538" s="38">
        <f t="shared" ca="1" si="32"/>
        <v>3.9885780468875889E-3</v>
      </c>
      <c r="P538" s="39">
        <f t="shared" si="30"/>
        <v>0.50800000000000034</v>
      </c>
      <c r="Q538" s="64">
        <f t="shared" si="31"/>
        <v>15.239999999999867</v>
      </c>
      <c r="R538" s="64">
        <f t="shared" ca="1" si="29"/>
        <v>-73.622100566825139</v>
      </c>
      <c r="T538" s="35">
        <f ca="1">DATA!AM533*$B$7</f>
        <v>117523.49748357596</v>
      </c>
    </row>
    <row r="539" spans="15:20" x14ac:dyDescent="0.25">
      <c r="O539" s="38">
        <f t="shared" ca="1" si="32"/>
        <v>4.0031029954839129E-3</v>
      </c>
      <c r="P539" s="39">
        <f t="shared" si="30"/>
        <v>0.50900000000000034</v>
      </c>
      <c r="Q539" s="64">
        <f t="shared" si="31"/>
        <v>15.269999999999866</v>
      </c>
      <c r="R539" s="64">
        <f t="shared" ca="1" si="29"/>
        <v>-73.767518087625973</v>
      </c>
      <c r="T539" s="35">
        <f ca="1">DATA!AM534*$B$7</f>
        <v>45127.016902348434</v>
      </c>
    </row>
    <row r="540" spans="15:20" x14ac:dyDescent="0.25">
      <c r="O540" s="38">
        <f t="shared" ca="1" si="32"/>
        <v>4.0176280600273786E-3</v>
      </c>
      <c r="P540" s="39">
        <f t="shared" si="30"/>
        <v>0.51000000000000034</v>
      </c>
      <c r="Q540" s="64">
        <f t="shared" si="31"/>
        <v>15.299999999999866</v>
      </c>
      <c r="R540" s="64">
        <f t="shared" ca="1" si="29"/>
        <v>-73.912935608426821</v>
      </c>
      <c r="T540" s="35">
        <f ca="1">DATA!AM535*$B$7</f>
        <v>-117736.27749047904</v>
      </c>
    </row>
    <row r="541" spans="15:20" x14ac:dyDescent="0.25">
      <c r="O541" s="38">
        <f t="shared" ca="1" si="32"/>
        <v>4.0321532392649535E-3</v>
      </c>
      <c r="P541" s="39">
        <f t="shared" si="30"/>
        <v>0.51100000000000034</v>
      </c>
      <c r="Q541" s="64">
        <f t="shared" si="31"/>
        <v>15.329999999999865</v>
      </c>
      <c r="R541" s="64">
        <f t="shared" ca="1" si="29"/>
        <v>-74.058353129227655</v>
      </c>
      <c r="T541" s="35">
        <f ca="1">DATA!AM536*$B$7</f>
        <v>120782.33916530146</v>
      </c>
    </row>
    <row r="542" spans="15:20" x14ac:dyDescent="0.25">
      <c r="O542" s="38">
        <f t="shared" ca="1" si="32"/>
        <v>4.0466785319615856E-3</v>
      </c>
      <c r="P542" s="39">
        <f t="shared" si="30"/>
        <v>0.51200000000000034</v>
      </c>
      <c r="Q542" s="64">
        <f t="shared" si="31"/>
        <v>15.359999999999864</v>
      </c>
      <c r="R542" s="64">
        <f t="shared" ca="1" si="29"/>
        <v>-74.203770650028488</v>
      </c>
      <c r="T542" s="35">
        <f ca="1">DATA!AM537*$B$7</f>
        <v>321288.68021871604</v>
      </c>
    </row>
    <row r="543" spans="15:20" x14ac:dyDescent="0.25">
      <c r="O543" s="38">
        <f t="shared" ca="1" si="32"/>
        <v>4.0612039368998817E-3</v>
      </c>
      <c r="P543" s="39">
        <f t="shared" si="30"/>
        <v>0.51300000000000034</v>
      </c>
      <c r="Q543" s="64">
        <f t="shared" si="31"/>
        <v>15.389999999999864</v>
      </c>
      <c r="R543" s="64">
        <f t="shared" ref="R543:R606" ca="1" si="33">$B$8+$B$42*Q543</f>
        <v>-74.349188170829322</v>
      </c>
      <c r="T543" s="35">
        <f ca="1">DATA!AM538*$B$7</f>
        <v>-940.93431171424902</v>
      </c>
    </row>
    <row r="544" spans="15:20" x14ac:dyDescent="0.25">
      <c r="O544" s="38">
        <f t="shared" ca="1" si="32"/>
        <v>4.0757294528797955E-3</v>
      </c>
      <c r="P544" s="39">
        <f t="shared" ref="P544:P607" si="34">P543+0.1%</f>
        <v>0.51400000000000035</v>
      </c>
      <c r="Q544" s="64">
        <f t="shared" ref="Q544:Q607" si="35">Q543+0.03</f>
        <v>15.419999999999863</v>
      </c>
      <c r="R544" s="64">
        <f t="shared" ca="1" si="33"/>
        <v>-74.494605691630156</v>
      </c>
      <c r="T544" s="35">
        <f ca="1">DATA!AM539*$B$7</f>
        <v>-81365.419420058126</v>
      </c>
    </row>
    <row r="545" spans="15:20" x14ac:dyDescent="0.25">
      <c r="O545" s="38">
        <f t="shared" ca="1" si="32"/>
        <v>4.0902550787183184E-3</v>
      </c>
      <c r="P545" s="39">
        <f t="shared" si="34"/>
        <v>0.51500000000000035</v>
      </c>
      <c r="Q545" s="64">
        <f t="shared" si="35"/>
        <v>15.449999999999863</v>
      </c>
      <c r="R545" s="64">
        <f t="shared" ca="1" si="33"/>
        <v>-74.640023212430989</v>
      </c>
      <c r="T545" s="35">
        <f ca="1">DATA!AM540*$B$7</f>
        <v>7368.6260938829028</v>
      </c>
    </row>
    <row r="546" spans="15:20" x14ac:dyDescent="0.25">
      <c r="O546" s="38">
        <f t="shared" ca="1" si="32"/>
        <v>4.1047808132491752E-3</v>
      </c>
      <c r="P546" s="39">
        <f t="shared" si="34"/>
        <v>0.51600000000000035</v>
      </c>
      <c r="Q546" s="64">
        <f t="shared" si="35"/>
        <v>15.479999999999862</v>
      </c>
      <c r="R546" s="64">
        <f t="shared" ca="1" si="33"/>
        <v>-74.785440733231823</v>
      </c>
      <c r="T546" s="35">
        <f ca="1">DATA!AM541*$B$7</f>
        <v>562124.46849170304</v>
      </c>
    </row>
    <row r="547" spans="15:20" x14ac:dyDescent="0.25">
      <c r="O547" s="38">
        <f t="shared" ca="1" si="32"/>
        <v>4.1193066553225372E-3</v>
      </c>
      <c r="P547" s="39">
        <f t="shared" si="34"/>
        <v>0.51700000000000035</v>
      </c>
      <c r="Q547" s="64">
        <f t="shared" si="35"/>
        <v>15.509999999999861</v>
      </c>
      <c r="R547" s="64">
        <f t="shared" ca="1" si="33"/>
        <v>-74.930858254032657</v>
      </c>
      <c r="T547" s="35">
        <f ca="1">DATA!AM542*$B$7</f>
        <v>-23493.41152683898</v>
      </c>
    </row>
    <row r="548" spans="15:20" x14ac:dyDescent="0.25">
      <c r="O548" s="38">
        <f t="shared" ref="O548:O611" ca="1" si="36">SQRT(($B$36*P548^2 - 2*$B$37*P548 +$B$38)/$B$39)</f>
        <v>4.1338326038047228E-3</v>
      </c>
      <c r="P548" s="39">
        <f t="shared" si="34"/>
        <v>0.51800000000000035</v>
      </c>
      <c r="Q548" s="64">
        <f t="shared" si="35"/>
        <v>15.539999999999861</v>
      </c>
      <c r="R548" s="64">
        <f t="shared" ca="1" si="33"/>
        <v>-75.076275774833491</v>
      </c>
      <c r="T548" s="35">
        <f ca="1">DATA!AM543*$B$7</f>
        <v>-49226.938306181422</v>
      </c>
    </row>
    <row r="549" spans="15:20" x14ac:dyDescent="0.25">
      <c r="O549" s="38">
        <f t="shared" ca="1" si="36"/>
        <v>4.1483586575779266E-3</v>
      </c>
      <c r="P549" s="39">
        <f t="shared" si="34"/>
        <v>0.51900000000000035</v>
      </c>
      <c r="Q549" s="64">
        <f t="shared" si="35"/>
        <v>15.56999999999986</v>
      </c>
      <c r="R549" s="64">
        <f t="shared" ca="1" si="33"/>
        <v>-75.221693295634324</v>
      </c>
      <c r="T549" s="35">
        <f ca="1">DATA!AM544*$B$7</f>
        <v>309613.35893664643</v>
      </c>
    </row>
    <row r="550" spans="15:20" x14ac:dyDescent="0.25">
      <c r="O550" s="38">
        <f t="shared" ca="1" si="36"/>
        <v>4.1628848155399363E-3</v>
      </c>
      <c r="P550" s="39">
        <f t="shared" si="34"/>
        <v>0.52000000000000035</v>
      </c>
      <c r="Q550" s="64">
        <f t="shared" si="35"/>
        <v>15.599999999999859</v>
      </c>
      <c r="R550" s="64">
        <f t="shared" ca="1" si="33"/>
        <v>-75.367110816435158</v>
      </c>
      <c r="T550" s="35">
        <f ca="1">DATA!AM545*$B$7</f>
        <v>356258.55002921913</v>
      </c>
    </row>
    <row r="551" spans="15:20" x14ac:dyDescent="0.25">
      <c r="O551" s="38">
        <f t="shared" ca="1" si="36"/>
        <v>4.1774110766038585E-3</v>
      </c>
      <c r="P551" s="39">
        <f t="shared" si="34"/>
        <v>0.52100000000000035</v>
      </c>
      <c r="Q551" s="64">
        <f t="shared" si="35"/>
        <v>15.629999999999859</v>
      </c>
      <c r="R551" s="64">
        <f t="shared" ca="1" si="33"/>
        <v>-75.512528337236006</v>
      </c>
      <c r="T551" s="35">
        <f ca="1">DATA!AM546*$B$7</f>
        <v>6014.4611589626693</v>
      </c>
    </row>
    <row r="552" spans="15:20" x14ac:dyDescent="0.25">
      <c r="O552" s="38">
        <f t="shared" ca="1" si="36"/>
        <v>4.1919374396978612E-3</v>
      </c>
      <c r="P552" s="39">
        <f t="shared" si="34"/>
        <v>0.52200000000000035</v>
      </c>
      <c r="Q552" s="64">
        <f t="shared" si="35"/>
        <v>15.659999999999858</v>
      </c>
      <c r="R552" s="64">
        <f t="shared" ca="1" si="33"/>
        <v>-75.65794585803684</v>
      </c>
      <c r="T552" s="35">
        <f ca="1">DATA!AM547*$B$7</f>
        <v>-106309.93623257602</v>
      </c>
    </row>
    <row r="553" spans="15:20" x14ac:dyDescent="0.25">
      <c r="O553" s="38">
        <f t="shared" ca="1" si="36"/>
        <v>4.206463903764909E-3</v>
      </c>
      <c r="P553" s="39">
        <f t="shared" si="34"/>
        <v>0.52300000000000035</v>
      </c>
      <c r="Q553" s="64">
        <f t="shared" si="35"/>
        <v>15.689999999999857</v>
      </c>
      <c r="R553" s="64">
        <f t="shared" ca="1" si="33"/>
        <v>-75.803363378837673</v>
      </c>
      <c r="T553" s="35">
        <f ca="1">DATA!AM548*$B$7</f>
        <v>86555.739852738494</v>
      </c>
    </row>
    <row r="554" spans="15:20" x14ac:dyDescent="0.25">
      <c r="O554" s="38">
        <f t="shared" ca="1" si="36"/>
        <v>4.2209904677625145E-3</v>
      </c>
      <c r="P554" s="39">
        <f t="shared" si="34"/>
        <v>0.52400000000000035</v>
      </c>
      <c r="Q554" s="64">
        <f t="shared" si="35"/>
        <v>15.719999999999857</v>
      </c>
      <c r="R554" s="64">
        <f t="shared" ca="1" si="33"/>
        <v>-75.948780899638507</v>
      </c>
      <c r="T554" s="35">
        <f ca="1">DATA!AM549*$B$7</f>
        <v>-240751.8618666883</v>
      </c>
    </row>
    <row r="555" spans="15:20" x14ac:dyDescent="0.25">
      <c r="O555" s="38">
        <f t="shared" ca="1" si="36"/>
        <v>4.2355171306624776E-3</v>
      </c>
      <c r="P555" s="39">
        <f t="shared" si="34"/>
        <v>0.52500000000000036</v>
      </c>
      <c r="Q555" s="64">
        <f t="shared" si="35"/>
        <v>15.749999999999856</v>
      </c>
      <c r="R555" s="64">
        <f t="shared" ca="1" si="33"/>
        <v>-76.094198420439341</v>
      </c>
      <c r="T555" s="35">
        <f ca="1">DATA!AM550*$B$7</f>
        <v>50106.703850873244</v>
      </c>
    </row>
    <row r="556" spans="15:20" x14ac:dyDescent="0.25">
      <c r="O556" s="38">
        <f t="shared" ca="1" si="36"/>
        <v>4.2500438914506531E-3</v>
      </c>
      <c r="P556" s="39">
        <f t="shared" si="34"/>
        <v>0.52600000000000036</v>
      </c>
      <c r="Q556" s="64">
        <f t="shared" si="35"/>
        <v>15.779999999999855</v>
      </c>
      <c r="R556" s="64">
        <f t="shared" ca="1" si="33"/>
        <v>-76.239615941240174</v>
      </c>
      <c r="T556" s="35">
        <f ca="1">DATA!AM551*$B$7</f>
        <v>469198.50353819429</v>
      </c>
    </row>
    <row r="557" spans="15:20" x14ac:dyDescent="0.25">
      <c r="O557" s="38">
        <f t="shared" ca="1" si="36"/>
        <v>4.2645707491267082E-3</v>
      </c>
      <c r="P557" s="39">
        <f t="shared" si="34"/>
        <v>0.52700000000000036</v>
      </c>
      <c r="Q557" s="64">
        <f t="shared" si="35"/>
        <v>15.809999999999855</v>
      </c>
      <c r="R557" s="64">
        <f t="shared" ca="1" si="33"/>
        <v>-76.385033462041008</v>
      </c>
      <c r="T557" s="35">
        <f ca="1">DATA!AM552*$B$7</f>
        <v>-201676.43879221045</v>
      </c>
    </row>
    <row r="558" spans="15:20" x14ac:dyDescent="0.25">
      <c r="O558" s="38">
        <f t="shared" ca="1" si="36"/>
        <v>4.2790977027038846E-3</v>
      </c>
      <c r="P558" s="39">
        <f t="shared" si="34"/>
        <v>0.52800000000000036</v>
      </c>
      <c r="Q558" s="64">
        <f t="shared" si="35"/>
        <v>15.839999999999854</v>
      </c>
      <c r="R558" s="64">
        <f t="shared" ca="1" si="33"/>
        <v>-76.530450982841842</v>
      </c>
      <c r="T558" s="35">
        <f ca="1">DATA!AM553*$B$7</f>
        <v>-177059.3192229128</v>
      </c>
    </row>
    <row r="559" spans="15:20" x14ac:dyDescent="0.25">
      <c r="O559" s="38">
        <f t="shared" ca="1" si="36"/>
        <v>4.2936247512087768E-3</v>
      </c>
      <c r="P559" s="39">
        <f t="shared" si="34"/>
        <v>0.52900000000000036</v>
      </c>
      <c r="Q559" s="64">
        <f t="shared" si="35"/>
        <v>15.869999999999854</v>
      </c>
      <c r="R559" s="64">
        <f t="shared" ca="1" si="33"/>
        <v>-76.675868503642675</v>
      </c>
      <c r="T559" s="35">
        <f ca="1">DATA!AM554*$B$7</f>
        <v>334891.58512986818</v>
      </c>
    </row>
    <row r="560" spans="15:20" x14ac:dyDescent="0.25">
      <c r="O560" s="38">
        <f t="shared" ca="1" si="36"/>
        <v>4.3081518936810923E-3</v>
      </c>
      <c r="P560" s="39">
        <f t="shared" si="34"/>
        <v>0.53000000000000036</v>
      </c>
      <c r="Q560" s="64">
        <f t="shared" si="35"/>
        <v>15.899999999999853</v>
      </c>
      <c r="R560" s="64">
        <f t="shared" ca="1" si="33"/>
        <v>-76.821286024443509</v>
      </c>
      <c r="T560" s="35">
        <f ca="1">DATA!AM555*$B$7</f>
        <v>476326.14408054977</v>
      </c>
    </row>
    <row r="561" spans="15:20" x14ac:dyDescent="0.25">
      <c r="O561" s="38">
        <f t="shared" ca="1" si="36"/>
        <v>4.3226791291734543E-3</v>
      </c>
      <c r="P561" s="39">
        <f t="shared" si="34"/>
        <v>0.53100000000000036</v>
      </c>
      <c r="Q561" s="64">
        <f t="shared" si="35"/>
        <v>15.929999999999852</v>
      </c>
      <c r="R561" s="64">
        <f t="shared" ca="1" si="33"/>
        <v>-76.966703545244357</v>
      </c>
      <c r="T561" s="35">
        <f ca="1">DATA!AM556*$B$7</f>
        <v>-651497.55462074315</v>
      </c>
    </row>
    <row r="562" spans="15:20" x14ac:dyDescent="0.25">
      <c r="O562" s="38">
        <f t="shared" ca="1" si="36"/>
        <v>4.3372064567511609E-3</v>
      </c>
      <c r="P562" s="39">
        <f t="shared" si="34"/>
        <v>0.53200000000000036</v>
      </c>
      <c r="Q562" s="64">
        <f t="shared" si="35"/>
        <v>15.959999999999852</v>
      </c>
      <c r="R562" s="64">
        <f t="shared" ca="1" si="33"/>
        <v>-77.112121066045191</v>
      </c>
      <c r="T562" s="35">
        <f ca="1">DATA!AM557*$B$7</f>
        <v>194513.69643125212</v>
      </c>
    </row>
    <row r="563" spans="15:20" x14ac:dyDescent="0.25">
      <c r="O563" s="38">
        <f t="shared" ca="1" si="36"/>
        <v>4.351733875491994E-3</v>
      </c>
      <c r="P563" s="39">
        <f t="shared" si="34"/>
        <v>0.53300000000000036</v>
      </c>
      <c r="Q563" s="64">
        <f t="shared" si="35"/>
        <v>15.989999999999851</v>
      </c>
      <c r="R563" s="64">
        <f t="shared" ca="1" si="33"/>
        <v>-77.257538586846024</v>
      </c>
      <c r="T563" s="35">
        <f ca="1">DATA!AM558*$B$7</f>
        <v>228756.42990455645</v>
      </c>
    </row>
    <row r="564" spans="15:20" x14ac:dyDescent="0.25">
      <c r="O564" s="38">
        <f t="shared" ca="1" si="36"/>
        <v>4.3662613844860001E-3</v>
      </c>
      <c r="P564" s="39">
        <f t="shared" si="34"/>
        <v>0.53400000000000036</v>
      </c>
      <c r="Q564" s="64">
        <f t="shared" si="35"/>
        <v>16.01999999999985</v>
      </c>
      <c r="R564" s="64">
        <f t="shared" ca="1" si="33"/>
        <v>-77.402956107646858</v>
      </c>
      <c r="T564" s="35">
        <f ca="1">DATA!AM559*$B$7</f>
        <v>60368.519041940912</v>
      </c>
    </row>
    <row r="565" spans="15:20" x14ac:dyDescent="0.25">
      <c r="O565" s="38">
        <f t="shared" ca="1" si="36"/>
        <v>4.3807889828352872E-3</v>
      </c>
      <c r="P565" s="39">
        <f t="shared" si="34"/>
        <v>0.53500000000000036</v>
      </c>
      <c r="Q565" s="64">
        <f t="shared" si="35"/>
        <v>16.049999999999851</v>
      </c>
      <c r="R565" s="64">
        <f t="shared" ca="1" si="33"/>
        <v>-77.548373628447706</v>
      </c>
      <c r="T565" s="35">
        <f ca="1">DATA!AM560*$B$7</f>
        <v>573532.9184367205</v>
      </c>
    </row>
    <row r="566" spans="15:20" x14ac:dyDescent="0.25">
      <c r="O566" s="38">
        <f t="shared" ca="1" si="36"/>
        <v>4.3953166696538348E-3</v>
      </c>
      <c r="P566" s="39">
        <f t="shared" si="34"/>
        <v>0.53600000000000037</v>
      </c>
      <c r="Q566" s="64">
        <f t="shared" si="35"/>
        <v>16.079999999999853</v>
      </c>
      <c r="R566" s="64">
        <f t="shared" ca="1" si="33"/>
        <v>-77.69379114924854</v>
      </c>
      <c r="T566" s="35">
        <f ca="1">DATA!AM561*$B$7</f>
        <v>-366853.5075118877</v>
      </c>
    </row>
    <row r="567" spans="15:20" x14ac:dyDescent="0.25">
      <c r="O567" s="38">
        <f t="shared" ca="1" si="36"/>
        <v>4.4098444440672895E-3</v>
      </c>
      <c r="P567" s="39">
        <f t="shared" si="34"/>
        <v>0.53700000000000037</v>
      </c>
      <c r="Q567" s="64">
        <f t="shared" si="35"/>
        <v>16.109999999999854</v>
      </c>
      <c r="R567" s="64">
        <f t="shared" ca="1" si="33"/>
        <v>-77.839208670049388</v>
      </c>
      <c r="T567" s="35">
        <f ca="1">DATA!AM562*$B$7</f>
        <v>43786.132896490992</v>
      </c>
    </row>
    <row r="568" spans="15:20" x14ac:dyDescent="0.25">
      <c r="O568" s="38">
        <f t="shared" ca="1" si="36"/>
        <v>4.4243723052127763E-3</v>
      </c>
      <c r="P568" s="39">
        <f t="shared" si="34"/>
        <v>0.53800000000000037</v>
      </c>
      <c r="Q568" s="64">
        <f t="shared" si="35"/>
        <v>16.139999999999855</v>
      </c>
      <c r="R568" s="64">
        <f t="shared" ca="1" si="33"/>
        <v>-77.984626190850236</v>
      </c>
      <c r="T568" s="35">
        <f ca="1">DATA!AM563*$B$7</f>
        <v>276595.67951100739</v>
      </c>
    </row>
    <row r="569" spans="15:20" x14ac:dyDescent="0.25">
      <c r="O569" s="38">
        <f t="shared" ca="1" si="36"/>
        <v>4.4389002522387143E-3</v>
      </c>
      <c r="P569" s="39">
        <f t="shared" si="34"/>
        <v>0.53900000000000037</v>
      </c>
      <c r="Q569" s="64">
        <f t="shared" si="35"/>
        <v>16.169999999999856</v>
      </c>
      <c r="R569" s="64">
        <f t="shared" ca="1" si="33"/>
        <v>-78.130043711651069</v>
      </c>
      <c r="T569" s="35">
        <f ca="1">DATA!AM564*$B$7</f>
        <v>242842.96452713452</v>
      </c>
    </row>
    <row r="570" spans="15:20" x14ac:dyDescent="0.25">
      <c r="O570" s="38">
        <f t="shared" ca="1" si="36"/>
        <v>4.4534282843046238E-3</v>
      </c>
      <c r="P570" s="39">
        <f t="shared" si="34"/>
        <v>0.54000000000000037</v>
      </c>
      <c r="Q570" s="64">
        <f t="shared" si="35"/>
        <v>16.199999999999857</v>
      </c>
      <c r="R570" s="64">
        <f t="shared" ca="1" si="33"/>
        <v>-78.275461232451917</v>
      </c>
      <c r="T570" s="35">
        <f ca="1">DATA!AM565*$B$7</f>
        <v>-418155.50289420976</v>
      </c>
    </row>
    <row r="571" spans="15:20" x14ac:dyDescent="0.25">
      <c r="O571" s="38">
        <f t="shared" ca="1" si="36"/>
        <v>4.4679564005809577E-3</v>
      </c>
      <c r="P571" s="39">
        <f t="shared" si="34"/>
        <v>0.54100000000000037</v>
      </c>
      <c r="Q571" s="64">
        <f t="shared" si="35"/>
        <v>16.229999999999858</v>
      </c>
      <c r="R571" s="64">
        <f t="shared" ca="1" si="33"/>
        <v>-78.420878753252765</v>
      </c>
      <c r="T571" s="35">
        <f ca="1">DATA!AM566*$B$7</f>
        <v>-234457.60343212803</v>
      </c>
    </row>
    <row r="572" spans="15:20" x14ac:dyDescent="0.25">
      <c r="O572" s="38">
        <f t="shared" ca="1" si="36"/>
        <v>4.4824846002489158E-3</v>
      </c>
      <c r="P572" s="39">
        <f t="shared" si="34"/>
        <v>0.54200000000000037</v>
      </c>
      <c r="Q572" s="64">
        <f t="shared" si="35"/>
        <v>16.259999999999859</v>
      </c>
      <c r="R572" s="64">
        <f t="shared" ca="1" si="33"/>
        <v>-78.566296274053599</v>
      </c>
      <c r="T572" s="35">
        <f ca="1">DATA!AM567*$B$7</f>
        <v>-59547.758012514263</v>
      </c>
    </row>
    <row r="573" spans="15:20" x14ac:dyDescent="0.25">
      <c r="O573" s="38">
        <f t="shared" ca="1" si="36"/>
        <v>4.497012882500275E-3</v>
      </c>
      <c r="P573" s="39">
        <f t="shared" si="34"/>
        <v>0.54300000000000037</v>
      </c>
      <c r="Q573" s="64">
        <f t="shared" si="35"/>
        <v>16.289999999999861</v>
      </c>
      <c r="R573" s="64">
        <f t="shared" ca="1" si="33"/>
        <v>-78.711713794854447</v>
      </c>
      <c r="T573" s="35">
        <f ca="1">DATA!AM568*$B$7</f>
        <v>-321097.7976374948</v>
      </c>
    </row>
    <row r="574" spans="15:20" x14ac:dyDescent="0.25">
      <c r="O574" s="38">
        <f t="shared" ca="1" si="36"/>
        <v>4.5115412465372177E-3</v>
      </c>
      <c r="P574" s="39">
        <f t="shared" si="34"/>
        <v>0.54400000000000037</v>
      </c>
      <c r="Q574" s="64">
        <f t="shared" si="35"/>
        <v>16.319999999999862</v>
      </c>
      <c r="R574" s="64">
        <f t="shared" ca="1" si="33"/>
        <v>-78.857131315655295</v>
      </c>
      <c r="T574" s="35">
        <f ca="1">DATA!AM569*$B$7</f>
        <v>-443230.81757836789</v>
      </c>
    </row>
    <row r="575" spans="15:20" x14ac:dyDescent="0.25">
      <c r="O575" s="38">
        <f t="shared" ca="1" si="36"/>
        <v>4.5260696915721665E-3</v>
      </c>
      <c r="P575" s="39">
        <f t="shared" si="34"/>
        <v>0.54500000000000037</v>
      </c>
      <c r="Q575" s="64">
        <f t="shared" si="35"/>
        <v>16.349999999999863</v>
      </c>
      <c r="R575" s="64">
        <f t="shared" ca="1" si="33"/>
        <v>-79.002548836456143</v>
      </c>
      <c r="T575" s="35">
        <f ca="1">DATA!AM570*$B$7</f>
        <v>52361.03862726548</v>
      </c>
    </row>
    <row r="576" spans="15:20" x14ac:dyDescent="0.25">
      <c r="O576" s="38">
        <f t="shared" ca="1" si="36"/>
        <v>4.5405982168276191E-3</v>
      </c>
      <c r="P576" s="39">
        <f t="shared" si="34"/>
        <v>0.54600000000000037</v>
      </c>
      <c r="Q576" s="64">
        <f t="shared" si="35"/>
        <v>16.379999999999864</v>
      </c>
      <c r="R576" s="64">
        <f t="shared" ca="1" si="33"/>
        <v>-79.147966357256976</v>
      </c>
      <c r="T576" s="35">
        <f ca="1">DATA!AM571*$B$7</f>
        <v>65936.210964375336</v>
      </c>
    </row>
    <row r="577" spans="15:20" x14ac:dyDescent="0.25">
      <c r="O577" s="38">
        <f t="shared" ca="1" si="36"/>
        <v>4.555126821535989E-3</v>
      </c>
      <c r="P577" s="39">
        <f t="shared" si="34"/>
        <v>0.54700000000000037</v>
      </c>
      <c r="Q577" s="64">
        <f t="shared" si="35"/>
        <v>16.409999999999865</v>
      </c>
      <c r="R577" s="64">
        <f t="shared" ca="1" si="33"/>
        <v>-79.293383878057824</v>
      </c>
      <c r="T577" s="35">
        <f ca="1">DATA!AM572*$B$7</f>
        <v>-222297.68233629124</v>
      </c>
    </row>
    <row r="578" spans="15:20" x14ac:dyDescent="0.25">
      <c r="O578" s="38">
        <f t="shared" ca="1" si="36"/>
        <v>4.5696555049394467E-3</v>
      </c>
      <c r="P578" s="39">
        <f t="shared" si="34"/>
        <v>0.54800000000000038</v>
      </c>
      <c r="Q578" s="64">
        <f t="shared" si="35"/>
        <v>16.439999999999866</v>
      </c>
      <c r="R578" s="64">
        <f t="shared" ca="1" si="33"/>
        <v>-79.438801398858672</v>
      </c>
      <c r="T578" s="35">
        <f ca="1">DATA!AM573*$B$7</f>
        <v>-218260.60027683203</v>
      </c>
    </row>
    <row r="579" spans="15:20" x14ac:dyDescent="0.25">
      <c r="O579" s="38">
        <f t="shared" ca="1" si="36"/>
        <v>4.5841842662897635E-3</v>
      </c>
      <c r="P579" s="39">
        <f t="shared" si="34"/>
        <v>0.54900000000000038</v>
      </c>
      <c r="Q579" s="64">
        <f t="shared" si="35"/>
        <v>16.469999999999867</v>
      </c>
      <c r="R579" s="64">
        <f t="shared" ca="1" si="33"/>
        <v>-79.584218919659506</v>
      </c>
      <c r="T579" s="35">
        <f ca="1">DATA!AM574*$B$7</f>
        <v>-471172.05418785394</v>
      </c>
    </row>
    <row r="580" spans="15:20" x14ac:dyDescent="0.25">
      <c r="O580" s="38">
        <f t="shared" ca="1" si="36"/>
        <v>4.5987131048481665E-3</v>
      </c>
      <c r="P580" s="39">
        <f t="shared" si="34"/>
        <v>0.55000000000000038</v>
      </c>
      <c r="Q580" s="64">
        <f t="shared" si="35"/>
        <v>16.499999999999869</v>
      </c>
      <c r="R580" s="64">
        <f t="shared" ca="1" si="33"/>
        <v>-79.729636440460354</v>
      </c>
      <c r="T580" s="35">
        <f ca="1">DATA!AM575*$B$7</f>
        <v>-192871.2118287519</v>
      </c>
    </row>
    <row r="581" spans="15:20" x14ac:dyDescent="0.25">
      <c r="O581" s="38">
        <f t="shared" ca="1" si="36"/>
        <v>4.6132420198851829E-3</v>
      </c>
      <c r="P581" s="39">
        <f t="shared" si="34"/>
        <v>0.55100000000000038</v>
      </c>
      <c r="Q581" s="64">
        <f t="shared" si="35"/>
        <v>16.52999999999987</v>
      </c>
      <c r="R581" s="64">
        <f t="shared" ca="1" si="33"/>
        <v>-79.875053961261202</v>
      </c>
      <c r="T581" s="35">
        <f ca="1">DATA!AM576*$B$7</f>
        <v>591586.45718536957</v>
      </c>
    </row>
    <row r="582" spans="15:20" x14ac:dyDescent="0.25">
      <c r="O582" s="38">
        <f t="shared" ca="1" si="36"/>
        <v>4.6277710106804992E-3</v>
      </c>
      <c r="P582" s="39">
        <f t="shared" si="34"/>
        <v>0.55200000000000038</v>
      </c>
      <c r="Q582" s="64">
        <f t="shared" si="35"/>
        <v>16.559999999999871</v>
      </c>
      <c r="R582" s="64">
        <f t="shared" ca="1" si="33"/>
        <v>-80.020471482062035</v>
      </c>
      <c r="T582" s="35">
        <f ca="1">DATA!AM577*$B$7</f>
        <v>215609.24799995247</v>
      </c>
    </row>
    <row r="583" spans="15:20" x14ac:dyDescent="0.25">
      <c r="O583" s="38">
        <f t="shared" ca="1" si="36"/>
        <v>4.6423000765228118E-3</v>
      </c>
      <c r="P583" s="39">
        <f t="shared" si="34"/>
        <v>0.55300000000000038</v>
      </c>
      <c r="Q583" s="64">
        <f t="shared" si="35"/>
        <v>16.589999999999872</v>
      </c>
      <c r="R583" s="64">
        <f t="shared" ca="1" si="33"/>
        <v>-80.165889002862883</v>
      </c>
      <c r="T583" s="35">
        <f ca="1">DATA!AM578*$B$7</f>
        <v>-156420.57943921469</v>
      </c>
    </row>
    <row r="584" spans="15:20" x14ac:dyDescent="0.25">
      <c r="O584" s="38">
        <f t="shared" ca="1" si="36"/>
        <v>4.6568292167096913E-3</v>
      </c>
      <c r="P584" s="39">
        <f t="shared" si="34"/>
        <v>0.55400000000000038</v>
      </c>
      <c r="Q584" s="64">
        <f t="shared" si="35"/>
        <v>16.619999999999873</v>
      </c>
      <c r="R584" s="64">
        <f t="shared" ca="1" si="33"/>
        <v>-80.311306523663731</v>
      </c>
      <c r="T584" s="35">
        <f ca="1">DATA!AM579*$B$7</f>
        <v>29860.578163700553</v>
      </c>
    </row>
    <row r="585" spans="15:20" x14ac:dyDescent="0.25">
      <c r="O585" s="38">
        <f t="shared" ca="1" si="36"/>
        <v>4.6713584305474497E-3</v>
      </c>
      <c r="P585" s="39">
        <f t="shared" si="34"/>
        <v>0.55500000000000038</v>
      </c>
      <c r="Q585" s="64">
        <f t="shared" si="35"/>
        <v>16.649999999999874</v>
      </c>
      <c r="R585" s="64">
        <f t="shared" ca="1" si="33"/>
        <v>-80.456724044464579</v>
      </c>
      <c r="T585" s="35">
        <f ca="1">DATA!AM580*$B$7</f>
        <v>277381.30225649424</v>
      </c>
    </row>
    <row r="586" spans="15:20" x14ac:dyDescent="0.25">
      <c r="O586" s="38">
        <f t="shared" ca="1" si="36"/>
        <v>4.6858877173509882E-3</v>
      </c>
      <c r="P586" s="39">
        <f t="shared" si="34"/>
        <v>0.55600000000000038</v>
      </c>
      <c r="Q586" s="64">
        <f t="shared" si="35"/>
        <v>16.679999999999875</v>
      </c>
      <c r="R586" s="64">
        <f t="shared" ca="1" si="33"/>
        <v>-80.602141565265413</v>
      </c>
      <c r="T586" s="35">
        <f ca="1">DATA!AM581*$B$7</f>
        <v>425785.49449897732</v>
      </c>
    </row>
    <row r="587" spans="15:20" x14ac:dyDescent="0.25">
      <c r="O587" s="38">
        <f t="shared" ca="1" si="36"/>
        <v>4.7004170764436849E-3</v>
      </c>
      <c r="P587" s="39">
        <f t="shared" si="34"/>
        <v>0.55700000000000038</v>
      </c>
      <c r="Q587" s="64">
        <f t="shared" si="35"/>
        <v>16.709999999999877</v>
      </c>
      <c r="R587" s="64">
        <f t="shared" ca="1" si="33"/>
        <v>-80.747559086066261</v>
      </c>
      <c r="T587" s="35">
        <f ca="1">DATA!AM582*$B$7</f>
        <v>-54298.300597302106</v>
      </c>
    </row>
    <row r="588" spans="15:20" x14ac:dyDescent="0.25">
      <c r="O588" s="38">
        <f t="shared" ca="1" si="36"/>
        <v>4.7149465071572505E-3</v>
      </c>
      <c r="P588" s="39">
        <f t="shared" si="34"/>
        <v>0.55800000000000038</v>
      </c>
      <c r="Q588" s="64">
        <f t="shared" si="35"/>
        <v>16.739999999999878</v>
      </c>
      <c r="R588" s="64">
        <f t="shared" ca="1" si="33"/>
        <v>-80.892976606867109</v>
      </c>
      <c r="T588" s="35">
        <f ca="1">DATA!AM583*$B$7</f>
        <v>466669.27725115774</v>
      </c>
    </row>
    <row r="589" spans="15:20" x14ac:dyDescent="0.25">
      <c r="O589" s="38">
        <f t="shared" ca="1" si="36"/>
        <v>4.7294760088316071E-3</v>
      </c>
      <c r="P589" s="39">
        <f t="shared" si="34"/>
        <v>0.55900000000000039</v>
      </c>
      <c r="Q589" s="64">
        <f t="shared" si="35"/>
        <v>16.769999999999879</v>
      </c>
      <c r="R589" s="64">
        <f t="shared" ca="1" si="33"/>
        <v>-81.038394127667942</v>
      </c>
      <c r="T589" s="35">
        <f ca="1">DATA!AM584*$B$7</f>
        <v>-184393.35486509604</v>
      </c>
    </row>
    <row r="590" spans="15:20" x14ac:dyDescent="0.25">
      <c r="O590" s="38">
        <f t="shared" ca="1" si="36"/>
        <v>4.7440055808147547E-3</v>
      </c>
      <c r="P590" s="39">
        <f t="shared" si="34"/>
        <v>0.56000000000000039</v>
      </c>
      <c r="Q590" s="64">
        <f t="shared" si="35"/>
        <v>16.79999999999988</v>
      </c>
      <c r="R590" s="64">
        <f t="shared" ca="1" si="33"/>
        <v>-81.18381164846879</v>
      </c>
      <c r="T590" s="35">
        <f ca="1">DATA!AM585*$B$7</f>
        <v>-168921.88101681872</v>
      </c>
    </row>
    <row r="591" spans="15:20" x14ac:dyDescent="0.25">
      <c r="O591" s="38">
        <f t="shared" ca="1" si="36"/>
        <v>4.7585352224626572E-3</v>
      </c>
      <c r="P591" s="39">
        <f t="shared" si="34"/>
        <v>0.56100000000000039</v>
      </c>
      <c r="Q591" s="64">
        <f t="shared" si="35"/>
        <v>16.829999999999881</v>
      </c>
      <c r="R591" s="64">
        <f t="shared" ca="1" si="33"/>
        <v>-81.329229169269638</v>
      </c>
      <c r="T591" s="35">
        <f ca="1">DATA!AM586*$B$7</f>
        <v>25164.210297862894</v>
      </c>
    </row>
    <row r="592" spans="15:20" x14ac:dyDescent="0.25">
      <c r="O592" s="38">
        <f t="shared" ca="1" si="36"/>
        <v>4.7730649331391211E-3</v>
      </c>
      <c r="P592" s="39">
        <f t="shared" si="34"/>
        <v>0.56200000000000039</v>
      </c>
      <c r="Q592" s="64">
        <f t="shared" si="35"/>
        <v>16.859999999999882</v>
      </c>
      <c r="R592" s="64">
        <f t="shared" ca="1" si="33"/>
        <v>-81.474646690070472</v>
      </c>
      <c r="T592" s="35">
        <f ca="1">DATA!AM587*$B$7</f>
        <v>421890.8303702664</v>
      </c>
    </row>
    <row r="593" spans="15:20" x14ac:dyDescent="0.25">
      <c r="O593" s="38">
        <f t="shared" ca="1" si="36"/>
        <v>4.7875947122156641E-3</v>
      </c>
      <c r="P593" s="39">
        <f t="shared" si="34"/>
        <v>0.56300000000000039</v>
      </c>
      <c r="Q593" s="64">
        <f t="shared" si="35"/>
        <v>16.889999999999883</v>
      </c>
      <c r="R593" s="64">
        <f t="shared" ca="1" si="33"/>
        <v>-81.62006421087132</v>
      </c>
      <c r="T593" s="35">
        <f ca="1">DATA!AM588*$B$7</f>
        <v>-57246.86083200814</v>
      </c>
    </row>
    <row r="594" spans="15:20" x14ac:dyDescent="0.25">
      <c r="O594" s="38">
        <f t="shared" ca="1" si="36"/>
        <v>4.8021245590714155E-3</v>
      </c>
      <c r="P594" s="39">
        <f t="shared" si="34"/>
        <v>0.56400000000000039</v>
      </c>
      <c r="Q594" s="64">
        <f t="shared" si="35"/>
        <v>16.919999999999884</v>
      </c>
      <c r="R594" s="64">
        <f t="shared" ca="1" si="33"/>
        <v>-81.765481731672168</v>
      </c>
      <c r="T594" s="35">
        <f ca="1">DATA!AM589*$B$7</f>
        <v>425234.66970687651</v>
      </c>
    </row>
    <row r="595" spans="15:20" x14ac:dyDescent="0.25">
      <c r="O595" s="38">
        <f t="shared" ca="1" si="36"/>
        <v>4.8166544730929876E-3</v>
      </c>
      <c r="P595" s="39">
        <f t="shared" si="34"/>
        <v>0.56500000000000039</v>
      </c>
      <c r="Q595" s="64">
        <f t="shared" si="35"/>
        <v>16.949999999999886</v>
      </c>
      <c r="R595" s="64">
        <f t="shared" ca="1" si="33"/>
        <v>-81.910899252473016</v>
      </c>
      <c r="T595" s="35">
        <f ca="1">DATA!AM590*$B$7</f>
        <v>-1896.2348539277923</v>
      </c>
    </row>
    <row r="596" spans="15:20" x14ac:dyDescent="0.25">
      <c r="O596" s="38">
        <f t="shared" ca="1" si="36"/>
        <v>4.8311844536743746E-3</v>
      </c>
      <c r="P596" s="39">
        <f t="shared" si="34"/>
        <v>0.56600000000000039</v>
      </c>
      <c r="Q596" s="64">
        <f t="shared" si="35"/>
        <v>16.979999999999887</v>
      </c>
      <c r="R596" s="64">
        <f t="shared" ca="1" si="33"/>
        <v>-82.056316773273849</v>
      </c>
      <c r="T596" s="35">
        <f ca="1">DATA!AM591*$B$7</f>
        <v>18688.87046650278</v>
      </c>
    </row>
    <row r="597" spans="15:20" x14ac:dyDescent="0.25">
      <c r="O597" s="38">
        <f t="shared" ca="1" si="36"/>
        <v>4.8457145002168307E-3</v>
      </c>
      <c r="P597" s="39">
        <f t="shared" si="34"/>
        <v>0.56700000000000039</v>
      </c>
      <c r="Q597" s="64">
        <f t="shared" si="35"/>
        <v>17.009999999999888</v>
      </c>
      <c r="R597" s="64">
        <f t="shared" ca="1" si="33"/>
        <v>-82.201734294074697</v>
      </c>
      <c r="T597" s="35">
        <f ca="1">DATA!AM592*$B$7</f>
        <v>32909.112103764885</v>
      </c>
    </row>
    <row r="598" spans="15:20" x14ac:dyDescent="0.25">
      <c r="O598" s="38">
        <f t="shared" ca="1" si="36"/>
        <v>4.8602446121287718E-3</v>
      </c>
      <c r="P598" s="39">
        <f t="shared" si="34"/>
        <v>0.56800000000000039</v>
      </c>
      <c r="Q598" s="64">
        <f t="shared" si="35"/>
        <v>17.039999999999889</v>
      </c>
      <c r="R598" s="64">
        <f t="shared" ca="1" si="33"/>
        <v>-82.347151814875545</v>
      </c>
      <c r="T598" s="35">
        <f ca="1">DATA!AM593*$B$7</f>
        <v>-105966.69932214104</v>
      </c>
    </row>
    <row r="599" spans="15:20" x14ac:dyDescent="0.25">
      <c r="O599" s="38">
        <f t="shared" ca="1" si="36"/>
        <v>4.8747747888256629E-3</v>
      </c>
      <c r="P599" s="39">
        <f t="shared" si="34"/>
        <v>0.56900000000000039</v>
      </c>
      <c r="Q599" s="64">
        <f t="shared" si="35"/>
        <v>17.06999999999989</v>
      </c>
      <c r="R599" s="64">
        <f t="shared" ca="1" si="33"/>
        <v>-82.492569335676379</v>
      </c>
      <c r="T599" s="35">
        <f ca="1">DATA!AM594*$B$7</f>
        <v>-56286.332035850486</v>
      </c>
    </row>
    <row r="600" spans="15:20" x14ac:dyDescent="0.25">
      <c r="O600" s="38">
        <f t="shared" ca="1" si="36"/>
        <v>4.8893050297299113E-3</v>
      </c>
      <c r="P600" s="39">
        <f t="shared" si="34"/>
        <v>0.5700000000000004</v>
      </c>
      <c r="Q600" s="64">
        <f t="shared" si="35"/>
        <v>17.099999999999891</v>
      </c>
      <c r="R600" s="64">
        <f t="shared" ca="1" si="33"/>
        <v>-82.637986856477227</v>
      </c>
      <c r="T600" s="35">
        <f ca="1">DATA!AM595*$B$7</f>
        <v>-86234.791372870968</v>
      </c>
    </row>
    <row r="601" spans="15:20" x14ac:dyDescent="0.25">
      <c r="O601" s="38">
        <f t="shared" ca="1" si="36"/>
        <v>4.9038353342707739E-3</v>
      </c>
      <c r="P601" s="39">
        <f t="shared" si="34"/>
        <v>0.5710000000000004</v>
      </c>
      <c r="Q601" s="64">
        <f t="shared" si="35"/>
        <v>17.129999999999892</v>
      </c>
      <c r="R601" s="64">
        <f t="shared" ca="1" si="33"/>
        <v>-82.783404377278075</v>
      </c>
      <c r="T601" s="35">
        <f ca="1">DATA!AM596*$B$7</f>
        <v>158868.00250163669</v>
      </c>
    </row>
    <row r="602" spans="15:20" x14ac:dyDescent="0.25">
      <c r="O602" s="38">
        <f t="shared" ca="1" si="36"/>
        <v>4.9183657018842461E-3</v>
      </c>
      <c r="P602" s="39">
        <f t="shared" si="34"/>
        <v>0.5720000000000004</v>
      </c>
      <c r="Q602" s="64">
        <f t="shared" si="35"/>
        <v>17.159999999999894</v>
      </c>
      <c r="R602" s="64">
        <f t="shared" ca="1" si="33"/>
        <v>-82.928821898078922</v>
      </c>
      <c r="T602" s="35">
        <f ca="1">DATA!AM597*$B$7</f>
        <v>-55381.261327684486</v>
      </c>
    </row>
    <row r="603" spans="15:20" x14ac:dyDescent="0.25">
      <c r="O603" s="38">
        <f t="shared" ca="1" si="36"/>
        <v>4.9328961320129674E-3</v>
      </c>
      <c r="P603" s="39">
        <f t="shared" si="34"/>
        <v>0.5730000000000004</v>
      </c>
      <c r="Q603" s="64">
        <f t="shared" si="35"/>
        <v>17.189999999999895</v>
      </c>
      <c r="R603" s="64">
        <f t="shared" ca="1" si="33"/>
        <v>-83.074239418879756</v>
      </c>
      <c r="T603" s="35">
        <f ca="1">DATA!AM598*$B$7</f>
        <v>54844.773899549371</v>
      </c>
    </row>
    <row r="604" spans="15:20" x14ac:dyDescent="0.25">
      <c r="O604" s="38">
        <f t="shared" ca="1" si="36"/>
        <v>4.9474266241061196E-3</v>
      </c>
      <c r="P604" s="39">
        <f t="shared" si="34"/>
        <v>0.5740000000000004</v>
      </c>
      <c r="Q604" s="64">
        <f t="shared" si="35"/>
        <v>17.219999999999896</v>
      </c>
      <c r="R604" s="64">
        <f t="shared" ca="1" si="33"/>
        <v>-83.219656939680604</v>
      </c>
      <c r="T604" s="35">
        <f ca="1">DATA!AM599*$B$7</f>
        <v>101538.58512533145</v>
      </c>
    </row>
    <row r="605" spans="15:20" x14ac:dyDescent="0.25">
      <c r="O605" s="38">
        <f t="shared" ca="1" si="36"/>
        <v>4.9619571776193389E-3</v>
      </c>
      <c r="P605" s="39">
        <f t="shared" si="34"/>
        <v>0.5750000000000004</v>
      </c>
      <c r="Q605" s="64">
        <f t="shared" si="35"/>
        <v>17.249999999999897</v>
      </c>
      <c r="R605" s="64">
        <f t="shared" ca="1" si="33"/>
        <v>-83.365074460481452</v>
      </c>
      <c r="T605" s="35">
        <f ca="1">DATA!AM600*$B$7</f>
        <v>-9658.6433262912924</v>
      </c>
    </row>
    <row r="606" spans="15:20" x14ac:dyDescent="0.25">
      <c r="O606" s="38">
        <f t="shared" ca="1" si="36"/>
        <v>4.9764877920146144E-3</v>
      </c>
      <c r="P606" s="39">
        <f t="shared" si="34"/>
        <v>0.5760000000000004</v>
      </c>
      <c r="Q606" s="64">
        <f t="shared" si="35"/>
        <v>17.279999999999898</v>
      </c>
      <c r="R606" s="64">
        <f t="shared" ca="1" si="33"/>
        <v>-83.510491981282286</v>
      </c>
      <c r="T606" s="35">
        <f ca="1">DATA!AM601*$B$7</f>
        <v>43801.310949955681</v>
      </c>
    </row>
    <row r="607" spans="15:20" x14ac:dyDescent="0.25">
      <c r="O607" s="38">
        <f t="shared" ca="1" si="36"/>
        <v>4.9910184667601989E-3</v>
      </c>
      <c r="P607" s="39">
        <f t="shared" si="34"/>
        <v>0.5770000000000004</v>
      </c>
      <c r="Q607" s="64">
        <f t="shared" si="35"/>
        <v>17.309999999999899</v>
      </c>
      <c r="R607" s="64">
        <f t="shared" ref="R607:R670" ca="1" si="37">$B$8+$B$42*Q607</f>
        <v>-83.655909502083134</v>
      </c>
      <c r="T607" s="35">
        <f ca="1">DATA!AM602*$B$7</f>
        <v>-142088.17431122859</v>
      </c>
    </row>
    <row r="608" spans="15:20" x14ac:dyDescent="0.25">
      <c r="O608" s="38">
        <f t="shared" ca="1" si="36"/>
        <v>5.0055492013305171E-3</v>
      </c>
      <c r="P608" s="39">
        <f t="shared" ref="P608:P671" si="38">P607+0.1%</f>
        <v>0.5780000000000004</v>
      </c>
      <c r="Q608" s="64">
        <f t="shared" ref="Q608:Q671" si="39">Q607+0.03</f>
        <v>17.3399999999999</v>
      </c>
      <c r="R608" s="64">
        <f t="shared" ca="1" si="37"/>
        <v>-83.801327022883981</v>
      </c>
      <c r="T608" s="35">
        <f ca="1">DATA!AM603*$B$7</f>
        <v>45695.869947045096</v>
      </c>
    </row>
    <row r="609" spans="15:20" x14ac:dyDescent="0.25">
      <c r="O609" s="38">
        <f t="shared" ca="1" si="36"/>
        <v>5.020079995206074E-3</v>
      </c>
      <c r="P609" s="39">
        <f t="shared" si="38"/>
        <v>0.5790000000000004</v>
      </c>
      <c r="Q609" s="64">
        <f t="shared" si="39"/>
        <v>17.369999999999902</v>
      </c>
      <c r="R609" s="64">
        <f t="shared" ca="1" si="37"/>
        <v>-83.946744543684815</v>
      </c>
      <c r="T609" s="35">
        <f ca="1">DATA!AM604*$B$7</f>
        <v>-486035.00575843471</v>
      </c>
    </row>
    <row r="610" spans="15:20" x14ac:dyDescent="0.25">
      <c r="O610" s="38">
        <f t="shared" ca="1" si="36"/>
        <v>5.0346108478733793E-3</v>
      </c>
      <c r="P610" s="39">
        <f t="shared" si="38"/>
        <v>0.5800000000000004</v>
      </c>
      <c r="Q610" s="64">
        <f t="shared" si="39"/>
        <v>17.399999999999903</v>
      </c>
      <c r="R610" s="64">
        <f t="shared" ca="1" si="37"/>
        <v>-84.092162064485663</v>
      </c>
      <c r="T610" s="35">
        <f ca="1">DATA!AM605*$B$7</f>
        <v>115235.32648961498</v>
      </c>
    </row>
    <row r="611" spans="15:20" x14ac:dyDescent="0.25">
      <c r="O611" s="38">
        <f t="shared" ca="1" si="36"/>
        <v>5.0491417588248381E-3</v>
      </c>
      <c r="P611" s="39">
        <f t="shared" si="38"/>
        <v>0.58100000000000041</v>
      </c>
      <c r="Q611" s="64">
        <f t="shared" si="39"/>
        <v>17.429999999999904</v>
      </c>
      <c r="R611" s="64">
        <f t="shared" ca="1" si="37"/>
        <v>-84.237579585286511</v>
      </c>
      <c r="T611" s="35">
        <f ca="1">DATA!AM606*$B$7</f>
        <v>-226489.15917625607</v>
      </c>
    </row>
    <row r="612" spans="15:20" x14ac:dyDescent="0.25">
      <c r="O612" s="38">
        <f t="shared" ref="O612:O675" ca="1" si="40">SQRT(($B$36*P612^2 - 2*$B$37*P612 +$B$38)/$B$39)</f>
        <v>5.0636727275586929E-3</v>
      </c>
      <c r="P612" s="39">
        <f t="shared" si="38"/>
        <v>0.58200000000000041</v>
      </c>
      <c r="Q612" s="64">
        <f t="shared" si="39"/>
        <v>17.459999999999905</v>
      </c>
      <c r="R612" s="64">
        <f t="shared" ca="1" si="37"/>
        <v>-84.382997106087359</v>
      </c>
      <c r="T612" s="35">
        <f ca="1">DATA!AM607*$B$7</f>
        <v>195886.93612680951</v>
      </c>
    </row>
    <row r="613" spans="15:20" x14ac:dyDescent="0.25">
      <c r="O613" s="38">
        <f t="shared" ca="1" si="40"/>
        <v>5.0782037535789179E-3</v>
      </c>
      <c r="P613" s="39">
        <f t="shared" si="38"/>
        <v>0.58300000000000041</v>
      </c>
      <c r="Q613" s="64">
        <f t="shared" si="39"/>
        <v>17.489999999999906</v>
      </c>
      <c r="R613" s="64">
        <f t="shared" ca="1" si="37"/>
        <v>-84.528414626888193</v>
      </c>
      <c r="T613" s="35">
        <f ca="1">DATA!AM608*$B$7</f>
        <v>-72124.460193943218</v>
      </c>
    </row>
    <row r="614" spans="15:20" x14ac:dyDescent="0.25">
      <c r="O614" s="38">
        <f t="shared" ca="1" si="40"/>
        <v>5.0927348363951491E-3</v>
      </c>
      <c r="P614" s="39">
        <f t="shared" si="38"/>
        <v>0.58400000000000041</v>
      </c>
      <c r="Q614" s="64">
        <f t="shared" si="39"/>
        <v>17.519999999999907</v>
      </c>
      <c r="R614" s="64">
        <f t="shared" ca="1" si="37"/>
        <v>-84.673832147689041</v>
      </c>
      <c r="T614" s="35">
        <f ca="1">DATA!AM609*$B$7</f>
        <v>30570.49712060461</v>
      </c>
    </row>
    <row r="615" spans="15:20" x14ac:dyDescent="0.25">
      <c r="O615" s="38">
        <f t="shared" ca="1" si="40"/>
        <v>5.107265975522606E-3</v>
      </c>
      <c r="P615" s="39">
        <f t="shared" si="38"/>
        <v>0.58500000000000041</v>
      </c>
      <c r="Q615" s="64">
        <f t="shared" si="39"/>
        <v>17.549999999999908</v>
      </c>
      <c r="R615" s="64">
        <f t="shared" ca="1" si="37"/>
        <v>-84.819249668489888</v>
      </c>
      <c r="T615" s="35">
        <f ca="1">DATA!AM610*$B$7</f>
        <v>-187829.65465574121</v>
      </c>
    </row>
    <row r="616" spans="15:20" x14ac:dyDescent="0.25">
      <c r="O616" s="38">
        <f t="shared" ca="1" si="40"/>
        <v>5.1217971704820009E-3</v>
      </c>
      <c r="P616" s="39">
        <f t="shared" si="38"/>
        <v>0.58600000000000041</v>
      </c>
      <c r="Q616" s="64">
        <f t="shared" si="39"/>
        <v>17.579999999999909</v>
      </c>
      <c r="R616" s="64">
        <f t="shared" ca="1" si="37"/>
        <v>-84.964667189290722</v>
      </c>
      <c r="T616" s="35">
        <f ca="1">DATA!AM611*$B$7</f>
        <v>-4075.5052721435845</v>
      </c>
    </row>
    <row r="617" spans="15:20" x14ac:dyDescent="0.25">
      <c r="O617" s="38">
        <f t="shared" ca="1" si="40"/>
        <v>5.1363284207994716E-3</v>
      </c>
      <c r="P617" s="39">
        <f t="shared" si="38"/>
        <v>0.58700000000000041</v>
      </c>
      <c r="Q617" s="64">
        <f t="shared" si="39"/>
        <v>17.609999999999911</v>
      </c>
      <c r="R617" s="64">
        <f t="shared" ca="1" si="37"/>
        <v>-85.11008471009157</v>
      </c>
      <c r="T617" s="35">
        <f ca="1">DATA!AM612*$B$7</f>
        <v>-271604.5330258715</v>
      </c>
    </row>
    <row r="618" spans="15:20" x14ac:dyDescent="0.25">
      <c r="O618" s="38">
        <f t="shared" ca="1" si="40"/>
        <v>5.1508597260065039E-3</v>
      </c>
      <c r="P618" s="39">
        <f t="shared" si="38"/>
        <v>0.58800000000000041</v>
      </c>
      <c r="Q618" s="64">
        <f t="shared" si="39"/>
        <v>17.639999999999912</v>
      </c>
      <c r="R618" s="64">
        <f t="shared" ca="1" si="37"/>
        <v>-85.255502230892418</v>
      </c>
      <c r="T618" s="35">
        <f ca="1">DATA!AM613*$B$7</f>
        <v>124487.37538670033</v>
      </c>
    </row>
    <row r="619" spans="15:20" x14ac:dyDescent="0.25">
      <c r="O619" s="38">
        <f t="shared" ca="1" si="40"/>
        <v>5.165391085639846E-3</v>
      </c>
      <c r="P619" s="39">
        <f t="shared" si="38"/>
        <v>0.58900000000000041</v>
      </c>
      <c r="Q619" s="64">
        <f t="shared" si="39"/>
        <v>17.669999999999913</v>
      </c>
      <c r="R619" s="64">
        <f t="shared" ca="1" si="37"/>
        <v>-85.400919751693252</v>
      </c>
      <c r="T619" s="35">
        <f ca="1">DATA!AM614*$B$7</f>
        <v>-69538.381651812611</v>
      </c>
    </row>
    <row r="620" spans="15:20" x14ac:dyDescent="0.25">
      <c r="O620" s="38">
        <f t="shared" ca="1" si="40"/>
        <v>5.1799224992414503E-3</v>
      </c>
      <c r="P620" s="39">
        <f t="shared" si="38"/>
        <v>0.59000000000000041</v>
      </c>
      <c r="Q620" s="64">
        <f t="shared" si="39"/>
        <v>17.699999999999914</v>
      </c>
      <c r="R620" s="64">
        <f t="shared" ca="1" si="37"/>
        <v>-85.5463372724941</v>
      </c>
      <c r="T620" s="35">
        <f ca="1">DATA!AM615*$B$7</f>
        <v>-288081.46401912923</v>
      </c>
    </row>
    <row r="621" spans="15:20" x14ac:dyDescent="0.25">
      <c r="O621" s="38">
        <f t="shared" ca="1" si="40"/>
        <v>5.1944539663583925E-3</v>
      </c>
      <c r="P621" s="39">
        <f t="shared" si="38"/>
        <v>0.59100000000000041</v>
      </c>
      <c r="Q621" s="64">
        <f t="shared" si="39"/>
        <v>17.729999999999915</v>
      </c>
      <c r="R621" s="64">
        <f t="shared" ca="1" si="37"/>
        <v>-85.691754793294947</v>
      </c>
      <c r="T621" s="35">
        <f ca="1">DATA!AM616*$B$7</f>
        <v>322099.86675572465</v>
      </c>
    </row>
    <row r="622" spans="15:20" x14ac:dyDescent="0.25">
      <c r="O622" s="38">
        <f t="shared" ca="1" si="40"/>
        <v>5.2089854865427941E-3</v>
      </c>
      <c r="P622" s="39">
        <f t="shared" si="38"/>
        <v>0.59200000000000041</v>
      </c>
      <c r="Q622" s="64">
        <f t="shared" si="39"/>
        <v>17.759999999999916</v>
      </c>
      <c r="R622" s="64">
        <f t="shared" ca="1" si="37"/>
        <v>-85.837172314095795</v>
      </c>
      <c r="T622" s="35">
        <f ca="1">DATA!AM617*$B$7</f>
        <v>-146652.30740277807</v>
      </c>
    </row>
    <row r="623" spans="15:20" x14ac:dyDescent="0.25">
      <c r="O623" s="38">
        <f t="shared" ca="1" si="40"/>
        <v>5.2235170593517661E-3</v>
      </c>
      <c r="P623" s="39">
        <f t="shared" si="38"/>
        <v>0.59300000000000042</v>
      </c>
      <c r="Q623" s="64">
        <f t="shared" si="39"/>
        <v>17.789999999999917</v>
      </c>
      <c r="R623" s="64">
        <f t="shared" ca="1" si="37"/>
        <v>-85.982589834896629</v>
      </c>
      <c r="T623" s="35">
        <f ca="1">DATA!AM618*$B$7</f>
        <v>16887.217019970984</v>
      </c>
    </row>
    <row r="624" spans="15:20" x14ac:dyDescent="0.25">
      <c r="O624" s="38">
        <f t="shared" ca="1" si="40"/>
        <v>5.23804868434733E-3</v>
      </c>
      <c r="P624" s="39">
        <f t="shared" si="38"/>
        <v>0.59400000000000042</v>
      </c>
      <c r="Q624" s="64">
        <f t="shared" si="39"/>
        <v>17.819999999999919</v>
      </c>
      <c r="R624" s="64">
        <f t="shared" ca="1" si="37"/>
        <v>-86.128007355697477</v>
      </c>
      <c r="T624" s="35">
        <f ca="1">DATA!AM619*$B$7</f>
        <v>-184176.68761693593</v>
      </c>
    </row>
    <row r="625" spans="15:20" x14ac:dyDescent="0.25">
      <c r="O625" s="38">
        <f t="shared" ca="1" si="40"/>
        <v>5.2525803610963505E-3</v>
      </c>
      <c r="P625" s="39">
        <f t="shared" si="38"/>
        <v>0.59500000000000042</v>
      </c>
      <c r="Q625" s="64">
        <f t="shared" si="39"/>
        <v>17.84999999999992</v>
      </c>
      <c r="R625" s="64">
        <f t="shared" ca="1" si="37"/>
        <v>-86.273424876498325</v>
      </c>
      <c r="T625" s="35">
        <f ca="1">DATA!AM620*$B$7</f>
        <v>7778.2188173189897</v>
      </c>
    </row>
    <row r="626" spans="15:20" x14ac:dyDescent="0.25">
      <c r="O626" s="38">
        <f t="shared" ca="1" si="40"/>
        <v>5.2671120891704766E-3</v>
      </c>
      <c r="P626" s="39">
        <f t="shared" si="38"/>
        <v>0.59600000000000042</v>
      </c>
      <c r="Q626" s="64">
        <f t="shared" si="39"/>
        <v>17.879999999999921</v>
      </c>
      <c r="R626" s="64">
        <f t="shared" ca="1" si="37"/>
        <v>-86.418842397299159</v>
      </c>
      <c r="T626" s="35">
        <f ca="1">DATA!AM621*$B$7</f>
        <v>84816.986666058408</v>
      </c>
    </row>
    <row r="627" spans="15:20" x14ac:dyDescent="0.25">
      <c r="O627" s="38">
        <f t="shared" ca="1" si="40"/>
        <v>5.2816438681460619E-3</v>
      </c>
      <c r="P627" s="39">
        <f t="shared" si="38"/>
        <v>0.59700000000000042</v>
      </c>
      <c r="Q627" s="64">
        <f t="shared" si="39"/>
        <v>17.909999999999922</v>
      </c>
      <c r="R627" s="64">
        <f t="shared" ca="1" si="37"/>
        <v>-86.564259918100007</v>
      </c>
      <c r="T627" s="35">
        <f ca="1">DATA!AM622*$B$7</f>
        <v>-406563.90975412296</v>
      </c>
    </row>
    <row r="628" spans="15:20" x14ac:dyDescent="0.25">
      <c r="O628" s="38">
        <f t="shared" ca="1" si="40"/>
        <v>5.2961756976041136E-3</v>
      </c>
      <c r="P628" s="39">
        <f t="shared" si="38"/>
        <v>0.59800000000000042</v>
      </c>
      <c r="Q628" s="64">
        <f t="shared" si="39"/>
        <v>17.939999999999923</v>
      </c>
      <c r="R628" s="64">
        <f t="shared" ca="1" si="37"/>
        <v>-86.709677438900854</v>
      </c>
      <c r="T628" s="35">
        <f ca="1">DATA!AM623*$B$7</f>
        <v>-360173.02230023383</v>
      </c>
    </row>
    <row r="629" spans="15:20" x14ac:dyDescent="0.25">
      <c r="O629" s="38">
        <f t="shared" ca="1" si="40"/>
        <v>5.3107075771302225E-3</v>
      </c>
      <c r="P629" s="39">
        <f t="shared" si="38"/>
        <v>0.59900000000000042</v>
      </c>
      <c r="Q629" s="64">
        <f t="shared" si="39"/>
        <v>17.969999999999924</v>
      </c>
      <c r="R629" s="64">
        <f t="shared" ca="1" si="37"/>
        <v>-86.855094959701688</v>
      </c>
      <c r="T629" s="35">
        <f ca="1">DATA!AM624*$B$7</f>
        <v>-134373.2165773841</v>
      </c>
    </row>
    <row r="630" spans="15:20" x14ac:dyDescent="0.25">
      <c r="O630" s="38">
        <f t="shared" ca="1" si="40"/>
        <v>5.3252395063145023E-3</v>
      </c>
      <c r="P630" s="39">
        <f t="shared" si="38"/>
        <v>0.60000000000000042</v>
      </c>
      <c r="Q630" s="64">
        <f t="shared" si="39"/>
        <v>17.999999999999925</v>
      </c>
      <c r="R630" s="64">
        <f t="shared" ca="1" si="37"/>
        <v>-87.000512480502536</v>
      </c>
      <c r="T630" s="35">
        <f ca="1">DATA!AM625*$B$7</f>
        <v>-48373.065298127061</v>
      </c>
    </row>
    <row r="631" spans="15:20" x14ac:dyDescent="0.25">
      <c r="O631" s="38">
        <f t="shared" ca="1" si="40"/>
        <v>5.3397714847515229E-3</v>
      </c>
      <c r="P631" s="39">
        <f t="shared" si="38"/>
        <v>0.60100000000000042</v>
      </c>
      <c r="Q631" s="64">
        <f t="shared" si="39"/>
        <v>18.029999999999927</v>
      </c>
      <c r="R631" s="64">
        <f t="shared" ca="1" si="37"/>
        <v>-87.145930001303384</v>
      </c>
      <c r="T631" s="35">
        <f ca="1">DATA!AM626*$B$7</f>
        <v>16765.306053517153</v>
      </c>
    </row>
    <row r="632" spans="15:20" x14ac:dyDescent="0.25">
      <c r="O632" s="38">
        <f t="shared" ca="1" si="40"/>
        <v>5.3543035120402604E-3</v>
      </c>
      <c r="P632" s="39">
        <f t="shared" si="38"/>
        <v>0.60200000000000042</v>
      </c>
      <c r="Q632" s="64">
        <f t="shared" si="39"/>
        <v>18.059999999999928</v>
      </c>
      <c r="R632" s="64">
        <f t="shared" ca="1" si="37"/>
        <v>-87.291347522104232</v>
      </c>
      <c r="T632" s="35">
        <f ca="1">DATA!AM627*$B$7</f>
        <v>-103751.86379559143</v>
      </c>
    </row>
    <row r="633" spans="15:20" x14ac:dyDescent="0.25">
      <c r="O633" s="38">
        <f t="shared" ca="1" si="40"/>
        <v>5.3688355877840278E-3</v>
      </c>
      <c r="P633" s="39">
        <f t="shared" si="38"/>
        <v>0.60300000000000042</v>
      </c>
      <c r="Q633" s="64">
        <f t="shared" si="39"/>
        <v>18.089999999999929</v>
      </c>
      <c r="R633" s="64">
        <f t="shared" ca="1" si="37"/>
        <v>-87.436765042905066</v>
      </c>
      <c r="T633" s="35">
        <f ca="1">DATA!AM628*$B$7</f>
        <v>250975.92989722986</v>
      </c>
    </row>
    <row r="634" spans="15:20" x14ac:dyDescent="0.25">
      <c r="O634" s="38">
        <f t="shared" ca="1" si="40"/>
        <v>5.3833677115904211E-3</v>
      </c>
      <c r="P634" s="39">
        <f t="shared" si="38"/>
        <v>0.60400000000000043</v>
      </c>
      <c r="Q634" s="64">
        <f t="shared" si="39"/>
        <v>18.11999999999993</v>
      </c>
      <c r="R634" s="64">
        <f t="shared" ca="1" si="37"/>
        <v>-87.582182563705913</v>
      </c>
      <c r="T634" s="35">
        <f ca="1">DATA!AM629*$B$7</f>
        <v>-104806.42674942971</v>
      </c>
    </row>
    <row r="635" spans="15:20" x14ac:dyDescent="0.25">
      <c r="O635" s="38">
        <f t="shared" ca="1" si="40"/>
        <v>5.3978998830712596E-3</v>
      </c>
      <c r="P635" s="39">
        <f t="shared" si="38"/>
        <v>0.60500000000000043</v>
      </c>
      <c r="Q635" s="64">
        <f t="shared" si="39"/>
        <v>18.149999999999931</v>
      </c>
      <c r="R635" s="64">
        <f t="shared" ca="1" si="37"/>
        <v>-87.727600084506761</v>
      </c>
      <c r="T635" s="35">
        <f ca="1">DATA!AM630*$B$7</f>
        <v>-114939.4954739497</v>
      </c>
    </row>
    <row r="636" spans="15:20" x14ac:dyDescent="0.25">
      <c r="O636" s="38">
        <f t="shared" ca="1" si="40"/>
        <v>5.4124321018425301E-3</v>
      </c>
      <c r="P636" s="39">
        <f t="shared" si="38"/>
        <v>0.60600000000000043</v>
      </c>
      <c r="Q636" s="64">
        <f t="shared" si="39"/>
        <v>18.179999999999932</v>
      </c>
      <c r="R636" s="64">
        <f t="shared" ca="1" si="37"/>
        <v>-87.873017605307595</v>
      </c>
      <c r="T636" s="35">
        <f ca="1">DATA!AM631*$B$7</f>
        <v>80201.677442267595</v>
      </c>
    </row>
    <row r="637" spans="15:20" x14ac:dyDescent="0.25">
      <c r="O637" s="38">
        <f t="shared" ca="1" si="40"/>
        <v>5.426964367524335E-3</v>
      </c>
      <c r="P637" s="39">
        <f t="shared" si="38"/>
        <v>0.60700000000000043</v>
      </c>
      <c r="Q637" s="64">
        <f t="shared" si="39"/>
        <v>18.209999999999933</v>
      </c>
      <c r="R637" s="64">
        <f t="shared" ca="1" si="37"/>
        <v>-88.018435126108443</v>
      </c>
      <c r="T637" s="35">
        <f ca="1">DATA!AM632*$B$7</f>
        <v>-118948.48571018376</v>
      </c>
    </row>
    <row r="638" spans="15:20" x14ac:dyDescent="0.25">
      <c r="O638" s="38">
        <f t="shared" ca="1" si="40"/>
        <v>5.4414966797408301E-3</v>
      </c>
      <c r="P638" s="39">
        <f t="shared" si="38"/>
        <v>0.60800000000000043</v>
      </c>
      <c r="Q638" s="64">
        <f t="shared" si="39"/>
        <v>18.239999999999934</v>
      </c>
      <c r="R638" s="64">
        <f t="shared" ca="1" si="37"/>
        <v>-88.163852646909291</v>
      </c>
      <c r="T638" s="35">
        <f ca="1">DATA!AM633*$B$7</f>
        <v>-415429.70957428351</v>
      </c>
    </row>
    <row r="639" spans="15:20" x14ac:dyDescent="0.25">
      <c r="O639" s="38">
        <f t="shared" ca="1" si="40"/>
        <v>5.4560290381201748E-3</v>
      </c>
      <c r="P639" s="39">
        <f t="shared" si="38"/>
        <v>0.60900000000000043</v>
      </c>
      <c r="Q639" s="64">
        <f t="shared" si="39"/>
        <v>18.269999999999936</v>
      </c>
      <c r="R639" s="64">
        <f t="shared" ca="1" si="37"/>
        <v>-88.309270167710125</v>
      </c>
      <c r="T639" s="35">
        <f ca="1">DATA!AM634*$B$7</f>
        <v>343624.39339546039</v>
      </c>
    </row>
    <row r="640" spans="15:20" x14ac:dyDescent="0.25">
      <c r="O640" s="38">
        <f t="shared" ca="1" si="40"/>
        <v>5.4705614422944793E-3</v>
      </c>
      <c r="P640" s="39">
        <f t="shared" si="38"/>
        <v>0.61000000000000043</v>
      </c>
      <c r="Q640" s="64">
        <f t="shared" si="39"/>
        <v>18.299999999999937</v>
      </c>
      <c r="R640" s="64">
        <f t="shared" ca="1" si="37"/>
        <v>-88.454687688510973</v>
      </c>
      <c r="T640" s="35">
        <f ca="1">DATA!AM635*$B$7</f>
        <v>290964.01890863187</v>
      </c>
    </row>
    <row r="641" spans="15:20" x14ac:dyDescent="0.25">
      <c r="O641" s="38">
        <f t="shared" ca="1" si="40"/>
        <v>5.4850938918997519E-3</v>
      </c>
      <c r="P641" s="39">
        <f t="shared" si="38"/>
        <v>0.61100000000000043</v>
      </c>
      <c r="Q641" s="64">
        <f t="shared" si="39"/>
        <v>18.329999999999938</v>
      </c>
      <c r="R641" s="64">
        <f t="shared" ca="1" si="37"/>
        <v>-88.60010520931182</v>
      </c>
      <c r="T641" s="35">
        <f ca="1">DATA!AM636*$B$7</f>
        <v>-123773.92618082381</v>
      </c>
    </row>
    <row r="642" spans="15:20" x14ac:dyDescent="0.25">
      <c r="O642" s="38">
        <f t="shared" ca="1" si="40"/>
        <v>5.4996263865758456E-3</v>
      </c>
      <c r="P642" s="39">
        <f t="shared" si="38"/>
        <v>0.61200000000000043</v>
      </c>
      <c r="Q642" s="64">
        <f t="shared" si="39"/>
        <v>18.359999999999939</v>
      </c>
      <c r="R642" s="64">
        <f t="shared" ca="1" si="37"/>
        <v>-88.745522730112668</v>
      </c>
      <c r="T642" s="35">
        <f ca="1">DATA!AM637*$B$7</f>
        <v>227452.77565184573</v>
      </c>
    </row>
    <row r="643" spans="15:20" x14ac:dyDescent="0.25">
      <c r="O643" s="38">
        <f t="shared" ca="1" si="40"/>
        <v>5.5141589259664094E-3</v>
      </c>
      <c r="P643" s="39">
        <f t="shared" si="38"/>
        <v>0.61300000000000043</v>
      </c>
      <c r="Q643" s="64">
        <f t="shared" si="39"/>
        <v>18.38999999999994</v>
      </c>
      <c r="R643" s="64">
        <f t="shared" ca="1" si="37"/>
        <v>-88.890940250913502</v>
      </c>
      <c r="T643" s="35">
        <f ca="1">DATA!AM638*$B$7</f>
        <v>-209686.97855936288</v>
      </c>
    </row>
    <row r="644" spans="15:20" x14ac:dyDescent="0.25">
      <c r="O644" s="38">
        <f t="shared" ca="1" si="40"/>
        <v>5.5286915097188414E-3</v>
      </c>
      <c r="P644" s="39">
        <f t="shared" si="38"/>
        <v>0.61400000000000043</v>
      </c>
      <c r="Q644" s="64">
        <f t="shared" si="39"/>
        <v>18.419999999999941</v>
      </c>
      <c r="R644" s="64">
        <f t="shared" ca="1" si="37"/>
        <v>-89.03635777171435</v>
      </c>
      <c r="T644" s="35">
        <f ca="1">DATA!AM639*$B$7</f>
        <v>39350.125455989073</v>
      </c>
    </row>
    <row r="645" spans="15:20" x14ac:dyDescent="0.25">
      <c r="O645" s="38">
        <f t="shared" ca="1" si="40"/>
        <v>5.5432241374842265E-3</v>
      </c>
      <c r="P645" s="39">
        <f t="shared" si="38"/>
        <v>0.61500000000000044</v>
      </c>
      <c r="Q645" s="64">
        <f t="shared" si="39"/>
        <v>18.449999999999942</v>
      </c>
      <c r="R645" s="64">
        <f t="shared" ca="1" si="37"/>
        <v>-89.181775292515198</v>
      </c>
      <c r="T645" s="35">
        <f ca="1">DATA!AM640*$B$7</f>
        <v>108995.86520391383</v>
      </c>
    </row>
    <row r="646" spans="15:20" x14ac:dyDescent="0.25">
      <c r="O646" s="38">
        <f t="shared" ca="1" si="40"/>
        <v>5.5577568089173112E-3</v>
      </c>
      <c r="P646" s="39">
        <f t="shared" si="38"/>
        <v>0.61600000000000044</v>
      </c>
      <c r="Q646" s="64">
        <f t="shared" si="39"/>
        <v>18.479999999999944</v>
      </c>
      <c r="R646" s="64">
        <f t="shared" ca="1" si="37"/>
        <v>-89.327192813316032</v>
      </c>
      <c r="T646" s="35">
        <f ca="1">DATA!AM641*$B$7</f>
        <v>144285.38851510145</v>
      </c>
    </row>
    <row r="647" spans="15:20" x14ac:dyDescent="0.25">
      <c r="O647" s="38">
        <f t="shared" ca="1" si="40"/>
        <v>5.572289523676434E-3</v>
      </c>
      <c r="P647" s="39">
        <f t="shared" si="38"/>
        <v>0.61700000000000044</v>
      </c>
      <c r="Q647" s="64">
        <f t="shared" si="39"/>
        <v>18.509999999999945</v>
      </c>
      <c r="R647" s="64">
        <f t="shared" ca="1" si="37"/>
        <v>-89.472610334116879</v>
      </c>
      <c r="T647" s="35">
        <f ca="1">DATA!AM642*$B$7</f>
        <v>36761.552378290027</v>
      </c>
    </row>
    <row r="648" spans="15:20" x14ac:dyDescent="0.25">
      <c r="O648" s="38">
        <f t="shared" ca="1" si="40"/>
        <v>5.5868222814234878E-3</v>
      </c>
      <c r="P648" s="39">
        <f t="shared" si="38"/>
        <v>0.61800000000000044</v>
      </c>
      <c r="Q648" s="64">
        <f t="shared" si="39"/>
        <v>18.539999999999946</v>
      </c>
      <c r="R648" s="64">
        <f t="shared" ca="1" si="37"/>
        <v>-89.618027854917727</v>
      </c>
      <c r="T648" s="35">
        <f ca="1">DATA!AM643*$B$7</f>
        <v>240805.78175791528</v>
      </c>
    </row>
    <row r="649" spans="15:20" x14ac:dyDescent="0.25">
      <c r="O649" s="38">
        <f t="shared" ca="1" si="40"/>
        <v>5.6013550818238764E-3</v>
      </c>
      <c r="P649" s="39">
        <f t="shared" si="38"/>
        <v>0.61900000000000044</v>
      </c>
      <c r="Q649" s="64">
        <f t="shared" si="39"/>
        <v>18.569999999999947</v>
      </c>
      <c r="R649" s="64">
        <f t="shared" ca="1" si="37"/>
        <v>-89.763445375718575</v>
      </c>
      <c r="T649" s="35">
        <f ca="1">DATA!AM644*$B$7</f>
        <v>136728.41228491551</v>
      </c>
    </row>
    <row r="650" spans="15:20" x14ac:dyDescent="0.25">
      <c r="O650" s="38">
        <f t="shared" ca="1" si="40"/>
        <v>5.6158879245464637E-3</v>
      </c>
      <c r="P650" s="39">
        <f t="shared" si="38"/>
        <v>0.62000000000000044</v>
      </c>
      <c r="Q650" s="64">
        <f t="shared" si="39"/>
        <v>18.599999999999948</v>
      </c>
      <c r="R650" s="64">
        <f t="shared" ca="1" si="37"/>
        <v>-89.908862896519409</v>
      </c>
      <c r="T650" s="35">
        <f ca="1">DATA!AM645*$B$7</f>
        <v>408753.15862584388</v>
      </c>
    </row>
    <row r="651" spans="15:20" x14ac:dyDescent="0.25">
      <c r="O651" s="38">
        <f t="shared" ca="1" si="40"/>
        <v>5.630420809263537E-3</v>
      </c>
      <c r="P651" s="39">
        <f t="shared" si="38"/>
        <v>0.62100000000000044</v>
      </c>
      <c r="Q651" s="64">
        <f t="shared" si="39"/>
        <v>18.629999999999949</v>
      </c>
      <c r="R651" s="64">
        <f t="shared" ca="1" si="37"/>
        <v>-90.054280417320257</v>
      </c>
      <c r="T651" s="35">
        <f ca="1">DATA!AM646*$B$7</f>
        <v>-334494.87980987813</v>
      </c>
    </row>
    <row r="652" spans="15:20" x14ac:dyDescent="0.25">
      <c r="O652" s="38">
        <f t="shared" ca="1" si="40"/>
        <v>5.6449537356507472E-3</v>
      </c>
      <c r="P652" s="39">
        <f t="shared" si="38"/>
        <v>0.62200000000000044</v>
      </c>
      <c r="Q652" s="64">
        <f t="shared" si="39"/>
        <v>18.65999999999995</v>
      </c>
      <c r="R652" s="64">
        <f t="shared" ca="1" si="37"/>
        <v>-90.199697938121105</v>
      </c>
      <c r="T652" s="35">
        <f ca="1">DATA!AM647*$B$7</f>
        <v>-126300.11034458861</v>
      </c>
    </row>
    <row r="653" spans="15:20" x14ac:dyDescent="0.25">
      <c r="O653" s="38">
        <f t="shared" ca="1" si="40"/>
        <v>5.6594867033870839E-3</v>
      </c>
      <c r="P653" s="39">
        <f t="shared" si="38"/>
        <v>0.62300000000000044</v>
      </c>
      <c r="Q653" s="64">
        <f t="shared" si="39"/>
        <v>18.689999999999952</v>
      </c>
      <c r="R653" s="64">
        <f t="shared" ca="1" si="37"/>
        <v>-90.345115458921939</v>
      </c>
      <c r="T653" s="35">
        <f ca="1">DATA!AM648*$B$7</f>
        <v>-526211.79648854851</v>
      </c>
    </row>
    <row r="654" spans="15:20" x14ac:dyDescent="0.25">
      <c r="O654" s="38">
        <f t="shared" ca="1" si="40"/>
        <v>5.6740197121548227E-3</v>
      </c>
      <c r="P654" s="39">
        <f t="shared" si="38"/>
        <v>0.62400000000000044</v>
      </c>
      <c r="Q654" s="64">
        <f t="shared" si="39"/>
        <v>18.719999999999953</v>
      </c>
      <c r="R654" s="64">
        <f t="shared" ca="1" si="37"/>
        <v>-90.490532979722786</v>
      </c>
      <c r="T654" s="35">
        <f ca="1">DATA!AM649*$B$7</f>
        <v>-130475.5911557316</v>
      </c>
    </row>
    <row r="655" spans="15:20" x14ac:dyDescent="0.25">
      <c r="O655" s="38">
        <f t="shared" ca="1" si="40"/>
        <v>5.6885527616394836E-3</v>
      </c>
      <c r="P655" s="39">
        <f t="shared" si="38"/>
        <v>0.62500000000000044</v>
      </c>
      <c r="Q655" s="64">
        <f t="shared" si="39"/>
        <v>18.749999999999954</v>
      </c>
      <c r="R655" s="64">
        <f t="shared" ca="1" si="37"/>
        <v>-90.635950500523634</v>
      </c>
      <c r="T655" s="35">
        <f ca="1">DATA!AM650*$B$7</f>
        <v>-188966.71317562406</v>
      </c>
    </row>
    <row r="656" spans="15:20" x14ac:dyDescent="0.25">
      <c r="O656" s="38">
        <f t="shared" ca="1" si="40"/>
        <v>5.7030858515297947E-3</v>
      </c>
      <c r="P656" s="39">
        <f t="shared" si="38"/>
        <v>0.62600000000000044</v>
      </c>
      <c r="Q656" s="64">
        <f t="shared" si="39"/>
        <v>18.779999999999955</v>
      </c>
      <c r="R656" s="64">
        <f t="shared" ca="1" si="37"/>
        <v>-90.781368021324468</v>
      </c>
      <c r="T656" s="35">
        <f ca="1">DATA!AM651*$B$7</f>
        <v>-8668.566714026987</v>
      </c>
    </row>
    <row r="657" spans="15:20" x14ac:dyDescent="0.25">
      <c r="O657" s="38">
        <f t="shared" ca="1" si="40"/>
        <v>5.7176189815176448E-3</v>
      </c>
      <c r="P657" s="39">
        <f t="shared" si="38"/>
        <v>0.62700000000000045</v>
      </c>
      <c r="Q657" s="64">
        <f t="shared" si="39"/>
        <v>18.809999999999956</v>
      </c>
      <c r="R657" s="64">
        <f t="shared" ca="1" si="37"/>
        <v>-90.926785542125316</v>
      </c>
      <c r="T657" s="35">
        <f ca="1">DATA!AM652*$B$7</f>
        <v>-447642.22902192484</v>
      </c>
    </row>
    <row r="658" spans="15:20" x14ac:dyDescent="0.25">
      <c r="O658" s="38">
        <f t="shared" ca="1" si="40"/>
        <v>5.732152151298046E-3</v>
      </c>
      <c r="P658" s="39">
        <f t="shared" si="38"/>
        <v>0.62800000000000045</v>
      </c>
      <c r="Q658" s="64">
        <f t="shared" si="39"/>
        <v>18.839999999999957</v>
      </c>
      <c r="R658" s="64">
        <f t="shared" ca="1" si="37"/>
        <v>-91.072203062926164</v>
      </c>
      <c r="T658" s="35">
        <f ca="1">DATA!AM653*$B$7</f>
        <v>75225.205635310806</v>
      </c>
    </row>
    <row r="659" spans="15:20" x14ac:dyDescent="0.25">
      <c r="O659" s="38">
        <f t="shared" ca="1" si="40"/>
        <v>5.7466853605690985E-3</v>
      </c>
      <c r="P659" s="39">
        <f t="shared" si="38"/>
        <v>0.62900000000000045</v>
      </c>
      <c r="Q659" s="64">
        <f t="shared" si="39"/>
        <v>18.869999999999958</v>
      </c>
      <c r="R659" s="64">
        <f t="shared" ca="1" si="37"/>
        <v>-91.217620583727012</v>
      </c>
      <c r="T659" s="35">
        <f ca="1">DATA!AM654*$B$7</f>
        <v>-356420.69334954512</v>
      </c>
    </row>
    <row r="660" spans="15:20" x14ac:dyDescent="0.25">
      <c r="O660" s="38">
        <f t="shared" ca="1" si="40"/>
        <v>5.7612186090319449E-3</v>
      </c>
      <c r="P660" s="39">
        <f t="shared" si="38"/>
        <v>0.63000000000000045</v>
      </c>
      <c r="Q660" s="64">
        <f t="shared" si="39"/>
        <v>18.899999999999959</v>
      </c>
      <c r="R660" s="64">
        <f t="shared" ca="1" si="37"/>
        <v>-91.363038104527845</v>
      </c>
      <c r="T660" s="35">
        <f ca="1">DATA!AM655*$B$7</f>
        <v>153230.26065157377</v>
      </c>
    </row>
    <row r="661" spans="15:20" x14ac:dyDescent="0.25">
      <c r="O661" s="38">
        <f t="shared" ca="1" si="40"/>
        <v>5.7757518963907333E-3</v>
      </c>
      <c r="P661" s="39">
        <f t="shared" si="38"/>
        <v>0.63100000000000045</v>
      </c>
      <c r="Q661" s="64">
        <f t="shared" si="39"/>
        <v>18.929999999999961</v>
      </c>
      <c r="R661" s="64">
        <f t="shared" ca="1" si="37"/>
        <v>-91.508455625328693</v>
      </c>
      <c r="T661" s="35">
        <f ca="1">DATA!AM656*$B$7</f>
        <v>-314435.53317052196</v>
      </c>
    </row>
    <row r="662" spans="15:20" x14ac:dyDescent="0.25">
      <c r="O662" s="38">
        <f t="shared" ca="1" si="40"/>
        <v>5.7902852223525886E-3</v>
      </c>
      <c r="P662" s="39">
        <f t="shared" si="38"/>
        <v>0.63200000000000045</v>
      </c>
      <c r="Q662" s="64">
        <f t="shared" si="39"/>
        <v>18.959999999999962</v>
      </c>
      <c r="R662" s="64">
        <f t="shared" ca="1" si="37"/>
        <v>-91.653873146129541</v>
      </c>
      <c r="T662" s="35">
        <f ca="1">DATA!AM657*$B$7</f>
        <v>184053.00428661006</v>
      </c>
    </row>
    <row r="663" spans="15:20" x14ac:dyDescent="0.25">
      <c r="O663" s="38">
        <f t="shared" ca="1" si="40"/>
        <v>5.8048185866275605E-3</v>
      </c>
      <c r="P663" s="39">
        <f t="shared" si="38"/>
        <v>0.63300000000000045</v>
      </c>
      <c r="Q663" s="64">
        <f t="shared" si="39"/>
        <v>18.989999999999963</v>
      </c>
      <c r="R663" s="64">
        <f t="shared" ca="1" si="37"/>
        <v>-91.799290666930375</v>
      </c>
      <c r="T663" s="35">
        <f ca="1">DATA!AM658*$B$7</f>
        <v>-36327.883060629378</v>
      </c>
    </row>
    <row r="664" spans="15:20" x14ac:dyDescent="0.25">
      <c r="O664" s="38">
        <f t="shared" ca="1" si="40"/>
        <v>5.8193519889285991E-3</v>
      </c>
      <c r="P664" s="39">
        <f t="shared" si="38"/>
        <v>0.63400000000000045</v>
      </c>
      <c r="Q664" s="64">
        <f t="shared" si="39"/>
        <v>19.019999999999964</v>
      </c>
      <c r="R664" s="64">
        <f t="shared" ca="1" si="37"/>
        <v>-91.944708187731223</v>
      </c>
      <c r="T664" s="35">
        <f ca="1">DATA!AM659*$B$7</f>
        <v>-25941.717669447673</v>
      </c>
    </row>
    <row r="665" spans="15:20" x14ac:dyDescent="0.25">
      <c r="O665" s="38">
        <f t="shared" ca="1" si="40"/>
        <v>5.8338854289715072E-3</v>
      </c>
      <c r="P665" s="39">
        <f t="shared" si="38"/>
        <v>0.63500000000000045</v>
      </c>
      <c r="Q665" s="64">
        <f t="shared" si="39"/>
        <v>19.049999999999965</v>
      </c>
      <c r="R665" s="64">
        <f t="shared" ca="1" si="37"/>
        <v>-92.090125708532071</v>
      </c>
      <c r="T665" s="35">
        <f ca="1">DATA!AM660*$B$7</f>
        <v>297296.41247039707</v>
      </c>
    </row>
    <row r="666" spans="15:20" x14ac:dyDescent="0.25">
      <c r="O666" s="38">
        <f t="shared" ca="1" si="40"/>
        <v>5.848418906474924E-3</v>
      </c>
      <c r="P666" s="39">
        <f t="shared" si="38"/>
        <v>0.63600000000000045</v>
      </c>
      <c r="Q666" s="64">
        <f t="shared" si="39"/>
        <v>19.079999999999966</v>
      </c>
      <c r="R666" s="64">
        <f t="shared" ca="1" si="37"/>
        <v>-92.235543229332905</v>
      </c>
      <c r="T666" s="35">
        <f ca="1">DATA!AM661*$B$7</f>
        <v>112259.72059873227</v>
      </c>
    </row>
    <row r="667" spans="15:20" x14ac:dyDescent="0.25">
      <c r="O667" s="38">
        <f t="shared" ca="1" si="40"/>
        <v>5.8629524211602658E-3</v>
      </c>
      <c r="P667" s="39">
        <f t="shared" si="38"/>
        <v>0.63700000000000045</v>
      </c>
      <c r="Q667" s="64">
        <f t="shared" si="39"/>
        <v>19.109999999999967</v>
      </c>
      <c r="R667" s="64">
        <f t="shared" ca="1" si="37"/>
        <v>-92.380960750133752</v>
      </c>
      <c r="T667" s="35">
        <f ca="1">DATA!AM662*$B$7</f>
        <v>-24127.10748385885</v>
      </c>
    </row>
    <row r="668" spans="15:20" x14ac:dyDescent="0.25">
      <c r="O668" s="38">
        <f t="shared" ca="1" si="40"/>
        <v>5.877485972751709E-3</v>
      </c>
      <c r="P668" s="39">
        <f t="shared" si="38"/>
        <v>0.63800000000000046</v>
      </c>
      <c r="Q668" s="64">
        <f t="shared" si="39"/>
        <v>19.139999999999969</v>
      </c>
      <c r="R668" s="64">
        <f t="shared" ca="1" si="37"/>
        <v>-92.5263782709346</v>
      </c>
      <c r="T668" s="35">
        <f ca="1">DATA!AM663*$B$7</f>
        <v>-112243.23504347335</v>
      </c>
    </row>
    <row r="669" spans="15:20" x14ac:dyDescent="0.25">
      <c r="O669" s="38">
        <f t="shared" ca="1" si="40"/>
        <v>5.8920195609761528E-3</v>
      </c>
      <c r="P669" s="39">
        <f t="shared" si="38"/>
        <v>0.63900000000000046</v>
      </c>
      <c r="Q669" s="64">
        <f t="shared" si="39"/>
        <v>19.16999999999997</v>
      </c>
      <c r="R669" s="64">
        <f t="shared" ca="1" si="37"/>
        <v>-92.671795791735448</v>
      </c>
      <c r="T669" s="35">
        <f ca="1">DATA!AM664*$B$7</f>
        <v>-21552.425968652027</v>
      </c>
    </row>
    <row r="670" spans="15:20" x14ac:dyDescent="0.25">
      <c r="O670" s="38">
        <f t="shared" ca="1" si="40"/>
        <v>5.9065531855631787E-3</v>
      </c>
      <c r="P670" s="39">
        <f t="shared" si="38"/>
        <v>0.64000000000000046</v>
      </c>
      <c r="Q670" s="64">
        <f t="shared" si="39"/>
        <v>19.199999999999971</v>
      </c>
      <c r="R670" s="64">
        <f t="shared" ca="1" si="37"/>
        <v>-92.817213312536282</v>
      </c>
      <c r="T670" s="35">
        <f ca="1">DATA!AM665*$B$7</f>
        <v>-174374.8980430238</v>
      </c>
    </row>
    <row r="671" spans="15:20" x14ac:dyDescent="0.25">
      <c r="O671" s="38">
        <f t="shared" ca="1" si="40"/>
        <v>5.9210868462450262E-3</v>
      </c>
      <c r="P671" s="39">
        <f t="shared" si="38"/>
        <v>0.64100000000000046</v>
      </c>
      <c r="Q671" s="64">
        <f t="shared" si="39"/>
        <v>19.229999999999972</v>
      </c>
      <c r="R671" s="64">
        <f t="shared" ref="R671:R734" ca="1" si="41">$B$8+$B$42*Q671</f>
        <v>-92.96263083333713</v>
      </c>
      <c r="T671" s="35">
        <f ca="1">DATA!AM666*$B$7</f>
        <v>150125.90024380625</v>
      </c>
    </row>
    <row r="672" spans="15:20" x14ac:dyDescent="0.25">
      <c r="O672" s="38">
        <f t="shared" ca="1" si="40"/>
        <v>5.9356205427565549E-3</v>
      </c>
      <c r="P672" s="39">
        <f t="shared" ref="P672:P735" si="42">P671+0.1%</f>
        <v>0.64200000000000046</v>
      </c>
      <c r="Q672" s="64">
        <f t="shared" ref="Q672:Q735" si="43">Q671+0.03</f>
        <v>19.259999999999973</v>
      </c>
      <c r="R672" s="64">
        <f t="shared" ca="1" si="41"/>
        <v>-93.108048354137978</v>
      </c>
      <c r="T672" s="35">
        <f ca="1">DATA!AM667*$B$7</f>
        <v>-307761.52225660323</v>
      </c>
    </row>
    <row r="673" spans="15:20" x14ac:dyDescent="0.25">
      <c r="O673" s="38">
        <f t="shared" ca="1" si="40"/>
        <v>5.9501542748352154E-3</v>
      </c>
      <c r="P673" s="39">
        <f t="shared" si="42"/>
        <v>0.64300000000000046</v>
      </c>
      <c r="Q673" s="64">
        <f t="shared" si="43"/>
        <v>19.289999999999974</v>
      </c>
      <c r="R673" s="64">
        <f t="shared" ca="1" si="41"/>
        <v>-93.253465874938811</v>
      </c>
      <c r="T673" s="35">
        <f ca="1">DATA!AM668*$B$7</f>
        <v>204229.32488365658</v>
      </c>
    </row>
    <row r="674" spans="15:20" x14ac:dyDescent="0.25">
      <c r="O674" s="38">
        <f t="shared" ca="1" si="40"/>
        <v>5.9646880422210159E-3</v>
      </c>
      <c r="P674" s="39">
        <f t="shared" si="42"/>
        <v>0.64400000000000046</v>
      </c>
      <c r="Q674" s="64">
        <f t="shared" si="43"/>
        <v>19.319999999999975</v>
      </c>
      <c r="R674" s="64">
        <f t="shared" ca="1" si="41"/>
        <v>-93.398883395739659</v>
      </c>
      <c r="T674" s="35">
        <f ca="1">DATA!AM669*$B$7</f>
        <v>82690.990410674072</v>
      </c>
    </row>
    <row r="675" spans="15:20" x14ac:dyDescent="0.25">
      <c r="O675" s="38">
        <f t="shared" ca="1" si="40"/>
        <v>5.9792218446564904E-3</v>
      </c>
      <c r="P675" s="39">
        <f t="shared" si="42"/>
        <v>0.64500000000000046</v>
      </c>
      <c r="Q675" s="64">
        <f t="shared" si="43"/>
        <v>19.349999999999977</v>
      </c>
      <c r="R675" s="64">
        <f t="shared" ca="1" si="41"/>
        <v>-93.544300916540507</v>
      </c>
      <c r="T675" s="35">
        <f ca="1">DATA!AM670*$B$7</f>
        <v>111379.06982448399</v>
      </c>
    </row>
    <row r="676" spans="15:20" x14ac:dyDescent="0.25">
      <c r="O676" s="38">
        <f t="shared" ref="O676:O739" ca="1" si="44">SQRT(($B$36*P676^2 - 2*$B$37*P676 +$B$38)/$B$39)</f>
        <v>5.9937556818866712E-3</v>
      </c>
      <c r="P676" s="39">
        <f t="shared" si="42"/>
        <v>0.64600000000000046</v>
      </c>
      <c r="Q676" s="64">
        <f t="shared" si="43"/>
        <v>19.379999999999978</v>
      </c>
      <c r="R676" s="64">
        <f t="shared" ca="1" si="41"/>
        <v>-93.689718437341341</v>
      </c>
      <c r="T676" s="35">
        <f ca="1">DATA!AM671*$B$7</f>
        <v>-80310.04973994047</v>
      </c>
    </row>
    <row r="677" spans="15:20" x14ac:dyDescent="0.25">
      <c r="O677" s="38">
        <f t="shared" ca="1" si="44"/>
        <v>6.0082895536590613E-3</v>
      </c>
      <c r="P677" s="39">
        <f t="shared" si="42"/>
        <v>0.64700000000000046</v>
      </c>
      <c r="Q677" s="64">
        <f t="shared" si="43"/>
        <v>19.409999999999979</v>
      </c>
      <c r="R677" s="64">
        <f t="shared" ca="1" si="41"/>
        <v>-93.835135958142189</v>
      </c>
      <c r="T677" s="35">
        <f ca="1">DATA!AM672*$B$7</f>
        <v>-354261.2924339064</v>
      </c>
    </row>
    <row r="678" spans="15:20" x14ac:dyDescent="0.25">
      <c r="O678" s="38">
        <f t="shared" ca="1" si="44"/>
        <v>6.0228234597235891E-3</v>
      </c>
      <c r="P678" s="39">
        <f t="shared" si="42"/>
        <v>0.64800000000000046</v>
      </c>
      <c r="Q678" s="64">
        <f t="shared" si="43"/>
        <v>19.43999999999998</v>
      </c>
      <c r="R678" s="64">
        <f t="shared" ca="1" si="41"/>
        <v>-93.980553478943037</v>
      </c>
      <c r="T678" s="35">
        <f ca="1">DATA!AM673*$B$7</f>
        <v>-402078.33103598352</v>
      </c>
    </row>
    <row r="679" spans="15:20" x14ac:dyDescent="0.25">
      <c r="O679" s="38">
        <f t="shared" ca="1" si="44"/>
        <v>6.0373573998326012E-3</v>
      </c>
      <c r="P679" s="39">
        <f t="shared" si="42"/>
        <v>0.64900000000000047</v>
      </c>
      <c r="Q679" s="64">
        <f t="shared" si="43"/>
        <v>19.469999999999981</v>
      </c>
      <c r="R679" s="64">
        <f t="shared" ca="1" si="41"/>
        <v>-94.125970999743885</v>
      </c>
      <c r="T679" s="35">
        <f ca="1">DATA!AM674*$B$7</f>
        <v>-244914.9295823648</v>
      </c>
    </row>
    <row r="680" spans="15:20" x14ac:dyDescent="0.25">
      <c r="O680" s="38">
        <f t="shared" ca="1" si="44"/>
        <v>6.051891373740818E-3</v>
      </c>
      <c r="P680" s="39">
        <f t="shared" si="42"/>
        <v>0.65000000000000047</v>
      </c>
      <c r="Q680" s="64">
        <f t="shared" si="43"/>
        <v>19.499999999999982</v>
      </c>
      <c r="R680" s="64">
        <f t="shared" ca="1" si="41"/>
        <v>-94.271388520544718</v>
      </c>
      <c r="T680" s="35">
        <f ca="1">DATA!AM675*$B$7</f>
        <v>397324.9244040302</v>
      </c>
    </row>
    <row r="681" spans="15:20" x14ac:dyDescent="0.25">
      <c r="O681" s="38">
        <f t="shared" ca="1" si="44"/>
        <v>6.0664253812053098E-3</v>
      </c>
      <c r="P681" s="39">
        <f t="shared" si="42"/>
        <v>0.65100000000000047</v>
      </c>
      <c r="Q681" s="64">
        <f t="shared" si="43"/>
        <v>19.529999999999983</v>
      </c>
      <c r="R681" s="64">
        <f t="shared" ca="1" si="41"/>
        <v>-94.416806041345566</v>
      </c>
      <c r="T681" s="35">
        <f ca="1">DATA!AM676*$B$7</f>
        <v>-77751.710371965048</v>
      </c>
    </row>
    <row r="682" spans="15:20" x14ac:dyDescent="0.25">
      <c r="O682" s="38">
        <f t="shared" ca="1" si="44"/>
        <v>6.0809594219854738E-3</v>
      </c>
      <c r="P682" s="39">
        <f t="shared" si="42"/>
        <v>0.65200000000000047</v>
      </c>
      <c r="Q682" s="64">
        <f t="shared" si="43"/>
        <v>19.559999999999985</v>
      </c>
      <c r="R682" s="64">
        <f t="shared" ca="1" si="41"/>
        <v>-94.562223562146414</v>
      </c>
      <c r="T682" s="35">
        <f ca="1">DATA!AM677*$B$7</f>
        <v>379288.93307949585</v>
      </c>
    </row>
    <row r="683" spans="15:20" x14ac:dyDescent="0.25">
      <c r="O683" s="38">
        <f t="shared" ca="1" si="44"/>
        <v>6.0954934958429912E-3</v>
      </c>
      <c r="P683" s="39">
        <f t="shared" si="42"/>
        <v>0.65300000000000047</v>
      </c>
      <c r="Q683" s="64">
        <f t="shared" si="43"/>
        <v>19.589999999999986</v>
      </c>
      <c r="R683" s="64">
        <f t="shared" ca="1" si="41"/>
        <v>-94.707641082947248</v>
      </c>
      <c r="T683" s="35">
        <f ca="1">DATA!AM678*$B$7</f>
        <v>299369.01122687664</v>
      </c>
    </row>
    <row r="684" spans="15:20" x14ac:dyDescent="0.25">
      <c r="O684" s="38">
        <f t="shared" ca="1" si="44"/>
        <v>6.1100276025418182E-3</v>
      </c>
      <c r="P684" s="39">
        <f t="shared" si="42"/>
        <v>0.65400000000000047</v>
      </c>
      <c r="Q684" s="64">
        <f t="shared" si="43"/>
        <v>19.619999999999987</v>
      </c>
      <c r="R684" s="64">
        <f t="shared" ca="1" si="41"/>
        <v>-94.853058603748096</v>
      </c>
      <c r="T684" s="35">
        <f ca="1">DATA!AM679*$B$7</f>
        <v>-247656.40318690974</v>
      </c>
    </row>
    <row r="685" spans="15:20" x14ac:dyDescent="0.25">
      <c r="O685" s="38">
        <f t="shared" ca="1" si="44"/>
        <v>6.1245617418481512E-3</v>
      </c>
      <c r="P685" s="39">
        <f t="shared" si="42"/>
        <v>0.65500000000000047</v>
      </c>
      <c r="Q685" s="64">
        <f t="shared" si="43"/>
        <v>19.649999999999988</v>
      </c>
      <c r="R685" s="64">
        <f t="shared" ca="1" si="41"/>
        <v>-94.998476124548944</v>
      </c>
      <c r="T685" s="35">
        <f ca="1">DATA!AM680*$B$7</f>
        <v>-93748.0397243927</v>
      </c>
    </row>
    <row r="686" spans="15:20" x14ac:dyDescent="0.25">
      <c r="O686" s="38">
        <f t="shared" ca="1" si="44"/>
        <v>6.1390959135303952E-3</v>
      </c>
      <c r="P686" s="39">
        <f t="shared" si="42"/>
        <v>0.65600000000000047</v>
      </c>
      <c r="Q686" s="64">
        <f t="shared" si="43"/>
        <v>19.679999999999989</v>
      </c>
      <c r="R686" s="64">
        <f t="shared" ca="1" si="41"/>
        <v>-95.143893645349777</v>
      </c>
      <c r="T686" s="35">
        <f ca="1">DATA!AM681*$B$7</f>
        <v>331351.94598240172</v>
      </c>
    </row>
    <row r="687" spans="15:20" x14ac:dyDescent="0.25">
      <c r="O687" s="38">
        <f t="shared" ca="1" si="44"/>
        <v>6.1536301173591478E-3</v>
      </c>
      <c r="P687" s="39">
        <f t="shared" si="42"/>
        <v>0.65700000000000047</v>
      </c>
      <c r="Q687" s="64">
        <f t="shared" si="43"/>
        <v>19.70999999999999</v>
      </c>
      <c r="R687" s="64">
        <f t="shared" ca="1" si="41"/>
        <v>-95.289311166150625</v>
      </c>
      <c r="T687" s="35">
        <f ca="1">DATA!AM682*$B$7</f>
        <v>-162859.90842478309</v>
      </c>
    </row>
    <row r="688" spans="15:20" x14ac:dyDescent="0.25">
      <c r="O688" s="38">
        <f t="shared" ca="1" si="44"/>
        <v>6.1681643531071662E-3</v>
      </c>
      <c r="P688" s="39">
        <f t="shared" si="42"/>
        <v>0.65800000000000047</v>
      </c>
      <c r="Q688" s="64">
        <f t="shared" si="43"/>
        <v>19.739999999999991</v>
      </c>
      <c r="R688" s="64">
        <f t="shared" ca="1" si="41"/>
        <v>-95.434728686951473</v>
      </c>
      <c r="T688" s="35">
        <f ca="1">DATA!AM683*$B$7</f>
        <v>-288972.18672265252</v>
      </c>
    </row>
    <row r="689" spans="15:20" x14ac:dyDescent="0.25">
      <c r="O689" s="38">
        <f t="shared" ca="1" si="44"/>
        <v>6.1826986205493414E-3</v>
      </c>
      <c r="P689" s="39">
        <f t="shared" si="42"/>
        <v>0.65900000000000047</v>
      </c>
      <c r="Q689" s="64">
        <f t="shared" si="43"/>
        <v>19.769999999999992</v>
      </c>
      <c r="R689" s="64">
        <f t="shared" ca="1" si="41"/>
        <v>-95.580146207752321</v>
      </c>
      <c r="T689" s="35">
        <f ca="1">DATA!AM684*$B$7</f>
        <v>226274.43326175652</v>
      </c>
    </row>
    <row r="690" spans="15:20" x14ac:dyDescent="0.25">
      <c r="O690" s="38">
        <f t="shared" ca="1" si="44"/>
        <v>6.1972329194626809E-3</v>
      </c>
      <c r="P690" s="39">
        <f t="shared" si="42"/>
        <v>0.66000000000000048</v>
      </c>
      <c r="Q690" s="64">
        <f t="shared" si="43"/>
        <v>19.799999999999994</v>
      </c>
      <c r="R690" s="64">
        <f t="shared" ca="1" si="41"/>
        <v>-95.725563728553155</v>
      </c>
      <c r="T690" s="35">
        <f ca="1">DATA!AM685*$B$7</f>
        <v>-4182.5627068343865</v>
      </c>
    </row>
    <row r="691" spans="15:20" x14ac:dyDescent="0.25">
      <c r="O691" s="38">
        <f t="shared" ca="1" si="44"/>
        <v>6.2117672496262736E-3</v>
      </c>
      <c r="P691" s="39">
        <f t="shared" si="42"/>
        <v>0.66100000000000048</v>
      </c>
      <c r="Q691" s="64">
        <f t="shared" si="43"/>
        <v>19.829999999999995</v>
      </c>
      <c r="R691" s="64">
        <f t="shared" ca="1" si="41"/>
        <v>-95.870981249354003</v>
      </c>
      <c r="T691" s="35">
        <f ca="1">DATA!AM686*$B$7</f>
        <v>106478.68780070514</v>
      </c>
    </row>
    <row r="692" spans="15:20" x14ac:dyDescent="0.25">
      <c r="O692" s="38">
        <f t="shared" ca="1" si="44"/>
        <v>6.2263016108212738E-3</v>
      </c>
      <c r="P692" s="39">
        <f t="shared" si="42"/>
        <v>0.66200000000000048</v>
      </c>
      <c r="Q692" s="64">
        <f t="shared" si="43"/>
        <v>19.859999999999996</v>
      </c>
      <c r="R692" s="64">
        <f t="shared" ca="1" si="41"/>
        <v>-96.016398770154851</v>
      </c>
      <c r="T692" s="35">
        <f ca="1">DATA!AM687*$B$7</f>
        <v>-296204.56476270332</v>
      </c>
    </row>
    <row r="693" spans="15:20" x14ac:dyDescent="0.25">
      <c r="O693" s="38">
        <f t="shared" ca="1" si="44"/>
        <v>6.240836002830874E-3</v>
      </c>
      <c r="P693" s="39">
        <f t="shared" si="42"/>
        <v>0.66300000000000048</v>
      </c>
      <c r="Q693" s="64">
        <f t="shared" si="43"/>
        <v>19.889999999999997</v>
      </c>
      <c r="R693" s="64">
        <f t="shared" ca="1" si="41"/>
        <v>-96.161816290955684</v>
      </c>
      <c r="T693" s="35">
        <f ca="1">DATA!AM688*$B$7</f>
        <v>-63164.085524865528</v>
      </c>
    </row>
    <row r="694" spans="15:20" x14ac:dyDescent="0.25">
      <c r="O694" s="38">
        <f t="shared" ca="1" si="44"/>
        <v>6.2553704254402782E-3</v>
      </c>
      <c r="P694" s="39">
        <f t="shared" si="42"/>
        <v>0.66400000000000048</v>
      </c>
      <c r="Q694" s="64">
        <f t="shared" si="43"/>
        <v>19.919999999999998</v>
      </c>
      <c r="R694" s="64">
        <f t="shared" ca="1" si="41"/>
        <v>-96.307233811756532</v>
      </c>
      <c r="T694" s="35">
        <f ca="1">DATA!AM689*$B$7</f>
        <v>-66194.483877933773</v>
      </c>
    </row>
    <row r="695" spans="15:20" x14ac:dyDescent="0.25">
      <c r="O695" s="38">
        <f t="shared" ca="1" si="44"/>
        <v>6.2699048784366869E-3</v>
      </c>
      <c r="P695" s="39">
        <f t="shared" si="42"/>
        <v>0.66500000000000048</v>
      </c>
      <c r="Q695" s="64">
        <f t="shared" si="43"/>
        <v>19.95</v>
      </c>
      <c r="R695" s="64">
        <f t="shared" ca="1" si="41"/>
        <v>-96.45265133255738</v>
      </c>
      <c r="T695" s="35">
        <f ca="1">DATA!AM690*$B$7</f>
        <v>-71791.687972001324</v>
      </c>
    </row>
    <row r="696" spans="15:20" x14ac:dyDescent="0.25">
      <c r="O696" s="38">
        <f t="shared" ca="1" si="44"/>
        <v>6.2844393616092635E-3</v>
      </c>
      <c r="P696" s="39">
        <f t="shared" si="42"/>
        <v>0.66600000000000048</v>
      </c>
      <c r="Q696" s="64">
        <f t="shared" si="43"/>
        <v>19.98</v>
      </c>
      <c r="R696" s="64">
        <f t="shared" ca="1" si="41"/>
        <v>-96.598068853358228</v>
      </c>
      <c r="T696" s="35">
        <f ca="1">DATA!AM691*$B$7</f>
        <v>-45903.974491426088</v>
      </c>
    </row>
    <row r="697" spans="15:20" x14ac:dyDescent="0.25">
      <c r="O697" s="38">
        <f t="shared" ca="1" si="44"/>
        <v>6.2989738747491206E-3</v>
      </c>
      <c r="P697" s="39">
        <f t="shared" si="42"/>
        <v>0.66700000000000048</v>
      </c>
      <c r="Q697" s="64">
        <f t="shared" si="43"/>
        <v>20.010000000000002</v>
      </c>
      <c r="R697" s="64">
        <f t="shared" ca="1" si="41"/>
        <v>-96.743486374159062</v>
      </c>
      <c r="T697" s="35">
        <f ca="1">DATA!AM692*$B$7</f>
        <v>108989.59847702549</v>
      </c>
    </row>
    <row r="698" spans="15:20" x14ac:dyDescent="0.25">
      <c r="O698" s="38">
        <f t="shared" ca="1" si="44"/>
        <v>6.3135084176492917E-3</v>
      </c>
      <c r="P698" s="39">
        <f t="shared" si="42"/>
        <v>0.66800000000000048</v>
      </c>
      <c r="Q698" s="64">
        <f t="shared" si="43"/>
        <v>20.040000000000003</v>
      </c>
      <c r="R698" s="64">
        <f t="shared" ca="1" si="41"/>
        <v>-96.88890389495991</v>
      </c>
      <c r="T698" s="35">
        <f ca="1">DATA!AM693*$B$7</f>
        <v>168210.27531848921</v>
      </c>
    </row>
    <row r="699" spans="15:20" x14ac:dyDescent="0.25">
      <c r="O699" s="38">
        <f t="shared" ca="1" si="44"/>
        <v>6.3280429901047142E-3</v>
      </c>
      <c r="P699" s="39">
        <f t="shared" si="42"/>
        <v>0.66900000000000048</v>
      </c>
      <c r="Q699" s="64">
        <f t="shared" si="43"/>
        <v>20.070000000000004</v>
      </c>
      <c r="R699" s="64">
        <f t="shared" ca="1" si="41"/>
        <v>-97.034321415760758</v>
      </c>
      <c r="T699" s="35">
        <f ca="1">DATA!AM694*$B$7</f>
        <v>-209797.16730664053</v>
      </c>
    </row>
    <row r="700" spans="15:20" x14ac:dyDescent="0.25">
      <c r="O700" s="38">
        <f t="shared" ca="1" si="44"/>
        <v>6.3425775919122001E-3</v>
      </c>
      <c r="P700" s="39">
        <f t="shared" si="42"/>
        <v>0.67000000000000048</v>
      </c>
      <c r="Q700" s="64">
        <f t="shared" si="43"/>
        <v>20.100000000000005</v>
      </c>
      <c r="R700" s="64">
        <f t="shared" ca="1" si="41"/>
        <v>-97.179738936561591</v>
      </c>
      <c r="T700" s="35">
        <f ca="1">DATA!AM695*$B$7</f>
        <v>201445.90931254002</v>
      </c>
    </row>
    <row r="701" spans="15:20" x14ac:dyDescent="0.25">
      <c r="O701" s="38">
        <f t="shared" ca="1" si="44"/>
        <v>6.3571122228704216E-3</v>
      </c>
      <c r="P701" s="39">
        <f t="shared" si="42"/>
        <v>0.67100000000000048</v>
      </c>
      <c r="Q701" s="64">
        <f t="shared" si="43"/>
        <v>20.130000000000006</v>
      </c>
      <c r="R701" s="64">
        <f t="shared" ca="1" si="41"/>
        <v>-97.325156457362439</v>
      </c>
      <c r="T701" s="35">
        <f ca="1">DATA!AM696*$B$7</f>
        <v>-41852.471847687382</v>
      </c>
    </row>
    <row r="702" spans="15:20" x14ac:dyDescent="0.25">
      <c r="O702" s="38">
        <f t="shared" ca="1" si="44"/>
        <v>6.3716468827798899E-3</v>
      </c>
      <c r="P702" s="39">
        <f t="shared" si="42"/>
        <v>0.67200000000000049</v>
      </c>
      <c r="Q702" s="64">
        <f t="shared" si="43"/>
        <v>20.160000000000007</v>
      </c>
      <c r="R702" s="64">
        <f t="shared" ca="1" si="41"/>
        <v>-97.470573978163287</v>
      </c>
      <c r="T702" s="35">
        <f ca="1">DATA!AM697*$B$7</f>
        <v>157289.3723570455</v>
      </c>
    </row>
    <row r="703" spans="15:20" x14ac:dyDescent="0.25">
      <c r="O703" s="38">
        <f t="shared" ca="1" si="44"/>
        <v>6.386181571442928E-3</v>
      </c>
      <c r="P703" s="39">
        <f t="shared" si="42"/>
        <v>0.67300000000000049</v>
      </c>
      <c r="Q703" s="64">
        <f t="shared" si="43"/>
        <v>20.190000000000008</v>
      </c>
      <c r="R703" s="64">
        <f t="shared" ca="1" si="41"/>
        <v>-97.615991498964121</v>
      </c>
      <c r="T703" s="35">
        <f ca="1">DATA!AM698*$B$7</f>
        <v>-353657.16008430545</v>
      </c>
    </row>
    <row r="704" spans="15:20" x14ac:dyDescent="0.25">
      <c r="O704" s="38">
        <f t="shared" ca="1" si="44"/>
        <v>6.4007162886636588E-3</v>
      </c>
      <c r="P704" s="39">
        <f t="shared" si="42"/>
        <v>0.67400000000000049</v>
      </c>
      <c r="Q704" s="64">
        <f t="shared" si="43"/>
        <v>20.22000000000001</v>
      </c>
      <c r="R704" s="64">
        <f t="shared" ca="1" si="41"/>
        <v>-97.761409019764969</v>
      </c>
      <c r="T704" s="35">
        <f ca="1">DATA!AM699*$B$7</f>
        <v>-68647.575085476361</v>
      </c>
    </row>
    <row r="705" spans="15:20" x14ac:dyDescent="0.25">
      <c r="O705" s="38">
        <f t="shared" ca="1" si="44"/>
        <v>6.4152510342479728E-3</v>
      </c>
      <c r="P705" s="39">
        <f t="shared" si="42"/>
        <v>0.67500000000000049</v>
      </c>
      <c r="Q705" s="64">
        <f t="shared" si="43"/>
        <v>20.250000000000011</v>
      </c>
      <c r="R705" s="64">
        <f t="shared" ca="1" si="41"/>
        <v>-97.906826540565817</v>
      </c>
      <c r="T705" s="35">
        <f ca="1">DATA!AM700*$B$7</f>
        <v>45067.762813785761</v>
      </c>
    </row>
    <row r="706" spans="15:20" x14ac:dyDescent="0.25">
      <c r="O706" s="38">
        <f t="shared" ca="1" si="44"/>
        <v>6.429785808003523E-3</v>
      </c>
      <c r="P706" s="39">
        <f t="shared" si="42"/>
        <v>0.67600000000000049</v>
      </c>
      <c r="Q706" s="64">
        <f t="shared" si="43"/>
        <v>20.280000000000012</v>
      </c>
      <c r="R706" s="64">
        <f t="shared" ca="1" si="41"/>
        <v>-98.052244061366665</v>
      </c>
      <c r="T706" s="35">
        <f ca="1">DATA!AM701*$B$7</f>
        <v>8608.9595321595261</v>
      </c>
    </row>
    <row r="707" spans="15:20" x14ac:dyDescent="0.25">
      <c r="O707" s="38">
        <f t="shared" ca="1" si="44"/>
        <v>6.4443206097396927E-3</v>
      </c>
      <c r="P707" s="39">
        <f t="shared" si="42"/>
        <v>0.67700000000000049</v>
      </c>
      <c r="Q707" s="64">
        <f t="shared" si="43"/>
        <v>20.310000000000013</v>
      </c>
      <c r="R707" s="64">
        <f t="shared" ca="1" si="41"/>
        <v>-98.197661582167498</v>
      </c>
      <c r="T707" s="35">
        <f ca="1">DATA!AM702*$B$7</f>
        <v>100496.53595076056</v>
      </c>
    </row>
    <row r="708" spans="15:20" x14ac:dyDescent="0.25">
      <c r="O708" s="38">
        <f t="shared" ca="1" si="44"/>
        <v>6.458855439267581E-3</v>
      </c>
      <c r="P708" s="39">
        <f t="shared" si="42"/>
        <v>0.67800000000000049</v>
      </c>
      <c r="Q708" s="64">
        <f t="shared" si="43"/>
        <v>20.340000000000014</v>
      </c>
      <c r="R708" s="64">
        <f t="shared" ca="1" si="41"/>
        <v>-98.343079102968346</v>
      </c>
      <c r="T708" s="35">
        <f ca="1">DATA!AM703*$B$7</f>
        <v>-110318.26512232586</v>
      </c>
    </row>
    <row r="709" spans="15:20" x14ac:dyDescent="0.25">
      <c r="O709" s="38">
        <f t="shared" ca="1" si="44"/>
        <v>6.473390296399986E-3</v>
      </c>
      <c r="P709" s="39">
        <f t="shared" si="42"/>
        <v>0.67900000000000049</v>
      </c>
      <c r="Q709" s="64">
        <f t="shared" si="43"/>
        <v>20.370000000000015</v>
      </c>
      <c r="R709" s="64">
        <f t="shared" ca="1" si="41"/>
        <v>-98.488496623769194</v>
      </c>
      <c r="T709" s="35">
        <f ca="1">DATA!AM704*$B$7</f>
        <v>-42278.131046196861</v>
      </c>
    </row>
    <row r="710" spans="15:20" x14ac:dyDescent="0.25">
      <c r="O710" s="38">
        <f t="shared" ca="1" si="44"/>
        <v>6.4879251809513792E-3</v>
      </c>
      <c r="P710" s="39">
        <f t="shared" si="42"/>
        <v>0.68000000000000049</v>
      </c>
      <c r="Q710" s="64">
        <f t="shared" si="43"/>
        <v>20.400000000000016</v>
      </c>
      <c r="R710" s="64">
        <f t="shared" ca="1" si="41"/>
        <v>-98.633914144570028</v>
      </c>
      <c r="T710" s="35">
        <f ca="1">DATA!AM705*$B$7</f>
        <v>200656.67477880965</v>
      </c>
    </row>
    <row r="711" spans="15:20" x14ac:dyDescent="0.25">
      <c r="O711" s="38">
        <f t="shared" ca="1" si="44"/>
        <v>6.5024600927378927E-3</v>
      </c>
      <c r="P711" s="39">
        <f t="shared" si="42"/>
        <v>0.68100000000000049</v>
      </c>
      <c r="Q711" s="64">
        <f t="shared" si="43"/>
        <v>20.430000000000017</v>
      </c>
      <c r="R711" s="64">
        <f t="shared" ca="1" si="41"/>
        <v>-98.779331665370876</v>
      </c>
      <c r="T711" s="35">
        <f ca="1">DATA!AM706*$B$7</f>
        <v>516193.25673688517</v>
      </c>
    </row>
    <row r="712" spans="15:20" x14ac:dyDescent="0.25">
      <c r="O712" s="38">
        <f t="shared" ca="1" si="44"/>
        <v>6.5169950315772983E-3</v>
      </c>
      <c r="P712" s="39">
        <f t="shared" si="42"/>
        <v>0.68200000000000049</v>
      </c>
      <c r="Q712" s="64">
        <f t="shared" si="43"/>
        <v>20.460000000000019</v>
      </c>
      <c r="R712" s="64">
        <f t="shared" ca="1" si="41"/>
        <v>-98.924749186171724</v>
      </c>
      <c r="T712" s="35">
        <f ca="1">DATA!AM707*$B$7</f>
        <v>115898.94408465442</v>
      </c>
    </row>
    <row r="713" spans="15:20" x14ac:dyDescent="0.25">
      <c r="O713" s="38">
        <f t="shared" ca="1" si="44"/>
        <v>6.5315299972889913E-3</v>
      </c>
      <c r="P713" s="39">
        <f t="shared" si="42"/>
        <v>0.6830000000000005</v>
      </c>
      <c r="Q713" s="64">
        <f t="shared" si="43"/>
        <v>20.49000000000002</v>
      </c>
      <c r="R713" s="64">
        <f t="shared" ca="1" si="41"/>
        <v>-99.070166706972557</v>
      </c>
      <c r="T713" s="35">
        <f ca="1">DATA!AM708*$B$7</f>
        <v>318798.98997146683</v>
      </c>
    </row>
    <row r="714" spans="15:20" x14ac:dyDescent="0.25">
      <c r="O714" s="38">
        <f t="shared" ca="1" si="44"/>
        <v>6.5460649896939664E-3</v>
      </c>
      <c r="P714" s="39">
        <f t="shared" si="42"/>
        <v>0.6840000000000005</v>
      </c>
      <c r="Q714" s="64">
        <f t="shared" si="43"/>
        <v>20.520000000000021</v>
      </c>
      <c r="R714" s="64">
        <f t="shared" ca="1" si="41"/>
        <v>-99.215584227773405</v>
      </c>
      <c r="T714" s="35">
        <f ca="1">DATA!AM709*$B$7</f>
        <v>-107194.68061473141</v>
      </c>
    </row>
    <row r="715" spans="15:20" x14ac:dyDescent="0.25">
      <c r="O715" s="38">
        <f t="shared" ca="1" si="44"/>
        <v>6.5606000086148092E-3</v>
      </c>
      <c r="P715" s="39">
        <f t="shared" si="42"/>
        <v>0.6850000000000005</v>
      </c>
      <c r="Q715" s="64">
        <f t="shared" si="43"/>
        <v>20.550000000000022</v>
      </c>
      <c r="R715" s="64">
        <f t="shared" ca="1" si="41"/>
        <v>-99.361001748574253</v>
      </c>
      <c r="T715" s="35">
        <f ca="1">DATA!AM710*$B$7</f>
        <v>193091.42446810263</v>
      </c>
    </row>
    <row r="716" spans="15:20" x14ac:dyDescent="0.25">
      <c r="O716" s="38">
        <f t="shared" ca="1" si="44"/>
        <v>6.5751350538756697E-3</v>
      </c>
      <c r="P716" s="39">
        <f t="shared" si="42"/>
        <v>0.6860000000000005</v>
      </c>
      <c r="Q716" s="64">
        <f t="shared" si="43"/>
        <v>20.580000000000023</v>
      </c>
      <c r="R716" s="64">
        <f t="shared" ca="1" si="41"/>
        <v>-99.506419269375101</v>
      </c>
      <c r="T716" s="35">
        <f ca="1">DATA!AM711*$B$7</f>
        <v>-9682.2746075458672</v>
      </c>
    </row>
    <row r="717" spans="15:20" x14ac:dyDescent="0.25">
      <c r="O717" s="38">
        <f t="shared" ca="1" si="44"/>
        <v>6.5896701253022518E-3</v>
      </c>
      <c r="P717" s="39">
        <f t="shared" si="42"/>
        <v>0.6870000000000005</v>
      </c>
      <c r="Q717" s="64">
        <f t="shared" si="43"/>
        <v>20.610000000000024</v>
      </c>
      <c r="R717" s="64">
        <f t="shared" ca="1" si="41"/>
        <v>-99.651836790175935</v>
      </c>
      <c r="T717" s="35">
        <f ca="1">DATA!AM712*$B$7</f>
        <v>-113394.32802043411</v>
      </c>
    </row>
    <row r="718" spans="15:20" x14ac:dyDescent="0.25">
      <c r="O718" s="38">
        <f t="shared" ca="1" si="44"/>
        <v>6.6042052227217925E-3</v>
      </c>
      <c r="P718" s="39">
        <f t="shared" si="42"/>
        <v>0.6880000000000005</v>
      </c>
      <c r="Q718" s="64">
        <f t="shared" si="43"/>
        <v>20.640000000000025</v>
      </c>
      <c r="R718" s="64">
        <f t="shared" ca="1" si="41"/>
        <v>-99.797254310976783</v>
      </c>
      <c r="T718" s="35">
        <f ca="1">DATA!AM713*$B$7</f>
        <v>483751.25889494445</v>
      </c>
    </row>
    <row r="719" spans="15:20" x14ac:dyDescent="0.25">
      <c r="O719" s="38">
        <f t="shared" ca="1" si="44"/>
        <v>6.6187403459630452E-3</v>
      </c>
      <c r="P719" s="39">
        <f t="shared" si="42"/>
        <v>0.6890000000000005</v>
      </c>
      <c r="Q719" s="64">
        <f t="shared" si="43"/>
        <v>20.670000000000027</v>
      </c>
      <c r="R719" s="64">
        <f t="shared" ca="1" si="41"/>
        <v>-99.942671831777631</v>
      </c>
      <c r="T719" s="35">
        <f ca="1">DATA!AM714*$B$7</f>
        <v>275275.12833698967</v>
      </c>
    </row>
    <row r="720" spans="15:20" x14ac:dyDescent="0.25">
      <c r="O720" s="38">
        <f t="shared" ca="1" si="44"/>
        <v>6.6332754948562654E-3</v>
      </c>
      <c r="P720" s="39">
        <f t="shared" si="42"/>
        <v>0.6900000000000005</v>
      </c>
      <c r="Q720" s="64">
        <f t="shared" si="43"/>
        <v>20.700000000000028</v>
      </c>
      <c r="R720" s="64">
        <f t="shared" ca="1" si="41"/>
        <v>-100.08808935257846</v>
      </c>
      <c r="T720" s="35">
        <f ca="1">DATA!AM715*$B$7</f>
        <v>28386.402967923084</v>
      </c>
    </row>
    <row r="721" spans="15:20" x14ac:dyDescent="0.25">
      <c r="O721" s="38">
        <f t="shared" ca="1" si="44"/>
        <v>6.6478106692331937E-3</v>
      </c>
      <c r="P721" s="39">
        <f t="shared" si="42"/>
        <v>0.6910000000000005</v>
      </c>
      <c r="Q721" s="64">
        <f t="shared" si="43"/>
        <v>20.730000000000029</v>
      </c>
      <c r="R721" s="64">
        <f t="shared" ca="1" si="41"/>
        <v>-100.23350687337931</v>
      </c>
      <c r="T721" s="35">
        <f ca="1">DATA!AM716*$B$7</f>
        <v>147509.50538469953</v>
      </c>
    </row>
    <row r="722" spans="15:20" x14ac:dyDescent="0.25">
      <c r="O722" s="38">
        <f t="shared" ca="1" si="44"/>
        <v>6.6623458689270354E-3</v>
      </c>
      <c r="P722" s="39">
        <f t="shared" si="42"/>
        <v>0.6920000000000005</v>
      </c>
      <c r="Q722" s="64">
        <f t="shared" si="43"/>
        <v>20.76000000000003</v>
      </c>
      <c r="R722" s="64">
        <f t="shared" ca="1" si="41"/>
        <v>-100.37892439418016</v>
      </c>
      <c r="T722" s="35">
        <f ca="1">DATA!AM717*$B$7</f>
        <v>154017.97378884355</v>
      </c>
    </row>
    <row r="723" spans="15:20" x14ac:dyDescent="0.25">
      <c r="O723" s="38">
        <f t="shared" ca="1" si="44"/>
        <v>6.6768810937724507E-3</v>
      </c>
      <c r="P723" s="39">
        <f t="shared" si="42"/>
        <v>0.6930000000000005</v>
      </c>
      <c r="Q723" s="64">
        <f t="shared" si="43"/>
        <v>20.790000000000031</v>
      </c>
      <c r="R723" s="64">
        <f t="shared" ca="1" si="41"/>
        <v>-100.52434191498099</v>
      </c>
      <c r="T723" s="35">
        <f ca="1">DATA!AM718*$B$7</f>
        <v>-92659.115206954215</v>
      </c>
    </row>
    <row r="724" spans="15:20" x14ac:dyDescent="0.25">
      <c r="O724" s="38">
        <f t="shared" ca="1" si="44"/>
        <v>6.6914163436055359E-3</v>
      </c>
      <c r="P724" s="39">
        <f t="shared" si="42"/>
        <v>0.69400000000000051</v>
      </c>
      <c r="Q724" s="64">
        <f t="shared" si="43"/>
        <v>20.820000000000032</v>
      </c>
      <c r="R724" s="64">
        <f t="shared" ca="1" si="41"/>
        <v>-100.66975943578184</v>
      </c>
      <c r="T724" s="35">
        <f ca="1">DATA!AM719*$B$7</f>
        <v>56754.631080489715</v>
      </c>
    </row>
    <row r="725" spans="15:20" x14ac:dyDescent="0.25">
      <c r="O725" s="38">
        <f t="shared" ca="1" si="44"/>
        <v>6.7059516182638081E-3</v>
      </c>
      <c r="P725" s="39">
        <f t="shared" si="42"/>
        <v>0.69500000000000051</v>
      </c>
      <c r="Q725" s="64">
        <f t="shared" si="43"/>
        <v>20.850000000000033</v>
      </c>
      <c r="R725" s="64">
        <f t="shared" ca="1" si="41"/>
        <v>-100.81517695658269</v>
      </c>
      <c r="T725" s="35">
        <f ca="1">DATA!AM720*$B$7</f>
        <v>11538.574451003411</v>
      </c>
    </row>
    <row r="726" spans="15:20" x14ac:dyDescent="0.25">
      <c r="O726" s="38">
        <f t="shared" ca="1" si="44"/>
        <v>6.7204869175861879E-3</v>
      </c>
      <c r="P726" s="39">
        <f t="shared" si="42"/>
        <v>0.69600000000000051</v>
      </c>
      <c r="Q726" s="64">
        <f t="shared" si="43"/>
        <v>20.880000000000035</v>
      </c>
      <c r="R726" s="64">
        <f t="shared" ca="1" si="41"/>
        <v>-100.96059447738354</v>
      </c>
      <c r="T726" s="35">
        <f ca="1">DATA!AM721*$B$7</f>
        <v>467486.31981517497</v>
      </c>
    </row>
    <row r="727" spans="15:20" x14ac:dyDescent="0.25">
      <c r="O727" s="38">
        <f t="shared" ca="1" si="44"/>
        <v>6.7350222414129888E-3</v>
      </c>
      <c r="P727" s="39">
        <f t="shared" si="42"/>
        <v>0.69700000000000051</v>
      </c>
      <c r="Q727" s="64">
        <f t="shared" si="43"/>
        <v>20.910000000000036</v>
      </c>
      <c r="R727" s="64">
        <f t="shared" ca="1" si="41"/>
        <v>-101.10601199818437</v>
      </c>
      <c r="T727" s="35">
        <f ca="1">DATA!AM722*$B$7</f>
        <v>-272054.4161569468</v>
      </c>
    </row>
    <row r="728" spans="15:20" x14ac:dyDescent="0.25">
      <c r="O728" s="38">
        <f t="shared" ca="1" si="44"/>
        <v>6.7495575895858955E-3</v>
      </c>
      <c r="P728" s="39">
        <f t="shared" si="42"/>
        <v>0.69800000000000051</v>
      </c>
      <c r="Q728" s="64">
        <f t="shared" si="43"/>
        <v>20.940000000000037</v>
      </c>
      <c r="R728" s="64">
        <f t="shared" ca="1" si="41"/>
        <v>-101.25142951898522</v>
      </c>
      <c r="T728" s="35">
        <f ca="1">DATA!AM723*$B$7</f>
        <v>-17745.410382812803</v>
      </c>
    </row>
    <row r="729" spans="15:20" x14ac:dyDescent="0.25">
      <c r="O729" s="38">
        <f t="shared" ca="1" si="44"/>
        <v>6.7640929619479599E-3</v>
      </c>
      <c r="P729" s="39">
        <f t="shared" si="42"/>
        <v>0.69900000000000051</v>
      </c>
      <c r="Q729" s="64">
        <f t="shared" si="43"/>
        <v>20.970000000000038</v>
      </c>
      <c r="R729" s="64">
        <f t="shared" ca="1" si="41"/>
        <v>-101.39684703978607</v>
      </c>
      <c r="T729" s="35">
        <f ca="1">DATA!AM724*$B$7</f>
        <v>11266.534782900808</v>
      </c>
    </row>
    <row r="730" spans="15:20" x14ac:dyDescent="0.25">
      <c r="O730" s="38">
        <f t="shared" ca="1" si="44"/>
        <v>6.7786283583435745E-3</v>
      </c>
      <c r="P730" s="39">
        <f t="shared" si="42"/>
        <v>0.70000000000000051</v>
      </c>
      <c r="Q730" s="64">
        <f t="shared" si="43"/>
        <v>21.000000000000039</v>
      </c>
      <c r="R730" s="64">
        <f t="shared" ca="1" si="41"/>
        <v>-101.5422645605869</v>
      </c>
      <c r="T730" s="35">
        <f ca="1">DATA!AM725*$B$7</f>
        <v>319863.62866081228</v>
      </c>
    </row>
    <row r="731" spans="15:20" x14ac:dyDescent="0.25">
      <c r="O731" s="38">
        <f t="shared" ca="1" si="44"/>
        <v>6.7931637786184627E-3</v>
      </c>
      <c r="P731" s="39">
        <f t="shared" si="42"/>
        <v>0.70100000000000051</v>
      </c>
      <c r="Q731" s="64">
        <f t="shared" si="43"/>
        <v>21.03000000000004</v>
      </c>
      <c r="R731" s="64">
        <f t="shared" ca="1" si="41"/>
        <v>-101.68768208138775</v>
      </c>
      <c r="T731" s="35">
        <f ca="1">DATA!AM726*$B$7</f>
        <v>-353584.02946178196</v>
      </c>
    </row>
    <row r="732" spans="15:20" x14ac:dyDescent="0.25">
      <c r="O732" s="38">
        <f t="shared" ca="1" si="44"/>
        <v>6.8076992226196722E-3</v>
      </c>
      <c r="P732" s="39">
        <f t="shared" si="42"/>
        <v>0.70200000000000051</v>
      </c>
      <c r="Q732" s="64">
        <f t="shared" si="43"/>
        <v>21.060000000000041</v>
      </c>
      <c r="R732" s="64">
        <f t="shared" ca="1" si="41"/>
        <v>-101.8330996021886</v>
      </c>
      <c r="T732" s="35">
        <f ca="1">DATA!AM727*$B$7</f>
        <v>3052.8534104877936</v>
      </c>
    </row>
    <row r="733" spans="15:20" x14ac:dyDescent="0.25">
      <c r="O733" s="38">
        <f t="shared" ca="1" si="44"/>
        <v>6.8222346901955448E-3</v>
      </c>
      <c r="P733" s="39">
        <f t="shared" si="42"/>
        <v>0.70300000000000051</v>
      </c>
      <c r="Q733" s="64">
        <f t="shared" si="43"/>
        <v>21.090000000000042</v>
      </c>
      <c r="R733" s="64">
        <f t="shared" ca="1" si="41"/>
        <v>-101.97851712298943</v>
      </c>
      <c r="T733" s="35">
        <f ca="1">DATA!AM728*$B$7</f>
        <v>-122683.8410813536</v>
      </c>
    </row>
    <row r="734" spans="15:20" x14ac:dyDescent="0.25">
      <c r="O734" s="38">
        <f t="shared" ca="1" si="44"/>
        <v>6.8367701811957171E-3</v>
      </c>
      <c r="P734" s="39">
        <f t="shared" si="42"/>
        <v>0.70400000000000051</v>
      </c>
      <c r="Q734" s="64">
        <f t="shared" si="43"/>
        <v>21.120000000000044</v>
      </c>
      <c r="R734" s="64">
        <f t="shared" ca="1" si="41"/>
        <v>-102.12393464379028</v>
      </c>
      <c r="T734" s="35">
        <f ca="1">DATA!AM729*$B$7</f>
        <v>-81820.383834834516</v>
      </c>
    </row>
    <row r="735" spans="15:20" x14ac:dyDescent="0.25">
      <c r="O735" s="38">
        <f t="shared" ca="1" si="44"/>
        <v>6.851305695471102E-3</v>
      </c>
      <c r="P735" s="39">
        <f t="shared" si="42"/>
        <v>0.70500000000000052</v>
      </c>
      <c r="Q735" s="64">
        <f t="shared" si="43"/>
        <v>21.150000000000045</v>
      </c>
      <c r="R735" s="64">
        <f t="shared" ref="R735:R798" ca="1" si="45">$B$8+$B$42*Q735</f>
        <v>-102.26935216459113</v>
      </c>
      <c r="T735" s="35">
        <f ca="1">DATA!AM730*$B$7</f>
        <v>-455033.78864387207</v>
      </c>
    </row>
    <row r="736" spans="15:20" x14ac:dyDescent="0.25">
      <c r="O736" s="38">
        <f t="shared" ca="1" si="44"/>
        <v>6.8658412328738722E-3</v>
      </c>
      <c r="P736" s="39">
        <f t="shared" ref="P736:P799" si="46">P735+0.1%</f>
        <v>0.70600000000000052</v>
      </c>
      <c r="Q736" s="64">
        <f t="shared" ref="Q736:Q799" si="47">Q735+0.03</f>
        <v>21.180000000000046</v>
      </c>
      <c r="R736" s="64">
        <f t="shared" ca="1" si="45"/>
        <v>-102.41476968539197</v>
      </c>
      <c r="T736" s="35">
        <f ca="1">DATA!AM731*$B$7</f>
        <v>250487.53063974157</v>
      </c>
    </row>
    <row r="737" spans="15:20" x14ac:dyDescent="0.25">
      <c r="O737" s="38">
        <f t="shared" ca="1" si="44"/>
        <v>6.8803767932574507E-3</v>
      </c>
      <c r="P737" s="39">
        <f t="shared" si="46"/>
        <v>0.70700000000000052</v>
      </c>
      <c r="Q737" s="64">
        <f t="shared" si="47"/>
        <v>21.210000000000047</v>
      </c>
      <c r="R737" s="64">
        <f t="shared" ca="1" si="45"/>
        <v>-102.56018720619281</v>
      </c>
      <c r="T737" s="35">
        <f ca="1">DATA!AM732*$B$7</f>
        <v>-17275.250244879629</v>
      </c>
    </row>
    <row r="738" spans="15:20" x14ac:dyDescent="0.25">
      <c r="O738" s="38">
        <f t="shared" ca="1" si="44"/>
        <v>6.8949123764764954E-3</v>
      </c>
      <c r="P738" s="39">
        <f t="shared" si="46"/>
        <v>0.70800000000000052</v>
      </c>
      <c r="Q738" s="64">
        <f t="shared" si="47"/>
        <v>21.240000000000048</v>
      </c>
      <c r="R738" s="64">
        <f t="shared" ca="1" si="45"/>
        <v>-102.70560472699366</v>
      </c>
      <c r="T738" s="35">
        <f ca="1">DATA!AM733*$B$7</f>
        <v>291495.62082920078</v>
      </c>
    </row>
    <row r="739" spans="15:20" x14ac:dyDescent="0.25">
      <c r="O739" s="38">
        <f t="shared" ca="1" si="44"/>
        <v>6.9094479823868897E-3</v>
      </c>
      <c r="P739" s="39">
        <f t="shared" si="46"/>
        <v>0.70900000000000052</v>
      </c>
      <c r="Q739" s="64">
        <f t="shared" si="47"/>
        <v>21.270000000000049</v>
      </c>
      <c r="R739" s="64">
        <f t="shared" ca="1" si="45"/>
        <v>-102.8510222477945</v>
      </c>
      <c r="T739" s="35">
        <f ca="1">DATA!AM734*$B$7</f>
        <v>90237.764676998821</v>
      </c>
    </row>
    <row r="740" spans="15:20" x14ac:dyDescent="0.25">
      <c r="O740" s="38">
        <f t="shared" ref="O740:O803" ca="1" si="48">SQRT(($B$36*P740^2 - 2*$B$37*P740 +$B$38)/$B$39)</f>
        <v>6.9239836108457237E-3</v>
      </c>
      <c r="P740" s="39">
        <f t="shared" si="46"/>
        <v>0.71000000000000052</v>
      </c>
      <c r="Q740" s="64">
        <f t="shared" si="47"/>
        <v>21.30000000000005</v>
      </c>
      <c r="R740" s="64">
        <f t="shared" ca="1" si="45"/>
        <v>-102.99643976859534</v>
      </c>
      <c r="T740" s="35">
        <f ca="1">DATA!AM735*$B$7</f>
        <v>400497.48109987157</v>
      </c>
    </row>
    <row r="741" spans="15:20" x14ac:dyDescent="0.25">
      <c r="O741" s="38">
        <f t="shared" ca="1" si="48"/>
        <v>6.9385192617112835E-3</v>
      </c>
      <c r="P741" s="39">
        <f t="shared" si="46"/>
        <v>0.71100000000000052</v>
      </c>
      <c r="Q741" s="64">
        <f t="shared" si="47"/>
        <v>21.330000000000052</v>
      </c>
      <c r="R741" s="64">
        <f t="shared" ca="1" si="45"/>
        <v>-103.14185728939619</v>
      </c>
      <c r="T741" s="35">
        <f ca="1">DATA!AM736*$B$7</f>
        <v>-187951.1174122688</v>
      </c>
    </row>
    <row r="742" spans="15:20" x14ac:dyDescent="0.25">
      <c r="O742" s="38">
        <f t="shared" ca="1" si="48"/>
        <v>6.953054934843046E-3</v>
      </c>
      <c r="P742" s="39">
        <f t="shared" si="46"/>
        <v>0.71200000000000052</v>
      </c>
      <c r="Q742" s="64">
        <f t="shared" si="47"/>
        <v>21.360000000000053</v>
      </c>
      <c r="R742" s="64">
        <f t="shared" ca="1" si="45"/>
        <v>-103.28727481019703</v>
      </c>
      <c r="T742" s="35">
        <f ca="1">DATA!AM737*$B$7</f>
        <v>-318005.80656944454</v>
      </c>
    </row>
    <row r="743" spans="15:20" x14ac:dyDescent="0.25">
      <c r="O743" s="38">
        <f t="shared" ca="1" si="48"/>
        <v>6.9675906301016558E-3</v>
      </c>
      <c r="P743" s="39">
        <f t="shared" si="46"/>
        <v>0.71300000000000052</v>
      </c>
      <c r="Q743" s="64">
        <f t="shared" si="47"/>
        <v>21.390000000000054</v>
      </c>
      <c r="R743" s="64">
        <f t="shared" ca="1" si="45"/>
        <v>-103.43269233099788</v>
      </c>
      <c r="T743" s="35">
        <f ca="1">DATA!AM738*$B$7</f>
        <v>-195011.8879038259</v>
      </c>
    </row>
    <row r="744" spans="15:20" x14ac:dyDescent="0.25">
      <c r="O744" s="38">
        <f t="shared" ca="1" si="48"/>
        <v>6.9821263473489187E-3</v>
      </c>
      <c r="P744" s="39">
        <f t="shared" si="46"/>
        <v>0.71400000000000052</v>
      </c>
      <c r="Q744" s="64">
        <f t="shared" si="47"/>
        <v>21.420000000000055</v>
      </c>
      <c r="R744" s="64">
        <f t="shared" ca="1" si="45"/>
        <v>-103.57810985179871</v>
      </c>
      <c r="T744" s="35">
        <f ca="1">DATA!AM739*$B$7</f>
        <v>-141707.59998044927</v>
      </c>
    </row>
    <row r="745" spans="15:20" x14ac:dyDescent="0.25">
      <c r="O745" s="38">
        <f t="shared" ca="1" si="48"/>
        <v>6.9966620864477906E-3</v>
      </c>
      <c r="P745" s="39">
        <f t="shared" si="46"/>
        <v>0.71500000000000052</v>
      </c>
      <c r="Q745" s="64">
        <f t="shared" si="47"/>
        <v>21.450000000000056</v>
      </c>
      <c r="R745" s="64">
        <f t="shared" ca="1" si="45"/>
        <v>-103.72352737259956</v>
      </c>
      <c r="T745" s="35">
        <f ca="1">DATA!AM740*$B$7</f>
        <v>48872.688064943562</v>
      </c>
    </row>
    <row r="746" spans="15:20" x14ac:dyDescent="0.25">
      <c r="O746" s="38">
        <f t="shared" ca="1" si="48"/>
        <v>7.0111978472623595E-3</v>
      </c>
      <c r="P746" s="39">
        <f t="shared" si="46"/>
        <v>0.71600000000000052</v>
      </c>
      <c r="Q746" s="64">
        <f t="shared" si="47"/>
        <v>21.480000000000057</v>
      </c>
      <c r="R746" s="64">
        <f t="shared" ca="1" si="45"/>
        <v>-103.86894489340041</v>
      </c>
      <c r="T746" s="35">
        <f ca="1">DATA!AM741*$B$7</f>
        <v>-160961.26705695849</v>
      </c>
    </row>
    <row r="747" spans="15:20" x14ac:dyDescent="0.25">
      <c r="O747" s="38">
        <f t="shared" ca="1" si="48"/>
        <v>7.0257336296578425E-3</v>
      </c>
      <c r="P747" s="39">
        <f t="shared" si="46"/>
        <v>0.71700000000000053</v>
      </c>
      <c r="Q747" s="64">
        <f t="shared" si="47"/>
        <v>21.510000000000058</v>
      </c>
      <c r="R747" s="64">
        <f t="shared" ca="1" si="45"/>
        <v>-104.01436241420124</v>
      </c>
      <c r="T747" s="35">
        <f ca="1">DATA!AM742*$B$7</f>
        <v>145554.94204122236</v>
      </c>
    </row>
    <row r="748" spans="15:20" x14ac:dyDescent="0.25">
      <c r="O748" s="38">
        <f t="shared" ca="1" si="48"/>
        <v>7.0402694335005662E-3</v>
      </c>
      <c r="P748" s="39">
        <f t="shared" si="46"/>
        <v>0.71800000000000053</v>
      </c>
      <c r="Q748" s="64">
        <f t="shared" si="47"/>
        <v>21.54000000000006</v>
      </c>
      <c r="R748" s="64">
        <f t="shared" ca="1" si="45"/>
        <v>-104.15977993500209</v>
      </c>
      <c r="T748" s="35">
        <f ca="1">DATA!AM743*$B$7</f>
        <v>-204940.77034444021</v>
      </c>
    </row>
    <row r="749" spans="15:20" x14ac:dyDescent="0.25">
      <c r="O749" s="38">
        <f t="shared" ca="1" si="48"/>
        <v>7.0548052586579604E-3</v>
      </c>
      <c r="P749" s="39">
        <f t="shared" si="46"/>
        <v>0.71900000000000053</v>
      </c>
      <c r="Q749" s="64">
        <f t="shared" si="47"/>
        <v>21.570000000000061</v>
      </c>
      <c r="R749" s="64">
        <f t="shared" ca="1" si="45"/>
        <v>-104.30519745580294</v>
      </c>
      <c r="T749" s="35">
        <f ca="1">DATA!AM744*$B$7</f>
        <v>-196373.66556869031</v>
      </c>
    </row>
    <row r="750" spans="15:20" x14ac:dyDescent="0.25">
      <c r="O750" s="38">
        <f t="shared" ca="1" si="48"/>
        <v>7.0693411049985453E-3</v>
      </c>
      <c r="P750" s="39">
        <f t="shared" si="46"/>
        <v>0.72000000000000053</v>
      </c>
      <c r="Q750" s="64">
        <f t="shared" si="47"/>
        <v>21.600000000000062</v>
      </c>
      <c r="R750" s="64">
        <f t="shared" ca="1" si="45"/>
        <v>-104.45061497660377</v>
      </c>
      <c r="T750" s="35">
        <f ca="1">DATA!AM745*$B$7</f>
        <v>43257.654974547484</v>
      </c>
    </row>
    <row r="751" spans="15:20" x14ac:dyDescent="0.25">
      <c r="O751" s="38">
        <f t="shared" ca="1" si="48"/>
        <v>7.0838769723919207E-3</v>
      </c>
      <c r="P751" s="39">
        <f t="shared" si="46"/>
        <v>0.72100000000000053</v>
      </c>
      <c r="Q751" s="64">
        <f t="shared" si="47"/>
        <v>21.630000000000063</v>
      </c>
      <c r="R751" s="64">
        <f t="shared" ca="1" si="45"/>
        <v>-104.59603249740462</v>
      </c>
      <c r="T751" s="35">
        <f ca="1">DATA!AM746*$B$7</f>
        <v>-142652.65528807454</v>
      </c>
    </row>
    <row r="752" spans="15:20" x14ac:dyDescent="0.25">
      <c r="O752" s="38">
        <f t="shared" ca="1" si="48"/>
        <v>7.0984128607087518E-3</v>
      </c>
      <c r="P752" s="39">
        <f t="shared" si="46"/>
        <v>0.72200000000000053</v>
      </c>
      <c r="Q752" s="64">
        <f t="shared" si="47"/>
        <v>21.660000000000064</v>
      </c>
      <c r="R752" s="64">
        <f t="shared" ca="1" si="45"/>
        <v>-104.74145001820547</v>
      </c>
      <c r="T752" s="35">
        <f ca="1">DATA!AM747*$B$7</f>
        <v>-199453.66312670402</v>
      </c>
    </row>
    <row r="753" spans="15:20" x14ac:dyDescent="0.25">
      <c r="O753" s="38">
        <f t="shared" ca="1" si="48"/>
        <v>7.1129487698207644E-3</v>
      </c>
      <c r="P753" s="39">
        <f t="shared" si="46"/>
        <v>0.72300000000000053</v>
      </c>
      <c r="Q753" s="64">
        <f t="shared" si="47"/>
        <v>21.690000000000065</v>
      </c>
      <c r="R753" s="64">
        <f t="shared" ca="1" si="45"/>
        <v>-104.88686753900632</v>
      </c>
      <c r="T753" s="35">
        <f ca="1">DATA!AM748*$B$7</f>
        <v>353867.67495056137</v>
      </c>
    </row>
    <row r="754" spans="15:20" x14ac:dyDescent="0.25">
      <c r="O754" s="38">
        <f t="shared" ca="1" si="48"/>
        <v>7.1274846996007236E-3</v>
      </c>
      <c r="P754" s="39">
        <f t="shared" si="46"/>
        <v>0.72400000000000053</v>
      </c>
      <c r="Q754" s="64">
        <f t="shared" si="47"/>
        <v>21.720000000000066</v>
      </c>
      <c r="R754" s="64">
        <f t="shared" ca="1" si="45"/>
        <v>-105.03228505980715</v>
      </c>
      <c r="T754" s="35">
        <f ca="1">DATA!AM749*$B$7</f>
        <v>-126700.94354426138</v>
      </c>
    </row>
    <row r="755" spans="15:20" x14ac:dyDescent="0.25">
      <c r="O755" s="38">
        <f t="shared" ca="1" si="48"/>
        <v>7.1420206499224394E-3</v>
      </c>
      <c r="P755" s="39">
        <f t="shared" si="46"/>
        <v>0.72500000000000053</v>
      </c>
      <c r="Q755" s="64">
        <f t="shared" si="47"/>
        <v>21.750000000000068</v>
      </c>
      <c r="R755" s="64">
        <f t="shared" ca="1" si="45"/>
        <v>-105.177702580608</v>
      </c>
      <c r="T755" s="35">
        <f ca="1">DATA!AM750*$B$7</f>
        <v>-8447.8292133542636</v>
      </c>
    </row>
    <row r="756" spans="15:20" x14ac:dyDescent="0.25">
      <c r="O756" s="38">
        <f t="shared" ca="1" si="48"/>
        <v>7.1565566206607395E-3</v>
      </c>
      <c r="P756" s="39">
        <f t="shared" si="46"/>
        <v>0.72600000000000053</v>
      </c>
      <c r="Q756" s="64">
        <f t="shared" si="47"/>
        <v>21.780000000000069</v>
      </c>
      <c r="R756" s="64">
        <f t="shared" ca="1" si="45"/>
        <v>-105.32312010140885</v>
      </c>
      <c r="T756" s="35">
        <f ca="1">DATA!AM751*$B$7</f>
        <v>-190953.15745475725</v>
      </c>
    </row>
    <row r="757" spans="15:20" x14ac:dyDescent="0.25">
      <c r="O757" s="38">
        <f t="shared" ca="1" si="48"/>
        <v>7.1710926116914731E-3</v>
      </c>
      <c r="P757" s="39">
        <f t="shared" si="46"/>
        <v>0.72700000000000053</v>
      </c>
      <c r="Q757" s="64">
        <f t="shared" si="47"/>
        <v>21.81000000000007</v>
      </c>
      <c r="R757" s="64">
        <f t="shared" ca="1" si="45"/>
        <v>-105.46853762220968</v>
      </c>
      <c r="T757" s="35">
        <f ca="1">DATA!AM752*$B$7</f>
        <v>195622.36356569844</v>
      </c>
    </row>
    <row r="758" spans="15:20" x14ac:dyDescent="0.25">
      <c r="O758" s="38">
        <f t="shared" ca="1" si="48"/>
        <v>7.1856286228914861E-3</v>
      </c>
      <c r="P758" s="39">
        <f t="shared" si="46"/>
        <v>0.72800000000000054</v>
      </c>
      <c r="Q758" s="64">
        <f t="shared" si="47"/>
        <v>21.840000000000071</v>
      </c>
      <c r="R758" s="64">
        <f t="shared" ca="1" si="45"/>
        <v>-105.61395514301053</v>
      </c>
      <c r="T758" s="35">
        <f ca="1">DATA!AM753*$B$7</f>
        <v>-513755.75463474181</v>
      </c>
    </row>
    <row r="759" spans="15:20" x14ac:dyDescent="0.25">
      <c r="O759" s="38">
        <f t="shared" ca="1" si="48"/>
        <v>7.2001646541386246E-3</v>
      </c>
      <c r="P759" s="39">
        <f t="shared" si="46"/>
        <v>0.72900000000000054</v>
      </c>
      <c r="Q759" s="64">
        <f t="shared" si="47"/>
        <v>21.870000000000072</v>
      </c>
      <c r="R759" s="64">
        <f t="shared" ca="1" si="45"/>
        <v>-105.75937266381138</v>
      </c>
      <c r="T759" s="35">
        <f ca="1">DATA!AM754*$B$7</f>
        <v>421762.40628627926</v>
      </c>
    </row>
    <row r="760" spans="15:20" x14ac:dyDescent="0.25">
      <c r="O760" s="38">
        <f t="shared" ca="1" si="48"/>
        <v>7.2147007053117154E-3</v>
      </c>
      <c r="P760" s="39">
        <f t="shared" si="46"/>
        <v>0.73000000000000054</v>
      </c>
      <c r="Q760" s="64">
        <f t="shared" si="47"/>
        <v>21.900000000000073</v>
      </c>
      <c r="R760" s="64">
        <f t="shared" ca="1" si="45"/>
        <v>-105.90479018461221</v>
      </c>
      <c r="T760" s="35">
        <f ca="1">DATA!AM755*$B$7</f>
        <v>47404.735665837317</v>
      </c>
    </row>
    <row r="761" spans="15:20" x14ac:dyDescent="0.25">
      <c r="O761" s="38">
        <f t="shared" ca="1" si="48"/>
        <v>7.2292367762905631E-3</v>
      </c>
      <c r="P761" s="39">
        <f t="shared" si="46"/>
        <v>0.73100000000000054</v>
      </c>
      <c r="Q761" s="64">
        <f t="shared" si="47"/>
        <v>21.930000000000074</v>
      </c>
      <c r="R761" s="64">
        <f t="shared" ca="1" si="45"/>
        <v>-106.05020770541306</v>
      </c>
      <c r="T761" s="35">
        <f ca="1">DATA!AM756*$B$7</f>
        <v>-394715.2768302508</v>
      </c>
    </row>
    <row r="762" spans="15:20" x14ac:dyDescent="0.25">
      <c r="O762" s="38">
        <f t="shared" ca="1" si="48"/>
        <v>7.2437728669559349E-3</v>
      </c>
      <c r="P762" s="39">
        <f t="shared" si="46"/>
        <v>0.73200000000000054</v>
      </c>
      <c r="Q762" s="64">
        <f t="shared" si="47"/>
        <v>21.960000000000075</v>
      </c>
      <c r="R762" s="64">
        <f t="shared" ca="1" si="45"/>
        <v>-106.19562522621391</v>
      </c>
      <c r="T762" s="35">
        <f ca="1">DATA!AM757*$B$7</f>
        <v>-476867.75864111423</v>
      </c>
    </row>
    <row r="763" spans="15:20" x14ac:dyDescent="0.25">
      <c r="O763" s="38">
        <f t="shared" ca="1" si="48"/>
        <v>7.2583089771895521E-3</v>
      </c>
      <c r="P763" s="39">
        <f t="shared" si="46"/>
        <v>0.73300000000000054</v>
      </c>
      <c r="Q763" s="64">
        <f t="shared" si="47"/>
        <v>21.990000000000077</v>
      </c>
      <c r="R763" s="64">
        <f t="shared" ca="1" si="45"/>
        <v>-106.34104274701475</v>
      </c>
      <c r="T763" s="35">
        <f ca="1">DATA!AM758*$B$7</f>
        <v>-500587.60153144907</v>
      </c>
    </row>
    <row r="764" spans="15:20" x14ac:dyDescent="0.25">
      <c r="O764" s="38">
        <f t="shared" ca="1" si="48"/>
        <v>7.2728451068740834E-3</v>
      </c>
      <c r="P764" s="39">
        <f t="shared" si="46"/>
        <v>0.73400000000000054</v>
      </c>
      <c r="Q764" s="64">
        <f t="shared" si="47"/>
        <v>22.020000000000078</v>
      </c>
      <c r="R764" s="64">
        <f t="shared" ca="1" si="45"/>
        <v>-106.48646026781559</v>
      </c>
      <c r="T764" s="35">
        <f ca="1">DATA!AM759*$B$7</f>
        <v>173034.59902403803</v>
      </c>
    </row>
    <row r="765" spans="15:20" x14ac:dyDescent="0.25">
      <c r="O765" s="38">
        <f t="shared" ca="1" si="48"/>
        <v>7.2873812558931321E-3</v>
      </c>
      <c r="P765" s="39">
        <f t="shared" si="46"/>
        <v>0.73500000000000054</v>
      </c>
      <c r="Q765" s="64">
        <f t="shared" si="47"/>
        <v>22.050000000000079</v>
      </c>
      <c r="R765" s="64">
        <f t="shared" ca="1" si="45"/>
        <v>-106.63187778861644</v>
      </c>
      <c r="T765" s="35">
        <f ca="1">DATA!AM760*$B$7</f>
        <v>146679.41298498382</v>
      </c>
    </row>
    <row r="766" spans="15:20" x14ac:dyDescent="0.25">
      <c r="O766" s="38">
        <f t="shared" ca="1" si="48"/>
        <v>7.3019174241312291E-3</v>
      </c>
      <c r="P766" s="39">
        <f t="shared" si="46"/>
        <v>0.73600000000000054</v>
      </c>
      <c r="Q766" s="64">
        <f t="shared" si="47"/>
        <v>22.08000000000008</v>
      </c>
      <c r="R766" s="64">
        <f t="shared" ca="1" si="45"/>
        <v>-106.77729530941728</v>
      </c>
      <c r="T766" s="35">
        <f ca="1">DATA!AM761*$B$7</f>
        <v>15863.090015972788</v>
      </c>
    </row>
    <row r="767" spans="15:20" x14ac:dyDescent="0.25">
      <c r="O767" s="38">
        <f t="shared" ca="1" si="48"/>
        <v>7.3164536114738209E-3</v>
      </c>
      <c r="P767" s="39">
        <f t="shared" si="46"/>
        <v>0.73700000000000054</v>
      </c>
      <c r="Q767" s="64">
        <f t="shared" si="47"/>
        <v>22.110000000000081</v>
      </c>
      <c r="R767" s="64">
        <f t="shared" ca="1" si="45"/>
        <v>-106.92271283021812</v>
      </c>
      <c r="T767" s="35">
        <f ca="1">DATA!AM762*$B$7</f>
        <v>-304041.48824240256</v>
      </c>
    </row>
    <row r="768" spans="15:20" x14ac:dyDescent="0.25">
      <c r="O768" s="38">
        <f t="shared" ca="1" si="48"/>
        <v>7.3309898178072676E-3</v>
      </c>
      <c r="P768" s="39">
        <f t="shared" si="46"/>
        <v>0.73800000000000054</v>
      </c>
      <c r="Q768" s="64">
        <f t="shared" si="47"/>
        <v>22.140000000000082</v>
      </c>
      <c r="R768" s="64">
        <f t="shared" ca="1" si="45"/>
        <v>-107.06813035101897</v>
      </c>
      <c r="T768" s="35">
        <f ca="1">DATA!AM763*$B$7</f>
        <v>244976.43777256325</v>
      </c>
    </row>
    <row r="769" spans="15:20" x14ac:dyDescent="0.25">
      <c r="O769" s="38">
        <f t="shared" ca="1" si="48"/>
        <v>7.3455260430188227E-3</v>
      </c>
      <c r="P769" s="39">
        <f t="shared" si="46"/>
        <v>0.73900000000000055</v>
      </c>
      <c r="Q769" s="64">
        <f t="shared" si="47"/>
        <v>22.170000000000083</v>
      </c>
      <c r="R769" s="64">
        <f t="shared" ca="1" si="45"/>
        <v>-107.21354787181981</v>
      </c>
      <c r="T769" s="35">
        <f ca="1">DATA!AM764*$B$7</f>
        <v>-25221.118846420475</v>
      </c>
    </row>
    <row r="770" spans="15:20" x14ac:dyDescent="0.25">
      <c r="O770" s="38">
        <f t="shared" ca="1" si="48"/>
        <v>7.3600622869966319E-3</v>
      </c>
      <c r="P770" s="39">
        <f t="shared" si="46"/>
        <v>0.74000000000000055</v>
      </c>
      <c r="Q770" s="64">
        <f t="shared" si="47"/>
        <v>22.200000000000085</v>
      </c>
      <c r="R770" s="64">
        <f t="shared" ca="1" si="45"/>
        <v>-107.35896539262065</v>
      </c>
      <c r="T770" s="35">
        <f ca="1">DATA!AM765*$B$7</f>
        <v>-19685.289494238001</v>
      </c>
    </row>
    <row r="771" spans="15:20" x14ac:dyDescent="0.25">
      <c r="O771" s="38">
        <f t="shared" ca="1" si="48"/>
        <v>7.374598549629725E-3</v>
      </c>
      <c r="P771" s="39">
        <f t="shared" si="46"/>
        <v>0.74100000000000055</v>
      </c>
      <c r="Q771" s="64">
        <f t="shared" si="47"/>
        <v>22.230000000000086</v>
      </c>
      <c r="R771" s="64">
        <f t="shared" ca="1" si="45"/>
        <v>-107.50438291342149</v>
      </c>
      <c r="T771" s="35">
        <f ca="1">DATA!AM766*$B$7</f>
        <v>-28668.639270315714</v>
      </c>
    </row>
    <row r="772" spans="15:20" x14ac:dyDescent="0.25">
      <c r="O772" s="38">
        <f t="shared" ca="1" si="48"/>
        <v>7.3891348308080017E-3</v>
      </c>
      <c r="P772" s="39">
        <f t="shared" si="46"/>
        <v>0.74200000000000055</v>
      </c>
      <c r="Q772" s="64">
        <f t="shared" si="47"/>
        <v>22.260000000000087</v>
      </c>
      <c r="R772" s="64">
        <f t="shared" ca="1" si="45"/>
        <v>-107.64980043422234</v>
      </c>
      <c r="T772" s="35">
        <f ca="1">DATA!AM767*$B$7</f>
        <v>-58575.875245982621</v>
      </c>
    </row>
    <row r="773" spans="15:20" x14ac:dyDescent="0.25">
      <c r="O773" s="38">
        <f t="shared" ca="1" si="48"/>
        <v>7.4036711304222291E-3</v>
      </c>
      <c r="P773" s="39">
        <f t="shared" si="46"/>
        <v>0.74300000000000055</v>
      </c>
      <c r="Q773" s="64">
        <f t="shared" si="47"/>
        <v>22.290000000000088</v>
      </c>
      <c r="R773" s="64">
        <f t="shared" ca="1" si="45"/>
        <v>-107.79521795502319</v>
      </c>
      <c r="T773" s="35">
        <f ca="1">DATA!AM768*$B$7</f>
        <v>83756.94069736838</v>
      </c>
    </row>
    <row r="774" spans="15:20" x14ac:dyDescent="0.25">
      <c r="O774" s="38">
        <f t="shared" ca="1" si="48"/>
        <v>7.4182074483640304E-3</v>
      </c>
      <c r="P774" s="39">
        <f t="shared" si="46"/>
        <v>0.74400000000000055</v>
      </c>
      <c r="Q774" s="64">
        <f t="shared" si="47"/>
        <v>22.320000000000089</v>
      </c>
      <c r="R774" s="64">
        <f t="shared" ca="1" si="45"/>
        <v>-107.94063547582402</v>
      </c>
      <c r="T774" s="35">
        <f ca="1">DATA!AM769*$B$7</f>
        <v>-239154.28597397811</v>
      </c>
    </row>
    <row r="775" spans="15:20" x14ac:dyDescent="0.25">
      <c r="O775" s="38">
        <f t="shared" ca="1" si="48"/>
        <v>7.4327437845258708E-3</v>
      </c>
      <c r="P775" s="39">
        <f t="shared" si="46"/>
        <v>0.74500000000000055</v>
      </c>
      <c r="Q775" s="64">
        <f t="shared" si="47"/>
        <v>22.35000000000009</v>
      </c>
      <c r="R775" s="64">
        <f t="shared" ca="1" si="45"/>
        <v>-108.08605299662487</v>
      </c>
      <c r="T775" s="35">
        <f ca="1">DATA!AM770*$B$7</f>
        <v>-495373.09292828018</v>
      </c>
    </row>
    <row r="776" spans="15:20" x14ac:dyDescent="0.25">
      <c r="O776" s="38">
        <f t="shared" ca="1" si="48"/>
        <v>7.4472801388010632E-3</v>
      </c>
      <c r="P776" s="39">
        <f t="shared" si="46"/>
        <v>0.74600000000000055</v>
      </c>
      <c r="Q776" s="64">
        <f t="shared" si="47"/>
        <v>22.380000000000091</v>
      </c>
      <c r="R776" s="64">
        <f t="shared" ca="1" si="45"/>
        <v>-108.23147051742572</v>
      </c>
      <c r="T776" s="35">
        <f ca="1">DATA!AM771*$B$7</f>
        <v>-43813.226896152119</v>
      </c>
    </row>
    <row r="777" spans="15:20" x14ac:dyDescent="0.25">
      <c r="O777" s="38">
        <f t="shared" ca="1" si="48"/>
        <v>7.4618165110837478E-3</v>
      </c>
      <c r="P777" s="39">
        <f t="shared" si="46"/>
        <v>0.74700000000000055</v>
      </c>
      <c r="Q777" s="64">
        <f t="shared" si="47"/>
        <v>22.410000000000093</v>
      </c>
      <c r="R777" s="64">
        <f t="shared" ca="1" si="45"/>
        <v>-108.37688803822655</v>
      </c>
      <c r="T777" s="35">
        <f ca="1">DATA!AM772*$B$7</f>
        <v>414655.57698427083</v>
      </c>
    </row>
    <row r="778" spans="15:20" x14ac:dyDescent="0.25">
      <c r="O778" s="38">
        <f t="shared" ca="1" si="48"/>
        <v>7.4763529012688845E-3</v>
      </c>
      <c r="P778" s="39">
        <f t="shared" si="46"/>
        <v>0.74800000000000055</v>
      </c>
      <c r="Q778" s="64">
        <f t="shared" si="47"/>
        <v>22.440000000000094</v>
      </c>
      <c r="R778" s="64">
        <f t="shared" ca="1" si="45"/>
        <v>-108.5223055590274</v>
      </c>
      <c r="T778" s="35">
        <f ca="1">DATA!AM773*$B$7</f>
        <v>-14951.462562083021</v>
      </c>
    </row>
    <row r="779" spans="15:20" x14ac:dyDescent="0.25">
      <c r="O779" s="38">
        <f t="shared" ca="1" si="48"/>
        <v>7.4908893092522555E-3</v>
      </c>
      <c r="P779" s="39">
        <f t="shared" si="46"/>
        <v>0.74900000000000055</v>
      </c>
      <c r="Q779" s="64">
        <f t="shared" si="47"/>
        <v>22.470000000000095</v>
      </c>
      <c r="R779" s="64">
        <f t="shared" ca="1" si="45"/>
        <v>-108.66772307982825</v>
      </c>
      <c r="T779" s="35">
        <f ca="1">DATA!AM774*$B$7</f>
        <v>220265.06340495733</v>
      </c>
    </row>
    <row r="780" spans="15:20" x14ac:dyDescent="0.25">
      <c r="O780" s="38">
        <f t="shared" ca="1" si="48"/>
        <v>7.5054257349304468E-3</v>
      </c>
      <c r="P780" s="39">
        <f t="shared" si="46"/>
        <v>0.75000000000000056</v>
      </c>
      <c r="Q780" s="64">
        <f t="shared" si="47"/>
        <v>22.500000000000096</v>
      </c>
      <c r="R780" s="64">
        <f t="shared" ca="1" si="45"/>
        <v>-108.81314060062908</v>
      </c>
      <c r="T780" s="35">
        <f ca="1">DATA!AM775*$B$7</f>
        <v>-90106.675890008439</v>
      </c>
    </row>
    <row r="781" spans="15:20" x14ac:dyDescent="0.25">
      <c r="O781" s="38">
        <f t="shared" ca="1" si="48"/>
        <v>7.5199621782008402E-3</v>
      </c>
      <c r="P781" s="39">
        <f t="shared" si="46"/>
        <v>0.75100000000000056</v>
      </c>
      <c r="Q781" s="64">
        <f t="shared" si="47"/>
        <v>22.530000000000097</v>
      </c>
      <c r="R781" s="64">
        <f t="shared" ca="1" si="45"/>
        <v>-108.95855812142993</v>
      </c>
      <c r="T781" s="35">
        <f ca="1">DATA!AM776*$B$7</f>
        <v>-211572.81634580082</v>
      </c>
    </row>
    <row r="782" spans="15:20" x14ac:dyDescent="0.25">
      <c r="O782" s="38">
        <f t="shared" ca="1" si="48"/>
        <v>7.5344986389616134E-3</v>
      </c>
      <c r="P782" s="39">
        <f t="shared" si="46"/>
        <v>0.75200000000000056</v>
      </c>
      <c r="Q782" s="64">
        <f t="shared" si="47"/>
        <v>22.560000000000098</v>
      </c>
      <c r="R782" s="64">
        <f t="shared" ca="1" si="45"/>
        <v>-109.10397564223078</v>
      </c>
      <c r="T782" s="35">
        <f ca="1">DATA!AM777*$B$7</f>
        <v>-291999.26191086369</v>
      </c>
    </row>
    <row r="783" spans="15:20" x14ac:dyDescent="0.25">
      <c r="O783" s="38">
        <f t="shared" ca="1" si="48"/>
        <v>7.5490351171117326E-3</v>
      </c>
      <c r="P783" s="39">
        <f t="shared" si="46"/>
        <v>0.75300000000000056</v>
      </c>
      <c r="Q783" s="64">
        <f t="shared" si="47"/>
        <v>22.590000000000099</v>
      </c>
      <c r="R783" s="64">
        <f t="shared" ca="1" si="45"/>
        <v>-109.24939316303163</v>
      </c>
      <c r="T783" s="35">
        <f ca="1">DATA!AM778*$B$7</f>
        <v>55764.503249138157</v>
      </c>
    </row>
    <row r="784" spans="15:20" x14ac:dyDescent="0.25">
      <c r="O784" s="38">
        <f t="shared" ca="1" si="48"/>
        <v>7.5635716125509282E-3</v>
      </c>
      <c r="P784" s="39">
        <f t="shared" si="46"/>
        <v>0.75400000000000056</v>
      </c>
      <c r="Q784" s="64">
        <f t="shared" si="47"/>
        <v>22.6200000000001</v>
      </c>
      <c r="R784" s="64">
        <f t="shared" ca="1" si="45"/>
        <v>-109.39481068383246</v>
      </c>
      <c r="T784" s="35">
        <f ca="1">DATA!AM779*$B$7</f>
        <v>-277412.38215838326</v>
      </c>
    </row>
    <row r="785" spans="15:20" x14ac:dyDescent="0.25">
      <c r="O785" s="38">
        <f t="shared" ca="1" si="48"/>
        <v>7.5781081251797156E-3</v>
      </c>
      <c r="P785" s="39">
        <f t="shared" si="46"/>
        <v>0.75500000000000056</v>
      </c>
      <c r="Q785" s="64">
        <f t="shared" si="47"/>
        <v>22.650000000000102</v>
      </c>
      <c r="R785" s="64">
        <f t="shared" ca="1" si="45"/>
        <v>-109.54022820463331</v>
      </c>
      <c r="T785" s="35">
        <f ca="1">DATA!AM780*$B$7</f>
        <v>170029.17874519504</v>
      </c>
    </row>
    <row r="786" spans="15:20" x14ac:dyDescent="0.25">
      <c r="O786" s="38">
        <f t="shared" ca="1" si="48"/>
        <v>7.5926446548993569E-3</v>
      </c>
      <c r="P786" s="39">
        <f t="shared" si="46"/>
        <v>0.75600000000000056</v>
      </c>
      <c r="Q786" s="64">
        <f t="shared" si="47"/>
        <v>22.680000000000103</v>
      </c>
      <c r="R786" s="64">
        <f t="shared" ca="1" si="45"/>
        <v>-109.68564572543416</v>
      </c>
      <c r="T786" s="35">
        <f ca="1">DATA!AM781*$B$7</f>
        <v>-64410.884388362574</v>
      </c>
    </row>
    <row r="787" spans="15:20" x14ac:dyDescent="0.25">
      <c r="O787" s="38">
        <f t="shared" ca="1" si="48"/>
        <v>7.6071812016118784E-3</v>
      </c>
      <c r="P787" s="39">
        <f t="shared" si="46"/>
        <v>0.75700000000000056</v>
      </c>
      <c r="Q787" s="64">
        <f t="shared" si="47"/>
        <v>22.710000000000104</v>
      </c>
      <c r="R787" s="64">
        <f t="shared" ca="1" si="45"/>
        <v>-109.83106324623499</v>
      </c>
      <c r="T787" s="35">
        <f ca="1">DATA!AM782*$B$7</f>
        <v>63222.366944251204</v>
      </c>
    </row>
    <row r="788" spans="15:20" x14ac:dyDescent="0.25">
      <c r="O788" s="38">
        <f t="shared" ca="1" si="48"/>
        <v>7.6217177652200523E-3</v>
      </c>
      <c r="P788" s="39">
        <f t="shared" si="46"/>
        <v>0.75800000000000056</v>
      </c>
      <c r="Q788" s="64">
        <f t="shared" si="47"/>
        <v>22.740000000000105</v>
      </c>
      <c r="R788" s="64">
        <f t="shared" ca="1" si="45"/>
        <v>-109.97648076703584</v>
      </c>
      <c r="T788" s="35">
        <f ca="1">DATA!AM783*$B$7</f>
        <v>-127982.92566033077</v>
      </c>
    </row>
    <row r="789" spans="15:20" x14ac:dyDescent="0.25">
      <c r="O789" s="38">
        <f t="shared" ca="1" si="48"/>
        <v>7.6362543456273873E-3</v>
      </c>
      <c r="P789" s="39">
        <f t="shared" si="46"/>
        <v>0.75900000000000056</v>
      </c>
      <c r="Q789" s="64">
        <f t="shared" si="47"/>
        <v>22.770000000000106</v>
      </c>
      <c r="R789" s="64">
        <f t="shared" ca="1" si="45"/>
        <v>-110.12189828783669</v>
      </c>
      <c r="T789" s="35">
        <f ca="1">DATA!AM784*$B$7</f>
        <v>-11718.510760481657</v>
      </c>
    </row>
    <row r="790" spans="15:20" x14ac:dyDescent="0.25">
      <c r="O790" s="38">
        <f t="shared" ca="1" si="48"/>
        <v>7.6507909427381291E-3</v>
      </c>
      <c r="P790" s="39">
        <f t="shared" si="46"/>
        <v>0.76000000000000056</v>
      </c>
      <c r="Q790" s="64">
        <f t="shared" si="47"/>
        <v>22.800000000000107</v>
      </c>
      <c r="R790" s="64">
        <f t="shared" ca="1" si="45"/>
        <v>-110.26731580863753</v>
      </c>
      <c r="T790" s="35">
        <f ca="1">DATA!AM785*$B$7</f>
        <v>196210.46420134068</v>
      </c>
    </row>
    <row r="791" spans="15:20" x14ac:dyDescent="0.25">
      <c r="O791" s="38">
        <f t="shared" ca="1" si="48"/>
        <v>7.6653275564572462E-3</v>
      </c>
      <c r="P791" s="39">
        <f t="shared" si="46"/>
        <v>0.76100000000000056</v>
      </c>
      <c r="Q791" s="64">
        <f t="shared" si="47"/>
        <v>22.830000000000108</v>
      </c>
      <c r="R791" s="64">
        <f t="shared" ca="1" si="45"/>
        <v>-110.41273332943837</v>
      </c>
      <c r="T791" s="35">
        <f ca="1">DATA!AM786*$B$7</f>
        <v>-336812.47274423047</v>
      </c>
    </row>
    <row r="792" spans="15:20" x14ac:dyDescent="0.25">
      <c r="O792" s="38">
        <f t="shared" ca="1" si="48"/>
        <v>7.6798641866904285E-3</v>
      </c>
      <c r="P792" s="39">
        <f t="shared" si="46"/>
        <v>0.76200000000000057</v>
      </c>
      <c r="Q792" s="64">
        <f t="shared" si="47"/>
        <v>22.86000000000011</v>
      </c>
      <c r="R792" s="64">
        <f t="shared" ca="1" si="45"/>
        <v>-110.55815085023922</v>
      </c>
      <c r="T792" s="35">
        <f ca="1">DATA!AM787*$B$7</f>
        <v>-210084.38494340563</v>
      </c>
    </row>
    <row r="793" spans="15:20" x14ac:dyDescent="0.25">
      <c r="O793" s="38">
        <f t="shared" ca="1" si="48"/>
        <v>7.6944008333440818E-3</v>
      </c>
      <c r="P793" s="39">
        <f t="shared" si="46"/>
        <v>0.76300000000000057</v>
      </c>
      <c r="Q793" s="64">
        <f t="shared" si="47"/>
        <v>22.890000000000111</v>
      </c>
      <c r="R793" s="64">
        <f t="shared" ca="1" si="45"/>
        <v>-110.70356837104006</v>
      </c>
      <c r="T793" s="35">
        <f ca="1">DATA!AM788*$B$7</f>
        <v>2814.5976413855515</v>
      </c>
    </row>
    <row r="794" spans="15:20" x14ac:dyDescent="0.25">
      <c r="O794" s="38">
        <f t="shared" ca="1" si="48"/>
        <v>7.7089374963253124E-3</v>
      </c>
      <c r="P794" s="39">
        <f t="shared" si="46"/>
        <v>0.76400000000000057</v>
      </c>
      <c r="Q794" s="64">
        <f t="shared" si="47"/>
        <v>22.920000000000112</v>
      </c>
      <c r="R794" s="64">
        <f t="shared" ca="1" si="45"/>
        <v>-110.8489858918409</v>
      </c>
      <c r="T794" s="35">
        <f ca="1">DATA!AM789*$B$7</f>
        <v>112993.11422335997</v>
      </c>
    </row>
    <row r="795" spans="15:20" x14ac:dyDescent="0.25">
      <c r="O795" s="38">
        <f t="shared" ca="1" si="48"/>
        <v>7.7234741755419292E-3</v>
      </c>
      <c r="P795" s="39">
        <f t="shared" si="46"/>
        <v>0.76500000000000057</v>
      </c>
      <c r="Q795" s="64">
        <f t="shared" si="47"/>
        <v>22.950000000000113</v>
      </c>
      <c r="R795" s="64">
        <f t="shared" ca="1" si="45"/>
        <v>-110.99440341264174</v>
      </c>
      <c r="T795" s="35">
        <f ca="1">DATA!AM790*$B$7</f>
        <v>-32386.762822334789</v>
      </c>
    </row>
    <row r="796" spans="15:20" x14ac:dyDescent="0.25">
      <c r="O796" s="38">
        <f t="shared" ca="1" si="48"/>
        <v>7.7380108709024283E-3</v>
      </c>
      <c r="P796" s="39">
        <f t="shared" si="46"/>
        <v>0.76600000000000057</v>
      </c>
      <c r="Q796" s="64">
        <f t="shared" si="47"/>
        <v>22.980000000000114</v>
      </c>
      <c r="R796" s="64">
        <f t="shared" ca="1" si="45"/>
        <v>-111.13982093344259</v>
      </c>
      <c r="T796" s="35">
        <f ca="1">DATA!AM791*$B$7</f>
        <v>39556.226599701688</v>
      </c>
    </row>
    <row r="797" spans="15:20" x14ac:dyDescent="0.25">
      <c r="O797" s="38">
        <f t="shared" ca="1" si="48"/>
        <v>7.7525475823160012E-3</v>
      </c>
      <c r="P797" s="39">
        <f t="shared" si="46"/>
        <v>0.76700000000000057</v>
      </c>
      <c r="Q797" s="64">
        <f t="shared" si="47"/>
        <v>23.010000000000115</v>
      </c>
      <c r="R797" s="64">
        <f t="shared" ca="1" si="45"/>
        <v>-111.28523845424343</v>
      </c>
      <c r="T797" s="35">
        <f ca="1">DATA!AM792*$B$7</f>
        <v>-141203.60474965017</v>
      </c>
    </row>
    <row r="798" spans="15:20" x14ac:dyDescent="0.25">
      <c r="O798" s="38">
        <f t="shared" ca="1" si="48"/>
        <v>7.7670843096925143E-3</v>
      </c>
      <c r="P798" s="39">
        <f t="shared" si="46"/>
        <v>0.76800000000000057</v>
      </c>
      <c r="Q798" s="64">
        <f t="shared" si="47"/>
        <v>23.040000000000116</v>
      </c>
      <c r="R798" s="64">
        <f t="shared" ca="1" si="45"/>
        <v>-111.43065597504427</v>
      </c>
      <c r="T798" s="35">
        <f ca="1">DATA!AM793*$B$7</f>
        <v>347683.17090696743</v>
      </c>
    </row>
    <row r="799" spans="15:20" x14ac:dyDescent="0.25">
      <c r="O799" s="38">
        <f t="shared" ca="1" si="48"/>
        <v>7.7816210529425018E-3</v>
      </c>
      <c r="P799" s="39">
        <f t="shared" si="46"/>
        <v>0.76900000000000057</v>
      </c>
      <c r="Q799" s="64">
        <f t="shared" si="47"/>
        <v>23.070000000000118</v>
      </c>
      <c r="R799" s="64">
        <f t="shared" ref="R799:R862" ca="1" si="49">$B$8+$B$42*Q799</f>
        <v>-111.57607349584512</v>
      </c>
      <c r="T799" s="35">
        <f ca="1">DATA!AM794*$B$7</f>
        <v>-212909.41677432714</v>
      </c>
    </row>
    <row r="800" spans="15:20" x14ac:dyDescent="0.25">
      <c r="O800" s="38">
        <f t="shared" ca="1" si="48"/>
        <v>7.7961578119771745E-3</v>
      </c>
      <c r="P800" s="39">
        <f t="shared" ref="P800:P863" si="50">P799+0.1%</f>
        <v>0.77000000000000057</v>
      </c>
      <c r="Q800" s="64">
        <f t="shared" ref="Q800:Q863" si="51">Q799+0.03</f>
        <v>23.100000000000119</v>
      </c>
      <c r="R800" s="64">
        <f t="shared" ca="1" si="49"/>
        <v>-111.72149101664597</v>
      </c>
      <c r="T800" s="35">
        <f ca="1">DATA!AM795*$B$7</f>
        <v>220200.91670297363</v>
      </c>
    </row>
    <row r="801" spans="15:20" x14ac:dyDescent="0.25">
      <c r="O801" s="38">
        <f t="shared" ca="1" si="48"/>
        <v>7.8106945867084006E-3</v>
      </c>
      <c r="P801" s="39">
        <f t="shared" si="50"/>
        <v>0.77100000000000057</v>
      </c>
      <c r="Q801" s="64">
        <f t="shared" si="51"/>
        <v>23.13000000000012</v>
      </c>
      <c r="R801" s="64">
        <f t="shared" ca="1" si="49"/>
        <v>-111.8669085374468</v>
      </c>
      <c r="T801" s="35">
        <f ca="1">DATA!AM796*$B$7</f>
        <v>-4093.4028241480778</v>
      </c>
    </row>
    <row r="802" spans="15:20" x14ac:dyDescent="0.25">
      <c r="O802" s="38">
        <f t="shared" ca="1" si="48"/>
        <v>7.825231377048698E-3</v>
      </c>
      <c r="P802" s="39">
        <f t="shared" si="50"/>
        <v>0.77200000000000057</v>
      </c>
      <c r="Q802" s="64">
        <f t="shared" si="51"/>
        <v>23.160000000000121</v>
      </c>
      <c r="R802" s="64">
        <f t="shared" ca="1" si="49"/>
        <v>-112.01232605824765</v>
      </c>
      <c r="T802" s="35">
        <f ca="1">DATA!AM797*$B$7</f>
        <v>-431276.89747199573</v>
      </c>
    </row>
    <row r="803" spans="15:20" x14ac:dyDescent="0.25">
      <c r="O803" s="38">
        <f t="shared" ca="1" si="48"/>
        <v>7.8397681829112456E-3</v>
      </c>
      <c r="P803" s="39">
        <f t="shared" si="50"/>
        <v>0.77300000000000058</v>
      </c>
      <c r="Q803" s="64">
        <f t="shared" si="51"/>
        <v>23.190000000000122</v>
      </c>
      <c r="R803" s="64">
        <f t="shared" ca="1" si="49"/>
        <v>-112.1577435790485</v>
      </c>
      <c r="T803" s="35">
        <f ca="1">DATA!AM798*$B$7</f>
        <v>179759.67923229028</v>
      </c>
    </row>
    <row r="804" spans="15:20" x14ac:dyDescent="0.25">
      <c r="O804" s="38">
        <f t="shared" ref="O804:O867" ca="1" si="52">SQRT(($B$36*P804^2 - 2*$B$37*P804 +$B$38)/$B$39)</f>
        <v>7.8543050042098519E-3</v>
      </c>
      <c r="P804" s="39">
        <f t="shared" si="50"/>
        <v>0.77400000000000058</v>
      </c>
      <c r="Q804" s="64">
        <f t="shared" si="51"/>
        <v>23.220000000000123</v>
      </c>
      <c r="R804" s="64">
        <f t="shared" ca="1" si="49"/>
        <v>-112.30316109984933</v>
      </c>
      <c r="T804" s="35">
        <f ca="1">DATA!AM799*$B$7</f>
        <v>150350.90188297158</v>
      </c>
    </row>
    <row r="805" spans="15:20" x14ac:dyDescent="0.25">
      <c r="O805" s="38">
        <f t="shared" ca="1" si="52"/>
        <v>7.8688418408589655E-3</v>
      </c>
      <c r="P805" s="39">
        <f t="shared" si="50"/>
        <v>0.77500000000000058</v>
      </c>
      <c r="Q805" s="64">
        <f t="shared" si="51"/>
        <v>23.250000000000124</v>
      </c>
      <c r="R805" s="64">
        <f t="shared" ca="1" si="49"/>
        <v>-112.44857862065018</v>
      </c>
      <c r="T805" s="35">
        <f ca="1">DATA!AM800*$B$7</f>
        <v>446550.77747664484</v>
      </c>
    </row>
    <row r="806" spans="15:20" x14ac:dyDescent="0.25">
      <c r="O806" s="38">
        <f t="shared" ca="1" si="52"/>
        <v>7.8833786927736751E-3</v>
      </c>
      <c r="P806" s="39">
        <f t="shared" si="50"/>
        <v>0.77600000000000058</v>
      </c>
      <c r="Q806" s="64">
        <f t="shared" si="51"/>
        <v>23.280000000000125</v>
      </c>
      <c r="R806" s="64">
        <f t="shared" ca="1" si="49"/>
        <v>-112.59399614145103</v>
      </c>
      <c r="T806" s="35">
        <f ca="1">DATA!AM801*$B$7</f>
        <v>36628.452243952299</v>
      </c>
    </row>
    <row r="807" spans="15:20" x14ac:dyDescent="0.25">
      <c r="O807" s="38">
        <f t="shared" ca="1" si="52"/>
        <v>7.8979155598696837E-3</v>
      </c>
      <c r="P807" s="39">
        <f t="shared" si="50"/>
        <v>0.77700000000000058</v>
      </c>
      <c r="Q807" s="64">
        <f t="shared" si="51"/>
        <v>23.310000000000127</v>
      </c>
      <c r="R807" s="64">
        <f t="shared" ca="1" si="49"/>
        <v>-112.73941366225186</v>
      </c>
      <c r="T807" s="35">
        <f ca="1">DATA!AM802*$B$7</f>
        <v>-57013.388467534496</v>
      </c>
    </row>
    <row r="808" spans="15:20" x14ac:dyDescent="0.25">
      <c r="O808" s="38">
        <f t="shared" ca="1" si="52"/>
        <v>7.9124524420633134E-3</v>
      </c>
      <c r="P808" s="39">
        <f t="shared" si="50"/>
        <v>0.77800000000000058</v>
      </c>
      <c r="Q808" s="64">
        <f t="shared" si="51"/>
        <v>23.340000000000128</v>
      </c>
      <c r="R808" s="64">
        <f t="shared" ca="1" si="49"/>
        <v>-112.88483118305271</v>
      </c>
      <c r="T808" s="35">
        <f ca="1">DATA!AM803*$B$7</f>
        <v>398378.46560334298</v>
      </c>
    </row>
    <row r="809" spans="15:20" x14ac:dyDescent="0.25">
      <c r="O809" s="38">
        <f t="shared" ca="1" si="52"/>
        <v>7.9269893392715108E-3</v>
      </c>
      <c r="P809" s="39">
        <f t="shared" si="50"/>
        <v>0.77900000000000058</v>
      </c>
      <c r="Q809" s="64">
        <f t="shared" si="51"/>
        <v>23.370000000000129</v>
      </c>
      <c r="R809" s="64">
        <f t="shared" ca="1" si="49"/>
        <v>-113.03024870385356</v>
      </c>
      <c r="T809" s="35">
        <f ca="1">DATA!AM804*$B$7</f>
        <v>445253.40826709958</v>
      </c>
    </row>
    <row r="810" spans="15:20" x14ac:dyDescent="0.25">
      <c r="O810" s="38">
        <f t="shared" ca="1" si="52"/>
        <v>7.9415262514118228E-3</v>
      </c>
      <c r="P810" s="39">
        <f t="shared" si="50"/>
        <v>0.78000000000000058</v>
      </c>
      <c r="Q810" s="64">
        <f t="shared" si="51"/>
        <v>23.40000000000013</v>
      </c>
      <c r="R810" s="64">
        <f t="shared" ca="1" si="49"/>
        <v>-113.17566622465441</v>
      </c>
      <c r="T810" s="35">
        <f ca="1">DATA!AM805*$B$7</f>
        <v>626130.33846971055</v>
      </c>
    </row>
    <row r="811" spans="15:20" x14ac:dyDescent="0.25">
      <c r="O811" s="38">
        <f t="shared" ca="1" si="52"/>
        <v>7.9560631784023946E-3</v>
      </c>
      <c r="P811" s="39">
        <f t="shared" si="50"/>
        <v>0.78100000000000058</v>
      </c>
      <c r="Q811" s="64">
        <f t="shared" si="51"/>
        <v>23.430000000000131</v>
      </c>
      <c r="R811" s="64">
        <f t="shared" ca="1" si="49"/>
        <v>-113.32108374545524</v>
      </c>
      <c r="T811" s="35">
        <f ca="1">DATA!AM806*$B$7</f>
        <v>173566.31480249151</v>
      </c>
    </row>
    <row r="812" spans="15:20" x14ac:dyDescent="0.25">
      <c r="O812" s="38">
        <f t="shared" ca="1" si="52"/>
        <v>7.9706001201619789E-3</v>
      </c>
      <c r="P812" s="39">
        <f t="shared" si="50"/>
        <v>0.78200000000000058</v>
      </c>
      <c r="Q812" s="64">
        <f t="shared" si="51"/>
        <v>23.460000000000132</v>
      </c>
      <c r="R812" s="64">
        <f t="shared" ca="1" si="49"/>
        <v>-113.46650126625609</v>
      </c>
      <c r="T812" s="35">
        <f ca="1">DATA!AM807*$B$7</f>
        <v>-191776.49902738311</v>
      </c>
    </row>
    <row r="813" spans="15:20" x14ac:dyDescent="0.25">
      <c r="O813" s="38">
        <f t="shared" ca="1" si="52"/>
        <v>7.9851370766099109E-3</v>
      </c>
      <c r="P813" s="39">
        <f t="shared" si="50"/>
        <v>0.78300000000000058</v>
      </c>
      <c r="Q813" s="64">
        <f t="shared" si="51"/>
        <v>23.490000000000133</v>
      </c>
      <c r="R813" s="64">
        <f t="shared" ca="1" si="49"/>
        <v>-113.61191878705694</v>
      </c>
      <c r="T813" s="35">
        <f ca="1">DATA!AM808*$B$7</f>
        <v>164843.73880622396</v>
      </c>
    </row>
    <row r="814" spans="15:20" x14ac:dyDescent="0.25">
      <c r="O814" s="38">
        <f t="shared" ca="1" si="52"/>
        <v>7.9996740476661176E-3</v>
      </c>
      <c r="P814" s="39">
        <f t="shared" si="50"/>
        <v>0.78400000000000059</v>
      </c>
      <c r="Q814" s="64">
        <f t="shared" si="51"/>
        <v>23.520000000000135</v>
      </c>
      <c r="R814" s="64">
        <f t="shared" ca="1" si="49"/>
        <v>-113.75733630785777</v>
      </c>
      <c r="T814" s="35">
        <f ca="1">DATA!AM809*$B$7</f>
        <v>34588.172784415881</v>
      </c>
    </row>
    <row r="815" spans="15:20" x14ac:dyDescent="0.25">
      <c r="O815" s="38">
        <f t="shared" ca="1" si="52"/>
        <v>8.0142110332511104E-3</v>
      </c>
      <c r="P815" s="39">
        <f t="shared" si="50"/>
        <v>0.78500000000000059</v>
      </c>
      <c r="Q815" s="64">
        <f t="shared" si="51"/>
        <v>23.550000000000136</v>
      </c>
      <c r="R815" s="64">
        <f t="shared" ca="1" si="49"/>
        <v>-113.90275382865862</v>
      </c>
      <c r="T815" s="35">
        <f ca="1">DATA!AM810*$B$7</f>
        <v>-13066.212697624085</v>
      </c>
    </row>
    <row r="816" spans="15:20" x14ac:dyDescent="0.25">
      <c r="O816" s="38">
        <f t="shared" ca="1" si="52"/>
        <v>8.028748033285963E-3</v>
      </c>
      <c r="P816" s="39">
        <f t="shared" si="50"/>
        <v>0.78600000000000059</v>
      </c>
      <c r="Q816" s="64">
        <f t="shared" si="51"/>
        <v>23.580000000000137</v>
      </c>
      <c r="R816" s="64">
        <f t="shared" ca="1" si="49"/>
        <v>-114.04817134945947</v>
      </c>
      <c r="T816" s="35">
        <f ca="1">DATA!AM811*$B$7</f>
        <v>143941.40566963254</v>
      </c>
    </row>
    <row r="817" spans="15:20" x14ac:dyDescent="0.25">
      <c r="O817" s="38">
        <f t="shared" ca="1" si="52"/>
        <v>8.0432850476923317E-3</v>
      </c>
      <c r="P817" s="39">
        <f t="shared" si="50"/>
        <v>0.78700000000000059</v>
      </c>
      <c r="Q817" s="64">
        <f t="shared" si="51"/>
        <v>23.610000000000138</v>
      </c>
      <c r="R817" s="64">
        <f t="shared" ca="1" si="49"/>
        <v>-114.1935888702603</v>
      </c>
      <c r="T817" s="35">
        <f ca="1">DATA!AM812*$B$7</f>
        <v>311340.62530302111</v>
      </c>
    </row>
    <row r="818" spans="15:20" x14ac:dyDescent="0.25">
      <c r="O818" s="38">
        <f t="shared" ca="1" si="52"/>
        <v>8.0578220763924315E-3</v>
      </c>
      <c r="P818" s="39">
        <f t="shared" si="50"/>
        <v>0.78800000000000059</v>
      </c>
      <c r="Q818" s="64">
        <f t="shared" si="51"/>
        <v>23.640000000000139</v>
      </c>
      <c r="R818" s="64">
        <f t="shared" ca="1" si="49"/>
        <v>-114.33900639106115</v>
      </c>
      <c r="T818" s="35">
        <f ca="1">DATA!AM813*$B$7</f>
        <v>118990.73791897309</v>
      </c>
    </row>
    <row r="819" spans="15:20" x14ac:dyDescent="0.25">
      <c r="O819" s="38">
        <f t="shared" ca="1" si="52"/>
        <v>8.072359119309043E-3</v>
      </c>
      <c r="P819" s="39">
        <f t="shared" si="50"/>
        <v>0.78900000000000059</v>
      </c>
      <c r="Q819" s="64">
        <f t="shared" si="51"/>
        <v>23.67000000000014</v>
      </c>
      <c r="R819" s="64">
        <f t="shared" ca="1" si="49"/>
        <v>-114.484423911862</v>
      </c>
      <c r="T819" s="35">
        <f ca="1">DATA!AM814*$B$7</f>
        <v>-466048.58397421846</v>
      </c>
    </row>
    <row r="820" spans="15:20" x14ac:dyDescent="0.25">
      <c r="O820" s="38">
        <f t="shared" ca="1" si="52"/>
        <v>8.0868961763654983E-3</v>
      </c>
      <c r="P820" s="39">
        <f t="shared" si="50"/>
        <v>0.79000000000000059</v>
      </c>
      <c r="Q820" s="64">
        <f t="shared" si="51"/>
        <v>23.700000000000141</v>
      </c>
      <c r="R820" s="64">
        <f t="shared" ca="1" si="49"/>
        <v>-114.62984143266284</v>
      </c>
      <c r="T820" s="35">
        <f ca="1">DATA!AM815*$B$7</f>
        <v>-197294.21347445593</v>
      </c>
    </row>
    <row r="821" spans="15:20" x14ac:dyDescent="0.25">
      <c r="O821" s="38">
        <f t="shared" ca="1" si="52"/>
        <v>8.1014332474856794E-3</v>
      </c>
      <c r="P821" s="39">
        <f t="shared" si="50"/>
        <v>0.79100000000000059</v>
      </c>
      <c r="Q821" s="64">
        <f t="shared" si="51"/>
        <v>23.730000000000143</v>
      </c>
      <c r="R821" s="64">
        <f t="shared" ca="1" si="49"/>
        <v>-114.77525895346368</v>
      </c>
      <c r="T821" s="35">
        <f ca="1">DATA!AM816*$B$7</f>
        <v>-54293.296218606301</v>
      </c>
    </row>
    <row r="822" spans="15:20" x14ac:dyDescent="0.25">
      <c r="O822" s="38">
        <f t="shared" ca="1" si="52"/>
        <v>8.1159703325940167E-3</v>
      </c>
      <c r="P822" s="39">
        <f t="shared" si="50"/>
        <v>0.79200000000000059</v>
      </c>
      <c r="Q822" s="64">
        <f t="shared" si="51"/>
        <v>23.760000000000144</v>
      </c>
      <c r="R822" s="64">
        <f t="shared" ca="1" si="49"/>
        <v>-114.92067647426452</v>
      </c>
      <c r="T822" s="35">
        <f ca="1">DATA!AM817*$B$7</f>
        <v>560115.46322474664</v>
      </c>
    </row>
    <row r="823" spans="15:20" x14ac:dyDescent="0.25">
      <c r="O823" s="38">
        <f t="shared" ca="1" si="52"/>
        <v>8.1305074316154781E-3</v>
      </c>
      <c r="P823" s="39">
        <f t="shared" si="50"/>
        <v>0.79300000000000059</v>
      </c>
      <c r="Q823" s="64">
        <f t="shared" si="51"/>
        <v>23.790000000000145</v>
      </c>
      <c r="R823" s="64">
        <f t="shared" ca="1" si="49"/>
        <v>-115.06609399506537</v>
      </c>
      <c r="T823" s="35">
        <f ca="1">DATA!AM818*$B$7</f>
        <v>-95822.935590584937</v>
      </c>
    </row>
    <row r="824" spans="15:20" x14ac:dyDescent="0.25">
      <c r="O824" s="38">
        <f t="shared" ca="1" si="52"/>
        <v>8.1450445444755694E-3</v>
      </c>
      <c r="P824" s="39">
        <f t="shared" si="50"/>
        <v>0.79400000000000059</v>
      </c>
      <c r="Q824" s="64">
        <f t="shared" si="51"/>
        <v>23.820000000000146</v>
      </c>
      <c r="R824" s="64">
        <f t="shared" ca="1" si="49"/>
        <v>-115.21151151586621</v>
      </c>
      <c r="T824" s="35">
        <f ca="1">DATA!AM819*$B$7</f>
        <v>-5093.7946145223832</v>
      </c>
    </row>
    <row r="825" spans="15:20" x14ac:dyDescent="0.25">
      <c r="O825" s="38">
        <f t="shared" ca="1" si="52"/>
        <v>8.159581671100322E-3</v>
      </c>
      <c r="P825" s="39">
        <f t="shared" si="50"/>
        <v>0.7950000000000006</v>
      </c>
      <c r="Q825" s="64">
        <f t="shared" si="51"/>
        <v>23.850000000000147</v>
      </c>
      <c r="R825" s="64">
        <f t="shared" ca="1" si="49"/>
        <v>-115.35692903666705</v>
      </c>
      <c r="T825" s="35">
        <f ca="1">DATA!AM820*$B$7</f>
        <v>87402.449846283125</v>
      </c>
    </row>
    <row r="826" spans="15:20" x14ac:dyDescent="0.25">
      <c r="O826" s="38">
        <f t="shared" ca="1" si="52"/>
        <v>8.1741188114163015E-3</v>
      </c>
      <c r="P826" s="39">
        <f t="shared" si="50"/>
        <v>0.7960000000000006</v>
      </c>
      <c r="Q826" s="64">
        <f t="shared" si="51"/>
        <v>23.880000000000148</v>
      </c>
      <c r="R826" s="64">
        <f t="shared" ca="1" si="49"/>
        <v>-115.5023465574679</v>
      </c>
      <c r="T826" s="35">
        <f ca="1">DATA!AM821*$B$7</f>
        <v>334523.65685472725</v>
      </c>
    </row>
    <row r="827" spans="15:20" x14ac:dyDescent="0.25">
      <c r="O827" s="38">
        <f t="shared" ca="1" si="52"/>
        <v>8.1886559653505872E-3</v>
      </c>
      <c r="P827" s="39">
        <f t="shared" si="50"/>
        <v>0.7970000000000006</v>
      </c>
      <c r="Q827" s="64">
        <f t="shared" si="51"/>
        <v>23.910000000000149</v>
      </c>
      <c r="R827" s="64">
        <f t="shared" ca="1" si="49"/>
        <v>-115.64776407826875</v>
      </c>
      <c r="T827" s="35">
        <f ca="1">DATA!AM822*$B$7</f>
        <v>193282.14723099108</v>
      </c>
    </row>
    <row r="828" spans="15:20" x14ac:dyDescent="0.25">
      <c r="O828" s="38">
        <f t="shared" ca="1" si="52"/>
        <v>8.2031931328307838E-3</v>
      </c>
      <c r="P828" s="39">
        <f t="shared" si="50"/>
        <v>0.7980000000000006</v>
      </c>
      <c r="Q828" s="64">
        <f t="shared" si="51"/>
        <v>23.94000000000015</v>
      </c>
      <c r="R828" s="64">
        <f t="shared" ca="1" si="49"/>
        <v>-115.79318159906958</v>
      </c>
      <c r="T828" s="35">
        <f ca="1">DATA!AM823*$B$7</f>
        <v>-94311.820539642707</v>
      </c>
    </row>
    <row r="829" spans="15:20" x14ac:dyDescent="0.25">
      <c r="O829" s="38">
        <f t="shared" ca="1" si="52"/>
        <v>8.2177303137850009E-3</v>
      </c>
      <c r="P829" s="39">
        <f t="shared" si="50"/>
        <v>0.7990000000000006</v>
      </c>
      <c r="Q829" s="64">
        <f t="shared" si="51"/>
        <v>23.970000000000152</v>
      </c>
      <c r="R829" s="64">
        <f t="shared" ca="1" si="49"/>
        <v>-115.93859911987043</v>
      </c>
      <c r="T829" s="35">
        <f ca="1">DATA!AM824*$B$7</f>
        <v>46717.009012508257</v>
      </c>
    </row>
    <row r="830" spans="15:20" x14ac:dyDescent="0.25">
      <c r="O830" s="38">
        <f t="shared" ca="1" si="52"/>
        <v>8.2322675081418547E-3</v>
      </c>
      <c r="P830" s="39">
        <f t="shared" si="50"/>
        <v>0.8000000000000006</v>
      </c>
      <c r="Q830" s="64">
        <f t="shared" si="51"/>
        <v>24.000000000000153</v>
      </c>
      <c r="R830" s="64">
        <f t="shared" ca="1" si="49"/>
        <v>-116.08401664067128</v>
      </c>
      <c r="T830" s="35">
        <f ca="1">DATA!AM825*$B$7</f>
        <v>108441.04333283988</v>
      </c>
    </row>
    <row r="831" spans="15:20" x14ac:dyDescent="0.25">
      <c r="O831" s="38">
        <f t="shared" ca="1" si="52"/>
        <v>8.2468047158304712E-3</v>
      </c>
      <c r="P831" s="39">
        <f t="shared" si="50"/>
        <v>0.8010000000000006</v>
      </c>
      <c r="Q831" s="64">
        <f t="shared" si="51"/>
        <v>24.030000000000154</v>
      </c>
      <c r="R831" s="64">
        <f t="shared" ca="1" si="49"/>
        <v>-116.22943416147211</v>
      </c>
      <c r="T831" s="35">
        <f ca="1">DATA!AM826*$B$7</f>
        <v>-573.88694871658925</v>
      </c>
    </row>
    <row r="832" spans="15:20" x14ac:dyDescent="0.25">
      <c r="O832" s="38">
        <f t="shared" ca="1" si="52"/>
        <v>8.2613419367804711E-3</v>
      </c>
      <c r="P832" s="39">
        <f t="shared" si="50"/>
        <v>0.8020000000000006</v>
      </c>
      <c r="Q832" s="64">
        <f t="shared" si="51"/>
        <v>24.060000000000155</v>
      </c>
      <c r="R832" s="64">
        <f t="shared" ca="1" si="49"/>
        <v>-116.37485168227296</v>
      </c>
      <c r="T832" s="35">
        <f ca="1">DATA!AM827*$B$7</f>
        <v>152206.19425644784</v>
      </c>
    </row>
    <row r="833" spans="15:20" x14ac:dyDescent="0.25">
      <c r="O833" s="38">
        <f t="shared" ca="1" si="52"/>
        <v>8.2758791709219709E-3</v>
      </c>
      <c r="P833" s="39">
        <f t="shared" si="50"/>
        <v>0.8030000000000006</v>
      </c>
      <c r="Q833" s="64">
        <f t="shared" si="51"/>
        <v>24.090000000000156</v>
      </c>
      <c r="R833" s="64">
        <f t="shared" ca="1" si="49"/>
        <v>-116.52026920307381</v>
      </c>
      <c r="T833" s="35">
        <f ca="1">DATA!AM828*$B$7</f>
        <v>-58223.31343042833</v>
      </c>
    </row>
    <row r="834" spans="15:20" x14ac:dyDescent="0.25">
      <c r="O834" s="38">
        <f t="shared" ca="1" si="52"/>
        <v>8.2904164181855783E-3</v>
      </c>
      <c r="P834" s="39">
        <f t="shared" si="50"/>
        <v>0.8040000000000006</v>
      </c>
      <c r="Q834" s="64">
        <f t="shared" si="51"/>
        <v>24.120000000000157</v>
      </c>
      <c r="R834" s="64">
        <f t="shared" ca="1" si="49"/>
        <v>-116.66568672387464</v>
      </c>
      <c r="T834" s="35">
        <f ca="1">DATA!AM829*$B$7</f>
        <v>106310.91917906023</v>
      </c>
    </row>
    <row r="835" spans="15:20" x14ac:dyDescent="0.25">
      <c r="O835" s="38">
        <f t="shared" ca="1" si="52"/>
        <v>8.3049536785023814E-3</v>
      </c>
      <c r="P835" s="39">
        <f t="shared" si="50"/>
        <v>0.8050000000000006</v>
      </c>
      <c r="Q835" s="64">
        <f t="shared" si="51"/>
        <v>24.150000000000158</v>
      </c>
      <c r="R835" s="64">
        <f t="shared" ca="1" si="49"/>
        <v>-116.81110424467549</v>
      </c>
      <c r="T835" s="35">
        <f ca="1">DATA!AM830*$B$7</f>
        <v>106822.85587366459</v>
      </c>
    </row>
    <row r="836" spans="15:20" x14ac:dyDescent="0.25">
      <c r="O836" s="38">
        <f t="shared" ca="1" si="52"/>
        <v>8.3194909518039574E-3</v>
      </c>
      <c r="P836" s="39">
        <f t="shared" si="50"/>
        <v>0.8060000000000006</v>
      </c>
      <c r="Q836" s="64">
        <f t="shared" si="51"/>
        <v>24.18000000000016</v>
      </c>
      <c r="R836" s="64">
        <f t="shared" ca="1" si="49"/>
        <v>-116.95652176547634</v>
      </c>
      <c r="T836" s="35">
        <f ca="1">DATA!AM831*$B$7</f>
        <v>630.58921743923759</v>
      </c>
    </row>
    <row r="837" spans="15:20" x14ac:dyDescent="0.25">
      <c r="O837" s="38">
        <f t="shared" ca="1" si="52"/>
        <v>8.3340282380223556E-3</v>
      </c>
      <c r="P837" s="39">
        <f t="shared" si="50"/>
        <v>0.80700000000000061</v>
      </c>
      <c r="Q837" s="64">
        <f t="shared" si="51"/>
        <v>24.210000000000161</v>
      </c>
      <c r="R837" s="64">
        <f t="shared" ca="1" si="49"/>
        <v>-117.10193928627719</v>
      </c>
      <c r="T837" s="35">
        <f ca="1">DATA!AM832*$B$7</f>
        <v>50300.257954276742</v>
      </c>
    </row>
    <row r="838" spans="15:20" x14ac:dyDescent="0.25">
      <c r="O838" s="38">
        <f t="shared" ca="1" si="52"/>
        <v>8.3485655370900986E-3</v>
      </c>
      <c r="P838" s="39">
        <f t="shared" si="50"/>
        <v>0.80800000000000061</v>
      </c>
      <c r="Q838" s="64">
        <f t="shared" si="51"/>
        <v>24.240000000000162</v>
      </c>
      <c r="R838" s="64">
        <f t="shared" ca="1" si="49"/>
        <v>-117.24735680707802</v>
      </c>
      <c r="T838" s="35">
        <f ca="1">DATA!AM833*$B$7</f>
        <v>-244729.40891743801</v>
      </c>
    </row>
    <row r="839" spans="15:20" x14ac:dyDescent="0.25">
      <c r="O839" s="38">
        <f t="shared" ca="1" si="52"/>
        <v>8.3631028489401828E-3</v>
      </c>
      <c r="P839" s="39">
        <f t="shared" si="50"/>
        <v>0.80900000000000061</v>
      </c>
      <c r="Q839" s="64">
        <f t="shared" si="51"/>
        <v>24.270000000000163</v>
      </c>
      <c r="R839" s="64">
        <f t="shared" ca="1" si="49"/>
        <v>-117.39277432787887</v>
      </c>
      <c r="T839" s="35">
        <f ca="1">DATA!AM834*$B$7</f>
        <v>-28917.285334406228</v>
      </c>
    </row>
    <row r="840" spans="15:20" x14ac:dyDescent="0.25">
      <c r="O840" s="38">
        <f t="shared" ca="1" si="52"/>
        <v>8.3776401735060659E-3</v>
      </c>
      <c r="P840" s="39">
        <f t="shared" si="50"/>
        <v>0.81000000000000061</v>
      </c>
      <c r="Q840" s="64">
        <f t="shared" si="51"/>
        <v>24.300000000000164</v>
      </c>
      <c r="R840" s="64">
        <f t="shared" ca="1" si="49"/>
        <v>-117.53819184867972</v>
      </c>
      <c r="T840" s="35">
        <f ca="1">DATA!AM835*$B$7</f>
        <v>13724.27853444237</v>
      </c>
    </row>
    <row r="841" spans="15:20" x14ac:dyDescent="0.25">
      <c r="O841" s="38">
        <f t="shared" ca="1" si="52"/>
        <v>8.3921775107216635E-3</v>
      </c>
      <c r="P841" s="39">
        <f t="shared" si="50"/>
        <v>0.81100000000000061</v>
      </c>
      <c r="Q841" s="64">
        <f t="shared" si="51"/>
        <v>24.330000000000165</v>
      </c>
      <c r="R841" s="64">
        <f t="shared" ca="1" si="49"/>
        <v>-117.68360936948055</v>
      </c>
      <c r="T841" s="35">
        <f ca="1">DATA!AM836*$B$7</f>
        <v>-292770.12271642714</v>
      </c>
    </row>
    <row r="842" spans="15:20" x14ac:dyDescent="0.25">
      <c r="O842" s="38">
        <f t="shared" ca="1" si="52"/>
        <v>8.4067148605213565E-3</v>
      </c>
      <c r="P842" s="39">
        <f t="shared" si="50"/>
        <v>0.81200000000000061</v>
      </c>
      <c r="Q842" s="64">
        <f t="shared" si="51"/>
        <v>24.360000000000166</v>
      </c>
      <c r="R842" s="64">
        <f t="shared" ca="1" si="49"/>
        <v>-117.8290268902814</v>
      </c>
      <c r="T842" s="35">
        <f ca="1">DATA!AM837*$B$7</f>
        <v>-33926.405545749942</v>
      </c>
    </row>
    <row r="843" spans="15:20" x14ac:dyDescent="0.25">
      <c r="O843" s="38">
        <f t="shared" ca="1" si="52"/>
        <v>8.4212522228399728E-3</v>
      </c>
      <c r="P843" s="39">
        <f t="shared" si="50"/>
        <v>0.81300000000000061</v>
      </c>
      <c r="Q843" s="64">
        <f t="shared" si="51"/>
        <v>24.390000000000168</v>
      </c>
      <c r="R843" s="64">
        <f t="shared" ca="1" si="49"/>
        <v>-117.97444441108225</v>
      </c>
      <c r="T843" s="35">
        <f ca="1">DATA!AM838*$B$7</f>
        <v>-167041.91158263013</v>
      </c>
    </row>
    <row r="844" spans="15:20" x14ac:dyDescent="0.25">
      <c r="O844" s="38">
        <f t="shared" ca="1" si="52"/>
        <v>8.4357895976127899E-3</v>
      </c>
      <c r="P844" s="39">
        <f t="shared" si="50"/>
        <v>0.81400000000000061</v>
      </c>
      <c r="Q844" s="64">
        <f t="shared" si="51"/>
        <v>24.420000000000169</v>
      </c>
      <c r="R844" s="64">
        <f t="shared" ca="1" si="49"/>
        <v>-118.11986193188308</v>
      </c>
      <c r="T844" s="35">
        <f ca="1">DATA!AM839*$B$7</f>
        <v>-73841.540124438179</v>
      </c>
    </row>
    <row r="845" spans="15:20" x14ac:dyDescent="0.25">
      <c r="O845" s="38">
        <f t="shared" ca="1" si="52"/>
        <v>8.450326984775533E-3</v>
      </c>
      <c r="P845" s="39">
        <f t="shared" si="50"/>
        <v>0.81500000000000061</v>
      </c>
      <c r="Q845" s="64">
        <f t="shared" si="51"/>
        <v>24.45000000000017</v>
      </c>
      <c r="R845" s="64">
        <f t="shared" ca="1" si="49"/>
        <v>-118.26527945268393</v>
      </c>
      <c r="T845" s="35">
        <f ca="1">DATA!AM840*$B$7</f>
        <v>-39375.818298790226</v>
      </c>
    </row>
    <row r="846" spans="15:20" x14ac:dyDescent="0.25">
      <c r="O846" s="38">
        <f t="shared" ca="1" si="52"/>
        <v>8.4648643842643676E-3</v>
      </c>
      <c r="P846" s="39">
        <f t="shared" si="50"/>
        <v>0.81600000000000061</v>
      </c>
      <c r="Q846" s="64">
        <f t="shared" si="51"/>
        <v>24.480000000000171</v>
      </c>
      <c r="R846" s="64">
        <f t="shared" ca="1" si="49"/>
        <v>-118.41069697348478</v>
      </c>
      <c r="T846" s="35">
        <f ca="1">DATA!AM841*$B$7</f>
        <v>70805.799447145837</v>
      </c>
    </row>
    <row r="847" spans="15:20" x14ac:dyDescent="0.25">
      <c r="O847" s="38">
        <f t="shared" ca="1" si="52"/>
        <v>8.4794017960158948E-3</v>
      </c>
      <c r="P847" s="39">
        <f t="shared" si="50"/>
        <v>0.81700000000000061</v>
      </c>
      <c r="Q847" s="64">
        <f t="shared" si="51"/>
        <v>24.510000000000172</v>
      </c>
      <c r="R847" s="64">
        <f t="shared" ca="1" si="49"/>
        <v>-118.55611449428562</v>
      </c>
      <c r="T847" s="35">
        <f ca="1">DATA!AM842*$B$7</f>
        <v>124741.2798805062</v>
      </c>
    </row>
    <row r="848" spans="15:20" x14ac:dyDescent="0.25">
      <c r="O848" s="38">
        <f t="shared" ca="1" si="52"/>
        <v>8.4939392199671546E-3</v>
      </c>
      <c r="P848" s="39">
        <f t="shared" si="50"/>
        <v>0.81800000000000062</v>
      </c>
      <c r="Q848" s="64">
        <f t="shared" si="51"/>
        <v>24.540000000000173</v>
      </c>
      <c r="R848" s="64">
        <f t="shared" ca="1" si="49"/>
        <v>-118.70153201508646</v>
      </c>
      <c r="T848" s="35">
        <f ca="1">DATA!AM843*$B$7</f>
        <v>-7259.0226205753979</v>
      </c>
    </row>
    <row r="849" spans="15:20" x14ac:dyDescent="0.25">
      <c r="O849" s="38">
        <f t="shared" ca="1" si="52"/>
        <v>8.5084766560556118E-3</v>
      </c>
      <c r="P849" s="39">
        <f t="shared" si="50"/>
        <v>0.81900000000000062</v>
      </c>
      <c r="Q849" s="64">
        <f t="shared" si="51"/>
        <v>24.570000000000174</v>
      </c>
      <c r="R849" s="64">
        <f t="shared" ca="1" si="49"/>
        <v>-118.8469495358873</v>
      </c>
      <c r="T849" s="35">
        <f ca="1">DATA!AM844*$B$7</f>
        <v>-186825.47690877455</v>
      </c>
    </row>
    <row r="850" spans="15:20" x14ac:dyDescent="0.25">
      <c r="O850" s="38">
        <f t="shared" ca="1" si="52"/>
        <v>8.52301410421916E-3</v>
      </c>
      <c r="P850" s="39">
        <f t="shared" si="50"/>
        <v>0.82000000000000062</v>
      </c>
      <c r="Q850" s="64">
        <f t="shared" si="51"/>
        <v>24.600000000000176</v>
      </c>
      <c r="R850" s="64">
        <f t="shared" ca="1" si="49"/>
        <v>-118.99236705668815</v>
      </c>
      <c r="T850" s="35">
        <f ca="1">DATA!AM845*$B$7</f>
        <v>160368.19296591324</v>
      </c>
    </row>
    <row r="851" spans="15:20" x14ac:dyDescent="0.25">
      <c r="O851" s="38">
        <f t="shared" ca="1" si="52"/>
        <v>8.5375515643961192E-3</v>
      </c>
      <c r="P851" s="39">
        <f t="shared" si="50"/>
        <v>0.82100000000000062</v>
      </c>
      <c r="Q851" s="64">
        <f t="shared" si="51"/>
        <v>24.630000000000177</v>
      </c>
      <c r="R851" s="64">
        <f t="shared" ca="1" si="49"/>
        <v>-119.13778457748899</v>
      </c>
      <c r="T851" s="35">
        <f ca="1">DATA!AM846*$B$7</f>
        <v>119401.42756620496</v>
      </c>
    </row>
    <row r="852" spans="15:20" x14ac:dyDescent="0.25">
      <c r="O852" s="38">
        <f t="shared" ca="1" si="52"/>
        <v>8.5520890365252261E-3</v>
      </c>
      <c r="P852" s="39">
        <f t="shared" si="50"/>
        <v>0.82200000000000062</v>
      </c>
      <c r="Q852" s="64">
        <f t="shared" si="51"/>
        <v>24.660000000000178</v>
      </c>
      <c r="R852" s="64">
        <f t="shared" ca="1" si="49"/>
        <v>-119.28320209828983</v>
      </c>
      <c r="T852" s="35">
        <f ca="1">DATA!AM847*$B$7</f>
        <v>35675.10418854712</v>
      </c>
    </row>
    <row r="853" spans="15:20" x14ac:dyDescent="0.25">
      <c r="O853" s="38">
        <f t="shared" ca="1" si="52"/>
        <v>8.5666265205456265E-3</v>
      </c>
      <c r="P853" s="39">
        <f t="shared" si="50"/>
        <v>0.82300000000000062</v>
      </c>
      <c r="Q853" s="64">
        <f t="shared" si="51"/>
        <v>24.690000000000179</v>
      </c>
      <c r="R853" s="64">
        <f t="shared" ca="1" si="49"/>
        <v>-119.42861961909068</v>
      </c>
      <c r="T853" s="35">
        <f ca="1">DATA!AM848*$B$7</f>
        <v>-173916.2615072809</v>
      </c>
    </row>
    <row r="854" spans="15:20" x14ac:dyDescent="0.25">
      <c r="O854" s="38">
        <f t="shared" ca="1" si="52"/>
        <v>8.5811640163968896E-3</v>
      </c>
      <c r="P854" s="39">
        <f t="shared" si="50"/>
        <v>0.82400000000000062</v>
      </c>
      <c r="Q854" s="64">
        <f t="shared" si="51"/>
        <v>24.72000000000018</v>
      </c>
      <c r="R854" s="64">
        <f t="shared" ca="1" si="49"/>
        <v>-119.57403713989152</v>
      </c>
      <c r="T854" s="35">
        <f ca="1">DATA!AM849*$B$7</f>
        <v>664902.63028239377</v>
      </c>
    </row>
    <row r="855" spans="15:20" x14ac:dyDescent="0.25">
      <c r="O855" s="38">
        <f t="shared" ca="1" si="52"/>
        <v>8.5957015240189852E-3</v>
      </c>
      <c r="P855" s="39">
        <f t="shared" si="50"/>
        <v>0.82500000000000062</v>
      </c>
      <c r="Q855" s="64">
        <f t="shared" si="51"/>
        <v>24.750000000000181</v>
      </c>
      <c r="R855" s="64">
        <f t="shared" ca="1" si="49"/>
        <v>-119.71945466069236</v>
      </c>
      <c r="T855" s="35">
        <f ca="1">DATA!AM850*$B$7</f>
        <v>26692.709351496793</v>
      </c>
    </row>
    <row r="856" spans="15:20" x14ac:dyDescent="0.25">
      <c r="O856" s="38">
        <f t="shared" ca="1" si="52"/>
        <v>8.6102390433522944E-3</v>
      </c>
      <c r="P856" s="39">
        <f t="shared" si="50"/>
        <v>0.82600000000000062</v>
      </c>
      <c r="Q856" s="64">
        <f t="shared" si="51"/>
        <v>24.780000000000182</v>
      </c>
      <c r="R856" s="64">
        <f t="shared" ca="1" si="49"/>
        <v>-119.86487218149321</v>
      </c>
      <c r="T856" s="35">
        <f ca="1">DATA!AM851*$B$7</f>
        <v>-58459.832525477002</v>
      </c>
    </row>
    <row r="857" spans="15:20" x14ac:dyDescent="0.25">
      <c r="O857" s="38">
        <f t="shared" ca="1" si="52"/>
        <v>8.6247765743376007E-3</v>
      </c>
      <c r="P857" s="39">
        <f t="shared" si="50"/>
        <v>0.82700000000000062</v>
      </c>
      <c r="Q857" s="64">
        <f t="shared" si="51"/>
        <v>24.810000000000183</v>
      </c>
      <c r="R857" s="64">
        <f t="shared" ca="1" si="49"/>
        <v>-120.01028970229406</v>
      </c>
      <c r="T857" s="35">
        <f ca="1">DATA!AM852*$B$7</f>
        <v>-254848.88756798877</v>
      </c>
    </row>
    <row r="858" spans="15:20" x14ac:dyDescent="0.25">
      <c r="O858" s="38">
        <f t="shared" ca="1" si="52"/>
        <v>8.6393141169160761E-3</v>
      </c>
      <c r="P858" s="39">
        <f t="shared" si="50"/>
        <v>0.82800000000000062</v>
      </c>
      <c r="Q858" s="64">
        <f t="shared" si="51"/>
        <v>24.840000000000185</v>
      </c>
      <c r="R858" s="64">
        <f t="shared" ca="1" si="49"/>
        <v>-120.15570722309489</v>
      </c>
      <c r="T858" s="35">
        <f ca="1">DATA!AM853*$B$7</f>
        <v>27492.182774486333</v>
      </c>
    </row>
    <row r="859" spans="15:20" x14ac:dyDescent="0.25">
      <c r="O859" s="38">
        <f t="shared" ca="1" si="52"/>
        <v>8.6538516710292987E-3</v>
      </c>
      <c r="P859" s="39">
        <f t="shared" si="50"/>
        <v>0.82900000000000063</v>
      </c>
      <c r="Q859" s="64">
        <f t="shared" si="51"/>
        <v>24.870000000000186</v>
      </c>
      <c r="R859" s="64">
        <f t="shared" ca="1" si="49"/>
        <v>-120.30112474389574</v>
      </c>
      <c r="T859" s="35">
        <f ca="1">DATA!AM854*$B$7</f>
        <v>-264853.91602874885</v>
      </c>
    </row>
    <row r="860" spans="15:20" x14ac:dyDescent="0.25">
      <c r="O860" s="38">
        <f t="shared" ca="1" si="52"/>
        <v>8.6683892366192349E-3</v>
      </c>
      <c r="P860" s="39">
        <f t="shared" si="50"/>
        <v>0.83000000000000063</v>
      </c>
      <c r="Q860" s="64">
        <f t="shared" si="51"/>
        <v>24.900000000000187</v>
      </c>
      <c r="R860" s="64">
        <f t="shared" ca="1" si="49"/>
        <v>-120.44654226469659</v>
      </c>
      <c r="T860" s="35">
        <f ca="1">DATA!AM855*$B$7</f>
        <v>-265856.8052877225</v>
      </c>
    </row>
    <row r="861" spans="15:20" x14ac:dyDescent="0.25">
      <c r="O861" s="38">
        <f t="shared" ca="1" si="52"/>
        <v>8.6829268136282382E-3</v>
      </c>
      <c r="P861" s="39">
        <f t="shared" si="50"/>
        <v>0.83100000000000063</v>
      </c>
      <c r="Q861" s="64">
        <f t="shared" si="51"/>
        <v>24.930000000000188</v>
      </c>
      <c r="R861" s="64">
        <f t="shared" ca="1" si="49"/>
        <v>-120.59195978549742</v>
      </c>
      <c r="T861" s="35">
        <f ca="1">DATA!AM856*$B$7</f>
        <v>352296.9614591584</v>
      </c>
    </row>
    <row r="862" spans="15:20" x14ac:dyDescent="0.25">
      <c r="O862" s="38">
        <f t="shared" ca="1" si="52"/>
        <v>8.6974644019990471E-3</v>
      </c>
      <c r="P862" s="39">
        <f t="shared" si="50"/>
        <v>0.83200000000000063</v>
      </c>
      <c r="Q862" s="64">
        <f t="shared" si="51"/>
        <v>24.960000000000189</v>
      </c>
      <c r="R862" s="64">
        <f t="shared" ca="1" si="49"/>
        <v>-120.73737730629827</v>
      </c>
      <c r="T862" s="35">
        <f ca="1">DATA!AM857*$B$7</f>
        <v>-238955.3483032081</v>
      </c>
    </row>
    <row r="863" spans="15:20" x14ac:dyDescent="0.25">
      <c r="O863" s="38">
        <f t="shared" ca="1" si="52"/>
        <v>8.7120020016747887E-3</v>
      </c>
      <c r="P863" s="39">
        <f t="shared" si="50"/>
        <v>0.83300000000000063</v>
      </c>
      <c r="Q863" s="64">
        <f t="shared" si="51"/>
        <v>24.99000000000019</v>
      </c>
      <c r="R863" s="64">
        <f t="shared" ref="R863:R926" ca="1" si="53">$B$8+$B$42*Q863</f>
        <v>-120.88279482709912</v>
      </c>
      <c r="T863" s="35">
        <f ca="1">DATA!AM858*$B$7</f>
        <v>-28856.912780367664</v>
      </c>
    </row>
    <row r="864" spans="15:20" x14ac:dyDescent="0.25">
      <c r="O864" s="38">
        <f t="shared" ca="1" si="52"/>
        <v>8.7265396125989578E-3</v>
      </c>
      <c r="P864" s="39">
        <f t="shared" ref="P864:P927" si="54">P863+0.1%</f>
        <v>0.83400000000000063</v>
      </c>
      <c r="Q864" s="64">
        <f t="shared" ref="Q864:Q927" si="55">Q863+0.03</f>
        <v>25.020000000000191</v>
      </c>
      <c r="R864" s="64">
        <f t="shared" ca="1" si="53"/>
        <v>-121.02821234789995</v>
      </c>
      <c r="T864" s="35">
        <f ca="1">DATA!AM859*$B$7</f>
        <v>-53342.22627321841</v>
      </c>
    </row>
    <row r="865" spans="15:20" x14ac:dyDescent="0.25">
      <c r="O865" s="38">
        <f t="shared" ca="1" si="52"/>
        <v>8.7410772347154362E-3</v>
      </c>
      <c r="P865" s="39">
        <f t="shared" si="54"/>
        <v>0.83500000000000063</v>
      </c>
      <c r="Q865" s="64">
        <f t="shared" si="55"/>
        <v>25.050000000000193</v>
      </c>
      <c r="R865" s="64">
        <f t="shared" ca="1" si="53"/>
        <v>-121.1736298687008</v>
      </c>
      <c r="T865" s="35">
        <f ca="1">DATA!AM860*$B$7</f>
        <v>-79890.839151279884</v>
      </c>
    </row>
    <row r="866" spans="15:20" x14ac:dyDescent="0.25">
      <c r="O866" s="38">
        <f t="shared" ca="1" si="52"/>
        <v>8.7556148679684715E-3</v>
      </c>
      <c r="P866" s="39">
        <f t="shared" si="54"/>
        <v>0.83600000000000063</v>
      </c>
      <c r="Q866" s="64">
        <f t="shared" si="55"/>
        <v>25.080000000000194</v>
      </c>
      <c r="R866" s="64">
        <f t="shared" ca="1" si="53"/>
        <v>-121.31904738950165</v>
      </c>
      <c r="T866" s="35">
        <f ca="1">DATA!AM861*$B$7</f>
        <v>-323636.33452475414</v>
      </c>
    </row>
    <row r="867" spans="15:20" x14ac:dyDescent="0.25">
      <c r="O867" s="38">
        <f t="shared" ca="1" si="52"/>
        <v>8.7701525123026827E-3</v>
      </c>
      <c r="P867" s="39">
        <f t="shared" si="54"/>
        <v>0.83700000000000063</v>
      </c>
      <c r="Q867" s="64">
        <f t="shared" si="55"/>
        <v>25.110000000000195</v>
      </c>
      <c r="R867" s="64">
        <f t="shared" ca="1" si="53"/>
        <v>-121.4644649103025</v>
      </c>
      <c r="T867" s="35">
        <f ca="1">DATA!AM862*$B$7</f>
        <v>47243.873206521544</v>
      </c>
    </row>
    <row r="868" spans="15:20" x14ac:dyDescent="0.25">
      <c r="O868" s="38">
        <f t="shared" ref="O868:O931" ca="1" si="56">SQRT(($B$36*P868^2 - 2*$B$37*P868 +$B$38)/$B$39)</f>
        <v>8.7846901676630566E-3</v>
      </c>
      <c r="P868" s="39">
        <f t="shared" si="54"/>
        <v>0.83800000000000063</v>
      </c>
      <c r="Q868" s="64">
        <f t="shared" si="55"/>
        <v>25.140000000000196</v>
      </c>
      <c r="R868" s="64">
        <f t="shared" ca="1" si="53"/>
        <v>-121.60988243110333</v>
      </c>
      <c r="T868" s="35">
        <f ca="1">DATA!AM863*$B$7</f>
        <v>-79825.627210587409</v>
      </c>
    </row>
    <row r="869" spans="15:20" x14ac:dyDescent="0.25">
      <c r="O869" s="38">
        <f t="shared" ca="1" si="56"/>
        <v>8.7992278339949406E-3</v>
      </c>
      <c r="P869" s="39">
        <f t="shared" si="54"/>
        <v>0.83900000000000063</v>
      </c>
      <c r="Q869" s="64">
        <f t="shared" si="55"/>
        <v>25.170000000000197</v>
      </c>
      <c r="R869" s="64">
        <f t="shared" ca="1" si="53"/>
        <v>-121.75529995190418</v>
      </c>
      <c r="T869" s="35">
        <f ca="1">DATA!AM864*$B$7</f>
        <v>-255567.78951113325</v>
      </c>
    </row>
    <row r="870" spans="15:20" x14ac:dyDescent="0.25">
      <c r="O870" s="38">
        <f t="shared" ca="1" si="56"/>
        <v>8.8137655112440483E-3</v>
      </c>
      <c r="P870" s="39">
        <f t="shared" si="54"/>
        <v>0.84000000000000064</v>
      </c>
      <c r="Q870" s="64">
        <f t="shared" si="55"/>
        <v>25.200000000000198</v>
      </c>
      <c r="R870" s="64">
        <f t="shared" ca="1" si="53"/>
        <v>-121.90071747270503</v>
      </c>
      <c r="T870" s="35">
        <f ca="1">DATA!AM865*$B$7</f>
        <v>666748.684057559</v>
      </c>
    </row>
    <row r="871" spans="15:20" x14ac:dyDescent="0.25">
      <c r="O871" s="38">
        <f t="shared" ca="1" si="56"/>
        <v>8.8283031993564437E-3</v>
      </c>
      <c r="P871" s="39">
        <f t="shared" si="54"/>
        <v>0.84100000000000064</v>
      </c>
      <c r="Q871" s="64">
        <f t="shared" si="55"/>
        <v>25.230000000000199</v>
      </c>
      <c r="R871" s="64">
        <f t="shared" ca="1" si="53"/>
        <v>-122.04613499350586</v>
      </c>
      <c r="T871" s="35">
        <f ca="1">DATA!AM866*$B$7</f>
        <v>113814.86190455148</v>
      </c>
    </row>
    <row r="872" spans="15:20" x14ac:dyDescent="0.25">
      <c r="O872" s="38">
        <f t="shared" ca="1" si="56"/>
        <v>8.8428408982785516E-3</v>
      </c>
      <c r="P872" s="39">
        <f t="shared" si="54"/>
        <v>0.84200000000000064</v>
      </c>
      <c r="Q872" s="64">
        <f t="shared" si="55"/>
        <v>25.260000000000201</v>
      </c>
      <c r="R872" s="64">
        <f t="shared" ca="1" si="53"/>
        <v>-122.19155251430671</v>
      </c>
      <c r="T872" s="35">
        <f ca="1">DATA!AM867*$B$7</f>
        <v>-139463.67652677232</v>
      </c>
    </row>
    <row r="873" spans="15:20" x14ac:dyDescent="0.25">
      <c r="O873" s="38">
        <f t="shared" ca="1" si="56"/>
        <v>8.8573786079571438E-3</v>
      </c>
      <c r="P873" s="39">
        <f t="shared" si="54"/>
        <v>0.84300000000000064</v>
      </c>
      <c r="Q873" s="64">
        <f t="shared" si="55"/>
        <v>25.290000000000202</v>
      </c>
      <c r="R873" s="64">
        <f t="shared" ca="1" si="53"/>
        <v>-122.33697003510756</v>
      </c>
      <c r="T873" s="35">
        <f ca="1">DATA!AM868*$B$7</f>
        <v>246619.63014465646</v>
      </c>
    </row>
    <row r="874" spans="15:20" x14ac:dyDescent="0.25">
      <c r="O874" s="38">
        <f t="shared" ca="1" si="56"/>
        <v>8.8719163283393406E-3</v>
      </c>
      <c r="P874" s="39">
        <f t="shared" si="54"/>
        <v>0.84400000000000064</v>
      </c>
      <c r="Q874" s="64">
        <f t="shared" si="55"/>
        <v>25.320000000000203</v>
      </c>
      <c r="R874" s="64">
        <f t="shared" ca="1" si="53"/>
        <v>-122.4823875559084</v>
      </c>
      <c r="T874" s="35">
        <f ca="1">DATA!AM869*$B$7</f>
        <v>-240184.65646778981</v>
      </c>
    </row>
    <row r="875" spans="15:20" x14ac:dyDescent="0.25">
      <c r="O875" s="38">
        <f t="shared" ca="1" si="56"/>
        <v>8.8864540593726147E-3</v>
      </c>
      <c r="P875" s="39">
        <f t="shared" si="54"/>
        <v>0.84500000000000064</v>
      </c>
      <c r="Q875" s="64">
        <f t="shared" si="55"/>
        <v>25.350000000000204</v>
      </c>
      <c r="R875" s="64">
        <f t="shared" ca="1" si="53"/>
        <v>-122.62780507670924</v>
      </c>
      <c r="T875" s="35">
        <f ca="1">DATA!AM870*$B$7</f>
        <v>-61729.598427371406</v>
      </c>
    </row>
    <row r="876" spans="15:20" x14ac:dyDescent="0.25">
      <c r="O876" s="38">
        <f t="shared" ca="1" si="56"/>
        <v>8.9009918010047769E-3</v>
      </c>
      <c r="P876" s="39">
        <f t="shared" si="54"/>
        <v>0.84600000000000064</v>
      </c>
      <c r="Q876" s="64">
        <f t="shared" si="55"/>
        <v>25.380000000000205</v>
      </c>
      <c r="R876" s="64">
        <f t="shared" ca="1" si="53"/>
        <v>-122.77322259751008</v>
      </c>
      <c r="T876" s="35">
        <f ca="1">DATA!AM871*$B$7</f>
        <v>-151997.30350078849</v>
      </c>
    </row>
    <row r="877" spans="15:20" x14ac:dyDescent="0.25">
      <c r="O877" s="38">
        <f t="shared" ca="1" si="56"/>
        <v>8.915529553183978E-3</v>
      </c>
      <c r="P877" s="39">
        <f t="shared" si="54"/>
        <v>0.84700000000000064</v>
      </c>
      <c r="Q877" s="64">
        <f t="shared" si="55"/>
        <v>25.410000000000206</v>
      </c>
      <c r="R877" s="64">
        <f t="shared" ca="1" si="53"/>
        <v>-122.91864011831093</v>
      </c>
      <c r="T877" s="35">
        <f ca="1">DATA!AM872*$B$7</f>
        <v>129786.77515457994</v>
      </c>
    </row>
    <row r="878" spans="15:20" x14ac:dyDescent="0.25">
      <c r="O878" s="38">
        <f t="shared" ca="1" si="56"/>
        <v>8.9300673158587088E-3</v>
      </c>
      <c r="P878" s="39">
        <f t="shared" si="54"/>
        <v>0.84800000000000064</v>
      </c>
      <c r="Q878" s="64">
        <f t="shared" si="55"/>
        <v>25.440000000000207</v>
      </c>
      <c r="R878" s="64">
        <f t="shared" ca="1" si="53"/>
        <v>-123.06405763911177</v>
      </c>
      <c r="T878" s="35">
        <f ca="1">DATA!AM873*$B$7</f>
        <v>-453810.33051689249</v>
      </c>
    </row>
    <row r="879" spans="15:20" x14ac:dyDescent="0.25">
      <c r="O879" s="38">
        <f t="shared" ca="1" si="56"/>
        <v>8.9446050889777935E-3</v>
      </c>
      <c r="P879" s="39">
        <f t="shared" si="54"/>
        <v>0.84900000000000064</v>
      </c>
      <c r="Q879" s="64">
        <f t="shared" si="55"/>
        <v>25.470000000000208</v>
      </c>
      <c r="R879" s="64">
        <f t="shared" ca="1" si="53"/>
        <v>-123.20947515991261</v>
      </c>
      <c r="T879" s="35">
        <f ca="1">DATA!AM874*$B$7</f>
        <v>-84248.220706169508</v>
      </c>
    </row>
    <row r="880" spans="15:20" x14ac:dyDescent="0.25">
      <c r="O880" s="38">
        <f t="shared" ca="1" si="56"/>
        <v>8.9591428724903888E-3</v>
      </c>
      <c r="P880" s="39">
        <f t="shared" si="54"/>
        <v>0.85000000000000064</v>
      </c>
      <c r="Q880" s="64">
        <f t="shared" si="55"/>
        <v>25.50000000000021</v>
      </c>
      <c r="R880" s="64">
        <f t="shared" ca="1" si="53"/>
        <v>-123.35489268071346</v>
      </c>
      <c r="T880" s="35">
        <f ca="1">DATA!AM875*$B$7</f>
        <v>136295.35656819507</v>
      </c>
    </row>
    <row r="881" spans="15:20" x14ac:dyDescent="0.25">
      <c r="O881" s="38">
        <f t="shared" ca="1" si="56"/>
        <v>8.9736806663459796E-3</v>
      </c>
      <c r="P881" s="39">
        <f t="shared" si="54"/>
        <v>0.85100000000000064</v>
      </c>
      <c r="Q881" s="64">
        <f t="shared" si="55"/>
        <v>25.530000000000211</v>
      </c>
      <c r="R881" s="64">
        <f t="shared" ca="1" si="53"/>
        <v>-123.5003102015143</v>
      </c>
      <c r="T881" s="35">
        <f ca="1">DATA!AM876*$B$7</f>
        <v>-290745.93992162531</v>
      </c>
    </row>
    <row r="882" spans="15:20" x14ac:dyDescent="0.25">
      <c r="O882" s="38">
        <f t="shared" ca="1" si="56"/>
        <v>8.9882184704943805E-3</v>
      </c>
      <c r="P882" s="39">
        <f t="shared" si="54"/>
        <v>0.85200000000000065</v>
      </c>
      <c r="Q882" s="64">
        <f t="shared" si="55"/>
        <v>25.560000000000212</v>
      </c>
      <c r="R882" s="64">
        <f t="shared" ca="1" si="53"/>
        <v>-123.64572772231514</v>
      </c>
      <c r="T882" s="35">
        <f ca="1">DATA!AM877*$B$7</f>
        <v>-202223.95479944808</v>
      </c>
    </row>
    <row r="883" spans="15:20" x14ac:dyDescent="0.25">
      <c r="O883" s="38">
        <f t="shared" ca="1" si="56"/>
        <v>9.0027562848857285E-3</v>
      </c>
      <c r="P883" s="39">
        <f t="shared" si="54"/>
        <v>0.85300000000000065</v>
      </c>
      <c r="Q883" s="64">
        <f t="shared" si="55"/>
        <v>25.590000000000213</v>
      </c>
      <c r="R883" s="64">
        <f t="shared" ca="1" si="53"/>
        <v>-123.79114524311599</v>
      </c>
      <c r="T883" s="35">
        <f ca="1">DATA!AM878*$B$7</f>
        <v>-92090.189960420859</v>
      </c>
    </row>
    <row r="884" spans="15:20" x14ac:dyDescent="0.25">
      <c r="O884" s="38">
        <f t="shared" ca="1" si="56"/>
        <v>9.0172941094704799E-3</v>
      </c>
      <c r="P884" s="39">
        <f t="shared" si="54"/>
        <v>0.85400000000000065</v>
      </c>
      <c r="Q884" s="64">
        <f t="shared" si="55"/>
        <v>25.620000000000214</v>
      </c>
      <c r="R884" s="64">
        <f t="shared" ca="1" si="53"/>
        <v>-123.93656276391684</v>
      </c>
      <c r="T884" s="35">
        <f ca="1">DATA!AM879*$B$7</f>
        <v>115079.16152292529</v>
      </c>
    </row>
    <row r="885" spans="15:20" x14ac:dyDescent="0.25">
      <c r="O885" s="38">
        <f t="shared" ca="1" si="56"/>
        <v>9.0318319441994172E-3</v>
      </c>
      <c r="P885" s="39">
        <f t="shared" si="54"/>
        <v>0.85500000000000065</v>
      </c>
      <c r="Q885" s="64">
        <f t="shared" si="55"/>
        <v>25.650000000000215</v>
      </c>
      <c r="R885" s="64">
        <f t="shared" ca="1" si="53"/>
        <v>-124.08198028471767</v>
      </c>
      <c r="T885" s="35">
        <f ca="1">DATA!AM880*$B$7</f>
        <v>-84632.925931391495</v>
      </c>
    </row>
    <row r="886" spans="15:20" x14ac:dyDescent="0.25">
      <c r="O886" s="38">
        <f t="shared" ca="1" si="56"/>
        <v>9.0463697890236262E-3</v>
      </c>
      <c r="P886" s="39">
        <f t="shared" si="54"/>
        <v>0.85600000000000065</v>
      </c>
      <c r="Q886" s="64">
        <f t="shared" si="55"/>
        <v>25.680000000000216</v>
      </c>
      <c r="R886" s="64">
        <f t="shared" ca="1" si="53"/>
        <v>-124.22739780551852</v>
      </c>
      <c r="T886" s="35">
        <f ca="1">DATA!AM881*$B$7</f>
        <v>-212738.55040756345</v>
      </c>
    </row>
    <row r="887" spans="15:20" x14ac:dyDescent="0.25">
      <c r="O887" s="38">
        <f t="shared" ca="1" si="56"/>
        <v>9.060907643894521E-3</v>
      </c>
      <c r="P887" s="39">
        <f t="shared" si="54"/>
        <v>0.85700000000000065</v>
      </c>
      <c r="Q887" s="64">
        <f t="shared" si="55"/>
        <v>25.710000000000218</v>
      </c>
      <c r="R887" s="64">
        <f t="shared" ca="1" si="53"/>
        <v>-124.37281532631937</v>
      </c>
      <c r="T887" s="35">
        <f ca="1">DATA!AM882*$B$7</f>
        <v>-253563.79872162946</v>
      </c>
    </row>
    <row r="888" spans="15:20" x14ac:dyDescent="0.25">
      <c r="O888" s="38">
        <f t="shared" ca="1" si="56"/>
        <v>9.0754455087638207E-3</v>
      </c>
      <c r="P888" s="39">
        <f t="shared" si="54"/>
        <v>0.85800000000000065</v>
      </c>
      <c r="Q888" s="64">
        <f t="shared" si="55"/>
        <v>25.740000000000219</v>
      </c>
      <c r="R888" s="64">
        <f t="shared" ca="1" si="53"/>
        <v>-124.5182328471202</v>
      </c>
      <c r="T888" s="35">
        <f ca="1">DATA!AM883*$B$7</f>
        <v>101849.45299433661</v>
      </c>
    </row>
    <row r="889" spans="15:20" x14ac:dyDescent="0.25">
      <c r="O889" s="38">
        <f t="shared" ca="1" si="56"/>
        <v>9.089983383583548E-3</v>
      </c>
      <c r="P889" s="39">
        <f t="shared" si="54"/>
        <v>0.85900000000000065</v>
      </c>
      <c r="Q889" s="64">
        <f t="shared" si="55"/>
        <v>25.77000000000022</v>
      </c>
      <c r="R889" s="64">
        <f t="shared" ca="1" si="53"/>
        <v>-124.66365036792105</v>
      </c>
      <c r="T889" s="35">
        <f ca="1">DATA!AM884*$B$7</f>
        <v>-234277.68218781249</v>
      </c>
    </row>
    <row r="890" spans="15:20" x14ac:dyDescent="0.25">
      <c r="O890" s="38">
        <f t="shared" ca="1" si="56"/>
        <v>9.1045212683060414E-3</v>
      </c>
      <c r="P890" s="39">
        <f t="shared" si="54"/>
        <v>0.86000000000000065</v>
      </c>
      <c r="Q890" s="64">
        <f t="shared" si="55"/>
        <v>25.800000000000221</v>
      </c>
      <c r="R890" s="64">
        <f t="shared" ca="1" si="53"/>
        <v>-124.8090678887219</v>
      </c>
      <c r="T890" s="35">
        <f ca="1">DATA!AM885*$B$7</f>
        <v>219889.89011642564</v>
      </c>
    </row>
    <row r="891" spans="15:20" x14ac:dyDescent="0.25">
      <c r="O891" s="38">
        <f t="shared" ca="1" si="56"/>
        <v>9.1190591628839378E-3</v>
      </c>
      <c r="P891" s="39">
        <f t="shared" si="54"/>
        <v>0.86100000000000065</v>
      </c>
      <c r="Q891" s="64">
        <f t="shared" si="55"/>
        <v>25.830000000000222</v>
      </c>
      <c r="R891" s="64">
        <f t="shared" ca="1" si="53"/>
        <v>-124.95448540952273</v>
      </c>
      <c r="T891" s="35">
        <f ca="1">DATA!AM886*$B$7</f>
        <v>-177602.1385941614</v>
      </c>
    </row>
    <row r="892" spans="15:20" x14ac:dyDescent="0.25">
      <c r="O892" s="38">
        <f t="shared" ca="1" si="56"/>
        <v>9.1335970672701758E-3</v>
      </c>
      <c r="P892" s="39">
        <f t="shared" si="54"/>
        <v>0.86200000000000065</v>
      </c>
      <c r="Q892" s="64">
        <f t="shared" si="55"/>
        <v>25.860000000000223</v>
      </c>
      <c r="R892" s="64">
        <f t="shared" ca="1" si="53"/>
        <v>-125.09990293032358</v>
      </c>
      <c r="T892" s="35">
        <f ca="1">DATA!AM887*$B$7</f>
        <v>-25841.756656177018</v>
      </c>
    </row>
    <row r="893" spans="15:20" x14ac:dyDescent="0.25">
      <c r="O893" s="38">
        <f t="shared" ca="1" si="56"/>
        <v>9.1481349814179942E-3</v>
      </c>
      <c r="P893" s="39">
        <f t="shared" si="54"/>
        <v>0.86300000000000066</v>
      </c>
      <c r="Q893" s="64">
        <f t="shared" si="55"/>
        <v>25.890000000000224</v>
      </c>
      <c r="R893" s="64">
        <f t="shared" ca="1" si="53"/>
        <v>-125.24532045112443</v>
      </c>
      <c r="T893" s="35">
        <f ca="1">DATA!AM888*$B$7</f>
        <v>-159231.89167200518</v>
      </c>
    </row>
    <row r="894" spans="15:20" x14ac:dyDescent="0.25">
      <c r="O894" s="38">
        <f t="shared" ca="1" si="56"/>
        <v>9.162672905280932E-3</v>
      </c>
      <c r="P894" s="39">
        <f t="shared" si="54"/>
        <v>0.86400000000000066</v>
      </c>
      <c r="Q894" s="64">
        <f t="shared" si="55"/>
        <v>25.920000000000226</v>
      </c>
      <c r="R894" s="64">
        <f t="shared" ca="1" si="53"/>
        <v>-125.39073797192528</v>
      </c>
      <c r="T894" s="35">
        <f ca="1">DATA!AM889*$B$7</f>
        <v>279957.86253522034</v>
      </c>
    </row>
    <row r="895" spans="15:20" x14ac:dyDescent="0.25">
      <c r="O895" s="38">
        <f t="shared" ca="1" si="56"/>
        <v>9.1772108388128142E-3</v>
      </c>
      <c r="P895" s="39">
        <f t="shared" si="54"/>
        <v>0.86500000000000066</v>
      </c>
      <c r="Q895" s="64">
        <f t="shared" si="55"/>
        <v>25.950000000000227</v>
      </c>
      <c r="R895" s="64">
        <f t="shared" ca="1" si="53"/>
        <v>-125.53615549272611</v>
      </c>
      <c r="T895" s="35">
        <f ca="1">DATA!AM890*$B$7</f>
        <v>-166605.79539037761</v>
      </c>
    </row>
    <row r="896" spans="15:20" x14ac:dyDescent="0.25">
      <c r="O896" s="38">
        <f t="shared" ca="1" si="56"/>
        <v>9.1917487819677679E-3</v>
      </c>
      <c r="P896" s="39">
        <f t="shared" si="54"/>
        <v>0.86600000000000066</v>
      </c>
      <c r="Q896" s="64">
        <f t="shared" si="55"/>
        <v>25.980000000000228</v>
      </c>
      <c r="R896" s="64">
        <f t="shared" ca="1" si="53"/>
        <v>-125.68157301352696</v>
      </c>
      <c r="T896" s="35">
        <f ca="1">DATA!AM891*$B$7</f>
        <v>14177.061073586352</v>
      </c>
    </row>
    <row r="897" spans="15:20" x14ac:dyDescent="0.25">
      <c r="O897" s="38">
        <f t="shared" ca="1" si="56"/>
        <v>9.2062867347001993E-3</v>
      </c>
      <c r="P897" s="39">
        <f t="shared" si="54"/>
        <v>0.86700000000000066</v>
      </c>
      <c r="Q897" s="64">
        <f t="shared" si="55"/>
        <v>26.010000000000229</v>
      </c>
      <c r="R897" s="64">
        <f t="shared" ca="1" si="53"/>
        <v>-125.82699053432781</v>
      </c>
      <c r="T897" s="35">
        <f ca="1">DATA!AM892*$B$7</f>
        <v>278046.22856082505</v>
      </c>
    </row>
    <row r="898" spans="15:20" x14ac:dyDescent="0.25">
      <c r="O898" s="38">
        <f t="shared" ca="1" si="56"/>
        <v>9.2208246969648095E-3</v>
      </c>
      <c r="P898" s="39">
        <f t="shared" si="54"/>
        <v>0.86800000000000066</v>
      </c>
      <c r="Q898" s="64">
        <f t="shared" si="55"/>
        <v>26.04000000000023</v>
      </c>
      <c r="R898" s="64">
        <f t="shared" ca="1" si="53"/>
        <v>-125.97240805512864</v>
      </c>
      <c r="T898" s="35">
        <f ca="1">DATA!AM893*$B$7</f>
        <v>161249.90569914717</v>
      </c>
    </row>
    <row r="899" spans="15:20" x14ac:dyDescent="0.25">
      <c r="O899" s="38">
        <f t="shared" ca="1" si="56"/>
        <v>9.235362668716586E-3</v>
      </c>
      <c r="P899" s="39">
        <f t="shared" si="54"/>
        <v>0.86900000000000066</v>
      </c>
      <c r="Q899" s="64">
        <f t="shared" si="55"/>
        <v>26.070000000000231</v>
      </c>
      <c r="R899" s="64">
        <f t="shared" ca="1" si="53"/>
        <v>-126.11782557592949</v>
      </c>
      <c r="T899" s="35">
        <f ca="1">DATA!AM894*$B$7</f>
        <v>-298462.45062221633</v>
      </c>
    </row>
    <row r="900" spans="15:20" x14ac:dyDescent="0.25">
      <c r="O900" s="38">
        <f t="shared" ca="1" si="56"/>
        <v>9.2499006499107937E-3</v>
      </c>
      <c r="P900" s="39">
        <f t="shared" si="54"/>
        <v>0.87000000000000066</v>
      </c>
      <c r="Q900" s="64">
        <f t="shared" si="55"/>
        <v>26.100000000000232</v>
      </c>
      <c r="R900" s="64">
        <f t="shared" ca="1" si="53"/>
        <v>-126.26324309673033</v>
      </c>
      <c r="T900" s="35">
        <f ca="1">DATA!AM895*$B$7</f>
        <v>475773.04279515526</v>
      </c>
    </row>
    <row r="901" spans="15:20" x14ac:dyDescent="0.25">
      <c r="O901" s="38">
        <f t="shared" ca="1" si="56"/>
        <v>9.2644386405029804E-3</v>
      </c>
      <c r="P901" s="39">
        <f t="shared" si="54"/>
        <v>0.87100000000000066</v>
      </c>
      <c r="Q901" s="64">
        <f t="shared" si="55"/>
        <v>26.130000000000233</v>
      </c>
      <c r="R901" s="64">
        <f t="shared" ca="1" si="53"/>
        <v>-126.40866061753117</v>
      </c>
      <c r="T901" s="35">
        <f ca="1">DATA!AM896*$B$7</f>
        <v>33669.197930772963</v>
      </c>
    </row>
    <row r="902" spans="15:20" x14ac:dyDescent="0.25">
      <c r="O902" s="38">
        <f t="shared" ca="1" si="56"/>
        <v>9.2789766404489729E-3</v>
      </c>
      <c r="P902" s="39">
        <f t="shared" si="54"/>
        <v>0.87200000000000066</v>
      </c>
      <c r="Q902" s="64">
        <f t="shared" si="55"/>
        <v>26.160000000000235</v>
      </c>
      <c r="R902" s="64">
        <f t="shared" ca="1" si="53"/>
        <v>-126.55407813833202</v>
      </c>
      <c r="T902" s="35">
        <f ca="1">DATA!AM897*$B$7</f>
        <v>240505.82624059025</v>
      </c>
    </row>
    <row r="903" spans="15:20" x14ac:dyDescent="0.25">
      <c r="O903" s="38">
        <f t="shared" ca="1" si="56"/>
        <v>9.293514649704876E-3</v>
      </c>
      <c r="P903" s="39">
        <f t="shared" si="54"/>
        <v>0.87300000000000066</v>
      </c>
      <c r="Q903" s="64">
        <f t="shared" si="55"/>
        <v>26.190000000000236</v>
      </c>
      <c r="R903" s="64">
        <f t="shared" ca="1" si="53"/>
        <v>-126.69949565913286</v>
      </c>
      <c r="T903" s="35">
        <f ca="1">DATA!AM898*$B$7</f>
        <v>39325.895914585002</v>
      </c>
    </row>
    <row r="904" spans="15:20" x14ac:dyDescent="0.25">
      <c r="O904" s="38">
        <f t="shared" ca="1" si="56"/>
        <v>9.3080526682270629E-3</v>
      </c>
      <c r="P904" s="39">
        <f t="shared" si="54"/>
        <v>0.87400000000000067</v>
      </c>
      <c r="Q904" s="64">
        <f t="shared" si="55"/>
        <v>26.220000000000237</v>
      </c>
      <c r="R904" s="64">
        <f t="shared" ca="1" si="53"/>
        <v>-126.84491317993371</v>
      </c>
      <c r="T904" s="35">
        <f ca="1">DATA!AM899*$B$7</f>
        <v>134736.04866558092</v>
      </c>
    </row>
    <row r="905" spans="15:20" x14ac:dyDescent="0.25">
      <c r="O905" s="38">
        <f t="shared" ca="1" si="56"/>
        <v>9.3225906959721883E-3</v>
      </c>
      <c r="P905" s="39">
        <f t="shared" si="54"/>
        <v>0.87500000000000067</v>
      </c>
      <c r="Q905" s="64">
        <f t="shared" si="55"/>
        <v>26.250000000000238</v>
      </c>
      <c r="R905" s="64">
        <f t="shared" ca="1" si="53"/>
        <v>-126.99033070073455</v>
      </c>
      <c r="T905" s="35">
        <f ca="1">DATA!AM900*$B$7</f>
        <v>-84833.353220890465</v>
      </c>
    </row>
    <row r="906" spans="15:20" x14ac:dyDescent="0.25">
      <c r="O906" s="38">
        <f t="shared" ca="1" si="56"/>
        <v>9.3371287328971684E-3</v>
      </c>
      <c r="P906" s="39">
        <f t="shared" si="54"/>
        <v>0.87600000000000067</v>
      </c>
      <c r="Q906" s="64">
        <f t="shared" si="55"/>
        <v>26.280000000000239</v>
      </c>
      <c r="R906" s="64">
        <f t="shared" ca="1" si="53"/>
        <v>-127.13574822153539</v>
      </c>
      <c r="T906" s="35">
        <f ca="1">DATA!AM901*$B$7</f>
        <v>131743.89816530209</v>
      </c>
    </row>
    <row r="907" spans="15:20" x14ac:dyDescent="0.25">
      <c r="O907" s="38">
        <f t="shared" ca="1" si="56"/>
        <v>9.3516667789591904E-3</v>
      </c>
      <c r="P907" s="39">
        <f t="shared" si="54"/>
        <v>0.87700000000000067</v>
      </c>
      <c r="Q907" s="64">
        <f t="shared" si="55"/>
        <v>26.31000000000024</v>
      </c>
      <c r="R907" s="64">
        <f t="shared" ca="1" si="53"/>
        <v>-127.28116574233624</v>
      </c>
      <c r="T907" s="35">
        <f ca="1">DATA!AM902*$B$7</f>
        <v>-25676.629722520978</v>
      </c>
    </row>
    <row r="908" spans="15:20" x14ac:dyDescent="0.25">
      <c r="O908" s="38">
        <f t="shared" ca="1" si="56"/>
        <v>9.3662048341157066E-3</v>
      </c>
      <c r="P908" s="39">
        <f t="shared" si="54"/>
        <v>0.87800000000000067</v>
      </c>
      <c r="Q908" s="64">
        <f t="shared" si="55"/>
        <v>26.340000000000241</v>
      </c>
      <c r="R908" s="64">
        <f t="shared" ca="1" si="53"/>
        <v>-127.42658326313708</v>
      </c>
      <c r="T908" s="35">
        <f ca="1">DATA!AM903*$B$7</f>
        <v>44542.391895672765</v>
      </c>
    </row>
    <row r="909" spans="15:20" x14ac:dyDescent="0.25">
      <c r="O909" s="38">
        <f t="shared" ca="1" si="56"/>
        <v>9.3807428983244349E-3</v>
      </c>
      <c r="P909" s="39">
        <f t="shared" si="54"/>
        <v>0.87900000000000067</v>
      </c>
      <c r="Q909" s="64">
        <f t="shared" si="55"/>
        <v>26.370000000000243</v>
      </c>
      <c r="R909" s="64">
        <f t="shared" ca="1" si="53"/>
        <v>-127.57200078393792</v>
      </c>
      <c r="T909" s="35">
        <f ca="1">DATA!AM904*$B$7</f>
        <v>205954.99767467598</v>
      </c>
    </row>
    <row r="910" spans="15:20" x14ac:dyDescent="0.25">
      <c r="O910" s="38">
        <f t="shared" ca="1" si="56"/>
        <v>9.3952809715433551E-3</v>
      </c>
      <c r="P910" s="39">
        <f t="shared" si="54"/>
        <v>0.88000000000000067</v>
      </c>
      <c r="Q910" s="64">
        <f t="shared" si="55"/>
        <v>26.400000000000244</v>
      </c>
      <c r="R910" s="64">
        <f t="shared" ca="1" si="53"/>
        <v>-127.71741830473877</v>
      </c>
      <c r="T910" s="35">
        <f ca="1">DATA!AM905*$B$7</f>
        <v>159701.42165960677</v>
      </c>
    </row>
    <row r="911" spans="15:20" x14ac:dyDescent="0.25">
      <c r="O911" s="38">
        <f t="shared" ca="1" si="56"/>
        <v>9.4098190537307037E-3</v>
      </c>
      <c r="P911" s="39">
        <f t="shared" si="54"/>
        <v>0.88100000000000067</v>
      </c>
      <c r="Q911" s="64">
        <f t="shared" si="55"/>
        <v>26.430000000000245</v>
      </c>
      <c r="R911" s="64">
        <f t="shared" ca="1" si="53"/>
        <v>-127.86283582553961</v>
      </c>
      <c r="T911" s="35">
        <f ca="1">DATA!AM906*$B$7</f>
        <v>341.06550272843896</v>
      </c>
    </row>
    <row r="912" spans="15:20" x14ac:dyDescent="0.25">
      <c r="O912" s="38">
        <f t="shared" ca="1" si="56"/>
        <v>9.4243571448449741E-3</v>
      </c>
      <c r="P912" s="39">
        <f t="shared" si="54"/>
        <v>0.88200000000000067</v>
      </c>
      <c r="Q912" s="64">
        <f t="shared" si="55"/>
        <v>26.460000000000246</v>
      </c>
      <c r="R912" s="64">
        <f t="shared" ca="1" si="53"/>
        <v>-128.00825334634047</v>
      </c>
      <c r="T912" s="35">
        <f ca="1">DATA!AM907*$B$7</f>
        <v>86383.912819209858</v>
      </c>
    </row>
    <row r="913" spans="15:20" x14ac:dyDescent="0.25">
      <c r="O913" s="38">
        <f t="shared" ca="1" si="56"/>
        <v>9.4388952448449213E-3</v>
      </c>
      <c r="P913" s="39">
        <f t="shared" si="54"/>
        <v>0.88300000000000067</v>
      </c>
      <c r="Q913" s="64">
        <f t="shared" si="55"/>
        <v>26.490000000000247</v>
      </c>
      <c r="R913" s="64">
        <f t="shared" ca="1" si="53"/>
        <v>-128.1536708671413</v>
      </c>
      <c r="T913" s="35">
        <f ca="1">DATA!AM908*$B$7</f>
        <v>-111186.05064515115</v>
      </c>
    </row>
    <row r="914" spans="15:20" x14ac:dyDescent="0.25">
      <c r="O914" s="38">
        <f t="shared" ca="1" si="56"/>
        <v>9.4534333536895488E-3</v>
      </c>
      <c r="P914" s="39">
        <f t="shared" si="54"/>
        <v>0.88400000000000067</v>
      </c>
      <c r="Q914" s="64">
        <f t="shared" si="55"/>
        <v>26.520000000000248</v>
      </c>
      <c r="R914" s="64">
        <f t="shared" ca="1" si="53"/>
        <v>-128.29908838794213</v>
      </c>
      <c r="T914" s="35">
        <f ca="1">DATA!AM909*$B$7</f>
        <v>47998.629546015422</v>
      </c>
    </row>
    <row r="915" spans="15:20" x14ac:dyDescent="0.25">
      <c r="O915" s="38">
        <f t="shared" ca="1" si="56"/>
        <v>9.4679714713381147E-3</v>
      </c>
      <c r="P915" s="39">
        <f t="shared" si="54"/>
        <v>0.88500000000000068</v>
      </c>
      <c r="Q915" s="64">
        <f t="shared" si="55"/>
        <v>26.550000000000249</v>
      </c>
      <c r="R915" s="64">
        <f t="shared" ca="1" si="53"/>
        <v>-128.444505908743</v>
      </c>
      <c r="T915" s="35">
        <f ca="1">DATA!AM910*$B$7</f>
        <v>-163751.43353676161</v>
      </c>
    </row>
    <row r="916" spans="15:20" x14ac:dyDescent="0.25">
      <c r="O916" s="38">
        <f t="shared" ca="1" si="56"/>
        <v>9.4825095977501255E-3</v>
      </c>
      <c r="P916" s="39">
        <f t="shared" si="54"/>
        <v>0.88600000000000068</v>
      </c>
      <c r="Q916" s="64">
        <f t="shared" si="55"/>
        <v>26.580000000000251</v>
      </c>
      <c r="R916" s="64">
        <f t="shared" ca="1" si="53"/>
        <v>-128.58992342954383</v>
      </c>
      <c r="T916" s="35">
        <f ca="1">DATA!AM911*$B$7</f>
        <v>24446.833093621688</v>
      </c>
    </row>
    <row r="917" spans="15:20" x14ac:dyDescent="0.25">
      <c r="O917" s="38">
        <f t="shared" ca="1" si="56"/>
        <v>9.4970477328853321E-3</v>
      </c>
      <c r="P917" s="39">
        <f t="shared" si="54"/>
        <v>0.88700000000000068</v>
      </c>
      <c r="Q917" s="64">
        <f t="shared" si="55"/>
        <v>26.610000000000252</v>
      </c>
      <c r="R917" s="64">
        <f t="shared" ca="1" si="53"/>
        <v>-128.73534095034466</v>
      </c>
      <c r="T917" s="35">
        <f ca="1">DATA!AM912*$B$7</f>
        <v>-12212.248159812661</v>
      </c>
    </row>
    <row r="918" spans="15:20" x14ac:dyDescent="0.25">
      <c r="O918" s="38">
        <f t="shared" ca="1" si="56"/>
        <v>9.5115858767037421E-3</v>
      </c>
      <c r="P918" s="39">
        <f t="shared" si="54"/>
        <v>0.88800000000000068</v>
      </c>
      <c r="Q918" s="64">
        <f t="shared" si="55"/>
        <v>26.640000000000253</v>
      </c>
      <c r="R918" s="64">
        <f t="shared" ca="1" si="53"/>
        <v>-128.88075847114553</v>
      </c>
      <c r="T918" s="35">
        <f ca="1">DATA!AM913*$B$7</f>
        <v>17524.632260711289</v>
      </c>
    </row>
    <row r="919" spans="15:20" x14ac:dyDescent="0.25">
      <c r="O919" s="38">
        <f t="shared" ca="1" si="56"/>
        <v>9.5261240291655922E-3</v>
      </c>
      <c r="P919" s="39">
        <f t="shared" si="54"/>
        <v>0.88900000000000068</v>
      </c>
      <c r="Q919" s="64">
        <f t="shared" si="55"/>
        <v>26.670000000000254</v>
      </c>
      <c r="R919" s="64">
        <f t="shared" ca="1" si="53"/>
        <v>-129.02617599194636</v>
      </c>
      <c r="T919" s="35">
        <f ca="1">DATA!AM914*$B$7</f>
        <v>283728.928654638</v>
      </c>
    </row>
    <row r="920" spans="15:20" x14ac:dyDescent="0.25">
      <c r="O920" s="38">
        <f t="shared" ca="1" si="56"/>
        <v>9.5406621902313776E-3</v>
      </c>
      <c r="P920" s="39">
        <f t="shared" si="54"/>
        <v>0.89000000000000068</v>
      </c>
      <c r="Q920" s="64">
        <f t="shared" si="55"/>
        <v>26.700000000000255</v>
      </c>
      <c r="R920" s="64">
        <f t="shared" ca="1" si="53"/>
        <v>-129.17159351274719</v>
      </c>
      <c r="T920" s="35">
        <f ca="1">DATA!AM915*$B$7</f>
        <v>277537.45105098718</v>
      </c>
    </row>
    <row r="921" spans="15:20" x14ac:dyDescent="0.25">
      <c r="O921" s="38">
        <f t="shared" ca="1" si="56"/>
        <v>9.555200359861819E-3</v>
      </c>
      <c r="P921" s="39">
        <f t="shared" si="54"/>
        <v>0.89100000000000068</v>
      </c>
      <c r="Q921" s="64">
        <f t="shared" si="55"/>
        <v>26.730000000000256</v>
      </c>
      <c r="R921" s="64">
        <f t="shared" ca="1" si="53"/>
        <v>-129.31701103354806</v>
      </c>
      <c r="T921" s="35">
        <f ca="1">DATA!AM916*$B$7</f>
        <v>-128961.67360805543</v>
      </c>
    </row>
    <row r="922" spans="15:20" x14ac:dyDescent="0.25">
      <c r="O922" s="38">
        <f t="shared" ca="1" si="56"/>
        <v>9.5697385380178884E-3</v>
      </c>
      <c r="P922" s="39">
        <f t="shared" si="54"/>
        <v>0.89200000000000068</v>
      </c>
      <c r="Q922" s="64">
        <f t="shared" si="55"/>
        <v>26.760000000000257</v>
      </c>
      <c r="R922" s="64">
        <f t="shared" ca="1" si="53"/>
        <v>-129.46242855434889</v>
      </c>
      <c r="T922" s="35">
        <f ca="1">DATA!AM917*$B$7</f>
        <v>15366.471789177356</v>
      </c>
    </row>
    <row r="923" spans="15:20" x14ac:dyDescent="0.25">
      <c r="O923" s="38">
        <f t="shared" ca="1" si="56"/>
        <v>9.5842767246607837E-3</v>
      </c>
      <c r="P923" s="39">
        <f t="shared" si="54"/>
        <v>0.89300000000000068</v>
      </c>
      <c r="Q923" s="64">
        <f t="shared" si="55"/>
        <v>26.790000000000258</v>
      </c>
      <c r="R923" s="64">
        <f t="shared" ca="1" si="53"/>
        <v>-129.60784607514972</v>
      </c>
      <c r="T923" s="35">
        <f ca="1">DATA!AM918*$B$7</f>
        <v>128621.91650403067</v>
      </c>
    </row>
    <row r="924" spans="15:20" x14ac:dyDescent="0.25">
      <c r="O924" s="38">
        <f t="shared" ca="1" si="56"/>
        <v>9.5988149197519471E-3</v>
      </c>
      <c r="P924" s="39">
        <f t="shared" si="54"/>
        <v>0.89400000000000068</v>
      </c>
      <c r="Q924" s="64">
        <f t="shared" si="55"/>
        <v>26.82000000000026</v>
      </c>
      <c r="R924" s="64">
        <f t="shared" ca="1" si="53"/>
        <v>-129.75326359595059</v>
      </c>
      <c r="T924" s="35">
        <f ca="1">DATA!AM919*$B$7</f>
        <v>-22562.753400496345</v>
      </c>
    </row>
    <row r="925" spans="15:20" x14ac:dyDescent="0.25">
      <c r="O925" s="38">
        <f t="shared" ca="1" si="56"/>
        <v>9.6133531232530448E-3</v>
      </c>
      <c r="P925" s="39">
        <f t="shared" si="54"/>
        <v>0.89500000000000068</v>
      </c>
      <c r="Q925" s="64">
        <f t="shared" si="55"/>
        <v>26.850000000000261</v>
      </c>
      <c r="R925" s="64">
        <f t="shared" ca="1" si="53"/>
        <v>-129.89868111675142</v>
      </c>
      <c r="T925" s="35">
        <f ca="1">DATA!AM920*$B$7</f>
        <v>52684.58404756042</v>
      </c>
    </row>
    <row r="926" spans="15:20" x14ac:dyDescent="0.25">
      <c r="O926" s="38">
        <f t="shared" ca="1" si="56"/>
        <v>9.6278913351259855E-3</v>
      </c>
      <c r="P926" s="39">
        <f t="shared" si="54"/>
        <v>0.89600000000000068</v>
      </c>
      <c r="Q926" s="64">
        <f t="shared" si="55"/>
        <v>26.880000000000262</v>
      </c>
      <c r="R926" s="64">
        <f t="shared" ca="1" si="53"/>
        <v>-130.04409863755228</v>
      </c>
      <c r="T926" s="35">
        <f ca="1">DATA!AM921*$B$7</f>
        <v>356982.52102020843</v>
      </c>
    </row>
    <row r="927" spans="15:20" x14ac:dyDescent="0.25">
      <c r="O927" s="38">
        <f t="shared" ca="1" si="56"/>
        <v>9.642429555332897E-3</v>
      </c>
      <c r="P927" s="39">
        <f t="shared" si="54"/>
        <v>0.89700000000000069</v>
      </c>
      <c r="Q927" s="64">
        <f t="shared" si="55"/>
        <v>26.910000000000263</v>
      </c>
      <c r="R927" s="64">
        <f t="shared" ref="R927:R990" ca="1" si="57">$B$8+$B$42*Q927</f>
        <v>-130.18951615835311</v>
      </c>
      <c r="T927" s="35">
        <f ca="1">DATA!AM922*$B$7</f>
        <v>-121918.67510043287</v>
      </c>
    </row>
    <row r="928" spans="15:20" x14ac:dyDescent="0.25">
      <c r="O928" s="38">
        <f t="shared" ca="1" si="56"/>
        <v>9.6569677838361425E-3</v>
      </c>
      <c r="P928" s="39">
        <f t="shared" ref="P928:P991" si="58">P927+0.1%</f>
        <v>0.89800000000000069</v>
      </c>
      <c r="Q928" s="64">
        <f t="shared" ref="Q928:Q991" si="59">Q927+0.03</f>
        <v>26.940000000000264</v>
      </c>
      <c r="R928" s="64">
        <f t="shared" ca="1" si="57"/>
        <v>-130.33493367915395</v>
      </c>
      <c r="T928" s="35">
        <f ca="1">DATA!AM923*$B$7</f>
        <v>-255463.71190802779</v>
      </c>
    </row>
    <row r="929" spans="15:20" x14ac:dyDescent="0.25">
      <c r="O929" s="38">
        <f t="shared" ca="1" si="56"/>
        <v>9.6715060205983094E-3</v>
      </c>
      <c r="P929" s="39">
        <f t="shared" si="58"/>
        <v>0.89900000000000069</v>
      </c>
      <c r="Q929" s="64">
        <f t="shared" si="59"/>
        <v>26.970000000000265</v>
      </c>
      <c r="R929" s="64">
        <f t="shared" ca="1" si="57"/>
        <v>-130.48035119995481</v>
      </c>
      <c r="T929" s="35">
        <f ca="1">DATA!AM924*$B$7</f>
        <v>207585.88429471583</v>
      </c>
    </row>
    <row r="930" spans="15:20" x14ac:dyDescent="0.25">
      <c r="O930" s="38">
        <f t="shared" ca="1" si="56"/>
        <v>9.6860442655822068E-3</v>
      </c>
      <c r="P930" s="39">
        <f t="shared" si="58"/>
        <v>0.90000000000000069</v>
      </c>
      <c r="Q930" s="64">
        <f t="shared" si="59"/>
        <v>27.000000000000266</v>
      </c>
      <c r="R930" s="64">
        <f t="shared" ca="1" si="57"/>
        <v>-130.62576872075564</v>
      </c>
      <c r="T930" s="35">
        <f ca="1">DATA!AM925*$B$7</f>
        <v>120320.99249100515</v>
      </c>
    </row>
    <row r="931" spans="15:20" x14ac:dyDescent="0.25">
      <c r="O931" s="38">
        <f t="shared" ca="1" si="56"/>
        <v>9.7005825187508679E-3</v>
      </c>
      <c r="P931" s="39">
        <f t="shared" si="58"/>
        <v>0.90100000000000069</v>
      </c>
      <c r="Q931" s="64">
        <f t="shared" si="59"/>
        <v>27.030000000000268</v>
      </c>
      <c r="R931" s="64">
        <f t="shared" ca="1" si="57"/>
        <v>-130.77118624155648</v>
      </c>
      <c r="T931" s="35">
        <f ca="1">DATA!AM926*$B$7</f>
        <v>167119.44851429827</v>
      </c>
    </row>
    <row r="932" spans="15:20" x14ac:dyDescent="0.25">
      <c r="O932" s="38">
        <f t="shared" ref="O932:O995" ca="1" si="60">SQRT(($B$36*P932^2 - 2*$B$37*P932 +$B$38)/$B$39)</f>
        <v>9.7151207800675529E-3</v>
      </c>
      <c r="P932" s="39">
        <f t="shared" si="58"/>
        <v>0.90200000000000069</v>
      </c>
      <c r="Q932" s="64">
        <f t="shared" si="59"/>
        <v>27.060000000000269</v>
      </c>
      <c r="R932" s="64">
        <f t="shared" ca="1" si="57"/>
        <v>-130.91660376235734</v>
      </c>
      <c r="T932" s="35">
        <f ca="1">DATA!AM927*$B$7</f>
        <v>-6566.6551807817032</v>
      </c>
    </row>
    <row r="933" spans="15:20" x14ac:dyDescent="0.25">
      <c r="O933" s="38">
        <f t="shared" ca="1" si="60"/>
        <v>9.729659049495732E-3</v>
      </c>
      <c r="P933" s="39">
        <f t="shared" si="58"/>
        <v>0.90300000000000069</v>
      </c>
      <c r="Q933" s="64">
        <f t="shared" si="59"/>
        <v>27.09000000000027</v>
      </c>
      <c r="R933" s="64">
        <f t="shared" ca="1" si="57"/>
        <v>-131.06202128315817</v>
      </c>
      <c r="T933" s="35">
        <f ca="1">DATA!AM928*$B$7</f>
        <v>70044.543113289503</v>
      </c>
    </row>
    <row r="934" spans="15:20" x14ac:dyDescent="0.25">
      <c r="O934" s="38">
        <f t="shared" ca="1" si="60"/>
        <v>9.7441973269991027E-3</v>
      </c>
      <c r="P934" s="39">
        <f t="shared" si="58"/>
        <v>0.90400000000000069</v>
      </c>
      <c r="Q934" s="64">
        <f t="shared" si="59"/>
        <v>27.120000000000271</v>
      </c>
      <c r="R934" s="64">
        <f t="shared" ca="1" si="57"/>
        <v>-131.20743880395901</v>
      </c>
      <c r="T934" s="35">
        <f ca="1">DATA!AM929*$B$7</f>
        <v>72287.19110307729</v>
      </c>
    </row>
    <row r="935" spans="15:20" x14ac:dyDescent="0.25">
      <c r="O935" s="38">
        <f t="shared" ca="1" si="60"/>
        <v>9.7587356125415723E-3</v>
      </c>
      <c r="P935" s="39">
        <f t="shared" si="58"/>
        <v>0.90500000000000069</v>
      </c>
      <c r="Q935" s="64">
        <f t="shared" si="59"/>
        <v>27.150000000000272</v>
      </c>
      <c r="R935" s="64">
        <f t="shared" ca="1" si="57"/>
        <v>-131.35285632475987</v>
      </c>
      <c r="T935" s="35">
        <f ca="1">DATA!AM930*$B$7</f>
        <v>335109.7347854898</v>
      </c>
    </row>
    <row r="936" spans="15:20" x14ac:dyDescent="0.25">
      <c r="O936" s="38">
        <f t="shared" ca="1" si="60"/>
        <v>9.7732739060872632E-3</v>
      </c>
      <c r="P936" s="39">
        <f t="shared" si="58"/>
        <v>0.90600000000000069</v>
      </c>
      <c r="Q936" s="64">
        <f t="shared" si="59"/>
        <v>27.180000000000273</v>
      </c>
      <c r="R936" s="64">
        <f t="shared" ca="1" si="57"/>
        <v>-131.4982738455607</v>
      </c>
      <c r="T936" s="35">
        <f ca="1">DATA!AM931*$B$7</f>
        <v>-23495.81598036697</v>
      </c>
    </row>
    <row r="937" spans="15:20" x14ac:dyDescent="0.25">
      <c r="O937" s="38">
        <f t="shared" ca="1" si="60"/>
        <v>9.7878122076005183E-3</v>
      </c>
      <c r="P937" s="39">
        <f t="shared" si="58"/>
        <v>0.90700000000000069</v>
      </c>
      <c r="Q937" s="64">
        <f t="shared" si="59"/>
        <v>27.210000000000274</v>
      </c>
      <c r="R937" s="64">
        <f t="shared" ca="1" si="57"/>
        <v>-131.64369136636154</v>
      </c>
      <c r="T937" s="35">
        <f ca="1">DATA!AM932*$B$7</f>
        <v>134819.90353819483</v>
      </c>
    </row>
    <row r="938" spans="15:20" x14ac:dyDescent="0.25">
      <c r="O938" s="38">
        <f t="shared" ca="1" si="60"/>
        <v>9.8023505170458797E-3</v>
      </c>
      <c r="P938" s="39">
        <f t="shared" si="58"/>
        <v>0.9080000000000007</v>
      </c>
      <c r="Q938" s="64">
        <f t="shared" si="59"/>
        <v>27.240000000000276</v>
      </c>
      <c r="R938" s="64">
        <f t="shared" ca="1" si="57"/>
        <v>-131.7891088871624</v>
      </c>
      <c r="T938" s="35">
        <f ca="1">DATA!AM933*$B$7</f>
        <v>305709.77813397202</v>
      </c>
    </row>
    <row r="939" spans="15:20" x14ac:dyDescent="0.25">
      <c r="O939" s="38">
        <f t="shared" ca="1" si="60"/>
        <v>9.8168888343881083E-3</v>
      </c>
      <c r="P939" s="39">
        <f t="shared" si="58"/>
        <v>0.9090000000000007</v>
      </c>
      <c r="Q939" s="64">
        <f t="shared" si="59"/>
        <v>27.270000000000277</v>
      </c>
      <c r="R939" s="64">
        <f t="shared" ca="1" si="57"/>
        <v>-131.93452640796323</v>
      </c>
      <c r="T939" s="35">
        <f ca="1">DATA!AM934*$B$7</f>
        <v>160404.18134726083</v>
      </c>
    </row>
    <row r="940" spans="15:20" x14ac:dyDescent="0.25">
      <c r="O940" s="38">
        <f t="shared" ca="1" si="60"/>
        <v>9.8314271595921748E-3</v>
      </c>
      <c r="P940" s="39">
        <f t="shared" si="58"/>
        <v>0.9100000000000007</v>
      </c>
      <c r="Q940" s="64">
        <f t="shared" si="59"/>
        <v>27.300000000000278</v>
      </c>
      <c r="R940" s="64">
        <f t="shared" ca="1" si="57"/>
        <v>-132.07994392876407</v>
      </c>
      <c r="T940" s="35">
        <f ca="1">DATA!AM935*$B$7</f>
        <v>388484.20795939444</v>
      </c>
    </row>
    <row r="941" spans="15:20" x14ac:dyDescent="0.25">
      <c r="O941" s="38">
        <f t="shared" ca="1" si="60"/>
        <v>9.8459654926232529E-3</v>
      </c>
      <c r="P941" s="39">
        <f t="shared" si="58"/>
        <v>0.9110000000000007</v>
      </c>
      <c r="Q941" s="64">
        <f t="shared" si="59"/>
        <v>27.330000000000279</v>
      </c>
      <c r="R941" s="64">
        <f t="shared" ca="1" si="57"/>
        <v>-132.22536144956493</v>
      </c>
      <c r="T941" s="35">
        <f ca="1">DATA!AM936*$B$7</f>
        <v>302645.22518381866</v>
      </c>
    </row>
    <row r="942" spans="15:20" x14ac:dyDescent="0.25">
      <c r="O942" s="38">
        <f t="shared" ca="1" si="60"/>
        <v>9.8605038334467175E-3</v>
      </c>
      <c r="P942" s="39">
        <f t="shared" si="58"/>
        <v>0.9120000000000007</v>
      </c>
      <c r="Q942" s="64">
        <f t="shared" si="59"/>
        <v>27.36000000000028</v>
      </c>
      <c r="R942" s="64">
        <f t="shared" ca="1" si="57"/>
        <v>-132.37077897036576</v>
      </c>
      <c r="T942" s="35">
        <f ca="1">DATA!AM937*$B$7</f>
        <v>-30083.878862066398</v>
      </c>
    </row>
    <row r="943" spans="15:20" x14ac:dyDescent="0.25">
      <c r="O943" s="38">
        <f t="shared" ca="1" si="60"/>
        <v>9.8750421820281552E-3</v>
      </c>
      <c r="P943" s="39">
        <f t="shared" si="58"/>
        <v>0.9130000000000007</v>
      </c>
      <c r="Q943" s="64">
        <f t="shared" si="59"/>
        <v>27.390000000000281</v>
      </c>
      <c r="R943" s="64">
        <f t="shared" ca="1" si="57"/>
        <v>-132.5161964911666</v>
      </c>
      <c r="T943" s="35">
        <f ca="1">DATA!AM938*$B$7</f>
        <v>-312164.5107558301</v>
      </c>
    </row>
    <row r="944" spans="15:20" x14ac:dyDescent="0.25">
      <c r="O944" s="38">
        <f t="shared" ca="1" si="60"/>
        <v>9.8895805383333521E-3</v>
      </c>
      <c r="P944" s="39">
        <f t="shared" si="58"/>
        <v>0.9140000000000007</v>
      </c>
      <c r="Q944" s="64">
        <f t="shared" si="59"/>
        <v>27.420000000000282</v>
      </c>
      <c r="R944" s="64">
        <f t="shared" ca="1" si="57"/>
        <v>-132.66161401196746</v>
      </c>
      <c r="T944" s="35">
        <f ca="1">DATA!AM939*$B$7</f>
        <v>250297.5684723997</v>
      </c>
    </row>
    <row r="945" spans="15:20" x14ac:dyDescent="0.25">
      <c r="O945" s="38">
        <f t="shared" ca="1" si="60"/>
        <v>9.9041189023282954E-3</v>
      </c>
      <c r="P945" s="39">
        <f t="shared" si="58"/>
        <v>0.9150000000000007</v>
      </c>
      <c r="Q945" s="64">
        <f t="shared" si="59"/>
        <v>27.450000000000284</v>
      </c>
      <c r="R945" s="64">
        <f t="shared" ca="1" si="57"/>
        <v>-132.80703153276829</v>
      </c>
      <c r="T945" s="35">
        <f ca="1">DATA!AM940*$B$7</f>
        <v>44867.47015284378</v>
      </c>
    </row>
    <row r="946" spans="15:20" x14ac:dyDescent="0.25">
      <c r="O946" s="38">
        <f t="shared" ca="1" si="60"/>
        <v>9.9186572739791666E-3</v>
      </c>
      <c r="P946" s="39">
        <f t="shared" si="58"/>
        <v>0.9160000000000007</v>
      </c>
      <c r="Q946" s="64">
        <f t="shared" si="59"/>
        <v>27.480000000000285</v>
      </c>
      <c r="R946" s="64">
        <f t="shared" ca="1" si="57"/>
        <v>-132.95244905356915</v>
      </c>
      <c r="T946" s="35">
        <f ca="1">DATA!AM941*$B$7</f>
        <v>-227205.87055266448</v>
      </c>
    </row>
    <row r="947" spans="15:20" x14ac:dyDescent="0.25">
      <c r="O947" s="38">
        <f t="shared" ca="1" si="60"/>
        <v>9.9331956532523556E-3</v>
      </c>
      <c r="P947" s="39">
        <f t="shared" si="58"/>
        <v>0.9170000000000007</v>
      </c>
      <c r="Q947" s="64">
        <f t="shared" si="59"/>
        <v>27.510000000000286</v>
      </c>
      <c r="R947" s="64">
        <f t="shared" ca="1" si="57"/>
        <v>-133.09786657436999</v>
      </c>
      <c r="T947" s="35">
        <f ca="1">DATA!AM942*$B$7</f>
        <v>-266399.69001813472</v>
      </c>
    </row>
    <row r="948" spans="15:20" x14ac:dyDescent="0.25">
      <c r="O948" s="38">
        <f t="shared" ca="1" si="60"/>
        <v>9.9477340401144376E-3</v>
      </c>
      <c r="P948" s="39">
        <f t="shared" si="58"/>
        <v>0.9180000000000007</v>
      </c>
      <c r="Q948" s="64">
        <f t="shared" si="59"/>
        <v>27.540000000000287</v>
      </c>
      <c r="R948" s="64">
        <f t="shared" ca="1" si="57"/>
        <v>-133.24328409517082</v>
      </c>
      <c r="T948" s="35">
        <f ca="1">DATA!AM943*$B$7</f>
        <v>-153852.83564062999</v>
      </c>
    </row>
    <row r="949" spans="15:20" x14ac:dyDescent="0.25">
      <c r="O949" s="38">
        <f t="shared" ca="1" si="60"/>
        <v>9.9622724345321927E-3</v>
      </c>
      <c r="P949" s="39">
        <f t="shared" si="58"/>
        <v>0.91900000000000071</v>
      </c>
      <c r="Q949" s="64">
        <f t="shared" si="59"/>
        <v>27.570000000000288</v>
      </c>
      <c r="R949" s="64">
        <f t="shared" ca="1" si="57"/>
        <v>-133.38870161597168</v>
      </c>
      <c r="T949" s="35">
        <f ca="1">DATA!AM944*$B$7</f>
        <v>-150463.77505788612</v>
      </c>
    </row>
    <row r="950" spans="15:20" x14ac:dyDescent="0.25">
      <c r="O950" s="38">
        <f t="shared" ca="1" si="60"/>
        <v>9.9768108364725883E-3</v>
      </c>
      <c r="P950" s="39">
        <f t="shared" si="58"/>
        <v>0.92000000000000071</v>
      </c>
      <c r="Q950" s="64">
        <f t="shared" si="59"/>
        <v>27.600000000000289</v>
      </c>
      <c r="R950" s="64">
        <f t="shared" ca="1" si="57"/>
        <v>-133.53411913677252</v>
      </c>
      <c r="T950" s="35">
        <f ca="1">DATA!AM945*$B$7</f>
        <v>-25278.807536565724</v>
      </c>
    </row>
    <row r="951" spans="15:20" x14ac:dyDescent="0.25">
      <c r="O951" s="38">
        <f t="shared" ca="1" si="60"/>
        <v>9.991349245902786E-3</v>
      </c>
      <c r="P951" s="39">
        <f t="shared" si="58"/>
        <v>0.92100000000000071</v>
      </c>
      <c r="Q951" s="64">
        <f t="shared" si="59"/>
        <v>27.63000000000029</v>
      </c>
      <c r="R951" s="64">
        <f t="shared" ca="1" si="57"/>
        <v>-133.67953665757335</v>
      </c>
      <c r="T951" s="35">
        <f ca="1">DATA!AM946*$B$7</f>
        <v>-7417.2205748459019</v>
      </c>
    </row>
    <row r="952" spans="15:20" x14ac:dyDescent="0.25">
      <c r="O952" s="38">
        <f t="shared" ca="1" si="60"/>
        <v>1.0005887662790137E-2</v>
      </c>
      <c r="P952" s="39">
        <f t="shared" si="58"/>
        <v>0.92200000000000071</v>
      </c>
      <c r="Q952" s="64">
        <f t="shared" si="59"/>
        <v>27.660000000000291</v>
      </c>
      <c r="R952" s="64">
        <f t="shared" ca="1" si="57"/>
        <v>-133.82495417837421</v>
      </c>
      <c r="T952" s="35">
        <f ca="1">DATA!AM947*$B$7</f>
        <v>4021.9359070086412</v>
      </c>
    </row>
    <row r="953" spans="15:20" x14ac:dyDescent="0.25">
      <c r="O953" s="38">
        <f t="shared" ca="1" si="60"/>
        <v>1.0020426087102182E-2</v>
      </c>
      <c r="P953" s="39">
        <f t="shared" si="58"/>
        <v>0.92300000000000071</v>
      </c>
      <c r="Q953" s="64">
        <f t="shared" si="59"/>
        <v>27.690000000000293</v>
      </c>
      <c r="R953" s="64">
        <f t="shared" ca="1" si="57"/>
        <v>-133.97037169917505</v>
      </c>
      <c r="T953" s="35">
        <f ca="1">DATA!AM948*$B$7</f>
        <v>104874.58443052975</v>
      </c>
    </row>
    <row r="954" spans="15:20" x14ac:dyDescent="0.25">
      <c r="O954" s="38">
        <f t="shared" ca="1" si="60"/>
        <v>1.0034964518806658E-2</v>
      </c>
      <c r="P954" s="39">
        <f t="shared" si="58"/>
        <v>0.92400000000000071</v>
      </c>
      <c r="Q954" s="64">
        <f t="shared" si="59"/>
        <v>27.720000000000294</v>
      </c>
      <c r="R954" s="64">
        <f t="shared" ca="1" si="57"/>
        <v>-134.11578921997588</v>
      </c>
      <c r="T954" s="35">
        <f ca="1">DATA!AM949*$B$7</f>
        <v>-95497.592280561294</v>
      </c>
    </row>
    <row r="955" spans="15:20" x14ac:dyDescent="0.25">
      <c r="O955" s="38">
        <f t="shared" ca="1" si="60"/>
        <v>1.0049502957871473E-2</v>
      </c>
      <c r="P955" s="39">
        <f t="shared" si="58"/>
        <v>0.92500000000000071</v>
      </c>
      <c r="Q955" s="64">
        <f t="shared" si="59"/>
        <v>27.750000000000295</v>
      </c>
      <c r="R955" s="64">
        <f t="shared" ca="1" si="57"/>
        <v>-134.26120674077674</v>
      </c>
      <c r="T955" s="35">
        <f ca="1">DATA!AM950*$B$7</f>
        <v>125946.96113719938</v>
      </c>
    </row>
    <row r="956" spans="15:20" x14ac:dyDescent="0.25">
      <c r="O956" s="38">
        <f t="shared" ca="1" si="60"/>
        <v>1.0064041404264732E-2</v>
      </c>
      <c r="P956" s="39">
        <f t="shared" si="58"/>
        <v>0.92600000000000071</v>
      </c>
      <c r="Q956" s="64">
        <f t="shared" si="59"/>
        <v>27.780000000000296</v>
      </c>
      <c r="R956" s="64">
        <f t="shared" ca="1" si="57"/>
        <v>-134.40662426157758</v>
      </c>
      <c r="T956" s="35">
        <f ca="1">DATA!AM951*$B$7</f>
        <v>92627.924395171838</v>
      </c>
    </row>
    <row r="957" spans="15:20" x14ac:dyDescent="0.25">
      <c r="O957" s="38">
        <f t="shared" ca="1" si="60"/>
        <v>1.0078579857954722E-2</v>
      </c>
      <c r="P957" s="39">
        <f t="shared" si="58"/>
        <v>0.92700000000000071</v>
      </c>
      <c r="Q957" s="64">
        <f t="shared" si="59"/>
        <v>27.810000000000297</v>
      </c>
      <c r="R957" s="64">
        <f t="shared" ca="1" si="57"/>
        <v>-134.55204178237841</v>
      </c>
      <c r="T957" s="35">
        <f ca="1">DATA!AM952*$B$7</f>
        <v>156992.02725164042</v>
      </c>
    </row>
    <row r="958" spans="15:20" x14ac:dyDescent="0.25">
      <c r="O958" s="38">
        <f t="shared" ca="1" si="60"/>
        <v>1.0093118318909909E-2</v>
      </c>
      <c r="P958" s="39">
        <f t="shared" si="58"/>
        <v>0.92800000000000071</v>
      </c>
      <c r="Q958" s="64">
        <f t="shared" si="59"/>
        <v>27.840000000000298</v>
      </c>
      <c r="R958" s="64">
        <f t="shared" ca="1" si="57"/>
        <v>-134.69745930317927</v>
      </c>
      <c r="T958" s="35">
        <f ca="1">DATA!AM953*$B$7</f>
        <v>63242.507873072813</v>
      </c>
    </row>
    <row r="959" spans="15:20" x14ac:dyDescent="0.25">
      <c r="O959" s="38">
        <f t="shared" ca="1" si="60"/>
        <v>1.0107656787098948E-2</v>
      </c>
      <c r="P959" s="39">
        <f t="shared" si="58"/>
        <v>0.92900000000000071</v>
      </c>
      <c r="Q959" s="64">
        <f t="shared" si="59"/>
        <v>27.870000000000299</v>
      </c>
      <c r="R959" s="64">
        <f t="shared" ca="1" si="57"/>
        <v>-134.84287682398011</v>
      </c>
      <c r="T959" s="35">
        <f ca="1">DATA!AM954*$B$7</f>
        <v>-75296.012454503536</v>
      </c>
    </row>
    <row r="960" spans="15:20" x14ac:dyDescent="0.25">
      <c r="O960" s="38">
        <f t="shared" ca="1" si="60"/>
        <v>1.0122195262490665E-2</v>
      </c>
      <c r="P960" s="39">
        <f t="shared" si="58"/>
        <v>0.93000000000000071</v>
      </c>
      <c r="Q960" s="64">
        <f t="shared" si="59"/>
        <v>27.900000000000301</v>
      </c>
      <c r="R960" s="64">
        <f t="shared" ca="1" si="57"/>
        <v>-134.98829434478094</v>
      </c>
      <c r="T960" s="35">
        <f ca="1">DATA!AM955*$B$7</f>
        <v>126254.63996128998</v>
      </c>
    </row>
    <row r="961" spans="15:20" x14ac:dyDescent="0.25">
      <c r="O961" s="38">
        <f t="shared" ca="1" si="60"/>
        <v>1.0136733745054069E-2</v>
      </c>
      <c r="P961" s="39">
        <f t="shared" si="58"/>
        <v>0.93100000000000072</v>
      </c>
      <c r="Q961" s="64">
        <f t="shared" si="59"/>
        <v>27.930000000000302</v>
      </c>
      <c r="R961" s="64">
        <f t="shared" ca="1" si="57"/>
        <v>-135.1337118655818</v>
      </c>
      <c r="T961" s="35">
        <f ca="1">DATA!AM956*$B$7</f>
        <v>-4141.7183700290125</v>
      </c>
    </row>
    <row r="962" spans="15:20" x14ac:dyDescent="0.25">
      <c r="O962" s="38">
        <f t="shared" ca="1" si="60"/>
        <v>1.0151272234758348E-2</v>
      </c>
      <c r="P962" s="39">
        <f t="shared" si="58"/>
        <v>0.93200000000000072</v>
      </c>
      <c r="Q962" s="64">
        <f t="shared" si="59"/>
        <v>27.960000000000303</v>
      </c>
      <c r="R962" s="64">
        <f t="shared" ca="1" si="57"/>
        <v>-135.27912938638264</v>
      </c>
      <c r="T962" s="35">
        <f ca="1">DATA!AM957*$B$7</f>
        <v>-144736.03037720872</v>
      </c>
    </row>
    <row r="963" spans="15:20" x14ac:dyDescent="0.25">
      <c r="O963" s="38">
        <f t="shared" ca="1" si="60"/>
        <v>1.0165810731572864E-2</v>
      </c>
      <c r="P963" s="39">
        <f t="shared" si="58"/>
        <v>0.93300000000000072</v>
      </c>
      <c r="Q963" s="64">
        <f t="shared" si="59"/>
        <v>27.990000000000304</v>
      </c>
      <c r="R963" s="64">
        <f t="shared" ca="1" si="57"/>
        <v>-135.42454690718347</v>
      </c>
      <c r="T963" s="35">
        <f ca="1">DATA!AM958*$B$7</f>
        <v>340657.47331615974</v>
      </c>
    </row>
    <row r="964" spans="15:20" x14ac:dyDescent="0.25">
      <c r="O964" s="38">
        <f t="shared" ca="1" si="60"/>
        <v>1.0180349235467156E-2</v>
      </c>
      <c r="P964" s="39">
        <f t="shared" si="58"/>
        <v>0.93400000000000072</v>
      </c>
      <c r="Q964" s="64">
        <f t="shared" si="59"/>
        <v>28.020000000000305</v>
      </c>
      <c r="R964" s="64">
        <f t="shared" ca="1" si="57"/>
        <v>-135.56996442798433</v>
      </c>
      <c r="T964" s="35">
        <f ca="1">DATA!AM959*$B$7</f>
        <v>43292.818360877791</v>
      </c>
    </row>
    <row r="965" spans="15:20" x14ac:dyDescent="0.25">
      <c r="O965" s="38">
        <f t="shared" ca="1" si="60"/>
        <v>1.0194887746410933E-2</v>
      </c>
      <c r="P965" s="39">
        <f t="shared" si="58"/>
        <v>0.93500000000000072</v>
      </c>
      <c r="Q965" s="64">
        <f t="shared" si="59"/>
        <v>28.050000000000306</v>
      </c>
      <c r="R965" s="64">
        <f t="shared" ca="1" si="57"/>
        <v>-135.71538194878516</v>
      </c>
      <c r="T965" s="35">
        <f ca="1">DATA!AM960*$B$7</f>
        <v>-359326.53079350037</v>
      </c>
    </row>
    <row r="966" spans="15:20" x14ac:dyDescent="0.25">
      <c r="O966" s="38">
        <f t="shared" ca="1" si="60"/>
        <v>1.0209426264374081E-2</v>
      </c>
      <c r="P966" s="39">
        <f t="shared" si="58"/>
        <v>0.93600000000000072</v>
      </c>
      <c r="Q966" s="64">
        <f t="shared" si="59"/>
        <v>28.080000000000307</v>
      </c>
      <c r="R966" s="64">
        <f t="shared" ca="1" si="57"/>
        <v>-135.86079946958603</v>
      </c>
      <c r="T966" s="35">
        <f ca="1">DATA!AM961*$B$7</f>
        <v>6186.6315899885376</v>
      </c>
    </row>
    <row r="967" spans="15:20" x14ac:dyDescent="0.25">
      <c r="O967" s="38">
        <f t="shared" ca="1" si="60"/>
        <v>1.0223964789326653E-2</v>
      </c>
      <c r="P967" s="39">
        <f t="shared" si="58"/>
        <v>0.93700000000000072</v>
      </c>
      <c r="Q967" s="64">
        <f t="shared" si="59"/>
        <v>28.110000000000309</v>
      </c>
      <c r="R967" s="64">
        <f t="shared" ca="1" si="57"/>
        <v>-136.00621699038686</v>
      </c>
      <c r="T967" s="35">
        <f ca="1">DATA!AM962*$B$7</f>
        <v>-1680.1752577149787</v>
      </c>
    </row>
    <row r="968" spans="15:20" x14ac:dyDescent="0.25">
      <c r="O968" s="38">
        <f t="shared" ca="1" si="60"/>
        <v>1.0238503321238879E-2</v>
      </c>
      <c r="P968" s="39">
        <f t="shared" si="58"/>
        <v>0.93800000000000072</v>
      </c>
      <c r="Q968" s="64">
        <f t="shared" si="59"/>
        <v>28.14000000000031</v>
      </c>
      <c r="R968" s="64">
        <f t="shared" ca="1" si="57"/>
        <v>-136.15163451118769</v>
      </c>
      <c r="T968" s="35">
        <f ca="1">DATA!AM963*$B$7</f>
        <v>-140053.49227247981</v>
      </c>
    </row>
    <row r="969" spans="15:20" x14ac:dyDescent="0.25">
      <c r="O969" s="38">
        <f t="shared" ca="1" si="60"/>
        <v>1.0253041860081148E-2</v>
      </c>
      <c r="P969" s="39">
        <f t="shared" si="58"/>
        <v>0.93900000000000072</v>
      </c>
      <c r="Q969" s="64">
        <f t="shared" si="59"/>
        <v>28.170000000000311</v>
      </c>
      <c r="R969" s="64">
        <f t="shared" ca="1" si="57"/>
        <v>-136.29705203198856</v>
      </c>
      <c r="T969" s="35">
        <f ca="1">DATA!AM964*$B$7</f>
        <v>29665.970017862219</v>
      </c>
    </row>
    <row r="970" spans="15:20" x14ac:dyDescent="0.25">
      <c r="O970" s="38">
        <f t="shared" ca="1" si="60"/>
        <v>1.0267580405824026E-2</v>
      </c>
      <c r="P970" s="39">
        <f t="shared" si="58"/>
        <v>0.94000000000000072</v>
      </c>
      <c r="Q970" s="64">
        <f t="shared" si="59"/>
        <v>28.200000000000312</v>
      </c>
      <c r="R970" s="64">
        <f t="shared" ca="1" si="57"/>
        <v>-136.44246955278939</v>
      </c>
      <c r="T970" s="35">
        <f ca="1">DATA!AM965*$B$7</f>
        <v>-44188.516849888867</v>
      </c>
    </row>
    <row r="971" spans="15:20" x14ac:dyDescent="0.25">
      <c r="O971" s="38">
        <f t="shared" ca="1" si="60"/>
        <v>1.0282118958438238E-2</v>
      </c>
      <c r="P971" s="39">
        <f t="shared" si="58"/>
        <v>0.94100000000000072</v>
      </c>
      <c r="Q971" s="64">
        <f t="shared" si="59"/>
        <v>28.230000000000313</v>
      </c>
      <c r="R971" s="64">
        <f t="shared" ca="1" si="57"/>
        <v>-136.58788707359022</v>
      </c>
      <c r="T971" s="35">
        <f ca="1">DATA!AM966*$B$7</f>
        <v>51401.783883962999</v>
      </c>
    </row>
    <row r="972" spans="15:20" x14ac:dyDescent="0.25">
      <c r="O972" s="38">
        <f t="shared" ca="1" si="60"/>
        <v>1.0296657517894679E-2</v>
      </c>
      <c r="P972" s="39">
        <f t="shared" si="58"/>
        <v>0.94200000000000073</v>
      </c>
      <c r="Q972" s="64">
        <f t="shared" si="59"/>
        <v>28.260000000000314</v>
      </c>
      <c r="R972" s="64">
        <f t="shared" ca="1" si="57"/>
        <v>-136.73330459439109</v>
      </c>
      <c r="T972" s="35">
        <f ca="1">DATA!AM967*$B$7</f>
        <v>139924.81069836239</v>
      </c>
    </row>
    <row r="973" spans="15:20" x14ac:dyDescent="0.25">
      <c r="O973" s="38">
        <f t="shared" ca="1" si="60"/>
        <v>1.0311196084164408E-2</v>
      </c>
      <c r="P973" s="39">
        <f t="shared" si="58"/>
        <v>0.94300000000000073</v>
      </c>
      <c r="Q973" s="64">
        <f t="shared" si="59"/>
        <v>28.290000000000315</v>
      </c>
      <c r="R973" s="64">
        <f t="shared" ca="1" si="57"/>
        <v>-136.87872211519192</v>
      </c>
      <c r="T973" s="35">
        <f ca="1">DATA!AM968*$B$7</f>
        <v>-26297.498069767211</v>
      </c>
    </row>
    <row r="974" spans="15:20" x14ac:dyDescent="0.25">
      <c r="O974" s="38">
        <f t="shared" ca="1" si="60"/>
        <v>1.0325734657218645E-2</v>
      </c>
      <c r="P974" s="39">
        <f t="shared" si="58"/>
        <v>0.94400000000000073</v>
      </c>
      <c r="Q974" s="64">
        <f t="shared" si="59"/>
        <v>28.320000000000316</v>
      </c>
      <c r="R974" s="64">
        <f t="shared" ca="1" si="57"/>
        <v>-137.02413963599275</v>
      </c>
      <c r="T974" s="35">
        <f ca="1">DATA!AM969*$B$7</f>
        <v>-7300.5750334831064</v>
      </c>
    </row>
    <row r="975" spans="15:20" x14ac:dyDescent="0.25">
      <c r="O975" s="38">
        <f t="shared" ca="1" si="60"/>
        <v>1.0340273237028772E-2</v>
      </c>
      <c r="P975" s="39">
        <f t="shared" si="58"/>
        <v>0.94500000000000073</v>
      </c>
      <c r="Q975" s="64">
        <f t="shared" si="59"/>
        <v>28.350000000000318</v>
      </c>
      <c r="R975" s="64">
        <f t="shared" ca="1" si="57"/>
        <v>-137.16955715679362</v>
      </c>
      <c r="T975" s="35">
        <f ca="1">DATA!AM970*$B$7</f>
        <v>157869.74174206017</v>
      </c>
    </row>
    <row r="976" spans="15:20" x14ac:dyDescent="0.25">
      <c r="O976" s="38">
        <f t="shared" ca="1" si="60"/>
        <v>1.0354811823566333E-2</v>
      </c>
      <c r="P976" s="39">
        <f t="shared" si="58"/>
        <v>0.94600000000000073</v>
      </c>
      <c r="Q976" s="64">
        <f t="shared" si="59"/>
        <v>28.380000000000319</v>
      </c>
      <c r="R976" s="64">
        <f t="shared" ca="1" si="57"/>
        <v>-137.31497467759445</v>
      </c>
      <c r="T976" s="35">
        <f ca="1">DATA!AM971*$B$7</f>
        <v>462452.12067692191</v>
      </c>
    </row>
    <row r="977" spans="15:20" x14ac:dyDescent="0.25">
      <c r="O977" s="38">
        <f t="shared" ca="1" si="60"/>
        <v>1.0369350416803032E-2</v>
      </c>
      <c r="P977" s="39">
        <f t="shared" si="58"/>
        <v>0.94700000000000073</v>
      </c>
      <c r="Q977" s="64">
        <f t="shared" si="59"/>
        <v>28.41000000000032</v>
      </c>
      <c r="R977" s="64">
        <f t="shared" ca="1" si="57"/>
        <v>-137.46039219839528</v>
      </c>
      <c r="T977" s="35">
        <f ca="1">DATA!AM972*$B$7</f>
        <v>50497.44192705828</v>
      </c>
    </row>
    <row r="978" spans="15:20" x14ac:dyDescent="0.25">
      <c r="O978" s="38">
        <f t="shared" ca="1" si="60"/>
        <v>1.0383889016710729E-2</v>
      </c>
      <c r="P978" s="39">
        <f t="shared" si="58"/>
        <v>0.94800000000000073</v>
      </c>
      <c r="Q978" s="64">
        <f t="shared" si="59"/>
        <v>28.440000000000321</v>
      </c>
      <c r="R978" s="64">
        <f t="shared" ca="1" si="57"/>
        <v>-137.60580971919615</v>
      </c>
      <c r="T978" s="35">
        <f ca="1">DATA!AM973*$B$7</f>
        <v>20956.285501286646</v>
      </c>
    </row>
    <row r="979" spans="15:20" x14ac:dyDescent="0.25">
      <c r="O979" s="38">
        <f t="shared" ca="1" si="60"/>
        <v>1.0398427623261441E-2</v>
      </c>
      <c r="P979" s="39">
        <f t="shared" si="58"/>
        <v>0.94900000000000073</v>
      </c>
      <c r="Q979" s="64">
        <f t="shared" si="59"/>
        <v>28.470000000000322</v>
      </c>
      <c r="R979" s="64">
        <f t="shared" ca="1" si="57"/>
        <v>-137.75122723999698</v>
      </c>
      <c r="T979" s="35">
        <f ca="1">DATA!AM974*$B$7</f>
        <v>-91354.40724777893</v>
      </c>
    </row>
    <row r="980" spans="15:20" x14ac:dyDescent="0.25">
      <c r="O980" s="38">
        <f t="shared" ca="1" si="60"/>
        <v>1.0412966236427346E-2</v>
      </c>
      <c r="P980" s="39">
        <f t="shared" si="58"/>
        <v>0.95000000000000073</v>
      </c>
      <c r="Q980" s="64">
        <f t="shared" si="59"/>
        <v>28.500000000000323</v>
      </c>
      <c r="R980" s="64">
        <f t="shared" ca="1" si="57"/>
        <v>-137.89664476079781</v>
      </c>
      <c r="T980" s="35">
        <f ca="1">DATA!AM975*$B$7</f>
        <v>340656.15970022278</v>
      </c>
    </row>
    <row r="981" spans="15:20" x14ac:dyDescent="0.25">
      <c r="O981" s="38">
        <f t="shared" ca="1" si="60"/>
        <v>1.0427504856180773E-2</v>
      </c>
      <c r="P981" s="39">
        <f t="shared" si="58"/>
        <v>0.95100000000000073</v>
      </c>
      <c r="Q981" s="64">
        <f t="shared" si="59"/>
        <v>28.530000000000324</v>
      </c>
      <c r="R981" s="64">
        <f t="shared" ca="1" si="57"/>
        <v>-138.04206228159867</v>
      </c>
      <c r="T981" s="35">
        <f ca="1">DATA!AM976*$B$7</f>
        <v>-189700.85763304116</v>
      </c>
    </row>
    <row r="982" spans="15:20" x14ac:dyDescent="0.25">
      <c r="O982" s="38">
        <f t="shared" ca="1" si="60"/>
        <v>1.0442043482494206E-2</v>
      </c>
      <c r="P982" s="39">
        <f t="shared" si="58"/>
        <v>0.95200000000000073</v>
      </c>
      <c r="Q982" s="64">
        <f t="shared" si="59"/>
        <v>28.560000000000326</v>
      </c>
      <c r="R982" s="64">
        <f t="shared" ca="1" si="57"/>
        <v>-138.18747980239951</v>
      </c>
      <c r="T982" s="35">
        <f ca="1">DATA!AM977*$B$7</f>
        <v>-221245.48080065765</v>
      </c>
    </row>
    <row r="983" spans="15:20" x14ac:dyDescent="0.25">
      <c r="O983" s="38">
        <f t="shared" ca="1" si="60"/>
        <v>1.0456582115340283E-2</v>
      </c>
      <c r="P983" s="39">
        <f t="shared" si="58"/>
        <v>0.95300000000000074</v>
      </c>
      <c r="Q983" s="64">
        <f t="shared" si="59"/>
        <v>28.590000000000327</v>
      </c>
      <c r="R983" s="64">
        <f t="shared" ca="1" si="57"/>
        <v>-138.33289732320037</v>
      </c>
      <c r="T983" s="35">
        <f ca="1">DATA!AM978*$B$7</f>
        <v>-145409.65299599076</v>
      </c>
    </row>
    <row r="984" spans="15:20" x14ac:dyDescent="0.25">
      <c r="O984" s="38">
        <f t="shared" ca="1" si="60"/>
        <v>1.0471120754691794E-2</v>
      </c>
      <c r="P984" s="39">
        <f t="shared" si="58"/>
        <v>0.95400000000000074</v>
      </c>
      <c r="Q984" s="64">
        <f t="shared" si="59"/>
        <v>28.620000000000328</v>
      </c>
      <c r="R984" s="64">
        <f t="shared" ca="1" si="57"/>
        <v>-138.4783148440012</v>
      </c>
      <c r="T984" s="35">
        <f ca="1">DATA!AM979*$B$7</f>
        <v>-73466.59868520296</v>
      </c>
    </row>
    <row r="985" spans="15:20" x14ac:dyDescent="0.25">
      <c r="O985" s="38">
        <f t="shared" ca="1" si="60"/>
        <v>1.0485659400521678E-2</v>
      </c>
      <c r="P985" s="39">
        <f t="shared" si="58"/>
        <v>0.95500000000000074</v>
      </c>
      <c r="Q985" s="64">
        <f t="shared" si="59"/>
        <v>28.650000000000329</v>
      </c>
      <c r="R985" s="64">
        <f t="shared" ca="1" si="57"/>
        <v>-138.62373236480204</v>
      </c>
      <c r="T985" s="35">
        <f ca="1">DATA!AM980*$B$7</f>
        <v>-179764.80074802708</v>
      </c>
    </row>
    <row r="986" spans="15:20" x14ac:dyDescent="0.25">
      <c r="O986" s="38">
        <f t="shared" ca="1" si="60"/>
        <v>1.0500198052803025E-2</v>
      </c>
      <c r="P986" s="39">
        <f t="shared" si="58"/>
        <v>0.95600000000000074</v>
      </c>
      <c r="Q986" s="64">
        <f t="shared" si="59"/>
        <v>28.68000000000033</v>
      </c>
      <c r="R986" s="64">
        <f t="shared" ca="1" si="57"/>
        <v>-138.7691498856029</v>
      </c>
      <c r="T986" s="35">
        <f ca="1">DATA!AM981*$B$7</f>
        <v>233486.68492731289</v>
      </c>
    </row>
    <row r="987" spans="15:20" x14ac:dyDescent="0.25">
      <c r="O987" s="38">
        <f t="shared" ca="1" si="60"/>
        <v>1.0514736711509072E-2</v>
      </c>
      <c r="P987" s="39">
        <f t="shared" si="58"/>
        <v>0.95700000000000074</v>
      </c>
      <c r="Q987" s="64">
        <f t="shared" si="59"/>
        <v>28.710000000000331</v>
      </c>
      <c r="R987" s="64">
        <f t="shared" ca="1" si="57"/>
        <v>-138.91456740640373</v>
      </c>
      <c r="T987" s="35">
        <f ca="1">DATA!AM982*$B$7</f>
        <v>59310.007701477007</v>
      </c>
    </row>
    <row r="988" spans="15:20" x14ac:dyDescent="0.25">
      <c r="O988" s="38">
        <f t="shared" ca="1" si="60"/>
        <v>1.0529275376613211E-2</v>
      </c>
      <c r="P988" s="39">
        <f t="shared" si="58"/>
        <v>0.95800000000000074</v>
      </c>
      <c r="Q988" s="64">
        <f t="shared" si="59"/>
        <v>28.740000000000332</v>
      </c>
      <c r="R988" s="64">
        <f t="shared" ca="1" si="57"/>
        <v>-139.05998492720457</v>
      </c>
      <c r="T988" s="35">
        <f ca="1">DATA!AM983*$B$7</f>
        <v>-155160.01062716678</v>
      </c>
    </row>
    <row r="989" spans="15:20" x14ac:dyDescent="0.25">
      <c r="O989" s="38">
        <f t="shared" ca="1" si="60"/>
        <v>1.0543814048088967E-2</v>
      </c>
      <c r="P989" s="39">
        <f t="shared" si="58"/>
        <v>0.95900000000000074</v>
      </c>
      <c r="Q989" s="64">
        <f t="shared" si="59"/>
        <v>28.770000000000334</v>
      </c>
      <c r="R989" s="64">
        <f t="shared" ca="1" si="57"/>
        <v>-139.20540244800543</v>
      </c>
      <c r="T989" s="35">
        <f ca="1">DATA!AM984*$B$7</f>
        <v>-263974.43506370031</v>
      </c>
    </row>
    <row r="990" spans="15:20" x14ac:dyDescent="0.25">
      <c r="O990" s="38">
        <f t="shared" ca="1" si="60"/>
        <v>1.0558352725910027E-2</v>
      </c>
      <c r="P990" s="39">
        <f t="shared" si="58"/>
        <v>0.96000000000000074</v>
      </c>
      <c r="Q990" s="64">
        <f t="shared" si="59"/>
        <v>28.800000000000335</v>
      </c>
      <c r="R990" s="64">
        <f t="shared" ca="1" si="57"/>
        <v>-139.35081996880626</v>
      </c>
      <c r="T990" s="35">
        <f ca="1">DATA!AM985*$B$7</f>
        <v>-83225.774878093376</v>
      </c>
    </row>
    <row r="991" spans="15:20" x14ac:dyDescent="0.25">
      <c r="O991" s="38">
        <f t="shared" ca="1" si="60"/>
        <v>1.0572891410050213E-2</v>
      </c>
      <c r="P991" s="39">
        <f t="shared" si="58"/>
        <v>0.96100000000000074</v>
      </c>
      <c r="Q991" s="64">
        <f t="shared" si="59"/>
        <v>28.830000000000336</v>
      </c>
      <c r="R991" s="64">
        <f t="shared" ref="R991:R1035" ca="1" si="61">$B$8+$B$42*Q991</f>
        <v>-139.4962374896071</v>
      </c>
      <c r="T991" s="35">
        <f ca="1">DATA!AM986*$B$7</f>
        <v>-301307.10109669308</v>
      </c>
    </row>
    <row r="992" spans="15:20" x14ac:dyDescent="0.25">
      <c r="O992" s="38">
        <f t="shared" ca="1" si="60"/>
        <v>1.058743010048349E-2</v>
      </c>
      <c r="P992" s="39">
        <f t="shared" ref="P992:P1035" si="62">P991+0.1%</f>
        <v>0.96200000000000074</v>
      </c>
      <c r="Q992" s="64">
        <f t="shared" ref="Q992:Q1035" si="63">Q991+0.03</f>
        <v>28.860000000000337</v>
      </c>
      <c r="R992" s="64">
        <f t="shared" ca="1" si="61"/>
        <v>-139.64165501040796</v>
      </c>
      <c r="T992" s="35">
        <f ca="1">DATA!AM987*$B$7</f>
        <v>-22765.590988655826</v>
      </c>
    </row>
    <row r="993" spans="15:20" x14ac:dyDescent="0.25">
      <c r="O993" s="38">
        <f t="shared" ca="1" si="60"/>
        <v>1.0601968797183971E-2</v>
      </c>
      <c r="P993" s="39">
        <f t="shared" si="62"/>
        <v>0.96300000000000074</v>
      </c>
      <c r="Q993" s="64">
        <f t="shared" si="63"/>
        <v>28.890000000000338</v>
      </c>
      <c r="R993" s="64">
        <f t="shared" ca="1" si="61"/>
        <v>-139.78707253120879</v>
      </c>
      <c r="T993" s="35">
        <f ca="1">DATA!AM988*$B$7</f>
        <v>270930.43802419706</v>
      </c>
    </row>
    <row r="994" spans="15:20" x14ac:dyDescent="0.25">
      <c r="O994" s="38">
        <f t="shared" ca="1" si="60"/>
        <v>1.0616507500125907E-2</v>
      </c>
      <c r="P994" s="39">
        <f t="shared" si="62"/>
        <v>0.96400000000000075</v>
      </c>
      <c r="Q994" s="64">
        <f t="shared" si="63"/>
        <v>28.920000000000339</v>
      </c>
      <c r="R994" s="64">
        <f t="shared" ca="1" si="61"/>
        <v>-139.93249005200963</v>
      </c>
      <c r="T994" s="35">
        <f ca="1">DATA!AM989*$B$7</f>
        <v>-43865.861170905977</v>
      </c>
    </row>
    <row r="995" spans="15:20" x14ac:dyDescent="0.25">
      <c r="O995" s="38">
        <f t="shared" ca="1" si="60"/>
        <v>1.0631046209283693E-2</v>
      </c>
      <c r="P995" s="39">
        <f t="shared" si="62"/>
        <v>0.96500000000000075</v>
      </c>
      <c r="Q995" s="64">
        <f t="shared" si="63"/>
        <v>28.95000000000034</v>
      </c>
      <c r="R995" s="64">
        <f t="shared" ca="1" si="61"/>
        <v>-140.07790757281049</v>
      </c>
      <c r="T995" s="35">
        <f ca="1">DATA!AM990*$B$7</f>
        <v>-34428.643357083645</v>
      </c>
    </row>
    <row r="996" spans="15:20" x14ac:dyDescent="0.25">
      <c r="O996" s="38">
        <f t="shared" ref="O996:O1035" ca="1" si="64">SQRT(($B$36*P996^2 - 2*$B$37*P996 +$B$38)/$B$39)</f>
        <v>1.0645584924631859E-2</v>
      </c>
      <c r="P996" s="39">
        <f t="shared" si="62"/>
        <v>0.96600000000000075</v>
      </c>
      <c r="Q996" s="64">
        <f t="shared" si="63"/>
        <v>28.980000000000341</v>
      </c>
      <c r="R996" s="64">
        <f t="shared" ca="1" si="61"/>
        <v>-140.22332509361132</v>
      </c>
      <c r="T996" s="35">
        <f ca="1">DATA!AM991*$B$7</f>
        <v>-317098.39043815702</v>
      </c>
    </row>
    <row r="997" spans="15:20" x14ac:dyDescent="0.25">
      <c r="O997" s="38">
        <f t="shared" ca="1" si="64"/>
        <v>1.0660123646145079E-2</v>
      </c>
      <c r="P997" s="39">
        <f t="shared" si="62"/>
        <v>0.96700000000000075</v>
      </c>
      <c r="Q997" s="64">
        <f t="shared" si="63"/>
        <v>29.010000000000343</v>
      </c>
      <c r="R997" s="64">
        <f t="shared" ca="1" si="61"/>
        <v>-140.36874261441216</v>
      </c>
      <c r="T997" s="35">
        <f ca="1">DATA!AM992*$B$7</f>
        <v>-229761.30873473402</v>
      </c>
    </row>
    <row r="998" spans="15:20" x14ac:dyDescent="0.25">
      <c r="O998" s="38">
        <f t="shared" ca="1" si="64"/>
        <v>1.0674662373798161E-2</v>
      </c>
      <c r="P998" s="39">
        <f t="shared" si="62"/>
        <v>0.96800000000000075</v>
      </c>
      <c r="Q998" s="64">
        <f t="shared" si="63"/>
        <v>29.040000000000344</v>
      </c>
      <c r="R998" s="64">
        <f t="shared" ca="1" si="61"/>
        <v>-140.51416013521302</v>
      </c>
      <c r="T998" s="35">
        <f ca="1">DATA!AM993*$B$7</f>
        <v>-8735.2200294070644</v>
      </c>
    </row>
    <row r="999" spans="15:20" x14ac:dyDescent="0.25">
      <c r="O999" s="38">
        <f t="shared" ca="1" si="64"/>
        <v>1.0689201107566054E-2</v>
      </c>
      <c r="P999" s="39">
        <f t="shared" si="62"/>
        <v>0.96900000000000075</v>
      </c>
      <c r="Q999" s="64">
        <f t="shared" si="63"/>
        <v>29.070000000000345</v>
      </c>
      <c r="R999" s="64">
        <f t="shared" ca="1" si="61"/>
        <v>-140.65957765601385</v>
      </c>
      <c r="T999" s="35">
        <f ca="1">DATA!AM994*$B$7</f>
        <v>3655.4748924910482</v>
      </c>
    </row>
    <row r="1000" spans="15:20" x14ac:dyDescent="0.25">
      <c r="O1000" s="38">
        <f t="shared" ca="1" si="64"/>
        <v>1.0703739847423841E-2</v>
      </c>
      <c r="P1000" s="39">
        <f t="shared" si="62"/>
        <v>0.97000000000000075</v>
      </c>
      <c r="Q1000" s="64">
        <f t="shared" si="63"/>
        <v>29.100000000000346</v>
      </c>
      <c r="R1000" s="64">
        <f t="shared" ca="1" si="61"/>
        <v>-140.80499517681469</v>
      </c>
      <c r="T1000" s="35">
        <f ca="1">DATA!AM995*$B$7</f>
        <v>105893.58378575789</v>
      </c>
    </row>
    <row r="1001" spans="15:20" x14ac:dyDescent="0.25">
      <c r="O1001" s="38">
        <f t="shared" ca="1" si="64"/>
        <v>1.0718278593346739E-2</v>
      </c>
      <c r="P1001" s="39">
        <f t="shared" si="62"/>
        <v>0.97100000000000075</v>
      </c>
      <c r="Q1001" s="64">
        <f t="shared" si="63"/>
        <v>29.130000000000347</v>
      </c>
      <c r="R1001" s="64">
        <f t="shared" ca="1" si="61"/>
        <v>-140.95041269761555</v>
      </c>
      <c r="T1001" s="35">
        <f ca="1">DATA!AM996*$B$7</f>
        <v>146536.94409718213</v>
      </c>
    </row>
    <row r="1002" spans="15:20" x14ac:dyDescent="0.25">
      <c r="O1002" s="38">
        <f t="shared" ca="1" si="64"/>
        <v>1.0732817345310102E-2</v>
      </c>
      <c r="P1002" s="39">
        <f t="shared" si="62"/>
        <v>0.97200000000000075</v>
      </c>
      <c r="Q1002" s="64">
        <f t="shared" si="63"/>
        <v>29.160000000000348</v>
      </c>
      <c r="R1002" s="64">
        <f t="shared" ca="1" si="61"/>
        <v>-141.09583021841638</v>
      </c>
      <c r="T1002" s="35">
        <f ca="1">DATA!AM997*$B$7</f>
        <v>12848.477119096617</v>
      </c>
    </row>
    <row r="1003" spans="15:20" x14ac:dyDescent="0.25">
      <c r="O1003" s="38">
        <f t="shared" ca="1" si="64"/>
        <v>1.0747356103289413E-2</v>
      </c>
      <c r="P1003" s="39">
        <f t="shared" si="62"/>
        <v>0.97300000000000075</v>
      </c>
      <c r="Q1003" s="64">
        <f t="shared" si="63"/>
        <v>29.190000000000349</v>
      </c>
      <c r="R1003" s="64">
        <f t="shared" ca="1" si="61"/>
        <v>-141.24124773921724</v>
      </c>
      <c r="T1003" s="35">
        <f ca="1">DATA!AM998*$B$7</f>
        <v>-364855.38935272727</v>
      </c>
    </row>
    <row r="1004" spans="15:20" x14ac:dyDescent="0.25">
      <c r="O1004" s="38">
        <f t="shared" ca="1" si="64"/>
        <v>1.0761894867260294E-2</v>
      </c>
      <c r="P1004" s="39">
        <f t="shared" si="62"/>
        <v>0.97400000000000075</v>
      </c>
      <c r="Q1004" s="64">
        <f t="shared" si="63"/>
        <v>29.220000000000351</v>
      </c>
      <c r="R1004" s="64">
        <f t="shared" ca="1" si="61"/>
        <v>-141.38666526001808</v>
      </c>
      <c r="T1004" s="35">
        <f ca="1">DATA!AM999*$B$7</f>
        <v>597783.74265739589</v>
      </c>
    </row>
    <row r="1005" spans="15:20" x14ac:dyDescent="0.25">
      <c r="O1005" s="38">
        <f t="shared" ca="1" si="64"/>
        <v>1.0776433637198492E-2</v>
      </c>
      <c r="P1005" s="39">
        <f t="shared" si="62"/>
        <v>0.97500000000000075</v>
      </c>
      <c r="Q1005" s="64">
        <f t="shared" si="63"/>
        <v>29.250000000000352</v>
      </c>
      <c r="R1005" s="64">
        <f t="shared" ca="1" si="61"/>
        <v>-141.53208278081891</v>
      </c>
      <c r="T1005" s="35">
        <f ca="1">DATA!AM1000*$B$7</f>
        <v>-143539.840624148</v>
      </c>
    </row>
    <row r="1006" spans="15:20" x14ac:dyDescent="0.25">
      <c r="O1006" s="38">
        <f t="shared" ca="1" si="64"/>
        <v>1.0790972413079887E-2</v>
      </c>
      <c r="P1006" s="39">
        <f t="shared" si="62"/>
        <v>0.97600000000000076</v>
      </c>
      <c r="Q1006" s="64">
        <f t="shared" si="63"/>
        <v>29.280000000000353</v>
      </c>
      <c r="R1006" s="64">
        <f t="shared" ca="1" si="61"/>
        <v>-141.67750030161977</v>
      </c>
      <c r="T1006" s="35"/>
    </row>
    <row r="1007" spans="15:20" x14ac:dyDescent="0.25">
      <c r="O1007" s="38">
        <f t="shared" ca="1" si="64"/>
        <v>1.0805511194880494E-2</v>
      </c>
      <c r="P1007" s="39">
        <f t="shared" si="62"/>
        <v>0.97700000000000076</v>
      </c>
      <c r="Q1007" s="64">
        <f t="shared" si="63"/>
        <v>29.310000000000354</v>
      </c>
      <c r="R1007" s="64">
        <f t="shared" ca="1" si="61"/>
        <v>-141.82291782242061</v>
      </c>
      <c r="T1007" s="35"/>
    </row>
    <row r="1008" spans="15:20" x14ac:dyDescent="0.25">
      <c r="O1008" s="38">
        <f t="shared" ca="1" si="64"/>
        <v>1.0820049982576447E-2</v>
      </c>
      <c r="P1008" s="39">
        <f t="shared" si="62"/>
        <v>0.97800000000000076</v>
      </c>
      <c r="Q1008" s="64">
        <f t="shared" si="63"/>
        <v>29.340000000000355</v>
      </c>
      <c r="R1008" s="64">
        <f t="shared" ca="1" si="61"/>
        <v>-141.96833534322144</v>
      </c>
      <c r="T1008" s="35"/>
    </row>
    <row r="1009" spans="15:20" x14ac:dyDescent="0.25">
      <c r="O1009" s="38">
        <f t="shared" ca="1" si="64"/>
        <v>1.0834588776144015E-2</v>
      </c>
      <c r="P1009" s="39">
        <f t="shared" si="62"/>
        <v>0.97900000000000076</v>
      </c>
      <c r="Q1009" s="64">
        <f t="shared" si="63"/>
        <v>29.370000000000356</v>
      </c>
      <c r="R1009" s="64">
        <f t="shared" ca="1" si="61"/>
        <v>-142.1137528640223</v>
      </c>
      <c r="T1009" s="35"/>
    </row>
    <row r="1010" spans="15:20" x14ac:dyDescent="0.25">
      <c r="O1010" s="38">
        <f t="shared" ca="1" si="64"/>
        <v>1.0849127575559595E-2</v>
      </c>
      <c r="P1010" s="39">
        <f t="shared" si="62"/>
        <v>0.98000000000000076</v>
      </c>
      <c r="Q1010" s="64">
        <f t="shared" si="63"/>
        <v>29.400000000000357</v>
      </c>
      <c r="R1010" s="64">
        <f t="shared" ca="1" si="61"/>
        <v>-142.25917038482314</v>
      </c>
      <c r="T1010" s="35"/>
    </row>
    <row r="1011" spans="15:20" x14ac:dyDescent="0.25">
      <c r="O1011" s="38">
        <f t="shared" ca="1" si="64"/>
        <v>1.0863666380799705E-2</v>
      </c>
      <c r="P1011" s="39">
        <f t="shared" si="62"/>
        <v>0.98100000000000076</v>
      </c>
      <c r="Q1011" s="64">
        <f t="shared" si="63"/>
        <v>29.430000000000359</v>
      </c>
      <c r="R1011" s="64">
        <f t="shared" ca="1" si="61"/>
        <v>-142.40458790562397</v>
      </c>
      <c r="T1011" s="35"/>
    </row>
    <row r="1012" spans="15:20" x14ac:dyDescent="0.25">
      <c r="O1012" s="38">
        <f t="shared" ca="1" si="64"/>
        <v>1.0878205191840993E-2</v>
      </c>
      <c r="P1012" s="39">
        <f t="shared" si="62"/>
        <v>0.98200000000000076</v>
      </c>
      <c r="Q1012" s="64">
        <f t="shared" si="63"/>
        <v>29.46000000000036</v>
      </c>
      <c r="R1012" s="64">
        <f t="shared" ca="1" si="61"/>
        <v>-142.55000542642483</v>
      </c>
      <c r="T1012" s="35"/>
    </row>
    <row r="1013" spans="15:20" x14ac:dyDescent="0.25">
      <c r="O1013" s="38">
        <f t="shared" ca="1" si="64"/>
        <v>1.0892744008660228E-2</v>
      </c>
      <c r="P1013" s="39">
        <f t="shared" si="62"/>
        <v>0.98300000000000076</v>
      </c>
      <c r="Q1013" s="64">
        <f t="shared" si="63"/>
        <v>29.490000000000361</v>
      </c>
      <c r="R1013" s="64">
        <f t="shared" ca="1" si="61"/>
        <v>-142.69542294722567</v>
      </c>
    </row>
    <row r="1014" spans="15:20" x14ac:dyDescent="0.25">
      <c r="O1014" s="38">
        <f t="shared" ca="1" si="64"/>
        <v>1.0907282831234308E-2</v>
      </c>
      <c r="P1014" s="39">
        <f t="shared" si="62"/>
        <v>0.98400000000000076</v>
      </c>
      <c r="Q1014" s="64">
        <f t="shared" si="63"/>
        <v>29.520000000000362</v>
      </c>
      <c r="R1014" s="64">
        <f t="shared" ca="1" si="61"/>
        <v>-142.8408404680265</v>
      </c>
    </row>
    <row r="1015" spans="15:20" x14ac:dyDescent="0.25">
      <c r="O1015" s="38">
        <f t="shared" ca="1" si="64"/>
        <v>1.0921821659540249E-2</v>
      </c>
      <c r="P1015" s="39">
        <f t="shared" si="62"/>
        <v>0.98500000000000076</v>
      </c>
      <c r="Q1015" s="64">
        <f t="shared" si="63"/>
        <v>29.550000000000363</v>
      </c>
      <c r="R1015" s="64">
        <f t="shared" ca="1" si="61"/>
        <v>-142.98625798882736</v>
      </c>
    </row>
    <row r="1016" spans="15:20" x14ac:dyDescent="0.25">
      <c r="O1016" s="38">
        <f t="shared" ca="1" si="64"/>
        <v>1.0936360493555191E-2</v>
      </c>
      <c r="P1016" s="39">
        <f t="shared" si="62"/>
        <v>0.98600000000000076</v>
      </c>
      <c r="Q1016" s="64">
        <f t="shared" si="63"/>
        <v>29.580000000000364</v>
      </c>
      <c r="R1016" s="64">
        <f t="shared" ca="1" si="61"/>
        <v>-143.1316755096282</v>
      </c>
    </row>
    <row r="1017" spans="15:20" x14ac:dyDescent="0.25">
      <c r="O1017" s="38">
        <f t="shared" ca="1" si="64"/>
        <v>1.0950899333256393E-2</v>
      </c>
      <c r="P1017" s="39">
        <f t="shared" si="62"/>
        <v>0.98700000000000077</v>
      </c>
      <c r="Q1017" s="64">
        <f t="shared" si="63"/>
        <v>29.610000000000365</v>
      </c>
      <c r="R1017" s="64">
        <f t="shared" ca="1" si="61"/>
        <v>-143.27709303042903</v>
      </c>
    </row>
    <row r="1018" spans="15:20" x14ac:dyDescent="0.25">
      <c r="O1018" s="38">
        <f t="shared" ca="1" si="64"/>
        <v>1.0965438178621244E-2</v>
      </c>
      <c r="P1018" s="39">
        <f t="shared" si="62"/>
        <v>0.98800000000000077</v>
      </c>
      <c r="Q1018" s="64">
        <f t="shared" si="63"/>
        <v>29.640000000000366</v>
      </c>
      <c r="R1018" s="64">
        <f t="shared" ca="1" si="61"/>
        <v>-143.42251055122989</v>
      </c>
    </row>
    <row r="1019" spans="15:20" x14ac:dyDescent="0.25">
      <c r="O1019" s="38">
        <f t="shared" ca="1" si="64"/>
        <v>1.097997702962724E-2</v>
      </c>
      <c r="P1019" s="39">
        <f t="shared" si="62"/>
        <v>0.98900000000000077</v>
      </c>
      <c r="Q1019" s="64">
        <f t="shared" si="63"/>
        <v>29.670000000000368</v>
      </c>
      <c r="R1019" s="64">
        <f t="shared" ca="1" si="61"/>
        <v>-143.56792807203072</v>
      </c>
    </row>
    <row r="1020" spans="15:20" x14ac:dyDescent="0.25">
      <c r="O1020" s="38">
        <f t="shared" ca="1" si="64"/>
        <v>1.0994515886252006E-2</v>
      </c>
      <c r="P1020" s="39">
        <f t="shared" si="62"/>
        <v>0.99000000000000077</v>
      </c>
      <c r="Q1020" s="64">
        <f t="shared" si="63"/>
        <v>29.700000000000369</v>
      </c>
      <c r="R1020" s="64">
        <f t="shared" ca="1" si="61"/>
        <v>-143.71334559283159</v>
      </c>
    </row>
    <row r="1021" spans="15:20" x14ac:dyDescent="0.25">
      <c r="O1021" s="38">
        <f t="shared" ca="1" si="64"/>
        <v>1.1009054748473277E-2</v>
      </c>
      <c r="P1021" s="39">
        <f t="shared" si="62"/>
        <v>0.99100000000000077</v>
      </c>
      <c r="Q1021" s="64">
        <f t="shared" si="63"/>
        <v>29.73000000000037</v>
      </c>
      <c r="R1021" s="64">
        <f t="shared" ca="1" si="61"/>
        <v>-143.85876311363242</v>
      </c>
    </row>
    <row r="1022" spans="15:20" x14ac:dyDescent="0.25">
      <c r="O1022" s="38">
        <f t="shared" ca="1" si="64"/>
        <v>1.1023593616268911E-2</v>
      </c>
      <c r="P1022" s="39">
        <f t="shared" si="62"/>
        <v>0.99200000000000077</v>
      </c>
      <c r="Q1022" s="64">
        <f t="shared" si="63"/>
        <v>29.760000000000371</v>
      </c>
      <c r="R1022" s="64">
        <f t="shared" ca="1" si="61"/>
        <v>-144.00418063443325</v>
      </c>
    </row>
    <row r="1023" spans="15:20" x14ac:dyDescent="0.25">
      <c r="O1023" s="38">
        <f t="shared" ca="1" si="64"/>
        <v>1.1038132489616883E-2</v>
      </c>
      <c r="P1023" s="39">
        <f t="shared" si="62"/>
        <v>0.99300000000000077</v>
      </c>
      <c r="Q1023" s="64">
        <f t="shared" si="63"/>
        <v>29.790000000000372</v>
      </c>
      <c r="R1023" s="64">
        <f t="shared" ca="1" si="61"/>
        <v>-144.14959815523412</v>
      </c>
    </row>
    <row r="1024" spans="15:20" x14ac:dyDescent="0.25">
      <c r="O1024" s="38">
        <f t="shared" ca="1" si="64"/>
        <v>1.1052671368495281E-2</v>
      </c>
      <c r="P1024" s="39">
        <f t="shared" si="62"/>
        <v>0.99400000000000077</v>
      </c>
      <c r="Q1024" s="64">
        <f t="shared" si="63"/>
        <v>29.820000000000373</v>
      </c>
      <c r="R1024" s="64">
        <f t="shared" ca="1" si="61"/>
        <v>-144.29501567603495</v>
      </c>
    </row>
    <row r="1025" spans="15:18" x14ac:dyDescent="0.25">
      <c r="O1025" s="38">
        <f t="shared" ca="1" si="64"/>
        <v>1.1067210252882306E-2</v>
      </c>
      <c r="P1025" s="39">
        <f t="shared" si="62"/>
        <v>0.99500000000000077</v>
      </c>
      <c r="Q1025" s="64">
        <f t="shared" si="63"/>
        <v>29.850000000000374</v>
      </c>
      <c r="R1025" s="64">
        <f t="shared" ca="1" si="61"/>
        <v>-144.44043319683578</v>
      </c>
    </row>
    <row r="1026" spans="15:18" x14ac:dyDescent="0.25">
      <c r="O1026" s="38">
        <f t="shared" ca="1" si="64"/>
        <v>1.1081749142756283E-2</v>
      </c>
      <c r="P1026" s="39">
        <f t="shared" si="62"/>
        <v>0.99600000000000077</v>
      </c>
      <c r="Q1026" s="64">
        <f t="shared" si="63"/>
        <v>29.880000000000376</v>
      </c>
      <c r="R1026" s="64">
        <f t="shared" ca="1" si="61"/>
        <v>-144.58585071763665</v>
      </c>
    </row>
    <row r="1027" spans="15:18" x14ac:dyDescent="0.25">
      <c r="O1027" s="38">
        <f t="shared" ca="1" si="64"/>
        <v>1.1096288038095639E-2</v>
      </c>
      <c r="P1027" s="39">
        <f t="shared" si="62"/>
        <v>0.99700000000000077</v>
      </c>
      <c r="Q1027" s="64">
        <f t="shared" si="63"/>
        <v>29.910000000000377</v>
      </c>
      <c r="R1027" s="64">
        <f t="shared" ca="1" si="61"/>
        <v>-144.73126823843748</v>
      </c>
    </row>
    <row r="1028" spans="15:18" x14ac:dyDescent="0.25">
      <c r="O1028" s="38">
        <f t="shared" ca="1" si="64"/>
        <v>1.1110826938878922E-2</v>
      </c>
      <c r="P1028" s="39">
        <f t="shared" si="62"/>
        <v>0.99800000000000078</v>
      </c>
      <c r="Q1028" s="64">
        <f t="shared" si="63"/>
        <v>29.940000000000378</v>
      </c>
      <c r="R1028" s="64">
        <f t="shared" ca="1" si="61"/>
        <v>-144.87668575923831</v>
      </c>
    </row>
    <row r="1029" spans="15:18" x14ac:dyDescent="0.25">
      <c r="O1029" s="38">
        <f t="shared" ca="1" si="64"/>
        <v>1.1125365845084789E-2</v>
      </c>
      <c r="P1029" s="39">
        <f t="shared" si="62"/>
        <v>0.99900000000000078</v>
      </c>
      <c r="Q1029" s="64">
        <f t="shared" si="63"/>
        <v>29.970000000000379</v>
      </c>
      <c r="R1029" s="64">
        <f t="shared" ca="1" si="61"/>
        <v>-145.02210328003918</v>
      </c>
    </row>
    <row r="1030" spans="15:18" x14ac:dyDescent="0.25">
      <c r="O1030" s="38">
        <f t="shared" ca="1" si="64"/>
        <v>1.1139904756692005E-2</v>
      </c>
      <c r="P1030" s="39">
        <f t="shared" si="62"/>
        <v>1.0000000000000007</v>
      </c>
      <c r="Q1030" s="64">
        <f t="shared" si="63"/>
        <v>30.00000000000038</v>
      </c>
      <c r="R1030" s="64">
        <f t="shared" ca="1" si="61"/>
        <v>-145.16752080084001</v>
      </c>
    </row>
    <row r="1031" spans="15:18" x14ac:dyDescent="0.25">
      <c r="O1031" s="38">
        <f t="shared" ca="1" si="64"/>
        <v>1.1154443673679451E-2</v>
      </c>
      <c r="P1031" s="39">
        <f t="shared" si="62"/>
        <v>1.0010000000000006</v>
      </c>
      <c r="Q1031" s="64">
        <f t="shared" si="63"/>
        <v>30.030000000000381</v>
      </c>
      <c r="R1031" s="64">
        <f t="shared" ca="1" si="61"/>
        <v>-145.31293832164084</v>
      </c>
    </row>
    <row r="1032" spans="15:18" x14ac:dyDescent="0.25">
      <c r="O1032" s="38">
        <f t="shared" ca="1" si="64"/>
        <v>1.1168982596026118E-2</v>
      </c>
      <c r="P1032" s="39">
        <f t="shared" si="62"/>
        <v>1.0020000000000004</v>
      </c>
      <c r="Q1032" s="64">
        <f t="shared" si="63"/>
        <v>30.060000000000382</v>
      </c>
      <c r="R1032" s="64">
        <f t="shared" ca="1" si="61"/>
        <v>-145.4583558424417</v>
      </c>
    </row>
    <row r="1033" spans="15:18" x14ac:dyDescent="0.25">
      <c r="O1033" s="38">
        <f t="shared" ca="1" si="64"/>
        <v>1.1183521523711104E-2</v>
      </c>
      <c r="P1033" s="39">
        <f t="shared" si="62"/>
        <v>1.0030000000000003</v>
      </c>
      <c r="Q1033" s="64">
        <f t="shared" si="63"/>
        <v>30.090000000000384</v>
      </c>
      <c r="R1033" s="64">
        <f t="shared" ca="1" si="61"/>
        <v>-145.60377336324254</v>
      </c>
    </row>
    <row r="1034" spans="15:18" x14ac:dyDescent="0.25">
      <c r="O1034" s="38">
        <f t="shared" ca="1" si="64"/>
        <v>1.1198060456713618E-2</v>
      </c>
      <c r="P1034" s="39">
        <f t="shared" si="62"/>
        <v>1.0040000000000002</v>
      </c>
      <c r="Q1034" s="64">
        <f t="shared" si="63"/>
        <v>30.120000000000385</v>
      </c>
      <c r="R1034" s="64">
        <f t="shared" ca="1" si="61"/>
        <v>-145.74919088404337</v>
      </c>
    </row>
    <row r="1035" spans="15:18" x14ac:dyDescent="0.25">
      <c r="O1035" s="38">
        <f t="shared" ca="1" si="64"/>
        <v>1.121259939501297E-2</v>
      </c>
      <c r="P1035" s="39">
        <f t="shared" si="62"/>
        <v>1.0050000000000001</v>
      </c>
      <c r="Q1035" s="64">
        <f t="shared" si="63"/>
        <v>30.150000000000386</v>
      </c>
      <c r="R1035" s="64">
        <f t="shared" ca="1" si="61"/>
        <v>-145.89460840484423</v>
      </c>
    </row>
    <row r="1036" spans="15:18" x14ac:dyDescent="0.25">
      <c r="P1036" s="39"/>
    </row>
    <row r="1037" spans="15:18" x14ac:dyDescent="0.25">
      <c r="P1037" s="39"/>
    </row>
    <row r="1038" spans="15:18" x14ac:dyDescent="0.25">
      <c r="P1038" s="39"/>
    </row>
    <row r="1039" spans="15:18" x14ac:dyDescent="0.25">
      <c r="P1039" s="39"/>
    </row>
    <row r="1040" spans="15:18" x14ac:dyDescent="0.25">
      <c r="P1040" s="39"/>
    </row>
    <row r="1041" spans="16:16" x14ac:dyDescent="0.25">
      <c r="P1041" s="39"/>
    </row>
    <row r="1042" spans="16:16" x14ac:dyDescent="0.25">
      <c r="P1042" s="39"/>
    </row>
    <row r="1043" spans="16:16" x14ac:dyDescent="0.25">
      <c r="P1043" s="39"/>
    </row>
    <row r="1044" spans="16:16" x14ac:dyDescent="0.25">
      <c r="P1044" s="39"/>
    </row>
    <row r="1045" spans="16:16" x14ac:dyDescent="0.25">
      <c r="P1045" s="39"/>
    </row>
    <row r="1046" spans="16:16" x14ac:dyDescent="0.25">
      <c r="P1046" s="39"/>
    </row>
    <row r="1047" spans="16:16" x14ac:dyDescent="0.25">
      <c r="P1047" s="39"/>
    </row>
    <row r="1048" spans="16:16" x14ac:dyDescent="0.25">
      <c r="P1048" s="39"/>
    </row>
    <row r="1049" spans="16:16" x14ac:dyDescent="0.25">
      <c r="P1049" s="39"/>
    </row>
    <row r="1050" spans="16:16" x14ac:dyDescent="0.25">
      <c r="P1050" s="39"/>
    </row>
    <row r="1051" spans="16:16" x14ac:dyDescent="0.25">
      <c r="P1051" s="39"/>
    </row>
    <row r="1052" spans="16:16" x14ac:dyDescent="0.25">
      <c r="P1052" s="39"/>
    </row>
    <row r="1053" spans="16:16" x14ac:dyDescent="0.25">
      <c r="P1053" s="39"/>
    </row>
    <row r="1054" spans="16:16" x14ac:dyDescent="0.25">
      <c r="P1054" s="39"/>
    </row>
    <row r="1055" spans="16:16" x14ac:dyDescent="0.25">
      <c r="P1055" s="39"/>
    </row>
    <row r="1056" spans="16:16" x14ac:dyDescent="0.25">
      <c r="P1056" s="39"/>
    </row>
    <row r="1057" spans="16:16" x14ac:dyDescent="0.25">
      <c r="P1057" s="39"/>
    </row>
    <row r="1058" spans="16:16" x14ac:dyDescent="0.25">
      <c r="P1058" s="39"/>
    </row>
    <row r="1059" spans="16:16" x14ac:dyDescent="0.25">
      <c r="P1059" s="39"/>
    </row>
    <row r="1060" spans="16:16" x14ac:dyDescent="0.25">
      <c r="P1060" s="39"/>
    </row>
    <row r="1061" spans="16:16" x14ac:dyDescent="0.25">
      <c r="P1061" s="39"/>
    </row>
    <row r="1062" spans="16:16" x14ac:dyDescent="0.25">
      <c r="P1062" s="39"/>
    </row>
    <row r="1063" spans="16:16" x14ac:dyDescent="0.25">
      <c r="P1063" s="39"/>
    </row>
    <row r="1064" spans="16:16" x14ac:dyDescent="0.25">
      <c r="P1064" s="39"/>
    </row>
    <row r="1065" spans="16:16" x14ac:dyDescent="0.25">
      <c r="P1065" s="39"/>
    </row>
    <row r="1066" spans="16:16" x14ac:dyDescent="0.25">
      <c r="P1066" s="39"/>
    </row>
    <row r="1067" spans="16:16" x14ac:dyDescent="0.25">
      <c r="P1067" s="39"/>
    </row>
  </sheetData>
  <scenarios current="0">
    <scenario name="s01" count="4" user="Author" comment="Created by Author on 11/10/2022">
      <inputCells r="B2" val="0.249436314271668" numFmtId="10"/>
      <inputCells r="B3" val="0.250151314945361" numFmtId="10"/>
      <inputCells r="B4" val="0.25022588088893" numFmtId="10"/>
      <inputCells r="B5" val="0.250186489894041" numFmtId="10"/>
    </scenario>
    <scenario name="s02" count="4" user="Author" comment="Created by Author on 11/10/2022">
      <inputCells r="B2" val="0.248620350978791" numFmtId="10"/>
      <inputCells r="B3" val="0.249104045231721" numFmtId="10"/>
      <inputCells r="B4" val="0.253652779642481" numFmtId="10"/>
      <inputCells r="B5" val="0.248622824332203" numFmtId="10"/>
    </scenario>
  </scenarios>
  <mergeCells count="2">
    <mergeCell ref="Q28:R28"/>
    <mergeCell ref="O28:P28"/>
  </mergeCells>
  <conditionalFormatting sqref="G12:L15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{5F4DE46B-5555-4864-A682-7363DD56ED99}</x14:id>
        </ext>
      </extLst>
    </cfRule>
  </conditionalFormatting>
  <conditionalFormatting sqref="B12:L15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{33AAB92D-9AFE-4726-8DC7-EC837DA4A695}</x14:id>
        </ext>
      </extLst>
    </cfRule>
  </conditionalFormatting>
  <conditionalFormatting sqref="C12:C1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{9398FAAF-2E1F-4A2B-B91D-28A3FA6AEB7F}</x14:id>
        </ext>
      </extLst>
    </cfRule>
  </conditionalFormatting>
  <conditionalFormatting sqref="D12:D1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{ED62CD63-ACD4-4126-8DD2-70940833FD1F}</x14:id>
        </ext>
      </extLst>
    </cfRule>
  </conditionalFormatting>
  <conditionalFormatting sqref="F12:F1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{6E605CB4-5BD0-49F3-B605-0E8E6AF2B020}</x14:id>
        </ext>
      </extLst>
    </cfRule>
  </conditionalFormatting>
  <conditionalFormatting sqref="B2:B5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{A95E145C-7D09-4AA5-8C1D-0D84537BF891}</x14:id>
        </ext>
      </extLst>
    </cfRule>
  </conditionalFormatting>
  <conditionalFormatting sqref="B23:E2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{CACE4902-1817-4A48-8D03-7320867132C4}</x14:id>
        </ext>
      </extLst>
    </cfRule>
  </conditionalFormatting>
  <conditionalFormatting sqref="B17:F21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{67F1F81F-541D-433B-BB65-A621C1435449}</x14:id>
        </ext>
      </extLst>
    </cfRule>
  </conditionalFormatting>
  <conditionalFormatting sqref="B28:E3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{7219CABB-0BBF-463F-B76F-547B42DF80CB}</x14:id>
        </ext>
      </extLst>
    </cfRule>
  </conditionalFormatting>
  <conditionalFormatting sqref="I12:J15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{41FC7815-C0C6-4360-A6CA-1DCFD6A09335}</x14:id>
        </ext>
      </extLst>
    </cfRule>
  </conditionalFormatting>
  <conditionalFormatting sqref="G12:G21 B12:L15 H17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{DCF2E310-9038-48CB-A0E3-190CE82FC0B3}</x14:id>
        </ext>
      </extLst>
    </cfRule>
  </conditionalFormatting>
  <conditionalFormatting sqref="B12:L1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{B14117F7-9847-4582-8554-5534DC90A186}</x14:id>
        </ext>
      </extLst>
    </cfRule>
  </conditionalFormatting>
  <conditionalFormatting sqref="E12:E1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{F6D60CDF-C727-4491-8607-BB4BE4E5E51A}</x14:id>
        </ext>
      </extLst>
    </cfRule>
  </conditionalFormatting>
  <conditionalFormatting sqref="E12:E1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{456EE326-7BC6-44AD-8FFF-F0E8D16D4BA2}</x14:id>
        </ext>
      </extLst>
    </cfRule>
  </conditionalFormatting>
  <conditionalFormatting sqref="E12:E1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{6E0C40DD-050E-412B-998A-C135AC90A55A}</x14:id>
        </ext>
      </extLst>
    </cfRule>
  </conditionalFormatting>
  <pageMargins left="0.7" right="0.7" top="0.75" bottom="0.75" header="0.3" footer="0.3"/>
  <pageSetup orientation="portrait" horizontalDpi="1200" verticalDpi="12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4DE46B-5555-4864-A682-7363DD56ED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G12:L15</xm:sqref>
        </x14:conditionalFormatting>
        <x14:conditionalFormatting xmlns:xm="http://schemas.microsoft.com/office/excel/2006/main">
          <x14:cfRule type="dataBar" id="{33AAB92D-9AFE-4726-8DC7-EC837DA4A6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B12:L15</xm:sqref>
        </x14:conditionalFormatting>
        <x14:conditionalFormatting xmlns:xm="http://schemas.microsoft.com/office/excel/2006/main">
          <x14:cfRule type="dataBar" id="{9398FAAF-2E1F-4A2B-B91D-28A3FA6AEB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C12:C15</xm:sqref>
        </x14:conditionalFormatting>
        <x14:conditionalFormatting xmlns:xm="http://schemas.microsoft.com/office/excel/2006/main">
          <x14:cfRule type="dataBar" id="{ED62CD63-ACD4-4126-8DD2-70940833FD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D12:D15</xm:sqref>
        </x14:conditionalFormatting>
        <x14:conditionalFormatting xmlns:xm="http://schemas.microsoft.com/office/excel/2006/main">
          <x14:cfRule type="dataBar" id="{6E605CB4-5BD0-49F3-B605-0E8E6AF2B0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F12:F15</xm:sqref>
        </x14:conditionalFormatting>
        <x14:conditionalFormatting xmlns:xm="http://schemas.microsoft.com/office/excel/2006/main">
          <x14:cfRule type="dataBar" id="{A95E145C-7D09-4AA5-8C1D-0D84537BF8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B2:B5</xm:sqref>
        </x14:conditionalFormatting>
        <x14:conditionalFormatting xmlns:xm="http://schemas.microsoft.com/office/excel/2006/main">
          <x14:cfRule type="dataBar" id="{CACE4902-1817-4A48-8D03-7320867132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B23:E26</xm:sqref>
        </x14:conditionalFormatting>
        <x14:conditionalFormatting xmlns:xm="http://schemas.microsoft.com/office/excel/2006/main">
          <x14:cfRule type="dataBar" id="{67F1F81F-541D-433B-BB65-A621C14354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B17:F21</xm:sqref>
        </x14:conditionalFormatting>
        <x14:conditionalFormatting xmlns:xm="http://schemas.microsoft.com/office/excel/2006/main">
          <x14:cfRule type="dataBar" id="{7219CABB-0BBF-463F-B76F-547B42DF80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B28:E31</xm:sqref>
        </x14:conditionalFormatting>
        <x14:conditionalFormatting xmlns:xm="http://schemas.microsoft.com/office/excel/2006/main">
          <x14:cfRule type="dataBar" id="{41FC7815-C0C6-4360-A6CA-1DCFD6A093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I12:J15</xm:sqref>
        </x14:conditionalFormatting>
        <x14:conditionalFormatting xmlns:xm="http://schemas.microsoft.com/office/excel/2006/main">
          <x14:cfRule type="dataBar" id="{DCF2E310-9038-48CB-A0E3-190CE82FC0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G12:G21 B12:L15 H17</xm:sqref>
        </x14:conditionalFormatting>
        <x14:conditionalFormatting xmlns:xm="http://schemas.microsoft.com/office/excel/2006/main">
          <x14:cfRule type="dataBar" id="{B14117F7-9847-4582-8554-5534DC90A1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B12:L15</xm:sqref>
        </x14:conditionalFormatting>
        <x14:conditionalFormatting xmlns:xm="http://schemas.microsoft.com/office/excel/2006/main">
          <x14:cfRule type="dataBar" id="{F6D60CDF-C727-4491-8607-BB4BE4E5E5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E12:E15</xm:sqref>
        </x14:conditionalFormatting>
        <x14:conditionalFormatting xmlns:xm="http://schemas.microsoft.com/office/excel/2006/main">
          <x14:cfRule type="dataBar" id="{456EE326-7BC6-44AD-8FFF-F0E8D16D4B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E12:E15</xm:sqref>
        </x14:conditionalFormatting>
        <x14:conditionalFormatting xmlns:xm="http://schemas.microsoft.com/office/excel/2006/main">
          <x14:cfRule type="dataBar" id="{6E0C40DD-050E-412B-998A-C135AC90A5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E12:E15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DATA</vt:lpstr>
      <vt:lpstr>ANALYSIS</vt:lpstr>
      <vt:lpstr>CHART</vt:lpstr>
      <vt:lpstr>DATA!A</vt:lpstr>
      <vt:lpstr>DATA01</vt:lpstr>
      <vt:lpstr>DATA02</vt:lpstr>
      <vt:lpstr>DATA03</vt:lpstr>
      <vt:lpstr>DATA04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2024-09-20T09:38:18Z</dcterms:modified>
</cp:coreProperties>
</file>